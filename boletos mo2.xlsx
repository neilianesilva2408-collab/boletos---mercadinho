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<sst xmlns="http://schemas.openxmlformats.org/spreadsheetml/2006/main" count="12534" uniqueCount="1413">
  <si>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</si>
  <si>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</si>
  <si>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</si>
  <si>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</si>
  <si>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</si>
  <si>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</si>
  <si>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</si>
  <si>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</si>
  <si>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</si>
  <si>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</si>
  <si>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</si>
  <si>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</si>
  <si>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</si>
  <si>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</si>
  <si>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</si>
  <si>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</si>
  <si>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</si>
  <si>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</si>
  <si>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</si>
  <si>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</si>
  <si>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</si>
  <si>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</si>
  <si>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</si>
  <si>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</si>
  <si>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</si>
  <si>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</si>
  <si>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</si>
  <si>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</si>
  <si>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</si>
  <si>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</si>
  <si>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</si>
  <si>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</si>
  <si>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</si>
  <si>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</si>
  <si>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</si>
  <si>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</si>
  <si>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</si>
  <si>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</si>
  <si>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</si>
  <si>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</si>
  <si>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</si>
  <si>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</si>
  <si>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</si>
  <si>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</si>
  <si>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</si>
  <si>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</si>
  <si>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</si>
  <si>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</si>
  <si>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</si>
  <si>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</si>
  <si>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</si>
  <si>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</si>
  <si>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</si>
  <si>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</si>
  <si>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</si>
  <si>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</si>
  <si>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</si>
  <si>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</si>
  <si>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</si>
  <si>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</si>
  <si>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</si>
  <si>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</si>
  <si>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</si>
  <si>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</si>
  <si>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</si>
  <si>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</si>
  <si>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</si>
  <si>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</si>
  <si>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</si>
  <si>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</si>
  <si>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</si>
  <si>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</si>
  <si>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</si>
  <si>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</si>
  <si>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</si>
  <si>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</si>
  <si>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</si>
  <si>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</si>
  <si>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</si>
  <si>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</si>
  <si>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</si>
  <si>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</si>
  <si>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</si>
  <si>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</si>
  <si>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</si>
  <si>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</si>
  <si>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</si>
  <si>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</si>
  <si>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</si>
  <si>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</si>
  <si>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</si>
  <si>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</si>
  <si>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</si>
  <si>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</si>
  <si>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</si>
  <si>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</si>
  <si>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</si>
  <si>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</si>
  <si>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</si>
  <si>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</si>
  <si>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</si>
  <si>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</si>
  <si>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</si>
  <si>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</si>
  <si>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</si>
  <si>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</si>
  <si>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</si>
  <si>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</si>
  <si>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</si>
  <si>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</si>
  <si>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</si>
  <si>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</si>
  <si>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</si>
  <si>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</si>
  <si>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</si>
  <si>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</si>
  <si>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</si>
  <si>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</si>
  <si>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</si>
  <si>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</si>
  <si>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</si>
  <si>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</si>
  <si>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</si>
  <si>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</si>
  <si>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</si>
  <si>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</si>
  <si>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</si>
  <si>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</si>
  <si>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</si>
  <si>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</si>
  <si>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</si>
  <si>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</si>
  <si>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</si>
  <si>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</si>
  <si>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</si>
  <si>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</si>
  <si>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</si>
  <si>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</si>
  <si>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</si>
  <si>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</si>
  <si>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</si>
  <si>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</si>
  <si>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</si>
  <si>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</si>
  <si>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</si>
  <si>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</si>
  <si>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</si>
  <si>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</si>
  <si>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</si>
  <si>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</si>
  <si>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</si>
  <si>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</si>
  <si>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</si>
  <si>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</si>
  <si>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</si>
  <si>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</si>
  <si>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</si>
  <si>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</si>
  <si>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</si>
  <si>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</si>
  <si>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</si>
  <si>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</si>
  <si>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</si>
  <si>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</si>
  <si>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</si>
  <si>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</si>
  <si>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</si>
  <si>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</si>
  <si>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</si>
  <si>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</si>
  <si>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</si>
  <si>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</si>
  <si>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</si>
  <si>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</si>
  <si>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</si>
  <si>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</si>
  <si>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</si>
  <si>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</si>
  <si>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</si>
  <si>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</si>
  <si>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</si>
  <si>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</si>
  <si>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</si>
  <si>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</si>
  <si>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</si>
  <si>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</si>
  <si>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</si>
  <si>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</si>
  <si>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</si>
  <si>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</si>
  <si>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</si>
  <si>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</si>
  <si>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</si>
  <si>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</si>
  <si>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</si>
  <si>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</si>
  <si>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</si>
  <si>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</si>
  <si>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</si>
  <si>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</si>
  <si>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</si>
  <si>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</si>
  <si>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</si>
  <si>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</si>
  <si>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</si>
  <si>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</si>
  <si>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</si>
  <si>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</si>
  <si>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</si>
  <si>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</si>
  <si>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</si>
  <si>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</si>
  <si>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</si>
  <si>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</si>
  <si>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</si>
  <si>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</si>
  <si>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</si>
  <si>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</si>
  <si>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</si>
  <si>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</si>
  <si>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</si>
  <si>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</si>
  <si>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</si>
  <si>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</si>
  <si>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</si>
  <si>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</si>
  <si>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</si>
  <si>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</si>
  <si>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</si>
  <si>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</si>
  <si>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</si>
  <si>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</si>
  <si>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</si>
  <si>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</si>
  <si>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</si>
  <si>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</si>
  <si>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</si>
  <si>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</si>
  <si>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</si>
  <si>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</si>
  <si>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</si>
  <si>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</si>
  <si>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</si>
  <si>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</si>
  <si>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</si>
  <si>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</si>
  <si>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</si>
  <si>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</si>
  <si>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</si>
  <si>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</si>
  <si>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</si>
  <si>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</si>
  <si>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</si>
  <si>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</si>
  <si>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</si>
  <si>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</si>
  <si>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</si>
  <si>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</si>
  <si>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</si>
  <si>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</si>
  <si>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</si>
  <si>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</si>
  <si>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</si>
  <si>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</si>
  <si>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</si>
  <si>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</si>
  <si>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</si>
  <si>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</si>
  <si>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</si>
  <si>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</si>
  <si>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</si>
  <si>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</si>
  <si>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</si>
  <si>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</si>
  <si>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</si>
  <si>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</si>
  <si>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</si>
  <si>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</si>
  <si>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</si>
  <si>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</si>
  <si>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</si>
  <si>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</si>
  <si>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</si>
  <si>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</si>
  <si>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</si>
  <si>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</si>
  <si>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</si>
  <si>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</si>
  <si>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</si>
  <si>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</si>
  <si>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</si>
  <si>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</si>
  <si>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</si>
  <si>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</si>
  <si>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</si>
  <si>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</si>
  <si>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</si>
  <si>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</si>
  <si>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</si>
  <si>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</si>
  <si>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</si>
  <si>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</si>
  <si>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</si>
  <si>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</si>
  <si>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</si>
  <si>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</si>
  <si>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</si>
  <si>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</si>
  <si>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</si>
  <si>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</si>
  <si>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</si>
  <si>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</si>
  <si>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</si>
  <si>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</si>
  <si>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</si>
  <si>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</si>
  <si>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</si>
  <si>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</si>
  <si>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</si>
  <si>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</si>
  <si>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</si>
  <si>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</si>
  <si>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</si>
  <si>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</si>
  <si>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</si>
  <si>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</si>
  <si>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</si>
  <si>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</si>
  <si>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</si>
  <si>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</si>
  <si>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</si>
  <si>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</si>
  <si>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</si>
  <si>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</si>
  <si>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</si>
  <si>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</si>
  <si>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</si>
  <si>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</si>
  <si>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</si>
  <si>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</si>
  <si>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</si>
  <si>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</si>
  <si>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</si>
  <si>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</si>
  <si>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</si>
  <si>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</si>
  <si>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</si>
  <si>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</si>
  <si>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</si>
  <si>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</si>
  <si>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</si>
  <si>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</si>
  <si>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</si>
  <si>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</si>
  <si>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</si>
  <si>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</si>
  <si>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</si>
  <si>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</si>
  <si>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</si>
  <si>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</si>
  <si>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</si>
  <si>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</si>
  <si>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</si>
  <si>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</si>
  <si>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</si>
  <si>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</si>
  <si>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</si>
  <si>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</si>
  <si>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</si>
  <si>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</si>
  <si>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</si>
  <si>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</si>
  <si>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</si>
  <si>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</si>
  <si>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</si>
  <si>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</si>
  <si>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</si>
  <si>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</si>
  <si>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</si>
  <si>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</si>
  <si>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</si>
  <si>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</si>
  <si>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</si>
  <si>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</si>
  <si>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</si>
  <si>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</si>
  <si>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</si>
  <si>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</si>
  <si>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</si>
  <si>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</si>
  <si>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</si>
  <si>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</si>
  <si>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</si>
  <si>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</si>
  <si>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</si>
  <si>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</si>
  <si>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</si>
  <si>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</si>
  <si>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</si>
  <si>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</si>
  <si>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</si>
  <si>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</si>
  <si>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</si>
  <si>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</si>
  <si>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</si>
  <si>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</si>
  <si>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</si>
  <si>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</si>
  <si>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</si>
  <si>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</si>
  <si>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</si>
  <si>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</si>
  <si>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</si>
  <si>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</si>
  <si>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</si>
  <si>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</si>
  <si>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</si>
  <si>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</si>
  <si>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</si>
  <si>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</si>
  <si>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</si>
  <si>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</si>
  <si>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</si>
  <si>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</si>
  <si>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</si>
  <si>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</si>
  <si>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</si>
  <si>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</si>
  <si>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</si>
  <si>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</si>
  <si>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</si>
  <si>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</si>
  <si>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</si>
  <si>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</si>
  <si>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</si>
  <si>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</si>
  <si>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</si>
  <si>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</si>
  <si>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</si>
  <si>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</si>
  <si>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</si>
  <si>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</si>
  <si>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</si>
  <si>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</si>
  <si>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</si>
  <si>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</si>
  <si>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</si>
  <si>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</si>
  <si>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</si>
  <si>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</si>
  <si>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</si>
  <si>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</si>
  <si>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</si>
  <si>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</si>
  <si>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</si>
  <si>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</si>
  <si>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</si>
  <si>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</si>
  <si>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</si>
  <si>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</si>
  <si>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</si>
  <si>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</si>
  <si>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</si>
  <si>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</si>
  <si>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</si>
  <si>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</si>
  <si>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</si>
  <si>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</si>
  <si>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</si>
  <si>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</si>
  <si>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</si>
  <si>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</si>
  <si>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</si>
  <si>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</si>
  <si>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</si>
  <si>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</si>
  <si>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</si>
  <si>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</si>
  <si>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</si>
  <si>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</si>
  <si>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</si>
  <si>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</si>
  <si>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</si>
  <si>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</si>
  <si>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</si>
  <si>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</si>
  <si>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</si>
  <si>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</si>
  <si>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</si>
  <si>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</si>
  <si>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</si>
  <si>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</si>
  <si>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</si>
  <si>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</si>
  <si>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</si>
  <si>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</si>
  <si>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</si>
  <si>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</si>
  <si>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</si>
  <si>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</si>
  <si>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</si>
  <si>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</si>
  <si>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</si>
  <si>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</si>
  <si>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</si>
  <si>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</si>
  <si>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</si>
  <si>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</si>
  <si>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</si>
  <si>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</si>
  <si>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</si>
  <si>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</si>
  <si>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</si>
  <si>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</si>
  <si>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</si>
  <si>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</si>
  <si>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</si>
  <si>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</si>
  <si>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</si>
  <si>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</si>
  <si>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</si>
  <si>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</si>
  <si>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</si>
  <si>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</si>
  <si>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</si>
  <si>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</si>
  <si>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</si>
  <si>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</si>
  <si>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</si>
  <si>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</si>
  <si>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</si>
  <si>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</si>
  <si>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</si>
  <si>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</si>
  <si>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</si>
  <si>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</si>
  <si>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</si>
  <si>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</si>
  <si>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</si>
  <si>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</si>
  <si>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</si>
  <si>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</si>
  <si>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</si>
  <si>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</si>
  <si>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</si>
  <si>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</si>
  <si>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</si>
  <si>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</si>
  <si>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</si>
  <si>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</si>
  <si>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</si>
  <si>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</si>
  <si>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</si>
  <si>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</si>
  <si>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</si>
  <si>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</si>
  <si>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</si>
  <si>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</si>
  <si>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</si>
  <si>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</si>
  <si>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</si>
  <si>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</si>
  <si>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</si>
  <si>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</si>
  <si>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</si>
  <si>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</si>
  <si>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</si>
  <si>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</si>
  <si>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</si>
  <si>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</si>
  <si>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</si>
  <si>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</si>
  <si>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</si>
  <si>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</si>
  <si>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</si>
  <si>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</si>
  <si>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</si>
  <si>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</si>
  <si>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</si>
  <si>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</si>
  <si>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</si>
  <si>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</si>
  <si>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</si>
  <si>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</si>
  <si>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</si>
  <si>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</si>
  <si>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</si>
  <si>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</si>
  <si>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</si>
  <si>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</si>
  <si>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</si>
  <si>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</si>
  <si>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</si>
  <si>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</si>
  <si>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</si>
  <si>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</si>
  <si>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</si>
  <si>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</si>
  <si>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</si>
  <si>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</si>
  <si>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</si>
  <si>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</si>
  <si>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</si>
  <si>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</si>
  <si>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</si>
  <si>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</si>
  <si>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</si>
  <si>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</si>
  <si>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</si>
  <si>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</si>
  <si>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</si>
  <si>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</si>
  <si>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</si>
  <si>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</si>
  <si>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</si>
  <si>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</si>
  <si>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</si>
  <si>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</si>
  <si>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</si>
  <si>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</si>
  <si>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</si>
  <si>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</si>
  <si>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</si>
  <si>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</si>
  <si>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</si>
  <si>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</si>
  <si>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</si>
  <si>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</si>
  <si>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</si>
  <si>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</si>
  <si>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</si>
  <si>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</si>
  <si>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</si>
  <si>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</si>
  <si>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</si>
  <si>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</si>
  <si>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</si>
  <si>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</si>
  <si>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</si>
  <si>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</si>
  <si>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</si>
  <si>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</si>
  <si>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</si>
  <si>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</si>
  <si>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</si>
  <si>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</si>
  <si>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</si>
  <si>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</si>
  <si>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</si>
  <si>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</si>
  <si>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</si>
  <si>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</si>
  <si>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</si>
  <si>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</si>
  <si>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</si>
  <si>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</si>
  <si>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</si>
  <si>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</si>
  <si>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</si>
  <si>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</si>
  <si>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</si>
  <si>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</si>
  <si>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</si>
  <si>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</si>
  <si>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</si>
  <si>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</si>
  <si>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</si>
  <si>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</si>
  <si>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</si>
  <si>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</si>
  <si>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</si>
  <si>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</si>
  <si>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</si>
  <si>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</si>
  <si>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</si>
  <si>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</si>
  <si>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</si>
  <si>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</si>
  <si>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</si>
  <si>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</si>
  <si>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</si>
  <si>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</si>
  <si>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</si>
  <si>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</si>
  <si>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</si>
  <si>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</si>
  <si>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</si>
  <si>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</si>
  <si>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</si>
  <si>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</si>
  <si>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</si>
  <si>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</si>
  <si>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</si>
  <si>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</si>
  <si>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</si>
  <si>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</si>
  <si>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</si>
  <si>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</si>
  <si>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</si>
  <si>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</si>
  <si>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</si>
  <si>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</si>
  <si>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</si>
  <si>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</si>
  <si>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</si>
  <si>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</si>
  <si>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</si>
  <si>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</si>
  <si>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</si>
  <si>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</si>
  <si>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</si>
  <si>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</si>
  <si>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</si>
  <si>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</si>
  <si>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</si>
  <si>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</si>
  <si>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</si>
  <si>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</si>
  <si>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</si>
  <si>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</si>
  <si>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</si>
  <si>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</si>
  <si>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</si>
  <si>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</si>
  <si>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</si>
  <si>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</si>
  <si>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</si>
  <si>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</si>
  <si>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</si>
  <si>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</si>
  <si>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</si>
  <si>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</si>
  <si>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</si>
  <si>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</si>
  <si>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</si>
  <si>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</si>
  <si>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</si>
  <si>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</si>
  <si>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</si>
  <si>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</si>
  <si>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</si>
  <si>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</si>
  <si>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</si>
  <si>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</si>
  <si>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</si>
  <si>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</si>
  <si>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</si>
  <si>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</si>
  <si>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</si>
  <si>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</si>
  <si>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</si>
  <si>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</si>
  <si>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</si>
  <si>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</si>
  <si>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</si>
  <si>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</si>
  <si>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</si>
  <si>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</si>
  <si>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</si>
  <si>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</si>
  <si>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</si>
  <si>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</si>
  <si>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</si>
  <si>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</si>
  <si>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</si>
  <si>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</si>
  <si>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</si>
  <si>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</si>
  <si>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</si>
  <si>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</si>
  <si>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</si>
  <si>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</si>
  <si>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</si>
  <si>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</si>
  <si>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</si>
  <si>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</si>
  <si>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</si>
  <si>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</si>
  <si>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</si>
  <si>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</si>
  <si>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</si>
  <si>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</si>
  <si>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</si>
  <si>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</si>
  <si>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</si>
  <si>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</si>
  <si>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</si>
  <si>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</si>
  <si>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</si>
  <si>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</si>
  <si>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</si>
  <si>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</si>
  <si>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</si>
  <si>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</si>
  <si>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</si>
  <si>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</si>
  <si>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</si>
  <si>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</si>
  <si>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</si>
  <si>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</si>
  <si>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</si>
  <si>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</si>
  <si>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</si>
  <si>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</si>
  <si>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</si>
  <si>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</si>
  <si>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</si>
  <si>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</si>
  <si>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</si>
  <si>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</si>
  <si>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</si>
  <si>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</si>
  <si>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</si>
  <si>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</si>
  <si>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</si>
  <si>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</si>
  <si>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</si>
  <si>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</si>
  <si>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</si>
  <si>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</si>
  <si>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</si>
  <si>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</si>
  <si>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</si>
  <si>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</si>
  <si>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</si>
  <si>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</si>
  <si>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</si>
  <si>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</si>
  <si>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</si>
  <si>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</si>
  <si>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</si>
  <si>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</si>
  <si>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</si>
  <si>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</si>
  <si>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</si>
  <si>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</si>
  <si>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</si>
  <si>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</si>
  <si>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</si>
  <si>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</si>
  <si>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</si>
  <si>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</si>
  <si>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</si>
  <si>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</si>
  <si>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</si>
  <si>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</si>
  <si>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</si>
  <si>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</si>
  <si>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</si>
  <si>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</si>
  <si>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</si>
  <si>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</si>
  <si>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</si>
  <si>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</si>
  <si>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</si>
  <si>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</si>
  <si>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</si>
  <si>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</si>
  <si>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</si>
  <si>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</si>
  <si>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</si>
  <si>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</si>
  <si>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</si>
  <si>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</si>
  <si>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</si>
  <si>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</si>
  <si>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</si>
  <si>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</si>
  <si>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</si>
  <si>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</si>
  <si>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</si>
  <si>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</si>
  <si>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</si>
  <si>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</si>
  <si>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</si>
  <si>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</si>
  <si>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</si>
  <si>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</si>
  <si>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</si>
  <si>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</si>
  <si>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</si>
  <si>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</si>
  <si>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</si>
  <si>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</si>
  <si>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</si>
  <si>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</si>
  <si>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</si>
  <si>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</si>
  <si>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</si>
  <si>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</si>
  <si>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</si>
  <si>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</si>
  <si>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</si>
  <si>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</si>
  <si>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</si>
  <si>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</si>
  <si>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</si>
  <si>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</si>
  <si>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</si>
  <si>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</si>
  <si>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</si>
  <si>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</si>
  <si>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</si>
  <si>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</si>
  <si>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</si>
  <si>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</si>
  <si>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</si>
  <si>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</si>
  <si>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</si>
  <si>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</si>
  <si>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</si>
  <si>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</si>
  <si>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</si>
  <si>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</si>
  <si>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</si>
  <si>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</si>
  <si>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</si>
  <si>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</si>
  <si>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</si>
  <si>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</si>
  <si>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</si>
  <si>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</si>
  <si>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</si>
  <si>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</si>
  <si>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</si>
  <si>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</si>
  <si>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</si>
  <si>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</si>
  <si>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</si>
  <si>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</si>
  <si>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</si>
  <si>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</si>
  <si>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</si>
  <si>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</si>
  <si>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</si>
  <si>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</si>
  <si>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</si>
  <si>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</si>
  <si>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</si>
  <si>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</si>
  <si>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</si>
  <si>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</si>
  <si>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</si>
  <si>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</si>
  <si>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</si>
  <si>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</si>
  <si>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</si>
  <si>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</si>
  <si>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</si>
  <si>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</si>
  <si>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</si>
  <si>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</si>
  <si>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</si>
  <si>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</si>
  <si>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</si>
  <si>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</si>
  <si>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</si>
  <si>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</si>
  <si>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</si>
  <si>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</si>
  <si>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</si>
  <si>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</si>
  <si>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</si>
  <si>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</si>
  <si>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</si>
  <si>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</si>
  <si>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</si>
  <si>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</si>
  <si>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</si>
  <si>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</si>
  <si>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</si>
  <si>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</si>
  <si>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</si>
  <si>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</si>
  <si>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</si>
  <si>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</si>
  <si>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</si>
  <si>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</si>
  <si>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</si>
  <si>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</si>
  <si>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</si>
  <si>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</si>
  <si>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</si>
  <si>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</si>
  <si>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</si>
  <si>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</si>
  <si>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</si>
  <si>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</si>
  <si>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</si>
  <si>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</si>
  <si>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</si>
  <si>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</si>
  <si>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</si>
  <si>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</si>
  <si>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</si>
  <si>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</si>
  <si>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</si>
  <si>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</si>
  <si>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</si>
  <si>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</si>
  <si>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</si>
  <si>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</si>
  <si>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</si>
  <si>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</si>
  <si>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</si>
  <si>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</si>
  <si>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</si>
  <si>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</si>
  <si>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</si>
  <si>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</si>
  <si>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</si>
  <si>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</si>
  <si>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</si>
  <si>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</si>
  <si>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</si>
  <si>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</si>
  <si>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</si>
  <si>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</si>
  <si>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</si>
  <si>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</si>
  <si>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</si>
  <si>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</si>
  <si>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</si>
  <si>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</si>
  <si>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</si>
  <si>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</si>
  <si>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</si>
  <si>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</si>
  <si>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</si>
  <si>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</si>
  <si>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</si>
  <si>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</si>
  <si>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</si>
  <si>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</si>
  <si>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</si>
  <si>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</si>
  <si>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</si>
  <si>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</si>
  <si>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</si>
  <si>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</si>
  <si>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</si>
  <si>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</si>
  <si>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</si>
  <si>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</si>
  <si>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</si>
  <si>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</si>
  <si>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</si>
  <si>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</si>
  <si>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</si>
  <si>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</si>
  <si>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</si>
  <si>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</si>
  <si>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</si>
  <si>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</si>
  <si>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</si>
  <si>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</si>
  <si>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</si>
  <si>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</si>
  <si>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</si>
  <si>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</si>
  <si>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</si>
  <si>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</si>
  <si>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</si>
  <si>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</si>
  <si>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</si>
  <si>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</si>
  <si>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</si>
  <si>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</si>
  <si>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</si>
  <si>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</si>
  <si>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</si>
  <si>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</si>
  <si>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</si>
  <si>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</si>
  <si>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</si>
  <si>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</si>
  <si>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</si>
  <si>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</si>
  <si>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</si>
  <si>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</si>
  <si>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</si>
  <si>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</si>
  <si>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</si>
  <si>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</si>
  <si>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</si>
  <si>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</si>
  <si>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</si>
  <si>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</si>
  <si>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</si>
  <si>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</si>
  <si>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</si>
  <si>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</si>
  <si>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</si>
  <si>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</si>
  <si>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</si>
  <si>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</si>
  <si>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</si>
  <si>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</si>
  <si>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</si>
  <si>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</si>
  <si>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</si>
  <si>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</si>
  <si>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</si>
  <si>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</si>
  <si>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</si>
  <si>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</si>
  <si>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</si>
  <si>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</si>
  <si>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</si>
  <si>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</si>
  <si>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</si>
  <si>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</si>
  <si>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</si>
  <si>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</si>
  <si>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</si>
  <si>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</si>
  <si>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</si>
  <si>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</si>
  <si>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</si>
  <si>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</si>
  <si>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</si>
  <si>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</si>
  <si>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</si>
  <si>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</si>
  <si>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</si>
  <si>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</si>
  <si>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</si>
  <si>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</si>
  <si>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</si>
  <si>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</si>
  <si>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</si>
  <si>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</si>
  <si>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</si>
  <si>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</si>
  <si>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</si>
  <si>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</si>
  <si>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</si>
  <si>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</si>
  <si>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</si>
  <si>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</si>
  <si>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</si>
  <si>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</si>
  <si>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</si>
  <si>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</si>
  <si>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</si>
  <si>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</si>
  <si>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</si>
  <si>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</si>
  <si>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</si>
  <si>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</si>
  <si>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</si>
  <si>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</si>
  <si>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</si>
  <si>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</si>
  <si>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1905833 ELLEN</t>
  </si>
  <si>
    <t xml:space="preserve">CONVENIO MO2 DROGARIA 07/26 - KEILA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</si>
  <si>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</si>
  <si>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</si>
  <si>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</si>
  <si>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</si>
  <si>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PREVIA MENSALIDADE INSTAGRAM PARTE MO2 - KEILA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</si>
  <si>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</si>
  <si>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</si>
  <si>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</si>
  <si>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</si>
  <si>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</si>
  <si>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</si>
  <si>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</si>
  <si>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</si>
  <si>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</si>
  <si>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</si>
  <si>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</si>
  <si>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</si>
  <si>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</si>
  <si>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</si>
  <si>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</si>
  <si>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</si>
  <si>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</si>
  <si>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</si>
  <si>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</si>
  <si>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</si>
  <si>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</si>
  <si>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</si>
  <si>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</si>
  <si>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</si>
  <si>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PL NEILA PG OUTROD SEGURO CARRO 05/06</t>
  </si>
  <si>
    <t xml:space="preserve">P NEILA PAG OUTROS COMPRAS CARTAO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</si>
  <si>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</si>
  <si>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</si>
  <si>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</si>
  <si>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</si>
  <si>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</si>
  <si>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</si>
  <si>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</si>
  <si>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</si>
  <si>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</si>
  <si>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</si>
  <si>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NF 1246872 ELLEN</t>
  </si>
  <si>
    <t xml:space="preserve">NF 1246873 ELLEN</t>
  </si>
  <si>
    <t xml:space="preserve">NF 1986776 ELLEN</t>
  </si>
  <si>
    <t xml:space="preserve">NF 689222 ELLEN</t>
  </si>
  <si>
    <t xml:space="preserve">NF 689224 ELLEN</t>
  </si>
  <si>
    <t xml:space="preserve">NF 1915875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</si>
  <si>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</si>
  <si>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</si>
  <si>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</si>
  <si>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</si>
  <si>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</si>
  <si>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</si>
  <si>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</si>
  <si>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</si>
  <si>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</si>
  <si>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</si>
  <si>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</si>
  <si>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</si>
  <si>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</si>
  <si>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</si>
  <si>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</si>
  <si>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</si>
  <si>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</si>
  <si>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</si>
  <si>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</si>
  <si>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</si>
  <si>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</si>
  <si>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</si>
  <si>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</si>
  <si>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</si>
  <si>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</si>
  <si>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</si>
  <si>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PARC 07/10 MATR 101674 IPTU MO2 - KEILA</t>
  </si>
  <si>
    <t xml:space="preserve">NF 35161 ELLEN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</si>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</sst>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6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1110203</v>
      </c>
      <c r="I777" s="1" t="s">
        <v>108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1110203</v>
      </c>
      <c r="I787" s="1" t="s">
        <v>108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0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0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0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0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0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0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0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0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0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0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46248</v>
      </c>
      <c r="C1158" s="15" t="n">
        <v>46248</v>
      </c>
      <c r="D1158" s="1" t="n">
        <v>1936</v>
      </c>
      <c r="E1158" s="1" t="s">
        <v>1091</v>
      </c>
      <c r="F1158" s="1" t="n">
        <v>24</v>
      </c>
      <c r="G1158" s="1" t="s">
        <v>77</v>
      </c>
      <c r="H1158" s="1" t="n">
        <v>2110405</v>
      </c>
      <c r="I1158" s="1" t="s">
        <v>41</v>
      </c>
      <c r="J1158" s="1" t="n">
        <v>1545262</v>
      </c>
      <c r="L1158" s="1" t="n">
        <v>210891</v>
      </c>
      <c r="M1158" s="1" t="s">
        <v>83</v>
      </c>
      <c r="N1158" s="1" t="s">
        <v>35</v>
      </c>
      <c r="P1158" s="1" t="n">
        <v>101</v>
      </c>
      <c r="Q1158" s="1" t="s">
        <v>42</v>
      </c>
      <c r="R1158" s="1" t="s">
        <v>48</v>
      </c>
      <c r="S1158" s="1" t="n">
        <v>1130101</v>
      </c>
      <c r="T1158" s="1" t="s">
        <v>49</v>
      </c>
      <c r="U1158" s="17" t="n">
        <v>585</v>
      </c>
      <c r="W1158" s="1" t="n">
        <v>585</v>
      </c>
      <c r="X1158" s="1" t="s">
        <v>1117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46221</v>
      </c>
      <c r="C1159" s="15" t="n">
        <v>46248</v>
      </c>
      <c r="D1159" s="1" t="n">
        <v>1830</v>
      </c>
      <c r="E1159" s="1" t="s">
        <v>449</v>
      </c>
      <c r="F1159" s="1" t="n">
        <v>24</v>
      </c>
      <c r="G1159" s="1" t="s">
        <v>77</v>
      </c>
      <c r="H1159" s="1" t="n">
        <v>2110405</v>
      </c>
      <c r="I1159" s="1" t="s">
        <v>41</v>
      </c>
      <c r="J1159" s="1" t="n">
        <v>1415299</v>
      </c>
      <c r="L1159" s="1" t="n">
        <v>1124</v>
      </c>
      <c r="M1159" s="1" t="s">
        <v>83</v>
      </c>
      <c r="N1159" s="1" t="s">
        <v>35</v>
      </c>
      <c r="P1159" s="1" t="n">
        <v>101</v>
      </c>
      <c r="Q1159" s="1" t="s">
        <v>42</v>
      </c>
      <c r="R1159" s="1" t="s">
        <v>100</v>
      </c>
      <c r="S1159" s="1" t="n">
        <v>4210319</v>
      </c>
      <c r="T1159" s="1" t="s">
        <v>450</v>
      </c>
      <c r="U1159" s="17" t="n">
        <v>55</v>
      </c>
      <c r="W1159" s="1" t="n">
        <v>55</v>
      </c>
      <c r="X1159" s="1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46223</v>
      </c>
      <c r="C1160" s="15" t="n">
        <v>46248</v>
      </c>
      <c r="D1160" s="1" t="n">
        <v>10012</v>
      </c>
      <c r="E1160" s="1" t="s">
        <v>160</v>
      </c>
      <c r="F1160" s="1" t="n">
        <v>24</v>
      </c>
      <c r="G1160" s="1" t="s">
        <v>77</v>
      </c>
      <c r="H1160" s="1" t="n">
        <v>2110405</v>
      </c>
      <c r="I1160" s="1" t="s">
        <v>41</v>
      </c>
      <c r="J1160" s="1" t="n">
        <v>1423840</v>
      </c>
      <c r="L1160" s="1" t="n">
        <v>190896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48</v>
      </c>
      <c r="S1160" s="1" t="n">
        <v>1130101</v>
      </c>
      <c r="T1160" s="1" t="s">
        <v>49</v>
      </c>
      <c r="U1160" s="17" t="n">
        <v>945.12</v>
      </c>
      <c r="W1160" s="1" t="n">
        <v>945.12</v>
      </c>
      <c r="X1160" s="1" t="s">
        <v>1119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46227</v>
      </c>
      <c r="C1161" s="15" t="n">
        <v>46248</v>
      </c>
      <c r="D1161" s="1" t="n">
        <v>1921</v>
      </c>
      <c r="E1161" s="1" t="s">
        <v>166</v>
      </c>
      <c r="F1161" s="1" t="n">
        <v>24</v>
      </c>
      <c r="G1161" s="1" t="s">
        <v>77</v>
      </c>
      <c r="H1161" s="1" t="n">
        <v>2110405</v>
      </c>
      <c r="I1161" s="1" t="s">
        <v>41</v>
      </c>
      <c r="J1161" s="1" t="n">
        <v>1443816</v>
      </c>
      <c r="L1161" s="1" t="n">
        <v>195257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48</v>
      </c>
      <c r="S1161" s="1" t="n">
        <v>1130101</v>
      </c>
      <c r="T1161" s="1" t="s">
        <v>49</v>
      </c>
      <c r="U1161" s="17" t="n">
        <v>581.65</v>
      </c>
      <c r="W1161" s="1" t="n">
        <v>581.65</v>
      </c>
      <c r="X1161" s="1" t="s">
        <v>1120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46227</v>
      </c>
      <c r="C1162" s="15" t="n">
        <v>46248</v>
      </c>
      <c r="D1162" s="1" t="n">
        <v>1666</v>
      </c>
      <c r="E1162" s="1" t="s">
        <v>206</v>
      </c>
      <c r="F1162" s="1" t="n">
        <v>24</v>
      </c>
      <c r="G1162" s="1" t="s">
        <v>77</v>
      </c>
      <c r="H1162" s="1" t="n">
        <v>2110405</v>
      </c>
      <c r="I1162" s="1" t="s">
        <v>41</v>
      </c>
      <c r="J1162" s="1" t="n">
        <v>1443874</v>
      </c>
      <c r="L1162" s="1" t="n">
        <v>195268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48</v>
      </c>
      <c r="S1162" s="1" t="n">
        <v>1130101</v>
      </c>
      <c r="T1162" s="1" t="s">
        <v>49</v>
      </c>
      <c r="U1162" s="17" t="n">
        <v>6409.6</v>
      </c>
      <c r="W1162" s="1" t="n">
        <v>6409.6</v>
      </c>
      <c r="X1162" s="1" t="s">
        <v>962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46227</v>
      </c>
      <c r="C1163" s="15" t="n">
        <v>46248</v>
      </c>
      <c r="D1163" s="1" t="n">
        <v>1608</v>
      </c>
      <c r="E1163" s="1" t="s">
        <v>201</v>
      </c>
      <c r="F1163" s="1" t="n">
        <v>24</v>
      </c>
      <c r="G1163" s="1" t="s">
        <v>77</v>
      </c>
      <c r="H1163" s="1" t="n">
        <v>2110405</v>
      </c>
      <c r="I1163" s="1" t="s">
        <v>41</v>
      </c>
      <c r="J1163" s="1" t="n">
        <v>1444853</v>
      </c>
      <c r="L1163" s="1" t="n">
        <v>195494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48</v>
      </c>
      <c r="S1163" s="1" t="n">
        <v>1130101</v>
      </c>
      <c r="T1163" s="1" t="s">
        <v>49</v>
      </c>
      <c r="U1163" s="17" t="n">
        <v>1111.12</v>
      </c>
      <c r="W1163" s="1" t="n">
        <v>1111.12</v>
      </c>
      <c r="X1163" s="1" t="s">
        <v>1121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46227</v>
      </c>
      <c r="C1164" s="15" t="n">
        <v>46248</v>
      </c>
      <c r="D1164" s="1" t="n">
        <v>1700</v>
      </c>
      <c r="E1164" s="1" t="s">
        <v>1039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1444978</v>
      </c>
      <c r="L1164" s="1" t="n">
        <v>195524</v>
      </c>
      <c r="M1164" s="1" t="s">
        <v>83</v>
      </c>
      <c r="N1164" s="1" t="s">
        <v>35</v>
      </c>
      <c r="P1164" s="1" t="n">
        <v>113</v>
      </c>
      <c r="Q1164" s="1" t="s">
        <v>36</v>
      </c>
      <c r="R1164" s="1" t="s">
        <v>48</v>
      </c>
      <c r="S1164" s="1" t="n">
        <v>1130101</v>
      </c>
      <c r="T1164" s="1" t="s">
        <v>49</v>
      </c>
      <c r="U1164" s="17" t="n">
        <v>690</v>
      </c>
      <c r="W1164" s="1" t="n">
        <v>690</v>
      </c>
      <c r="X1164" s="1" t="s">
        <v>1040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46228</v>
      </c>
      <c r="C1165" s="15" t="n">
        <v>46248</v>
      </c>
      <c r="D1165" s="1" t="n">
        <v>1635</v>
      </c>
      <c r="E1165" s="1" t="s">
        <v>117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1448485</v>
      </c>
      <c r="L1165" s="1" t="n">
        <v>196062</v>
      </c>
      <c r="M1165" s="1" t="s">
        <v>83</v>
      </c>
      <c r="N1165" s="1" t="s">
        <v>35</v>
      </c>
      <c r="P1165" s="1" t="n">
        <v>113</v>
      </c>
      <c r="Q1165" s="1" t="s">
        <v>36</v>
      </c>
      <c r="R1165" s="1" t="s">
        <v>48</v>
      </c>
      <c r="S1165" s="1" t="n">
        <v>1130101</v>
      </c>
      <c r="T1165" s="1" t="s">
        <v>49</v>
      </c>
      <c r="U1165" s="17" t="n">
        <v>740.52</v>
      </c>
      <c r="W1165" s="1" t="n">
        <v>740.52</v>
      </c>
      <c r="X1165" s="1" t="s">
        <v>1042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46235</v>
      </c>
      <c r="C1166" s="15" t="n">
        <v>46248</v>
      </c>
      <c r="D1166" s="1" t="n">
        <v>1749</v>
      </c>
      <c r="E1166" s="1" t="s">
        <v>512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1482084</v>
      </c>
      <c r="L1166" s="1" t="n">
        <v>201176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2975.9</v>
      </c>
      <c r="W1166" s="1" t="n">
        <v>2975.9</v>
      </c>
      <c r="X1166" s="1" t="s">
        <v>1122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46237</v>
      </c>
      <c r="C1167" s="15" t="n">
        <v>46248</v>
      </c>
      <c r="D1167" s="1" t="n">
        <v>1683</v>
      </c>
      <c r="E1167" s="1" t="s">
        <v>369</v>
      </c>
      <c r="F1167" s="1" t="n">
        <v>34</v>
      </c>
      <c r="G1167" s="1" t="s">
        <v>97</v>
      </c>
      <c r="H1167" s="1" t="n">
        <v>2110405</v>
      </c>
      <c r="I1167" s="1" t="s">
        <v>41</v>
      </c>
      <c r="J1167" s="1" t="n">
        <v>1493066</v>
      </c>
      <c r="L1167" s="1" t="n">
        <v>202461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120</v>
      </c>
      <c r="W1167" s="1" t="n">
        <v>120</v>
      </c>
      <c r="X1167" s="1" t="s">
        <v>371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46238</v>
      </c>
      <c r="C1168" s="15" t="n">
        <v>46248</v>
      </c>
      <c r="D1168" s="1" t="n">
        <v>1683</v>
      </c>
      <c r="E1168" s="1" t="s">
        <v>369</v>
      </c>
      <c r="F1168" s="1" t="n">
        <v>34</v>
      </c>
      <c r="G1168" s="1" t="s">
        <v>97</v>
      </c>
      <c r="H1168" s="1" t="n">
        <v>1110203</v>
      </c>
      <c r="I1168" s="1" t="s">
        <v>108</v>
      </c>
      <c r="J1168" s="1" t="n">
        <v>1498983</v>
      </c>
      <c r="L1168" s="1" t="n">
        <v>203336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144.5</v>
      </c>
      <c r="W1168" s="1" t="n">
        <v>144.5</v>
      </c>
      <c r="X1168" s="1" t="s">
        <v>371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46239</v>
      </c>
      <c r="C1169" s="15" t="n">
        <v>46248</v>
      </c>
      <c r="D1169" s="1" t="n">
        <v>1723</v>
      </c>
      <c r="E1169" s="1" t="s">
        <v>332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1503637</v>
      </c>
      <c r="L1169" s="1" t="n">
        <v>204152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2347.2</v>
      </c>
      <c r="W1169" s="1" t="n">
        <v>2347.2</v>
      </c>
      <c r="X1169" s="1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46240</v>
      </c>
      <c r="C1170" s="15" t="n">
        <v>46248</v>
      </c>
      <c r="D1170" s="1" t="n">
        <v>1683</v>
      </c>
      <c r="E1170" s="1" t="s">
        <v>369</v>
      </c>
      <c r="F1170" s="1" t="n">
        <v>34</v>
      </c>
      <c r="G1170" s="1" t="s">
        <v>97</v>
      </c>
      <c r="H1170" s="1" t="n">
        <v>2110405</v>
      </c>
      <c r="I1170" s="1" t="s">
        <v>41</v>
      </c>
      <c r="J1170" s="1" t="n">
        <v>1508136</v>
      </c>
      <c r="L1170" s="1" t="n">
        <v>204884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184</v>
      </c>
      <c r="W1170" s="1" t="n">
        <v>184</v>
      </c>
      <c r="X1170" s="1" t="s">
        <v>371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46248</v>
      </c>
      <c r="C1171" s="15" t="n">
        <v>46248</v>
      </c>
      <c r="D1171" s="1" t="n">
        <v>48</v>
      </c>
      <c r="E1171" s="1" t="s">
        <v>132</v>
      </c>
      <c r="F1171" s="1" t="n">
        <v>13</v>
      </c>
      <c r="G1171" s="1" t="s">
        <v>133</v>
      </c>
      <c r="H1171" s="1" t="n">
        <v>2110101</v>
      </c>
      <c r="I1171" s="1" t="s">
        <v>33</v>
      </c>
      <c r="J1171" s="1" t="n">
        <v>1545625</v>
      </c>
      <c r="L1171" s="1" t="n">
        <v>2603</v>
      </c>
      <c r="M1171" s="1" t="s">
        <v>83</v>
      </c>
      <c r="N1171" s="1" t="s">
        <v>54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225</v>
      </c>
      <c r="W1171" s="1" t="n">
        <v>0</v>
      </c>
      <c r="X1171" s="1" t="s">
        <v>1124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46241</v>
      </c>
      <c r="C1172" s="15" t="n">
        <v>46248</v>
      </c>
      <c r="D1172" s="1" t="n">
        <v>1642</v>
      </c>
      <c r="E1172" s="1" t="s">
        <v>210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1513263</v>
      </c>
      <c r="L1172" s="1" t="n">
        <v>205740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497.91</v>
      </c>
      <c r="W1172" s="1" t="n">
        <v>497.91</v>
      </c>
      <c r="X1172" s="1" t="s">
        <v>1125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46241</v>
      </c>
      <c r="C1173" s="15" t="n">
        <v>46248</v>
      </c>
      <c r="D1173" s="1" t="n">
        <v>560</v>
      </c>
      <c r="E1173" s="1" t="s">
        <v>400</v>
      </c>
      <c r="F1173" s="1" t="n">
        <v>24</v>
      </c>
      <c r="G1173" s="1" t="s">
        <v>77</v>
      </c>
      <c r="H1173" s="1" t="n">
        <v>2110405</v>
      </c>
      <c r="I1173" s="1" t="s">
        <v>41</v>
      </c>
      <c r="J1173" s="1" t="n">
        <v>1513967</v>
      </c>
      <c r="L1173" s="1" t="n">
        <v>205910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250</v>
      </c>
      <c r="W1173" s="1" t="n">
        <v>250</v>
      </c>
      <c r="X1173" s="1" t="s">
        <v>1126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46241</v>
      </c>
      <c r="C1174" s="15" t="n">
        <v>46248</v>
      </c>
      <c r="D1174" s="1" t="n">
        <v>10019</v>
      </c>
      <c r="E1174" s="1" t="s">
        <v>250</v>
      </c>
      <c r="F1174" s="1" t="n">
        <v>24</v>
      </c>
      <c r="G1174" s="1" t="s">
        <v>77</v>
      </c>
      <c r="H1174" s="1" t="n">
        <v>2110405</v>
      </c>
      <c r="I1174" s="1" t="s">
        <v>41</v>
      </c>
      <c r="J1174" s="1" t="n">
        <v>1514128</v>
      </c>
      <c r="L1174" s="1" t="n">
        <v>205960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1023.98</v>
      </c>
      <c r="W1174" s="1" t="n">
        <v>1023.98</v>
      </c>
      <c r="X1174" s="1" t="s">
        <v>1127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46244</v>
      </c>
      <c r="C1175" s="15" t="n">
        <v>46248</v>
      </c>
      <c r="D1175" s="1" t="n">
        <v>1666</v>
      </c>
      <c r="E1175" s="1" t="s">
        <v>206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1529108</v>
      </c>
      <c r="L1175" s="1" t="n">
        <v>207934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4470.03</v>
      </c>
      <c r="W1175" s="1" t="n">
        <v>4470.03</v>
      </c>
      <c r="X1175" s="1" t="s">
        <v>1128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46244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1530025</v>
      </c>
      <c r="L1176" s="1" t="n">
        <v>208184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216.5</v>
      </c>
      <c r="W1176" s="1" t="n">
        <v>216.5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46244</v>
      </c>
      <c r="C1177" s="15" t="n">
        <v>46248</v>
      </c>
      <c r="D1177" s="1" t="n">
        <v>1683</v>
      </c>
      <c r="E1177" s="1" t="s">
        <v>369</v>
      </c>
      <c r="F1177" s="1" t="n">
        <v>34</v>
      </c>
      <c r="G1177" s="1" t="s">
        <v>97</v>
      </c>
      <c r="H1177" s="1" t="n">
        <v>2110405</v>
      </c>
      <c r="I1177" s="1" t="s">
        <v>41</v>
      </c>
      <c r="J1177" s="1" t="n">
        <v>1530030</v>
      </c>
      <c r="L1177" s="1" t="n">
        <v>208186</v>
      </c>
      <c r="M1177" s="1" t="s">
        <v>83</v>
      </c>
      <c r="N1177" s="1" t="s">
        <v>35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136</v>
      </c>
      <c r="W1177" s="1" t="n">
        <v>136</v>
      </c>
      <c r="X1177" s="1" t="s">
        <v>371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46246</v>
      </c>
      <c r="C1178" s="15" t="n">
        <v>46248</v>
      </c>
      <c r="D1178" s="1" t="n">
        <v>642</v>
      </c>
      <c r="E1178" s="1" t="s">
        <v>130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1534769</v>
      </c>
      <c r="L1178" s="1" t="n">
        <v>209420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240</v>
      </c>
      <c r="W1178" s="1" t="n">
        <v>240</v>
      </c>
      <c r="X1178" s="1" t="s">
        <v>1129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46248</v>
      </c>
      <c r="C1179" s="15" t="n">
        <v>46248</v>
      </c>
      <c r="D1179" s="1" t="n">
        <v>48</v>
      </c>
      <c r="E1179" s="1" t="s">
        <v>132</v>
      </c>
      <c r="F1179" s="1" t="n">
        <v>34</v>
      </c>
      <c r="G1179" s="1" t="s">
        <v>97</v>
      </c>
      <c r="H1179" s="1" t="n">
        <v>2110101</v>
      </c>
      <c r="I1179" s="1" t="s">
        <v>33</v>
      </c>
      <c r="J1179" s="1" t="n">
        <v>1546719</v>
      </c>
      <c r="L1179" s="1" t="n">
        <v>2604</v>
      </c>
      <c r="M1179" s="1" t="s">
        <v>83</v>
      </c>
      <c r="N1179" s="1" t="s">
        <v>54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115</v>
      </c>
      <c r="W1179" s="1" t="n">
        <v>115</v>
      </c>
      <c r="X1179" s="1" t="s">
        <v>1130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46248</v>
      </c>
      <c r="C1180" s="15" t="n">
        <v>46248</v>
      </c>
      <c r="D1180" s="1" t="n">
        <v>48</v>
      </c>
      <c r="E1180" s="1" t="s">
        <v>132</v>
      </c>
      <c r="F1180" s="1" t="n">
        <v>34</v>
      </c>
      <c r="G1180" s="1" t="s">
        <v>97</v>
      </c>
      <c r="H1180" s="1" t="n">
        <v>2110101</v>
      </c>
      <c r="I1180" s="1" t="s">
        <v>33</v>
      </c>
      <c r="J1180" s="1" t="n">
        <v>1546864</v>
      </c>
      <c r="L1180" s="1" t="n">
        <v>2605</v>
      </c>
      <c r="M1180" s="1" t="s">
        <v>83</v>
      </c>
      <c r="N1180" s="1" t="s">
        <v>54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1899.7</v>
      </c>
      <c r="W1180" s="1" t="n">
        <v>1899.7</v>
      </c>
      <c r="X1180" s="1" t="s">
        <v>1131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46248</v>
      </c>
      <c r="C1181" s="15" t="n">
        <v>46248</v>
      </c>
      <c r="D1181" s="1" t="n">
        <v>1037</v>
      </c>
      <c r="E1181" s="1" t="s">
        <v>139</v>
      </c>
      <c r="F1181" s="1" t="n">
        <v>34</v>
      </c>
      <c r="G1181" s="1" t="s">
        <v>97</v>
      </c>
      <c r="H1181" s="1" t="n">
        <v>2110405</v>
      </c>
      <c r="I1181" s="1" t="s">
        <v>41</v>
      </c>
      <c r="J1181" s="1" t="n">
        <v>1546883</v>
      </c>
      <c r="L1181" s="1" t="n">
        <v>211309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399</v>
      </c>
      <c r="W1181" s="1" t="n">
        <v>399</v>
      </c>
      <c r="X1181" s="1" t="s">
        <v>1132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46248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1551207</v>
      </c>
      <c r="L1182" s="1" t="n">
        <v>211669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117</v>
      </c>
      <c r="W1182" s="1" t="n">
        <v>117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46248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1551209</v>
      </c>
      <c r="L1183" s="1" t="n">
        <v>211671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79</v>
      </c>
      <c r="W1183" s="1" t="n">
        <v>79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46097</v>
      </c>
      <c r="C1184" s="15" t="n">
        <v>46249</v>
      </c>
      <c r="D1184" s="1" t="n">
        <v>1867</v>
      </c>
      <c r="E1184" s="1" t="s">
        <v>359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808550</v>
      </c>
      <c r="L1184" s="1" t="n">
        <v>2026</v>
      </c>
      <c r="M1184" s="1" t="s">
        <v>47</v>
      </c>
      <c r="N1184" s="1" t="s">
        <v>35</v>
      </c>
      <c r="P1184" s="1" t="n">
        <v>101</v>
      </c>
      <c r="Q1184" s="1" t="s">
        <v>42</v>
      </c>
      <c r="R1184" s="1" t="s">
        <v>360</v>
      </c>
      <c r="S1184" s="1" t="n">
        <v>4210401</v>
      </c>
      <c r="T1184" s="1" t="s">
        <v>361</v>
      </c>
      <c r="U1184" s="17" t="n">
        <v>228.88</v>
      </c>
      <c r="W1184" s="1" t="n">
        <v>0</v>
      </c>
      <c r="X1184" s="1" t="s">
        <v>1133</v>
      </c>
      <c r="Z1184" s="1" t="str">
        <f aca="false">IF($T1184="","",IFERROR(INDEX('Resumo Grupos'!$AC$3:$AC$200,MATCH($T1184,'Resumo Grupos'!$AB$3:$AB$200,0)),"n/d"))</f>
        <v>Impostos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46127</v>
      </c>
      <c r="C1185" s="15" t="n">
        <v>46249</v>
      </c>
      <c r="D1185" s="1" t="n">
        <v>512</v>
      </c>
      <c r="E1185" s="1" t="s">
        <v>363</v>
      </c>
      <c r="F1185" s="1" t="n">
        <v>34</v>
      </c>
      <c r="G1185" s="1" t="s">
        <v>97</v>
      </c>
      <c r="H1185" s="1" t="n">
        <v>2110405</v>
      </c>
      <c r="I1185" s="1" t="s">
        <v>41</v>
      </c>
      <c r="J1185" s="1" t="n">
        <v>954215</v>
      </c>
      <c r="L1185" s="1" t="n">
        <v>126220</v>
      </c>
      <c r="M1185" s="1" t="s">
        <v>53</v>
      </c>
      <c r="N1185" s="1" t="s">
        <v>35</v>
      </c>
      <c r="P1185" s="1" t="n">
        <v>101</v>
      </c>
      <c r="Q1185" s="1" t="s">
        <v>42</v>
      </c>
      <c r="R1185" s="1" t="s">
        <v>364</v>
      </c>
      <c r="S1185" s="1" t="n">
        <v>4210111</v>
      </c>
      <c r="T1185" s="1" t="s">
        <v>365</v>
      </c>
      <c r="U1185" s="17" t="n">
        <v>5700</v>
      </c>
      <c r="W1185" s="1" t="n">
        <v>0</v>
      </c>
      <c r="X1185" s="1" t="s">
        <v>366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46205</v>
      </c>
      <c r="C1186" s="15" t="n">
        <v>46249</v>
      </c>
      <c r="D1186" s="1" t="n">
        <v>1217</v>
      </c>
      <c r="E1186" s="1" t="s">
        <v>690</v>
      </c>
      <c r="F1186" s="1" t="n">
        <v>24</v>
      </c>
      <c r="G1186" s="1" t="s">
        <v>77</v>
      </c>
      <c r="H1186" s="1" t="n">
        <v>2110101</v>
      </c>
      <c r="I1186" s="1" t="s">
        <v>33</v>
      </c>
      <c r="J1186" s="1" t="n">
        <v>1339965</v>
      </c>
      <c r="L1186" s="1" t="n">
        <v>4467</v>
      </c>
      <c r="M1186" s="1" t="s">
        <v>53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819.53</v>
      </c>
      <c r="W1186" s="1" t="n">
        <v>0</v>
      </c>
      <c r="X1186" s="1" t="s">
        <v>691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46226</v>
      </c>
      <c r="C1187" s="15" t="n">
        <v>46249</v>
      </c>
      <c r="D1187" s="1" t="n">
        <v>1659</v>
      </c>
      <c r="E1187" s="1" t="s">
        <v>197</v>
      </c>
      <c r="F1187" s="1" t="n">
        <v>24</v>
      </c>
      <c r="G1187" s="1" t="s">
        <v>77</v>
      </c>
      <c r="H1187" s="1" t="n">
        <v>1110203</v>
      </c>
      <c r="I1187" s="1" t="s">
        <v>108</v>
      </c>
      <c r="J1187" s="1" t="n">
        <v>1439439</v>
      </c>
      <c r="L1187" s="1" t="n">
        <v>194551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1006.03</v>
      </c>
      <c r="W1187" s="1" t="n">
        <v>0</v>
      </c>
      <c r="X1187" s="1" t="s">
        <v>1050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46234</v>
      </c>
      <c r="C1188" s="15" t="n">
        <v>46249</v>
      </c>
      <c r="D1188" s="1" t="n">
        <v>1705</v>
      </c>
      <c r="E1188" s="1" t="s">
        <v>119</v>
      </c>
      <c r="F1188" s="1" t="n">
        <v>24</v>
      </c>
      <c r="G1188" s="1" t="s">
        <v>77</v>
      </c>
      <c r="H1188" s="1" t="n">
        <v>1110203</v>
      </c>
      <c r="I1188" s="1" t="s">
        <v>108</v>
      </c>
      <c r="J1188" s="1" t="n">
        <v>1477956</v>
      </c>
      <c r="L1188" s="1" t="n">
        <v>200506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2636.73</v>
      </c>
      <c r="W1188" s="1" t="n">
        <v>0</v>
      </c>
      <c r="X1188" s="1" t="s">
        <v>1134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46234</v>
      </c>
      <c r="C1189" s="15" t="n">
        <v>46249</v>
      </c>
      <c r="D1189" s="1" t="n">
        <v>1705</v>
      </c>
      <c r="E1189" s="1" t="s">
        <v>119</v>
      </c>
      <c r="F1189" s="1" t="n">
        <v>24</v>
      </c>
      <c r="G1189" s="1" t="s">
        <v>77</v>
      </c>
      <c r="H1189" s="1" t="n">
        <v>1110203</v>
      </c>
      <c r="I1189" s="1" t="s">
        <v>108</v>
      </c>
      <c r="J1189" s="1" t="n">
        <v>1478071</v>
      </c>
      <c r="L1189" s="1" t="n">
        <v>200520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45.18</v>
      </c>
      <c r="W1189" s="1" t="n">
        <v>0</v>
      </c>
      <c r="X1189" s="1" t="s">
        <v>1135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46234</v>
      </c>
      <c r="C1190" s="15" t="n">
        <v>46249</v>
      </c>
      <c r="D1190" s="1" t="n">
        <v>1705</v>
      </c>
      <c r="E1190" s="1" t="s">
        <v>119</v>
      </c>
      <c r="F1190" s="1" t="n">
        <v>24</v>
      </c>
      <c r="G1190" s="1" t="s">
        <v>77</v>
      </c>
      <c r="H1190" s="1" t="n">
        <v>1110203</v>
      </c>
      <c r="I1190" s="1" t="s">
        <v>108</v>
      </c>
      <c r="J1190" s="1" t="n">
        <v>1478135</v>
      </c>
      <c r="L1190" s="1" t="n">
        <v>200534</v>
      </c>
      <c r="M1190" s="1" t="s">
        <v>83</v>
      </c>
      <c r="N1190" s="1" t="s">
        <v>35</v>
      </c>
      <c r="P1190" s="1" t="n">
        <v>113</v>
      </c>
      <c r="Q1190" s="1" t="s">
        <v>36</v>
      </c>
      <c r="R1190" s="1" t="s">
        <v>48</v>
      </c>
      <c r="S1190" s="1" t="n">
        <v>1130101</v>
      </c>
      <c r="T1190" s="1" t="s">
        <v>49</v>
      </c>
      <c r="U1190" s="17" t="n">
        <v>327.46</v>
      </c>
      <c r="W1190" s="1" t="n">
        <v>0</v>
      </c>
      <c r="X1190" s="1" t="s">
        <v>1136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46234</v>
      </c>
      <c r="C1191" s="15" t="n">
        <v>46249</v>
      </c>
      <c r="D1191" s="1" t="n">
        <v>1705</v>
      </c>
      <c r="E1191" s="1" t="s">
        <v>119</v>
      </c>
      <c r="F1191" s="1" t="n">
        <v>24</v>
      </c>
      <c r="G1191" s="1" t="s">
        <v>77</v>
      </c>
      <c r="H1191" s="1" t="n">
        <v>1110203</v>
      </c>
      <c r="I1191" s="1" t="s">
        <v>108</v>
      </c>
      <c r="J1191" s="1" t="n">
        <v>1478170</v>
      </c>
      <c r="L1191" s="1" t="n">
        <v>200545</v>
      </c>
      <c r="M1191" s="1" t="s">
        <v>83</v>
      </c>
      <c r="N1191" s="1" t="s">
        <v>35</v>
      </c>
      <c r="P1191" s="1" t="n">
        <v>113</v>
      </c>
      <c r="Q1191" s="1" t="s">
        <v>36</v>
      </c>
      <c r="R1191" s="1" t="s">
        <v>48</v>
      </c>
      <c r="S1191" s="1" t="n">
        <v>1130101</v>
      </c>
      <c r="T1191" s="1" t="s">
        <v>49</v>
      </c>
      <c r="U1191" s="17" t="n">
        <v>190.71</v>
      </c>
      <c r="W1191" s="1" t="n">
        <v>0</v>
      </c>
      <c r="X1191" s="1" t="s">
        <v>1137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46234</v>
      </c>
      <c r="C1192" s="15" t="n">
        <v>46249</v>
      </c>
      <c r="D1192" s="1" t="n">
        <v>1705</v>
      </c>
      <c r="E1192" s="1" t="s">
        <v>119</v>
      </c>
      <c r="F1192" s="1" t="n">
        <v>24</v>
      </c>
      <c r="G1192" s="1" t="s">
        <v>77</v>
      </c>
      <c r="H1192" s="1" t="n">
        <v>1110203</v>
      </c>
      <c r="I1192" s="1" t="s">
        <v>108</v>
      </c>
      <c r="J1192" s="1" t="n">
        <v>1478184</v>
      </c>
      <c r="L1192" s="1" t="n">
        <v>200546</v>
      </c>
      <c r="M1192" s="1" t="s">
        <v>83</v>
      </c>
      <c r="N1192" s="1" t="s">
        <v>35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538.46</v>
      </c>
      <c r="W1192" s="1" t="n">
        <v>0</v>
      </c>
      <c r="X1192" s="1" t="s">
        <v>1138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46237</v>
      </c>
      <c r="C1193" s="15" t="n">
        <v>46249</v>
      </c>
      <c r="D1193" s="1" t="n">
        <v>1695</v>
      </c>
      <c r="E1193" s="1" t="s">
        <v>351</v>
      </c>
      <c r="F1193" s="1" t="n">
        <v>24</v>
      </c>
      <c r="G1193" s="1" t="s">
        <v>77</v>
      </c>
      <c r="H1193" s="1" t="n">
        <v>1110203</v>
      </c>
      <c r="I1193" s="1" t="s">
        <v>108</v>
      </c>
      <c r="J1193" s="1" t="n">
        <v>1493384</v>
      </c>
      <c r="L1193" s="1" t="n">
        <v>202558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1563.41</v>
      </c>
      <c r="W1193" s="1" t="n">
        <v>0</v>
      </c>
      <c r="X1193" s="1" t="s">
        <v>1052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46244</v>
      </c>
      <c r="C1194" s="15" t="n">
        <v>46249</v>
      </c>
      <c r="D1194" s="1" t="n">
        <v>754</v>
      </c>
      <c r="E1194" s="1" t="s">
        <v>128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1529239</v>
      </c>
      <c r="L1194" s="1" t="n">
        <v>207984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2918.55</v>
      </c>
      <c r="W1194" s="1" t="n">
        <v>0</v>
      </c>
      <c r="X1194" s="1" t="s">
        <v>1139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46244</v>
      </c>
      <c r="C1195" s="15" t="n">
        <v>46249</v>
      </c>
      <c r="D1195" s="1" t="n">
        <v>1625</v>
      </c>
      <c r="E1195" s="1" t="s">
        <v>248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1529969</v>
      </c>
      <c r="L1195" s="1" t="n">
        <v>208173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4599.9</v>
      </c>
      <c r="W1195" s="1" t="n">
        <v>0</v>
      </c>
      <c r="X1195" s="1" t="s">
        <v>1140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46249</v>
      </c>
      <c r="C1196" s="15" t="n">
        <v>46249</v>
      </c>
      <c r="D1196" s="1" t="n">
        <v>48</v>
      </c>
      <c r="E1196" s="1" t="s">
        <v>132</v>
      </c>
      <c r="F1196" s="1" t="n">
        <v>13</v>
      </c>
      <c r="G1196" s="1" t="s">
        <v>133</v>
      </c>
      <c r="H1196" s="1" t="n">
        <v>2110101</v>
      </c>
      <c r="I1196" s="1" t="s">
        <v>33</v>
      </c>
      <c r="J1196" s="1" t="n">
        <v>1552260</v>
      </c>
      <c r="L1196" s="1" t="n">
        <v>2606</v>
      </c>
      <c r="M1196" s="1" t="s">
        <v>83</v>
      </c>
      <c r="N1196" s="1" t="s">
        <v>54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270</v>
      </c>
      <c r="W1196" s="1" t="n">
        <v>270</v>
      </c>
      <c r="X1196" s="1" t="s">
        <v>1141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46249</v>
      </c>
      <c r="C1197" s="15" t="n">
        <v>46249</v>
      </c>
      <c r="D1197" s="1" t="n">
        <v>10096</v>
      </c>
      <c r="E1197" s="1" t="s">
        <v>552</v>
      </c>
      <c r="F1197" s="1" t="n">
        <v>13</v>
      </c>
      <c r="G1197" s="1" t="s">
        <v>133</v>
      </c>
      <c r="H1197" s="1" t="n">
        <v>2110405</v>
      </c>
      <c r="I1197" s="1" t="s">
        <v>41</v>
      </c>
      <c r="J1197" s="1" t="n">
        <v>1560878</v>
      </c>
      <c r="L1197" s="1" t="n">
        <v>212909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200</v>
      </c>
      <c r="W1197" s="1" t="n">
        <v>200</v>
      </c>
      <c r="X1197" s="1" t="s">
        <v>1142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46221</v>
      </c>
      <c r="C1198" s="15" t="n">
        <v>46251</v>
      </c>
      <c r="D1198" s="1" t="n">
        <v>1671</v>
      </c>
      <c r="E1198" s="1" t="s">
        <v>88</v>
      </c>
      <c r="F1198" s="1" t="n">
        <v>24</v>
      </c>
      <c r="G1198" s="1" t="s">
        <v>77</v>
      </c>
      <c r="H1198" s="1" t="n">
        <v>1110203</v>
      </c>
      <c r="I1198" s="1" t="s">
        <v>108</v>
      </c>
      <c r="J1198" s="1" t="n">
        <v>1415259</v>
      </c>
      <c r="L1198" s="1" t="n">
        <v>190807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1413.72</v>
      </c>
      <c r="W1198" s="1" t="n">
        <v>0</v>
      </c>
      <c r="X1198" s="1" t="s">
        <v>1063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46221</v>
      </c>
      <c r="C1199" s="15" t="n">
        <v>46251</v>
      </c>
      <c r="D1199" s="1" t="n">
        <v>1671</v>
      </c>
      <c r="E1199" s="1" t="s">
        <v>88</v>
      </c>
      <c r="F1199" s="1" t="n">
        <v>24</v>
      </c>
      <c r="G1199" s="1" t="s">
        <v>77</v>
      </c>
      <c r="H1199" s="1" t="n">
        <v>1110203</v>
      </c>
      <c r="I1199" s="1" t="s">
        <v>108</v>
      </c>
      <c r="J1199" s="1" t="n">
        <v>1415308</v>
      </c>
      <c r="L1199" s="1" t="n">
        <v>190812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1142.36</v>
      </c>
      <c r="W1199" s="1" t="n">
        <v>0</v>
      </c>
      <c r="X1199" s="1" t="s">
        <v>1064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46223</v>
      </c>
      <c r="C1200" s="15" t="n">
        <v>46251</v>
      </c>
      <c r="D1200" s="1" t="n">
        <v>1601</v>
      </c>
      <c r="E1200" s="1" t="s">
        <v>175</v>
      </c>
      <c r="F1200" s="1" t="n">
        <v>24</v>
      </c>
      <c r="G1200" s="1" t="s">
        <v>77</v>
      </c>
      <c r="H1200" s="1" t="n">
        <v>1110203</v>
      </c>
      <c r="I1200" s="1" t="s">
        <v>108</v>
      </c>
      <c r="J1200" s="1" t="n">
        <v>1424101</v>
      </c>
      <c r="L1200" s="1" t="n">
        <v>190899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676.98</v>
      </c>
      <c r="W1200" s="1" t="n">
        <v>0</v>
      </c>
      <c r="X1200" s="1" t="s">
        <v>984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46223</v>
      </c>
      <c r="C1201" s="15" t="n">
        <v>46251</v>
      </c>
      <c r="D1201" s="1" t="n">
        <v>1705</v>
      </c>
      <c r="E1201" s="1" t="s">
        <v>119</v>
      </c>
      <c r="F1201" s="1" t="n">
        <v>24</v>
      </c>
      <c r="G1201" s="1" t="s">
        <v>77</v>
      </c>
      <c r="H1201" s="1" t="n">
        <v>1110203</v>
      </c>
      <c r="I1201" s="1" t="s">
        <v>108</v>
      </c>
      <c r="J1201" s="1" t="n">
        <v>1424522</v>
      </c>
      <c r="L1201" s="1" t="n">
        <v>190902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114.61</v>
      </c>
      <c r="W1201" s="1" t="n">
        <v>0</v>
      </c>
      <c r="X1201" s="1" t="s">
        <v>1143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46237</v>
      </c>
      <c r="C1202" s="15" t="n">
        <v>46251</v>
      </c>
      <c r="D1202" s="1" t="n">
        <v>1626</v>
      </c>
      <c r="E1202" s="1" t="s">
        <v>82</v>
      </c>
      <c r="F1202" s="1" t="n">
        <v>24</v>
      </c>
      <c r="G1202" s="1" t="s">
        <v>77</v>
      </c>
      <c r="H1202" s="1" t="n">
        <v>1110203</v>
      </c>
      <c r="I1202" s="1" t="s">
        <v>108</v>
      </c>
      <c r="J1202" s="1" t="n">
        <v>1495128</v>
      </c>
      <c r="L1202" s="1" t="n">
        <v>202739</v>
      </c>
      <c r="M1202" s="1" t="s">
        <v>83</v>
      </c>
      <c r="N1202" s="1" t="s">
        <v>35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416.64</v>
      </c>
      <c r="W1202" s="1" t="n">
        <v>0</v>
      </c>
      <c r="X1202" s="1" t="s">
        <v>1069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46239</v>
      </c>
      <c r="C1203" s="15" t="n">
        <v>46251</v>
      </c>
      <c r="D1203" s="1" t="n">
        <v>1621</v>
      </c>
      <c r="E1203" s="1" t="s">
        <v>212</v>
      </c>
      <c r="F1203" s="1" t="n">
        <v>24</v>
      </c>
      <c r="G1203" s="1" t="s">
        <v>77</v>
      </c>
      <c r="H1203" s="1" t="n">
        <v>1110203</v>
      </c>
      <c r="I1203" s="1" t="s">
        <v>108</v>
      </c>
      <c r="J1203" s="1" t="n">
        <v>1504565</v>
      </c>
      <c r="L1203" s="1" t="n">
        <v>204362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2448.61</v>
      </c>
      <c r="W1203" s="1" t="n">
        <v>0</v>
      </c>
      <c r="X1203" s="1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46244</v>
      </c>
      <c r="C1204" s="15" t="n">
        <v>46251</v>
      </c>
      <c r="D1204" s="1" t="n">
        <v>1740</v>
      </c>
      <c r="E1204" s="1" t="s">
        <v>410</v>
      </c>
      <c r="F1204" s="1" t="n">
        <v>24</v>
      </c>
      <c r="G1204" s="1" t="s">
        <v>77</v>
      </c>
      <c r="H1204" s="1" t="n">
        <v>2110405</v>
      </c>
      <c r="I1204" s="1" t="s">
        <v>41</v>
      </c>
      <c r="J1204" s="1" t="n">
        <v>1529023</v>
      </c>
      <c r="L1204" s="1" t="n">
        <v>207921</v>
      </c>
      <c r="M1204" s="1" t="s">
        <v>83</v>
      </c>
      <c r="N1204" s="1" t="s">
        <v>35</v>
      </c>
      <c r="P1204" s="1" t="n">
        <v>113</v>
      </c>
      <c r="Q1204" s="1" t="s">
        <v>36</v>
      </c>
      <c r="R1204" s="1" t="s">
        <v>48</v>
      </c>
      <c r="S1204" s="1" t="n">
        <v>1130101</v>
      </c>
      <c r="T1204" s="1" t="s">
        <v>49</v>
      </c>
      <c r="U1204" s="17" t="n">
        <v>364.47</v>
      </c>
      <c r="W1204" s="1" t="n">
        <v>0</v>
      </c>
      <c r="X1204" s="1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46244</v>
      </c>
      <c r="C1205" s="15" t="n">
        <v>46251</v>
      </c>
      <c r="D1205" s="1" t="n">
        <v>1631</v>
      </c>
      <c r="E1205" s="1" t="s">
        <v>266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1529983</v>
      </c>
      <c r="L1205" s="1" t="n">
        <v>208174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284.93</v>
      </c>
      <c r="W1205" s="1" t="n">
        <v>0</v>
      </c>
      <c r="X1205" s="1" t="s">
        <v>1146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46244</v>
      </c>
      <c r="C1206" s="15" t="n">
        <v>46251</v>
      </c>
      <c r="D1206" s="1" t="n">
        <v>581</v>
      </c>
      <c r="E1206" s="1" t="s">
        <v>126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1529991</v>
      </c>
      <c r="L1206" s="1" t="n">
        <v>208179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138</v>
      </c>
      <c r="W1206" s="1" t="n">
        <v>0</v>
      </c>
      <c r="X1206" s="1" t="s">
        <v>1147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46244</v>
      </c>
      <c r="C1207" s="15" t="n">
        <v>46251</v>
      </c>
      <c r="D1207" s="1" t="n">
        <v>1621</v>
      </c>
      <c r="E1207" s="1" t="s">
        <v>212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1530003</v>
      </c>
      <c r="L1207" s="1" t="n">
        <v>208181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1125.94</v>
      </c>
      <c r="W1207" s="1" t="n">
        <v>0</v>
      </c>
      <c r="X1207" s="1" t="s">
        <v>1148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46245</v>
      </c>
      <c r="C1208" s="15" t="n">
        <v>46251</v>
      </c>
      <c r="D1208" s="1" t="n">
        <v>911</v>
      </c>
      <c r="E1208" s="1" t="s">
        <v>422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1532636</v>
      </c>
      <c r="L1208" s="1" t="n">
        <v>208920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304.02</v>
      </c>
      <c r="W1208" s="1" t="n">
        <v>0</v>
      </c>
      <c r="X1208" s="1" t="s">
        <v>1149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46245</v>
      </c>
      <c r="C1209" s="15" t="n">
        <v>46251</v>
      </c>
      <c r="D1209" s="1" t="n">
        <v>1328</v>
      </c>
      <c r="E1209" s="1" t="s">
        <v>92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1532692</v>
      </c>
      <c r="L1209" s="1" t="n">
        <v>208928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279.65</v>
      </c>
      <c r="W1209" s="1" t="n">
        <v>0</v>
      </c>
      <c r="X1209" s="1" t="s">
        <v>1150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46247</v>
      </c>
      <c r="C1210" s="15" t="n">
        <v>46251</v>
      </c>
      <c r="D1210" s="1" t="n">
        <v>1899</v>
      </c>
      <c r="E1210" s="1" t="s">
        <v>194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1543532</v>
      </c>
      <c r="L1210" s="1" t="n">
        <v>210484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317.18</v>
      </c>
      <c r="W1210" s="1" t="n">
        <v>0</v>
      </c>
      <c r="X1210" s="1" t="s">
        <v>1151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46248</v>
      </c>
      <c r="C1211" s="15" t="n">
        <v>46251</v>
      </c>
      <c r="D1211" s="1" t="n">
        <v>10035</v>
      </c>
      <c r="E1211" s="1" t="s">
        <v>96</v>
      </c>
      <c r="F1211" s="1" t="n">
        <v>34</v>
      </c>
      <c r="G1211" s="1" t="s">
        <v>97</v>
      </c>
      <c r="H1211" s="1" t="n">
        <v>2110405</v>
      </c>
      <c r="I1211" s="1" t="s">
        <v>41</v>
      </c>
      <c r="J1211" s="1" t="n">
        <v>1547294</v>
      </c>
      <c r="L1211" s="1" t="n">
        <v>211353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183</v>
      </c>
      <c r="W1211" s="1" t="n">
        <v>0</v>
      </c>
      <c r="X1211" s="1" t="s">
        <v>1152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46251</v>
      </c>
      <c r="C1212" s="15" t="n">
        <v>46251</v>
      </c>
      <c r="D1212" s="1" t="n">
        <v>48</v>
      </c>
      <c r="E1212" s="1" t="s">
        <v>132</v>
      </c>
      <c r="F1212" s="1" t="n">
        <v>13</v>
      </c>
      <c r="G1212" s="1" t="s">
        <v>133</v>
      </c>
      <c r="H1212" s="1" t="n">
        <v>2110101</v>
      </c>
      <c r="I1212" s="1" t="s">
        <v>33</v>
      </c>
      <c r="J1212" s="1" t="n">
        <v>1562623</v>
      </c>
      <c r="L1212" s="1" t="n">
        <v>2609</v>
      </c>
      <c r="M1212" s="1" t="s">
        <v>83</v>
      </c>
      <c r="N1212" s="1" t="s">
        <v>54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225</v>
      </c>
      <c r="W1212" s="1" t="n">
        <v>0</v>
      </c>
      <c r="X1212" s="1" t="s">
        <v>1153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46206</v>
      </c>
      <c r="C1213" s="15" t="n">
        <v>46252</v>
      </c>
      <c r="D1213" s="1" t="n">
        <v>33</v>
      </c>
      <c r="E1213" s="1" t="s">
        <v>272</v>
      </c>
      <c r="F1213" s="1" t="n">
        <v>34</v>
      </c>
      <c r="G1213" s="1" t="s">
        <v>97</v>
      </c>
      <c r="H1213" s="1" t="n">
        <v>1110203</v>
      </c>
      <c r="I1213" s="1" t="s">
        <v>108</v>
      </c>
      <c r="J1213" s="1" t="n">
        <v>1345312</v>
      </c>
      <c r="L1213" s="1" t="n">
        <v>180690</v>
      </c>
      <c r="M1213" s="1" t="s">
        <v>74</v>
      </c>
      <c r="N1213" s="1" t="s">
        <v>35</v>
      </c>
      <c r="P1213" s="1" t="n">
        <v>101</v>
      </c>
      <c r="Q1213" s="1" t="s">
        <v>42</v>
      </c>
      <c r="R1213" s="1" t="s">
        <v>56</v>
      </c>
      <c r="S1213" s="1" t="n">
        <v>4210203</v>
      </c>
      <c r="T1213" s="1" t="s">
        <v>664</v>
      </c>
      <c r="U1213" s="17" t="n">
        <v>247.27</v>
      </c>
      <c r="W1213" s="1" t="n">
        <v>0</v>
      </c>
      <c r="X1213" s="1" t="s">
        <v>815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46218</v>
      </c>
      <c r="C1214" s="15" t="n">
        <v>46252</v>
      </c>
      <c r="D1214" s="1" t="n">
        <v>1637</v>
      </c>
      <c r="E1214" s="1" t="s">
        <v>764</v>
      </c>
      <c r="F1214" s="1" t="n">
        <v>24</v>
      </c>
      <c r="G1214" s="1" t="s">
        <v>77</v>
      </c>
      <c r="H1214" s="1" t="n">
        <v>1110203</v>
      </c>
      <c r="I1214" s="1" t="s">
        <v>108</v>
      </c>
      <c r="J1214" s="1" t="n">
        <v>1401284</v>
      </c>
      <c r="L1214" s="1" t="n">
        <v>188463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479.64</v>
      </c>
      <c r="W1214" s="1" t="n">
        <v>0</v>
      </c>
      <c r="X1214" s="1" t="s">
        <v>1154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46247</v>
      </c>
      <c r="C1215" s="15" t="n">
        <v>46252</v>
      </c>
      <c r="D1215" s="1" t="n">
        <v>218</v>
      </c>
      <c r="E1215" s="1" t="s">
        <v>723</v>
      </c>
      <c r="F1215" s="1" t="n">
        <v>34</v>
      </c>
      <c r="G1215" s="1" t="s">
        <v>97</v>
      </c>
      <c r="H1215" s="1" t="n">
        <v>2110405</v>
      </c>
      <c r="I1215" s="1" t="s">
        <v>41</v>
      </c>
      <c r="J1215" s="1" t="n">
        <v>1459578</v>
      </c>
      <c r="L1215" s="1" t="n">
        <v>197545</v>
      </c>
      <c r="M1215" s="1" t="s">
        <v>74</v>
      </c>
      <c r="N1215" s="1" t="s">
        <v>35</v>
      </c>
      <c r="P1215" s="1" t="n">
        <v>101</v>
      </c>
      <c r="Q1215" s="1" t="s">
        <v>42</v>
      </c>
      <c r="R1215" s="1" t="s">
        <v>100</v>
      </c>
      <c r="S1215" s="1" t="n">
        <v>4210301</v>
      </c>
      <c r="T1215" s="1" t="s">
        <v>230</v>
      </c>
      <c r="U1215" s="17" t="n">
        <v>102</v>
      </c>
      <c r="W1215" s="1" t="n">
        <v>0</v>
      </c>
      <c r="X1215" s="1" t="s">
        <v>1155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46216</v>
      </c>
      <c r="C1216" s="15" t="n">
        <v>46253</v>
      </c>
      <c r="D1216" s="1" t="n">
        <v>10012</v>
      </c>
      <c r="E1216" s="1" t="s">
        <v>160</v>
      </c>
      <c r="F1216" s="1" t="n">
        <v>24</v>
      </c>
      <c r="G1216" s="1" t="s">
        <v>77</v>
      </c>
      <c r="H1216" s="1" t="n">
        <v>2110101</v>
      </c>
      <c r="I1216" s="1" t="s">
        <v>33</v>
      </c>
      <c r="J1216" s="1" t="n">
        <v>1393698</v>
      </c>
      <c r="L1216" s="1" t="n">
        <v>1962669</v>
      </c>
      <c r="M1216" s="1" t="s">
        <v>71</v>
      </c>
      <c r="N1216" s="1" t="s">
        <v>54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1504.06</v>
      </c>
      <c r="W1216" s="1" t="n">
        <v>0</v>
      </c>
      <c r="X1216" s="1" t="s">
        <v>928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46225</v>
      </c>
      <c r="C1217" s="15" t="n">
        <v>46253</v>
      </c>
      <c r="D1217" s="1" t="n">
        <v>1635</v>
      </c>
      <c r="E1217" s="1" t="s">
        <v>117</v>
      </c>
      <c r="F1217" s="1" t="n">
        <v>24</v>
      </c>
      <c r="G1217" s="1" t="s">
        <v>77</v>
      </c>
      <c r="H1217" s="1" t="n">
        <v>1110203</v>
      </c>
      <c r="I1217" s="1" t="s">
        <v>108</v>
      </c>
      <c r="J1217" s="1" t="n">
        <v>1436017</v>
      </c>
      <c r="L1217" s="1" t="n">
        <v>194028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109.51</v>
      </c>
      <c r="W1217" s="1" t="n">
        <v>0</v>
      </c>
      <c r="X1217" s="1" t="s">
        <v>1014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46234</v>
      </c>
      <c r="C1218" s="15" t="n">
        <v>46253</v>
      </c>
      <c r="D1218" s="1" t="n">
        <v>1613</v>
      </c>
      <c r="E1218" s="1" t="s">
        <v>94</v>
      </c>
      <c r="F1218" s="1" t="n">
        <v>24</v>
      </c>
      <c r="G1218" s="1" t="s">
        <v>77</v>
      </c>
      <c r="H1218" s="1" t="n">
        <v>1110203</v>
      </c>
      <c r="I1218" s="1" t="s">
        <v>108</v>
      </c>
      <c r="J1218" s="1" t="n">
        <v>1478654</v>
      </c>
      <c r="L1218" s="1" t="n">
        <v>200647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1190.19</v>
      </c>
      <c r="W1218" s="1" t="n">
        <v>0</v>
      </c>
      <c r="X1218" s="1" t="s">
        <v>1102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46240</v>
      </c>
      <c r="C1219" s="15" t="n">
        <v>46253</v>
      </c>
      <c r="D1219" s="1" t="n">
        <v>1635</v>
      </c>
      <c r="E1219" s="1" t="s">
        <v>117</v>
      </c>
      <c r="F1219" s="1" t="n">
        <v>24</v>
      </c>
      <c r="G1219" s="1" t="s">
        <v>77</v>
      </c>
      <c r="H1219" s="1" t="n">
        <v>2110405</v>
      </c>
      <c r="I1219" s="1" t="s">
        <v>41</v>
      </c>
      <c r="J1219" s="1" t="n">
        <v>1508906</v>
      </c>
      <c r="L1219" s="1" t="n">
        <v>205075</v>
      </c>
      <c r="M1219" s="1" t="s">
        <v>83</v>
      </c>
      <c r="N1219" s="1" t="s">
        <v>35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491.46</v>
      </c>
      <c r="W1219" s="1" t="n">
        <v>0</v>
      </c>
      <c r="X1219" s="1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46241</v>
      </c>
      <c r="C1220" s="15" t="n">
        <v>46253</v>
      </c>
      <c r="D1220" s="1" t="n">
        <v>1613</v>
      </c>
      <c r="E1220" s="1" t="s">
        <v>94</v>
      </c>
      <c r="F1220" s="1" t="n">
        <v>24</v>
      </c>
      <c r="G1220" s="1" t="s">
        <v>77</v>
      </c>
      <c r="H1220" s="1" t="n">
        <v>2110405</v>
      </c>
      <c r="I1220" s="1" t="s">
        <v>41</v>
      </c>
      <c r="J1220" s="1" t="n">
        <v>1513489</v>
      </c>
      <c r="L1220" s="1" t="n">
        <v>205788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1275.54</v>
      </c>
      <c r="W1220" s="1" t="n">
        <v>0</v>
      </c>
      <c r="X1220" s="1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46244</v>
      </c>
      <c r="C1221" s="15" t="n">
        <v>46253</v>
      </c>
      <c r="D1221" s="1" t="n">
        <v>1659</v>
      </c>
      <c r="E1221" s="1" t="s">
        <v>197</v>
      </c>
      <c r="F1221" s="1" t="n">
        <v>24</v>
      </c>
      <c r="G1221" s="1" t="s">
        <v>77</v>
      </c>
      <c r="H1221" s="1" t="n">
        <v>2110405</v>
      </c>
      <c r="I1221" s="1" t="s">
        <v>41</v>
      </c>
      <c r="J1221" s="1" t="n">
        <v>1529142</v>
      </c>
      <c r="L1221" s="1" t="n">
        <v>207962</v>
      </c>
      <c r="M1221" s="1" t="s">
        <v>83</v>
      </c>
      <c r="N1221" s="1" t="s">
        <v>35</v>
      </c>
      <c r="P1221" s="1" t="n">
        <v>113</v>
      </c>
      <c r="Q1221" s="1" t="s">
        <v>36</v>
      </c>
      <c r="R1221" s="1" t="s">
        <v>48</v>
      </c>
      <c r="S1221" s="1" t="n">
        <v>1130101</v>
      </c>
      <c r="T1221" s="1" t="s">
        <v>49</v>
      </c>
      <c r="U1221" s="17" t="n">
        <v>349</v>
      </c>
      <c r="W1221" s="1" t="n">
        <v>0</v>
      </c>
      <c r="X1221" s="1" t="s">
        <v>1158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46249</v>
      </c>
      <c r="C1222" s="15" t="n">
        <v>46253</v>
      </c>
      <c r="D1222" s="1" t="n">
        <v>10018</v>
      </c>
      <c r="E1222" s="1" t="s">
        <v>220</v>
      </c>
      <c r="F1222" s="1" t="n">
        <v>34</v>
      </c>
      <c r="G1222" s="1" t="s">
        <v>97</v>
      </c>
      <c r="H1222" s="1" t="n">
        <v>2110405</v>
      </c>
      <c r="I1222" s="1" t="s">
        <v>41</v>
      </c>
      <c r="J1222" s="1" t="n">
        <v>1551748</v>
      </c>
      <c r="L1222" s="1" t="n">
        <v>211764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899.5</v>
      </c>
      <c r="W1222" s="1" t="n">
        <v>0</v>
      </c>
      <c r="X1222" s="1" t="s">
        <v>1159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46223</v>
      </c>
      <c r="C1223" s="15" t="n">
        <v>46254</v>
      </c>
      <c r="D1223" s="1" t="n">
        <v>1624</v>
      </c>
      <c r="E1223" s="1" t="s">
        <v>300</v>
      </c>
      <c r="F1223" s="1" t="n">
        <v>24</v>
      </c>
      <c r="G1223" s="1" t="s">
        <v>77</v>
      </c>
      <c r="H1223" s="1" t="n">
        <v>1110203</v>
      </c>
      <c r="I1223" s="1" t="s">
        <v>108</v>
      </c>
      <c r="J1223" s="1" t="n">
        <v>1423737</v>
      </c>
      <c r="L1223" s="1" t="n">
        <v>190894</v>
      </c>
      <c r="M1223" s="1" t="s">
        <v>83</v>
      </c>
      <c r="N1223" s="1" t="s">
        <v>35</v>
      </c>
      <c r="P1223" s="1" t="n">
        <v>113</v>
      </c>
      <c r="Q1223" s="1" t="s">
        <v>36</v>
      </c>
      <c r="R1223" s="1" t="s">
        <v>48</v>
      </c>
      <c r="S1223" s="1" t="n">
        <v>1130101</v>
      </c>
      <c r="T1223" s="1" t="s">
        <v>49</v>
      </c>
      <c r="U1223" s="17" t="n">
        <v>381</v>
      </c>
      <c r="W1223" s="1" t="n">
        <v>0</v>
      </c>
      <c r="X1223" s="1" t="s">
        <v>1025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46223</v>
      </c>
      <c r="C1224" s="15" t="n">
        <v>46254</v>
      </c>
      <c r="D1224" s="1" t="n">
        <v>33</v>
      </c>
      <c r="E1224" s="1" t="s">
        <v>272</v>
      </c>
      <c r="F1224" s="1" t="n">
        <v>34</v>
      </c>
      <c r="G1224" s="1" t="s">
        <v>97</v>
      </c>
      <c r="H1224" s="1" t="n">
        <v>1110203</v>
      </c>
      <c r="I1224" s="1" t="s">
        <v>108</v>
      </c>
      <c r="J1224" s="1" t="n">
        <v>1424244</v>
      </c>
      <c r="L1224" s="1" t="n">
        <v>190900</v>
      </c>
      <c r="M1224" s="1" t="s">
        <v>74</v>
      </c>
      <c r="N1224" s="1" t="s">
        <v>35</v>
      </c>
      <c r="P1224" s="1" t="n">
        <v>101</v>
      </c>
      <c r="Q1224" s="1" t="s">
        <v>42</v>
      </c>
      <c r="R1224" s="1" t="s">
        <v>364</v>
      </c>
      <c r="S1224" s="1" t="n">
        <v>4210107</v>
      </c>
      <c r="T1224" s="1" t="s">
        <v>441</v>
      </c>
      <c r="U1224" s="17" t="n">
        <v>138.3</v>
      </c>
      <c r="W1224" s="1" t="n">
        <v>0</v>
      </c>
      <c r="X1224" s="1" t="s">
        <v>1160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46223</v>
      </c>
      <c r="C1225" s="15" t="n">
        <v>46254</v>
      </c>
      <c r="D1225" s="1" t="n">
        <v>607</v>
      </c>
      <c r="E1225" s="1" t="s">
        <v>254</v>
      </c>
      <c r="F1225" s="1" t="n">
        <v>24</v>
      </c>
      <c r="G1225" s="1" t="s">
        <v>77</v>
      </c>
      <c r="H1225" s="1" t="n">
        <v>1110203</v>
      </c>
      <c r="I1225" s="1" t="s">
        <v>108</v>
      </c>
      <c r="J1225" s="1" t="n">
        <v>1424640</v>
      </c>
      <c r="L1225" s="1" t="n">
        <v>190910</v>
      </c>
      <c r="M1225" s="1" t="s">
        <v>83</v>
      </c>
      <c r="N1225" s="1" t="s">
        <v>35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446.28</v>
      </c>
      <c r="W1225" s="1" t="n">
        <v>0</v>
      </c>
      <c r="X1225" s="1" t="s">
        <v>1065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46240</v>
      </c>
      <c r="C1226" s="15" t="n">
        <v>46254</v>
      </c>
      <c r="D1226" s="1" t="n">
        <v>1815</v>
      </c>
      <c r="E1226" s="1" t="s">
        <v>164</v>
      </c>
      <c r="F1226" s="1" t="n">
        <v>24</v>
      </c>
      <c r="G1226" s="1" t="s">
        <v>77</v>
      </c>
      <c r="H1226" s="1" t="n">
        <v>2110405</v>
      </c>
      <c r="I1226" s="1" t="s">
        <v>41</v>
      </c>
      <c r="J1226" s="1" t="n">
        <v>1508968</v>
      </c>
      <c r="L1226" s="1" t="n">
        <v>205091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628.2</v>
      </c>
      <c r="W1226" s="1" t="n">
        <v>0</v>
      </c>
      <c r="X1226" s="1" t="s">
        <v>1111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46241</v>
      </c>
      <c r="C1227" s="15" t="n">
        <v>46254</v>
      </c>
      <c r="D1227" s="1" t="n">
        <v>794</v>
      </c>
      <c r="E1227" s="1" t="s">
        <v>305</v>
      </c>
      <c r="F1227" s="1" t="n">
        <v>24</v>
      </c>
      <c r="G1227" s="1" t="s">
        <v>77</v>
      </c>
      <c r="H1227" s="1" t="n">
        <v>2110405</v>
      </c>
      <c r="I1227" s="1" t="s">
        <v>41</v>
      </c>
      <c r="J1227" s="1" t="n">
        <v>1514357</v>
      </c>
      <c r="L1227" s="1" t="n">
        <v>205997</v>
      </c>
      <c r="M1227" s="1" t="s">
        <v>83</v>
      </c>
      <c r="N1227" s="1" t="s">
        <v>35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382.62</v>
      </c>
      <c r="W1227" s="1" t="n">
        <v>0</v>
      </c>
      <c r="X1227" s="1" t="s">
        <v>1161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46241</v>
      </c>
      <c r="C1228" s="15" t="n">
        <v>46254</v>
      </c>
      <c r="D1228" s="1" t="n">
        <v>794</v>
      </c>
      <c r="E1228" s="1" t="s">
        <v>305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1514435</v>
      </c>
      <c r="L1228" s="1" t="n">
        <v>206011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56</v>
      </c>
      <c r="S1228" s="1" t="n">
        <v>4210299</v>
      </c>
      <c r="T1228" s="1" t="s">
        <v>115</v>
      </c>
      <c r="U1228" s="17" t="n">
        <v>520.47</v>
      </c>
      <c r="W1228" s="1" t="n">
        <v>0</v>
      </c>
      <c r="X1228" s="1" t="s">
        <v>1162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46241</v>
      </c>
      <c r="C1229" s="15" t="n">
        <v>46254</v>
      </c>
      <c r="D1229" s="1" t="n">
        <v>10028</v>
      </c>
      <c r="E1229" s="1" t="s">
        <v>439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1370757</v>
      </c>
      <c r="L1229" s="1" t="n">
        <v>184341</v>
      </c>
      <c r="M1229" s="1" t="s">
        <v>74</v>
      </c>
      <c r="N1229" s="1" t="s">
        <v>35</v>
      </c>
      <c r="P1229" s="1" t="n">
        <v>101</v>
      </c>
      <c r="Q1229" s="1" t="s">
        <v>42</v>
      </c>
      <c r="R1229" s="1" t="s">
        <v>100</v>
      </c>
      <c r="S1229" s="1" t="n">
        <v>4210315</v>
      </c>
      <c r="T1229" s="1" t="s">
        <v>257</v>
      </c>
      <c r="U1229" s="17" t="n">
        <v>595.9</v>
      </c>
      <c r="W1229" s="1" t="n">
        <v>0</v>
      </c>
      <c r="X1229" s="1" t="s">
        <v>440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46247</v>
      </c>
      <c r="C1230" s="15" t="n">
        <v>46254</v>
      </c>
      <c r="D1230" s="1" t="n">
        <v>1024</v>
      </c>
      <c r="E1230" s="1" t="s">
        <v>412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1541948</v>
      </c>
      <c r="L1230" s="1" t="n">
        <v>210400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149</v>
      </c>
      <c r="W1230" s="1" t="n">
        <v>0</v>
      </c>
      <c r="X1230" s="1" t="s">
        <v>1163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46248</v>
      </c>
      <c r="C1231" s="15" t="n">
        <v>46254</v>
      </c>
      <c r="D1231" s="1" t="n">
        <v>1609</v>
      </c>
      <c r="E1231" s="1" t="s">
        <v>90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1545670</v>
      </c>
      <c r="L1231" s="1" t="n">
        <v>211059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597.4</v>
      </c>
      <c r="W1231" s="1" t="n">
        <v>0</v>
      </c>
      <c r="X1231" s="1" t="s">
        <v>1164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46251</v>
      </c>
      <c r="C1232" s="15" t="n">
        <v>46254</v>
      </c>
      <c r="D1232" s="1" t="n">
        <v>1947</v>
      </c>
      <c r="E1232" s="1" t="s">
        <v>426</v>
      </c>
      <c r="F1232" s="1" t="n">
        <v>34</v>
      </c>
      <c r="G1232" s="1" t="s">
        <v>97</v>
      </c>
      <c r="H1232" s="1" t="n">
        <v>2110405</v>
      </c>
      <c r="I1232" s="1" t="s">
        <v>41</v>
      </c>
      <c r="J1232" s="1" t="n">
        <v>1561649</v>
      </c>
      <c r="L1232" s="1" t="n">
        <v>7</v>
      </c>
      <c r="M1232" s="1" t="s">
        <v>83</v>
      </c>
      <c r="N1232" s="1" t="s">
        <v>35</v>
      </c>
      <c r="P1232" s="1" t="n">
        <v>101</v>
      </c>
      <c r="Q1232" s="1" t="s">
        <v>42</v>
      </c>
      <c r="R1232" s="1" t="s">
        <v>454</v>
      </c>
      <c r="S1232" s="1" t="n">
        <v>2110707</v>
      </c>
      <c r="T1232" s="1" t="s">
        <v>455</v>
      </c>
      <c r="U1232" s="17" t="n">
        <v>1877.14</v>
      </c>
      <c r="W1232" s="1" t="n">
        <v>0</v>
      </c>
      <c r="X1232" s="1" t="s">
        <v>1165</v>
      </c>
      <c r="Z1232" s="1" t="str">
        <f aca="false">IF($T1232="","",IFERROR(INDEX('Resumo Grupos'!$AC$3:$AC$200,MATCH($T1232,'Resumo Grupos'!$AB$3:$AB$200,0)),"n/d"))</f>
        <v>Impostos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46197</v>
      </c>
      <c r="C1233" s="15" t="n">
        <v>46255</v>
      </c>
      <c r="D1233" s="1" t="n">
        <v>607</v>
      </c>
      <c r="E1233" s="1" t="s">
        <v>254</v>
      </c>
      <c r="F1233" s="1" t="n">
        <v>24</v>
      </c>
      <c r="G1233" s="1" t="s">
        <v>77</v>
      </c>
      <c r="H1233" s="1" t="n">
        <v>2110101</v>
      </c>
      <c r="I1233" s="1" t="s">
        <v>33</v>
      </c>
      <c r="J1233" s="1" t="n">
        <v>1300232</v>
      </c>
      <c r="L1233" s="1" t="n">
        <v>10860</v>
      </c>
      <c r="M1233" s="1" t="s">
        <v>53</v>
      </c>
      <c r="N1233" s="1" t="s">
        <v>54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1361.81</v>
      </c>
      <c r="W1233" s="1" t="n">
        <v>0</v>
      </c>
      <c r="X1233" s="1" t="s">
        <v>763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46227</v>
      </c>
      <c r="C1234" s="15" t="n">
        <v>46255</v>
      </c>
      <c r="D1234" s="1" t="n">
        <v>1700</v>
      </c>
      <c r="E1234" s="1" t="s">
        <v>1039</v>
      </c>
      <c r="F1234" s="1" t="n">
        <v>24</v>
      </c>
      <c r="G1234" s="1" t="s">
        <v>77</v>
      </c>
      <c r="H1234" s="1" t="n">
        <v>1110203</v>
      </c>
      <c r="I1234" s="1" t="s">
        <v>108</v>
      </c>
      <c r="J1234" s="1" t="n">
        <v>1444985</v>
      </c>
      <c r="L1234" s="1" t="n">
        <v>195527</v>
      </c>
      <c r="M1234" s="1" t="s">
        <v>83</v>
      </c>
      <c r="N1234" s="1" t="s">
        <v>35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690</v>
      </c>
      <c r="W1234" s="1" t="n">
        <v>0</v>
      </c>
      <c r="X1234" s="1" t="s">
        <v>1040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46241</v>
      </c>
      <c r="C1235" s="15" t="n">
        <v>46255</v>
      </c>
      <c r="D1235" s="1" t="n">
        <v>1705</v>
      </c>
      <c r="E1235" s="1" t="s">
        <v>119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1514101</v>
      </c>
      <c r="L1235" s="1" t="n">
        <v>205950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540.41</v>
      </c>
      <c r="W1235" s="1" t="n">
        <v>0</v>
      </c>
      <c r="X1235" s="1" t="s">
        <v>1166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46241</v>
      </c>
      <c r="C1236" s="15" t="n">
        <v>46255</v>
      </c>
      <c r="D1236" s="1" t="n">
        <v>1705</v>
      </c>
      <c r="E1236" s="1" t="s">
        <v>119</v>
      </c>
      <c r="F1236" s="1" t="n">
        <v>24</v>
      </c>
      <c r="G1236" s="1" t="s">
        <v>77</v>
      </c>
      <c r="H1236" s="1" t="n">
        <v>2110405</v>
      </c>
      <c r="I1236" s="1" t="s">
        <v>41</v>
      </c>
      <c r="J1236" s="1" t="n">
        <v>1514107</v>
      </c>
      <c r="L1236" s="1" t="n">
        <v>205952</v>
      </c>
      <c r="M1236" s="1" t="s">
        <v>83</v>
      </c>
      <c r="N1236" s="1" t="s">
        <v>35</v>
      </c>
      <c r="P1236" s="1" t="n">
        <v>113</v>
      </c>
      <c r="Q1236" s="1" t="s">
        <v>36</v>
      </c>
      <c r="R1236" s="1" t="s">
        <v>48</v>
      </c>
      <c r="S1236" s="1" t="n">
        <v>1130101</v>
      </c>
      <c r="T1236" s="1" t="s">
        <v>49</v>
      </c>
      <c r="U1236" s="17" t="n">
        <v>3289.2</v>
      </c>
      <c r="W1236" s="1" t="n">
        <v>0</v>
      </c>
      <c r="X1236" s="1" t="s">
        <v>1167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46241</v>
      </c>
      <c r="C1237" s="15" t="n">
        <v>46255</v>
      </c>
      <c r="D1237" s="1" t="n">
        <v>1705</v>
      </c>
      <c r="E1237" s="1" t="s">
        <v>119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1514108</v>
      </c>
      <c r="L1237" s="1" t="n">
        <v>205953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201.65</v>
      </c>
      <c r="W1237" s="1" t="n">
        <v>0</v>
      </c>
      <c r="X1237" s="1" t="s">
        <v>1168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46241</v>
      </c>
      <c r="C1238" s="15" t="n">
        <v>46255</v>
      </c>
      <c r="D1238" s="1" t="n">
        <v>10019</v>
      </c>
      <c r="E1238" s="1" t="s">
        <v>250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1514129</v>
      </c>
      <c r="L1238" s="1" t="n">
        <v>205961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1023.97</v>
      </c>
      <c r="W1238" s="1" t="n">
        <v>0</v>
      </c>
      <c r="X1238" s="1" t="s">
        <v>1127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46244</v>
      </c>
      <c r="C1239" s="15" t="n">
        <v>46255</v>
      </c>
      <c r="D1239" s="1" t="n">
        <v>1666</v>
      </c>
      <c r="E1239" s="1" t="s">
        <v>206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1529112</v>
      </c>
      <c r="L1239" s="1" t="n">
        <v>207948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4470.03</v>
      </c>
      <c r="W1239" s="1" t="n">
        <v>0</v>
      </c>
      <c r="X1239" s="1" t="s">
        <v>1128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46248</v>
      </c>
      <c r="C1240" s="15" t="n">
        <v>46255</v>
      </c>
      <c r="D1240" s="1" t="n">
        <v>581</v>
      </c>
      <c r="E1240" s="1" t="s">
        <v>126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1546120</v>
      </c>
      <c r="L1240" s="1" t="n">
        <v>211242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48</v>
      </c>
      <c r="S1240" s="1" t="n">
        <v>1130101</v>
      </c>
      <c r="T1240" s="1" t="s">
        <v>49</v>
      </c>
      <c r="U1240" s="17" t="n">
        <v>195</v>
      </c>
      <c r="W1240" s="1" t="n">
        <v>0</v>
      </c>
      <c r="X1240" s="1" t="s">
        <v>1169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46248</v>
      </c>
      <c r="C1241" s="15" t="n">
        <v>46255</v>
      </c>
      <c r="D1241" s="1" t="n">
        <v>1152</v>
      </c>
      <c r="E1241" s="1" t="s">
        <v>718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1546133</v>
      </c>
      <c r="L1241" s="1" t="n">
        <v>211246</v>
      </c>
      <c r="M1241" s="1" t="s">
        <v>83</v>
      </c>
      <c r="N1241" s="1" t="s">
        <v>35</v>
      </c>
      <c r="P1241" s="1" t="n">
        <v>113</v>
      </c>
      <c r="Q1241" s="1" t="s">
        <v>36</v>
      </c>
      <c r="R1241" s="1" t="s">
        <v>48</v>
      </c>
      <c r="S1241" s="1" t="n">
        <v>1130101</v>
      </c>
      <c r="T1241" s="1" t="s">
        <v>49</v>
      </c>
      <c r="U1241" s="17" t="n">
        <v>1045</v>
      </c>
      <c r="W1241" s="1" t="n">
        <v>0</v>
      </c>
      <c r="X1241" s="1" t="s">
        <v>1170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46248</v>
      </c>
      <c r="C1242" s="15" t="n">
        <v>46255</v>
      </c>
      <c r="D1242" s="1" t="n">
        <v>1608</v>
      </c>
      <c r="E1242" s="1" t="s">
        <v>201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1547042</v>
      </c>
      <c r="L1242" s="1" t="n">
        <v>211329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877.23</v>
      </c>
      <c r="W1242" s="1" t="n">
        <v>0</v>
      </c>
      <c r="X1242" s="1" t="s">
        <v>1171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46255</v>
      </c>
      <c r="D1243" s="1" t="n">
        <v>1123</v>
      </c>
      <c r="E1243" s="1" t="s">
        <v>388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1547537</v>
      </c>
      <c r="L1243" s="1" t="n">
        <v>211371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460</v>
      </c>
      <c r="W1243" s="1" t="n">
        <v>0</v>
      </c>
      <c r="X1243" s="1" t="s">
        <v>1172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46248</v>
      </c>
      <c r="C1244" s="15" t="n">
        <v>46255</v>
      </c>
      <c r="D1244" s="1" t="n">
        <v>1650</v>
      </c>
      <c r="E1244" s="1" t="s">
        <v>390</v>
      </c>
      <c r="F1244" s="1" t="n">
        <v>24</v>
      </c>
      <c r="G1244" s="1" t="s">
        <v>77</v>
      </c>
      <c r="H1244" s="1" t="n">
        <v>2110405</v>
      </c>
      <c r="I1244" s="1" t="s">
        <v>41</v>
      </c>
      <c r="J1244" s="1" t="n">
        <v>1547627</v>
      </c>
      <c r="L1244" s="1" t="n">
        <v>211383</v>
      </c>
      <c r="M1244" s="1" t="s">
        <v>83</v>
      </c>
      <c r="N1244" s="1" t="s">
        <v>35</v>
      </c>
      <c r="P1244" s="1" t="n">
        <v>113</v>
      </c>
      <c r="Q1244" s="1" t="s">
        <v>36</v>
      </c>
      <c r="R1244" s="1" t="s">
        <v>48</v>
      </c>
      <c r="S1244" s="1" t="n">
        <v>1130101</v>
      </c>
      <c r="T1244" s="1" t="s">
        <v>49</v>
      </c>
      <c r="U1244" s="17" t="n">
        <v>571.73</v>
      </c>
      <c r="W1244" s="1" t="n">
        <v>0</v>
      </c>
      <c r="X1244" s="1" t="s">
        <v>1173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46251</v>
      </c>
      <c r="C1245" s="15" t="n">
        <v>46255</v>
      </c>
      <c r="D1245" s="1" t="n">
        <v>1363</v>
      </c>
      <c r="E1245" s="1" t="s">
        <v>171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1560892</v>
      </c>
      <c r="L1245" s="1" t="n">
        <v>212914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142</v>
      </c>
      <c r="W1245" s="1" t="n">
        <v>0</v>
      </c>
      <c r="X1245" s="1" t="s">
        <v>1174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46226</v>
      </c>
      <c r="C1246" s="15" t="n">
        <v>46256</v>
      </c>
      <c r="D1246" s="1" t="n">
        <v>957</v>
      </c>
      <c r="E1246" s="1" t="s">
        <v>554</v>
      </c>
      <c r="F1246" s="1" t="n">
        <v>24</v>
      </c>
      <c r="G1246" s="1" t="s">
        <v>77</v>
      </c>
      <c r="H1246" s="1" t="n">
        <v>1110203</v>
      </c>
      <c r="I1246" s="1" t="s">
        <v>108</v>
      </c>
      <c r="J1246" s="1" t="n">
        <v>1438918</v>
      </c>
      <c r="L1246" s="1" t="n">
        <v>194429</v>
      </c>
      <c r="M1246" s="1" t="s">
        <v>83</v>
      </c>
      <c r="N1246" s="1" t="s">
        <v>35</v>
      </c>
      <c r="P1246" s="1" t="n">
        <v>113</v>
      </c>
      <c r="Q1246" s="1" t="s">
        <v>36</v>
      </c>
      <c r="R1246" s="1" t="s">
        <v>48</v>
      </c>
      <c r="S1246" s="1" t="n">
        <v>1130101</v>
      </c>
      <c r="T1246" s="1" t="s">
        <v>49</v>
      </c>
      <c r="U1246" s="17" t="n">
        <v>1501.38</v>
      </c>
      <c r="W1246" s="1" t="n">
        <v>0</v>
      </c>
      <c r="X1246" s="1" t="s">
        <v>1097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46226</v>
      </c>
      <c r="C1247" s="15" t="n">
        <v>46256</v>
      </c>
      <c r="D1247" s="1" t="n">
        <v>10011</v>
      </c>
      <c r="E1247" s="1" t="s">
        <v>292</v>
      </c>
      <c r="F1247" s="1" t="n">
        <v>24</v>
      </c>
      <c r="G1247" s="1" t="s">
        <v>77</v>
      </c>
      <c r="H1247" s="1" t="n">
        <v>1110203</v>
      </c>
      <c r="I1247" s="1" t="s">
        <v>108</v>
      </c>
      <c r="J1247" s="1" t="n">
        <v>1438959</v>
      </c>
      <c r="L1247" s="1" t="n">
        <v>194439</v>
      </c>
      <c r="M1247" s="1" t="s">
        <v>83</v>
      </c>
      <c r="N1247" s="1" t="s">
        <v>35</v>
      </c>
      <c r="P1247" s="1" t="n">
        <v>113</v>
      </c>
      <c r="Q1247" s="1" t="s">
        <v>36</v>
      </c>
      <c r="R1247" s="1" t="s">
        <v>48</v>
      </c>
      <c r="S1247" s="1" t="n">
        <v>1130101</v>
      </c>
      <c r="T1247" s="1" t="s">
        <v>49</v>
      </c>
      <c r="U1247" s="17" t="n">
        <v>591.07</v>
      </c>
      <c r="W1247" s="1" t="n">
        <v>0</v>
      </c>
      <c r="X1247" s="1" t="s">
        <v>1098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46226</v>
      </c>
      <c r="C1248" s="15" t="n">
        <v>46256</v>
      </c>
      <c r="D1248" s="1" t="n">
        <v>1659</v>
      </c>
      <c r="E1248" s="1" t="s">
        <v>197</v>
      </c>
      <c r="F1248" s="1" t="n">
        <v>24</v>
      </c>
      <c r="G1248" s="1" t="s">
        <v>77</v>
      </c>
      <c r="H1248" s="1" t="n">
        <v>1110203</v>
      </c>
      <c r="I1248" s="1" t="s">
        <v>108</v>
      </c>
      <c r="J1248" s="1" t="n">
        <v>1439443</v>
      </c>
      <c r="L1248" s="1" t="n">
        <v>194553</v>
      </c>
      <c r="M1248" s="1" t="s">
        <v>83</v>
      </c>
      <c r="N1248" s="1" t="s">
        <v>35</v>
      </c>
      <c r="P1248" s="1" t="n">
        <v>113</v>
      </c>
      <c r="Q1248" s="1" t="s">
        <v>36</v>
      </c>
      <c r="R1248" s="1" t="s">
        <v>48</v>
      </c>
      <c r="S1248" s="1" t="n">
        <v>1130101</v>
      </c>
      <c r="T1248" s="1" t="s">
        <v>49</v>
      </c>
      <c r="U1248" s="17" t="n">
        <v>1006.03</v>
      </c>
      <c r="W1248" s="1" t="n">
        <v>0</v>
      </c>
      <c r="X1248" s="1" t="s">
        <v>1050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46237</v>
      </c>
      <c r="C1249" s="15" t="n">
        <v>46256</v>
      </c>
      <c r="D1249" s="1" t="n">
        <v>1695</v>
      </c>
      <c r="E1249" s="1" t="s">
        <v>351</v>
      </c>
      <c r="F1249" s="1" t="n">
        <v>24</v>
      </c>
      <c r="G1249" s="1" t="s">
        <v>77</v>
      </c>
      <c r="H1249" s="1" t="n">
        <v>1110203</v>
      </c>
      <c r="I1249" s="1" t="s">
        <v>108</v>
      </c>
      <c r="J1249" s="1" t="n">
        <v>1493386</v>
      </c>
      <c r="L1249" s="1" t="n">
        <v>202559</v>
      </c>
      <c r="M1249" s="1" t="s">
        <v>83</v>
      </c>
      <c r="N1249" s="1" t="s">
        <v>35</v>
      </c>
      <c r="P1249" s="1" t="n">
        <v>113</v>
      </c>
      <c r="Q1249" s="1" t="s">
        <v>36</v>
      </c>
      <c r="R1249" s="1" t="s">
        <v>48</v>
      </c>
      <c r="S1249" s="1" t="n">
        <v>1130101</v>
      </c>
      <c r="T1249" s="1" t="s">
        <v>49</v>
      </c>
      <c r="U1249" s="17" t="n">
        <v>1563.4</v>
      </c>
      <c r="W1249" s="1" t="n">
        <v>0</v>
      </c>
      <c r="X1249" s="1" t="s">
        <v>1052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46245</v>
      </c>
      <c r="C1250" s="15" t="n">
        <v>46256</v>
      </c>
      <c r="D1250" s="1" t="n">
        <v>1672</v>
      </c>
      <c r="E1250" s="1" t="s">
        <v>302</v>
      </c>
      <c r="F1250" s="1" t="n">
        <v>24</v>
      </c>
      <c r="G1250" s="1" t="s">
        <v>77</v>
      </c>
      <c r="H1250" s="1" t="n">
        <v>2110405</v>
      </c>
      <c r="I1250" s="1" t="s">
        <v>41</v>
      </c>
      <c r="J1250" s="1" t="n">
        <v>1532287</v>
      </c>
      <c r="L1250" s="1" t="n">
        <v>208717</v>
      </c>
      <c r="M1250" s="1" t="s">
        <v>83</v>
      </c>
      <c r="N1250" s="1" t="s">
        <v>35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17" t="n">
        <v>2852.4</v>
      </c>
      <c r="W1250" s="1" t="n">
        <v>0</v>
      </c>
      <c r="X1250" s="1" t="s">
        <v>1175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46249</v>
      </c>
      <c r="C1251" s="15" t="n">
        <v>46256</v>
      </c>
      <c r="D1251" s="1" t="n">
        <v>1815</v>
      </c>
      <c r="E1251" s="1" t="s">
        <v>164</v>
      </c>
      <c r="F1251" s="1" t="n">
        <v>24</v>
      </c>
      <c r="G1251" s="1" t="s">
        <v>77</v>
      </c>
      <c r="H1251" s="1" t="n">
        <v>2110405</v>
      </c>
      <c r="I1251" s="1" t="s">
        <v>41</v>
      </c>
      <c r="J1251" s="1" t="n">
        <v>1552111</v>
      </c>
      <c r="L1251" s="1" t="n">
        <v>211829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511.98</v>
      </c>
      <c r="W1251" s="1" t="n">
        <v>0</v>
      </c>
      <c r="X1251" s="1" t="s">
        <v>1176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46251</v>
      </c>
      <c r="C1252" s="15" t="n">
        <v>46256</v>
      </c>
      <c r="D1252" s="1" t="n">
        <v>1625</v>
      </c>
      <c r="E1252" s="1" t="s">
        <v>248</v>
      </c>
      <c r="F1252" s="1" t="n">
        <v>24</v>
      </c>
      <c r="G1252" s="1" t="s">
        <v>77</v>
      </c>
      <c r="H1252" s="1" t="n">
        <v>2110405</v>
      </c>
      <c r="I1252" s="1" t="s">
        <v>41</v>
      </c>
      <c r="J1252" s="1" t="n">
        <v>1562614</v>
      </c>
      <c r="L1252" s="1" t="n">
        <v>213260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3472.5</v>
      </c>
      <c r="W1252" s="1" t="n">
        <v>0</v>
      </c>
      <c r="X1252" s="1" t="s">
        <v>1177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46247</v>
      </c>
      <c r="C1253" s="15" t="n">
        <v>46257</v>
      </c>
      <c r="D1253" s="1" t="n">
        <v>1723</v>
      </c>
      <c r="E1253" s="1" t="s">
        <v>332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1542621</v>
      </c>
      <c r="L1253" s="1" t="n">
        <v>210451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3814.8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46237</v>
      </c>
      <c r="C1254" s="15" t="n">
        <v>46258</v>
      </c>
      <c r="D1254" s="1" t="n">
        <v>1626</v>
      </c>
      <c r="E1254" s="1" t="s">
        <v>82</v>
      </c>
      <c r="F1254" s="1" t="n">
        <v>24</v>
      </c>
      <c r="G1254" s="1" t="s">
        <v>77</v>
      </c>
      <c r="H1254" s="1" t="n">
        <v>1110203</v>
      </c>
      <c r="I1254" s="1" t="s">
        <v>108</v>
      </c>
      <c r="J1254" s="1" t="n">
        <v>1495138</v>
      </c>
      <c r="L1254" s="1" t="n">
        <v>202740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416.64</v>
      </c>
      <c r="W1254" s="1" t="n">
        <v>0</v>
      </c>
      <c r="X1254" s="1" t="s">
        <v>1069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46239</v>
      </c>
      <c r="C1255" s="15" t="n">
        <v>46258</v>
      </c>
      <c r="D1255" s="1" t="n">
        <v>1637</v>
      </c>
      <c r="E1255" s="1" t="s">
        <v>764</v>
      </c>
      <c r="F1255" s="1" t="n">
        <v>24</v>
      </c>
      <c r="G1255" s="1" t="s">
        <v>77</v>
      </c>
      <c r="H1255" s="1" t="n">
        <v>1110203</v>
      </c>
      <c r="I1255" s="1" t="s">
        <v>108</v>
      </c>
      <c r="J1255" s="1" t="n">
        <v>1503883</v>
      </c>
      <c r="L1255" s="1" t="n">
        <v>204193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1184.7</v>
      </c>
      <c r="W1255" s="1" t="n">
        <v>0</v>
      </c>
      <c r="X1255" s="1" t="s">
        <v>1179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46258</v>
      </c>
      <c r="D1256" s="1" t="n">
        <v>1705</v>
      </c>
      <c r="E1256" s="1" t="s">
        <v>119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1514104</v>
      </c>
      <c r="L1256" s="1" t="n">
        <v>205951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268.07</v>
      </c>
      <c r="W1256" s="1" t="n">
        <v>0</v>
      </c>
      <c r="X1256" s="1" t="s">
        <v>1180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46241</v>
      </c>
      <c r="C1257" s="15" t="n">
        <v>46258</v>
      </c>
      <c r="D1257" s="1" t="n">
        <v>1705</v>
      </c>
      <c r="E1257" s="1" t="s">
        <v>119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1514114</v>
      </c>
      <c r="L1257" s="1" t="n">
        <v>205954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360.51</v>
      </c>
      <c r="W1257" s="1" t="n">
        <v>0</v>
      </c>
      <c r="X1257" s="1" t="s">
        <v>1181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46244</v>
      </c>
      <c r="C1258" s="15" t="n">
        <v>46258</v>
      </c>
      <c r="D1258" s="1" t="n">
        <v>1789</v>
      </c>
      <c r="E1258" s="1" t="s">
        <v>485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1529680</v>
      </c>
      <c r="L1258" s="1" t="n">
        <v>208120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364</v>
      </c>
      <c r="S1258" s="1" t="n">
        <v>4210112</v>
      </c>
      <c r="T1258" s="1" t="s">
        <v>486</v>
      </c>
      <c r="U1258" s="17" t="n">
        <v>10645.93</v>
      </c>
      <c r="W1258" s="1" t="n">
        <v>0</v>
      </c>
      <c r="X1258" s="1" t="s">
        <v>1182</v>
      </c>
      <c r="Z1258" s="1" t="str">
        <f aca="false">IF($T1258="","",IFERROR(INDEX('Resumo Grupos'!$AC$3:$AC$200,MATCH($T1258,'Resumo Grupos'!$AB$3:$AB$200,0)),"n/d"))</f>
        <v>Despesa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46244</v>
      </c>
      <c r="C1259" s="15" t="n">
        <v>46258</v>
      </c>
      <c r="D1259" s="1" t="n">
        <v>1789</v>
      </c>
      <c r="E1259" s="1" t="s">
        <v>485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1529702</v>
      </c>
      <c r="L1259" s="1" t="n">
        <v>208128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364</v>
      </c>
      <c r="S1259" s="1" t="n">
        <v>4210112</v>
      </c>
      <c r="T1259" s="1" t="s">
        <v>486</v>
      </c>
      <c r="U1259" s="17" t="n">
        <v>109.86</v>
      </c>
      <c r="W1259" s="1" t="n">
        <v>0</v>
      </c>
      <c r="X1259" s="1" t="s">
        <v>1183</v>
      </c>
      <c r="Z1259" s="1" t="str">
        <f aca="false">IF($T1259="","",IFERROR(INDEX('Resumo Grupos'!$AC$3:$AC$200,MATCH($T1259,'Resumo Grupos'!$AB$3:$AB$200,0)),"n/d"))</f>
        <v>Despesa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46258</v>
      </c>
      <c r="D1260" s="1" t="n">
        <v>1621</v>
      </c>
      <c r="E1260" s="1" t="s">
        <v>212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1546198</v>
      </c>
      <c r="L1260" s="1" t="n">
        <v>211261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3733.25</v>
      </c>
      <c r="W1260" s="1" t="n">
        <v>0</v>
      </c>
      <c r="X1260" s="1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46013</v>
      </c>
      <c r="C1261" s="15" t="n">
        <v>46259</v>
      </c>
      <c r="D1261" s="1" t="n">
        <v>17</v>
      </c>
      <c r="E1261" s="1" t="s">
        <v>436</v>
      </c>
      <c r="F1261" s="1" t="n">
        <v>48</v>
      </c>
      <c r="G1261" s="1" t="s">
        <v>503</v>
      </c>
      <c r="H1261" s="1" t="n">
        <v>2110405</v>
      </c>
      <c r="I1261" s="1" t="s">
        <v>41</v>
      </c>
      <c r="J1261" s="1" t="n">
        <v>660421</v>
      </c>
      <c r="L1261" s="1" t="n">
        <v>86128</v>
      </c>
      <c r="M1261" s="1" t="s">
        <v>596</v>
      </c>
      <c r="N1261" s="1" t="s">
        <v>35</v>
      </c>
      <c r="P1261" s="1" t="n">
        <v>101</v>
      </c>
      <c r="Q1261" s="1" t="s">
        <v>42</v>
      </c>
      <c r="R1261" s="1" t="s">
        <v>43</v>
      </c>
      <c r="S1261" s="1" t="n">
        <v>4220199</v>
      </c>
      <c r="T1261" s="1" t="s">
        <v>44</v>
      </c>
      <c r="U1261" s="17" t="n">
        <v>362.14</v>
      </c>
      <c r="W1261" s="1" t="n">
        <v>0</v>
      </c>
      <c r="X1261" s="0" t="s">
        <v>505</v>
      </c>
      <c r="Z1261" s="1" t="str">
        <f aca="false">IF($T1261="","",IFERROR(INDEX('Resumo Grupos'!$AC$3:$AC$200,MATCH($T1261,'Resumo Grupos'!$AB$3:$AB$200,0)),"n/d"))</f>
        <v>Pagamentos outros não operacionais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46029</v>
      </c>
      <c r="C1262" s="15" t="n">
        <v>46259</v>
      </c>
      <c r="D1262" s="1" t="n">
        <v>17</v>
      </c>
      <c r="E1262" s="1" t="s">
        <v>436</v>
      </c>
      <c r="F1262" s="1" t="n">
        <v>48</v>
      </c>
      <c r="G1262" s="1" t="s">
        <v>503</v>
      </c>
      <c r="H1262" s="1" t="n">
        <v>2110405</v>
      </c>
      <c r="I1262" s="1" t="s">
        <v>41</v>
      </c>
      <c r="J1262" s="1" t="n">
        <v>660305</v>
      </c>
      <c r="L1262" s="1" t="n">
        <v>86116</v>
      </c>
      <c r="M1262" s="1" t="s">
        <v>596</v>
      </c>
      <c r="N1262" s="1" t="s">
        <v>35</v>
      </c>
      <c r="P1262" s="1" t="n">
        <v>101</v>
      </c>
      <c r="Q1262" s="1" t="s">
        <v>42</v>
      </c>
      <c r="R1262" s="1" t="s">
        <v>43</v>
      </c>
      <c r="S1262" s="1" t="n">
        <v>4220199</v>
      </c>
      <c r="T1262" s="1" t="s">
        <v>44</v>
      </c>
      <c r="U1262" s="17" t="n">
        <v>84.03</v>
      </c>
      <c r="W1262" s="1" t="n">
        <v>0</v>
      </c>
      <c r="X1262" s="1" t="s">
        <v>504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46205</v>
      </c>
      <c r="C1263" s="15" t="n">
        <v>46259</v>
      </c>
      <c r="D1263" s="1" t="n">
        <v>1217</v>
      </c>
      <c r="E1263" s="1" t="s">
        <v>690</v>
      </c>
      <c r="F1263" s="1" t="n">
        <v>24</v>
      </c>
      <c r="G1263" s="1" t="s">
        <v>77</v>
      </c>
      <c r="H1263" s="1" t="n">
        <v>2110101</v>
      </c>
      <c r="I1263" s="1" t="s">
        <v>33</v>
      </c>
      <c r="J1263" s="1" t="n">
        <v>1339965</v>
      </c>
      <c r="L1263" s="1" t="n">
        <v>4467</v>
      </c>
      <c r="M1263" s="1" t="s">
        <v>47</v>
      </c>
      <c r="N1263" s="1" t="s">
        <v>54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818.55</v>
      </c>
      <c r="W1263" s="1" t="n">
        <v>0</v>
      </c>
      <c r="X1263" s="1" t="s">
        <v>691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46243</v>
      </c>
      <c r="C1264" s="15" t="n">
        <v>46259</v>
      </c>
      <c r="D1264" s="1" t="n">
        <v>17</v>
      </c>
      <c r="E1264" s="1" t="s">
        <v>436</v>
      </c>
      <c r="F1264" s="1" t="n">
        <v>48</v>
      </c>
      <c r="G1264" s="1" t="s">
        <v>503</v>
      </c>
      <c r="H1264" s="1" t="n">
        <v>2110405</v>
      </c>
      <c r="I1264" s="1" t="s">
        <v>41</v>
      </c>
      <c r="J1264" s="1" t="n">
        <v>1551938</v>
      </c>
      <c r="L1264" s="1" t="n">
        <v>211786</v>
      </c>
      <c r="M1264" s="1" t="s">
        <v>83</v>
      </c>
      <c r="N1264" s="1" t="s">
        <v>35</v>
      </c>
      <c r="P1264" s="1" t="n">
        <v>101</v>
      </c>
      <c r="Q1264" s="1" t="s">
        <v>42</v>
      </c>
      <c r="R1264" s="1" t="s">
        <v>43</v>
      </c>
      <c r="S1264" s="1" t="n">
        <v>4220199</v>
      </c>
      <c r="T1264" s="1" t="s">
        <v>44</v>
      </c>
      <c r="U1264" s="17" t="n">
        <v>52.52</v>
      </c>
      <c r="W1264" s="1" t="n">
        <v>0</v>
      </c>
      <c r="X1264" s="1" t="s">
        <v>1185</v>
      </c>
      <c r="Z1264" s="1" t="str">
        <f aca="false">IF($T1264="","",IFERROR(INDEX('Resumo Grupos'!$AC$3:$AC$200,MATCH($T1264,'Resumo Grupos'!$AB$3:$AB$200,0)),"n/d"))</f>
        <v>Pagamentos outros não operacionais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46249</v>
      </c>
      <c r="C1265" s="15" t="n">
        <v>46259</v>
      </c>
      <c r="D1265" s="1" t="n">
        <v>17</v>
      </c>
      <c r="E1265" s="1" t="s">
        <v>436</v>
      </c>
      <c r="F1265" s="1" t="n">
        <v>48</v>
      </c>
      <c r="G1265" s="1" t="s">
        <v>503</v>
      </c>
      <c r="H1265" s="1" t="n">
        <v>2110405</v>
      </c>
      <c r="I1265" s="1" t="s">
        <v>41</v>
      </c>
      <c r="J1265" s="1" t="n">
        <v>1551945</v>
      </c>
      <c r="L1265" s="1" t="n">
        <v>211789</v>
      </c>
      <c r="M1265" s="1" t="s">
        <v>83</v>
      </c>
      <c r="N1265" s="1" t="s">
        <v>35</v>
      </c>
      <c r="P1265" s="1" t="n">
        <v>101</v>
      </c>
      <c r="Q1265" s="1" t="s">
        <v>42</v>
      </c>
      <c r="R1265" s="1" t="s">
        <v>43</v>
      </c>
      <c r="S1265" s="1" t="n">
        <v>4220199</v>
      </c>
      <c r="T1265" s="1" t="s">
        <v>44</v>
      </c>
      <c r="U1265" s="17" t="n">
        <v>595.39</v>
      </c>
      <c r="W1265" s="1" t="n">
        <v>0</v>
      </c>
      <c r="X1265" s="1" t="s">
        <v>1186</v>
      </c>
      <c r="Z1265" s="1" t="str">
        <f aca="false">IF($T1265="","",IFERROR(INDEX('Resumo Grupos'!$AC$3:$AC$200,MATCH($T1265,'Resumo Grupos'!$AB$3:$AB$200,0)),"n/d"))</f>
        <v>Pagamentos outros não operacionais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46023</v>
      </c>
      <c r="C1266" s="15" t="n">
        <v>46260</v>
      </c>
      <c r="D1266" s="1" t="n">
        <v>515</v>
      </c>
      <c r="E1266" s="1" t="s">
        <v>143</v>
      </c>
      <c r="F1266" s="1" t="n">
        <v>34</v>
      </c>
      <c r="G1266" s="1" t="s">
        <v>97</v>
      </c>
      <c r="H1266" s="1" t="n">
        <v>2110405</v>
      </c>
      <c r="I1266" s="1" t="s">
        <v>41</v>
      </c>
      <c r="J1266" s="1" t="n">
        <v>1012266</v>
      </c>
      <c r="L1266" s="1" t="n">
        <v>133812</v>
      </c>
      <c r="M1266" s="1" t="s">
        <v>596</v>
      </c>
      <c r="N1266" s="1" t="s">
        <v>35</v>
      </c>
      <c r="P1266" s="1" t="n">
        <v>101</v>
      </c>
      <c r="Q1266" s="1" t="s">
        <v>42</v>
      </c>
      <c r="R1266" s="1" t="s">
        <v>295</v>
      </c>
      <c r="S1266" s="1" t="n">
        <v>2110901</v>
      </c>
      <c r="T1266" s="1" t="s">
        <v>296</v>
      </c>
      <c r="U1266" s="17" t="n">
        <v>4168.41</v>
      </c>
      <c r="W1266" s="1" t="n">
        <v>0</v>
      </c>
      <c r="X1266" s="1" t="s">
        <v>1187</v>
      </c>
      <c r="Z1266" s="1" t="str">
        <f aca="false">IF($T1266="","",IFERROR(INDEX('Resumo Grupos'!$AC$3:$AC$200,MATCH($T1266,'Resumo Grupos'!$AB$3:$AB$200,0)),"n/d"))</f>
        <v>Empréstimo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46241</v>
      </c>
      <c r="C1267" s="15" t="n">
        <v>46260</v>
      </c>
      <c r="D1267" s="1" t="n">
        <v>1613</v>
      </c>
      <c r="E1267" s="1" t="s">
        <v>94</v>
      </c>
      <c r="F1267" s="1" t="n">
        <v>24</v>
      </c>
      <c r="G1267" s="1" t="s">
        <v>77</v>
      </c>
      <c r="H1267" s="1" t="n">
        <v>2110405</v>
      </c>
      <c r="I1267" s="1" t="s">
        <v>41</v>
      </c>
      <c r="J1267" s="1" t="n">
        <v>1513496</v>
      </c>
      <c r="L1267" s="1" t="n">
        <v>205790</v>
      </c>
      <c r="M1267" s="1" t="s">
        <v>83</v>
      </c>
      <c r="N1267" s="1" t="s">
        <v>35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1275.53</v>
      </c>
      <c r="W1267" s="1" t="n">
        <v>0</v>
      </c>
      <c r="X1267" s="1" t="s">
        <v>1157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46244</v>
      </c>
      <c r="C1268" s="15" t="n">
        <v>46260</v>
      </c>
      <c r="D1268" s="1" t="n">
        <v>1659</v>
      </c>
      <c r="E1268" s="1" t="s">
        <v>197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1529145</v>
      </c>
      <c r="L1268" s="1" t="n">
        <v>207965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349</v>
      </c>
      <c r="W1268" s="1" t="n">
        <v>0</v>
      </c>
      <c r="X1268" s="1" t="s">
        <v>1158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46246</v>
      </c>
      <c r="C1269" s="15" t="n">
        <v>46260</v>
      </c>
      <c r="D1269" s="1" t="n">
        <v>1608</v>
      </c>
      <c r="E1269" s="1" t="s">
        <v>201</v>
      </c>
      <c r="F1269" s="1" t="n">
        <v>24</v>
      </c>
      <c r="G1269" s="1" t="s">
        <v>77</v>
      </c>
      <c r="H1269" s="1" t="n">
        <v>2110405</v>
      </c>
      <c r="I1269" s="1" t="s">
        <v>41</v>
      </c>
      <c r="J1269" s="1" t="n">
        <v>1534791</v>
      </c>
      <c r="L1269" s="1" t="n">
        <v>209426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1279.58</v>
      </c>
      <c r="W1269" s="1" t="n">
        <v>0</v>
      </c>
      <c r="X1269" s="1" t="s">
        <v>1188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46246</v>
      </c>
      <c r="C1270" s="15" t="n">
        <v>46260</v>
      </c>
      <c r="D1270" s="1" t="n">
        <v>1634</v>
      </c>
      <c r="E1270" s="1" t="s">
        <v>261</v>
      </c>
      <c r="F1270" s="1" t="n">
        <v>24</v>
      </c>
      <c r="G1270" s="1" t="s">
        <v>77</v>
      </c>
      <c r="H1270" s="1" t="n">
        <v>2110405</v>
      </c>
      <c r="I1270" s="1" t="s">
        <v>41</v>
      </c>
      <c r="J1270" s="1" t="n">
        <v>1535480</v>
      </c>
      <c r="L1270" s="1" t="n">
        <v>209568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700.7</v>
      </c>
      <c r="W1270" s="1" t="n">
        <v>0</v>
      </c>
      <c r="X1270" s="1" t="s">
        <v>1189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46247</v>
      </c>
      <c r="C1271" s="15" t="n">
        <v>46260</v>
      </c>
      <c r="D1271" s="1" t="n">
        <v>1635</v>
      </c>
      <c r="E1271" s="1" t="s">
        <v>117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1541010</v>
      </c>
      <c r="L1271" s="1" t="n">
        <v>210258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600</v>
      </c>
      <c r="W1271" s="1" t="n">
        <v>0</v>
      </c>
      <c r="X1271" s="1" t="s">
        <v>1190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46247</v>
      </c>
      <c r="C1272" s="15" t="n">
        <v>46260</v>
      </c>
      <c r="D1272" s="1" t="n">
        <v>1734</v>
      </c>
      <c r="E1272" s="1" t="s">
        <v>489</v>
      </c>
      <c r="F1272" s="1" t="n">
        <v>24</v>
      </c>
      <c r="G1272" s="1" t="s">
        <v>77</v>
      </c>
      <c r="H1272" s="1" t="n">
        <v>2110405</v>
      </c>
      <c r="I1272" s="1" t="s">
        <v>41</v>
      </c>
      <c r="J1272" s="1" t="n">
        <v>1542967</v>
      </c>
      <c r="L1272" s="1" t="n">
        <v>210465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1050.07</v>
      </c>
      <c r="W1272" s="1" t="n">
        <v>0</v>
      </c>
      <c r="X1272" s="1" t="s">
        <v>1191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46248</v>
      </c>
      <c r="C1273" s="15" t="n">
        <v>46260</v>
      </c>
      <c r="D1273" s="1" t="n">
        <v>1613</v>
      </c>
      <c r="E1273" s="1" t="s">
        <v>94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1547477</v>
      </c>
      <c r="L1273" s="1" t="n">
        <v>211362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1164.76</v>
      </c>
      <c r="W1273" s="1" t="n">
        <v>0</v>
      </c>
      <c r="X1273" s="1" t="s">
        <v>1192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46240</v>
      </c>
      <c r="C1274" s="15" t="n">
        <v>46261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1508981</v>
      </c>
      <c r="L1274" s="1" t="n">
        <v>205093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628.19</v>
      </c>
      <c r="W1274" s="1" t="n">
        <v>0</v>
      </c>
      <c r="X1274" s="1" t="s">
        <v>1111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46241</v>
      </c>
      <c r="C1275" s="15" t="n">
        <v>46261</v>
      </c>
      <c r="D1275" s="1" t="n">
        <v>794</v>
      </c>
      <c r="E1275" s="1" t="s">
        <v>305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1514359</v>
      </c>
      <c r="L1275" s="1" t="n">
        <v>205999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382.62</v>
      </c>
      <c r="W1275" s="1" t="n">
        <v>0</v>
      </c>
      <c r="X1275" s="1" t="s">
        <v>1161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46241</v>
      </c>
      <c r="C1276" s="15" t="n">
        <v>46261</v>
      </c>
      <c r="D1276" s="1" t="n">
        <v>794</v>
      </c>
      <c r="E1276" s="1" t="s">
        <v>305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1514438</v>
      </c>
      <c r="L1276" s="1" t="n">
        <v>206013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56</v>
      </c>
      <c r="S1276" s="1" t="n">
        <v>4210299</v>
      </c>
      <c r="T1276" s="1" t="s">
        <v>115</v>
      </c>
      <c r="U1276" s="17" t="n">
        <v>520.47</v>
      </c>
      <c r="W1276" s="1" t="n">
        <v>0</v>
      </c>
      <c r="X1276" s="1" t="s">
        <v>1162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46247</v>
      </c>
      <c r="C1277" s="15" t="n">
        <v>46261</v>
      </c>
      <c r="D1277" s="1" t="n">
        <v>1608</v>
      </c>
      <c r="E1277" s="1" t="s">
        <v>201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1540761</v>
      </c>
      <c r="L1277" s="1" t="n">
        <v>210177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692.26</v>
      </c>
      <c r="W1277" s="1" t="n">
        <v>0</v>
      </c>
      <c r="X1277" s="1" t="s">
        <v>1193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46247</v>
      </c>
      <c r="C1278" s="15" t="n">
        <v>46261</v>
      </c>
      <c r="D1278" s="1" t="n">
        <v>1667</v>
      </c>
      <c r="E1278" s="1" t="s">
        <v>82</v>
      </c>
      <c r="F1278" s="1" t="n">
        <v>24</v>
      </c>
      <c r="G1278" s="1" t="s">
        <v>77</v>
      </c>
      <c r="H1278" s="1" t="n">
        <v>2110405</v>
      </c>
      <c r="I1278" s="1" t="s">
        <v>41</v>
      </c>
      <c r="J1278" s="1" t="n">
        <v>1540922</v>
      </c>
      <c r="L1278" s="1" t="n">
        <v>210242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668.77</v>
      </c>
      <c r="W1278" s="1" t="n">
        <v>0</v>
      </c>
      <c r="X1278" s="1" t="s">
        <v>1194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46247</v>
      </c>
      <c r="C1279" s="15" t="n">
        <v>46261</v>
      </c>
      <c r="D1279" s="1" t="n">
        <v>1740</v>
      </c>
      <c r="E1279" s="1" t="s">
        <v>410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1541224</v>
      </c>
      <c r="L1279" s="1" t="n">
        <v>210282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386.74</v>
      </c>
      <c r="W1279" s="1" t="n">
        <v>0</v>
      </c>
      <c r="X1279" s="1" t="s">
        <v>1195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46247</v>
      </c>
      <c r="C1280" s="15" t="n">
        <v>46261</v>
      </c>
      <c r="D1280" s="1" t="n">
        <v>1601</v>
      </c>
      <c r="E1280" s="1" t="s">
        <v>175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1543874</v>
      </c>
      <c r="L1280" s="1" t="n">
        <v>210525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436.02</v>
      </c>
      <c r="W1280" s="1" t="n">
        <v>0</v>
      </c>
      <c r="X1280" s="1" t="s">
        <v>1196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46262</v>
      </c>
      <c r="D1281" s="1" t="n">
        <v>1666</v>
      </c>
      <c r="E1281" s="1" t="s">
        <v>206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1529119</v>
      </c>
      <c r="L1281" s="1" t="n">
        <v>207951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48</v>
      </c>
      <c r="S1281" s="1" t="n">
        <v>1130101</v>
      </c>
      <c r="T1281" s="1" t="s">
        <v>49</v>
      </c>
      <c r="U1281" s="17" t="n">
        <v>4605.48</v>
      </c>
      <c r="W1281" s="1" t="n">
        <v>0</v>
      </c>
      <c r="X1281" s="1" t="s">
        <v>1128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46248</v>
      </c>
      <c r="C1282" s="15" t="n">
        <v>46262</v>
      </c>
      <c r="D1282" s="1" t="n">
        <v>1705</v>
      </c>
      <c r="E1282" s="1" t="s">
        <v>119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1546022</v>
      </c>
      <c r="L1282" s="1" t="n">
        <v>211208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17" t="n">
        <v>50.85</v>
      </c>
      <c r="W1282" s="1" t="n">
        <v>0</v>
      </c>
      <c r="X1282" s="1" t="s">
        <v>1197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46262</v>
      </c>
      <c r="D1283" s="1" t="n">
        <v>1705</v>
      </c>
      <c r="E1283" s="1" t="s">
        <v>119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1546035</v>
      </c>
      <c r="L1283" s="1" t="n">
        <v>211216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620.26</v>
      </c>
      <c r="W1283" s="1" t="n">
        <v>0</v>
      </c>
      <c r="X1283" s="0" t="s">
        <v>1198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46248</v>
      </c>
      <c r="C1284" s="15" t="n">
        <v>46262</v>
      </c>
      <c r="D1284" s="1" t="n">
        <v>1705</v>
      </c>
      <c r="E1284" s="1" t="s">
        <v>119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1546067</v>
      </c>
      <c r="L1284" s="1" t="n">
        <v>211225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2148.12</v>
      </c>
      <c r="W1284" s="1" t="n">
        <v>0</v>
      </c>
      <c r="X1284" s="1" t="s">
        <v>1199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46248</v>
      </c>
      <c r="C1285" s="15" t="n">
        <v>46263</v>
      </c>
      <c r="D1285" s="1" t="n">
        <v>1718</v>
      </c>
      <c r="E1285" s="1" t="s">
        <v>199</v>
      </c>
      <c r="F1285" s="1" t="n">
        <v>24</v>
      </c>
      <c r="G1285" s="1" t="s">
        <v>77</v>
      </c>
      <c r="H1285" s="1" t="n">
        <v>2110405</v>
      </c>
      <c r="I1285" s="1" t="s">
        <v>41</v>
      </c>
      <c r="J1285" s="1" t="n">
        <v>1547746</v>
      </c>
      <c r="L1285" s="1" t="n">
        <v>211393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706.56</v>
      </c>
      <c r="W1285" s="1" t="n">
        <v>0</v>
      </c>
      <c r="X1285" s="1" t="s">
        <v>1200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46249</v>
      </c>
      <c r="C1286" s="15" t="n">
        <v>46263</v>
      </c>
      <c r="D1286" s="1" t="n">
        <v>1718</v>
      </c>
      <c r="E1286" s="1" t="s">
        <v>199</v>
      </c>
      <c r="F1286" s="1" t="n">
        <v>24</v>
      </c>
      <c r="G1286" s="1" t="s">
        <v>77</v>
      </c>
      <c r="H1286" s="1" t="n">
        <v>2110405</v>
      </c>
      <c r="I1286" s="1" t="s">
        <v>41</v>
      </c>
      <c r="J1286" s="1" t="n">
        <v>1551482</v>
      </c>
      <c r="L1286" s="1" t="n">
        <v>211716</v>
      </c>
      <c r="M1286" s="1" t="s">
        <v>83</v>
      </c>
      <c r="N1286" s="1" t="s">
        <v>35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1422.67</v>
      </c>
      <c r="W1286" s="1" t="n">
        <v>0</v>
      </c>
      <c r="X1286" s="1" t="s">
        <v>1201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46165</v>
      </c>
      <c r="C1287" s="15" t="n">
        <v>46264</v>
      </c>
      <c r="D1287" s="1" t="n">
        <v>639</v>
      </c>
      <c r="E1287" s="1" t="s">
        <v>443</v>
      </c>
      <c r="F1287" s="1" t="n">
        <v>24</v>
      </c>
      <c r="G1287" s="1" t="s">
        <v>77</v>
      </c>
      <c r="H1287" s="1" t="n">
        <v>2110405</v>
      </c>
      <c r="I1287" s="1" t="s">
        <v>41</v>
      </c>
      <c r="J1287" s="1" t="n">
        <v>1141287</v>
      </c>
      <c r="L1287" s="1" t="n">
        <v>151507</v>
      </c>
      <c r="M1287" s="1" t="s">
        <v>74</v>
      </c>
      <c r="N1287" s="1" t="s">
        <v>35</v>
      </c>
      <c r="P1287" s="1" t="n">
        <v>101</v>
      </c>
      <c r="Q1287" s="1" t="s">
        <v>42</v>
      </c>
      <c r="R1287" s="1" t="s">
        <v>56</v>
      </c>
      <c r="S1287" s="1" t="n">
        <v>4210216</v>
      </c>
      <c r="T1287" s="1" t="s">
        <v>444</v>
      </c>
      <c r="U1287" s="17" t="n">
        <v>420</v>
      </c>
      <c r="W1287" s="1" t="n">
        <v>0</v>
      </c>
      <c r="X1287" s="1" t="s">
        <v>862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46223</v>
      </c>
      <c r="C1288" s="15" t="n">
        <v>46264</v>
      </c>
      <c r="D1288" s="1" t="n">
        <v>607</v>
      </c>
      <c r="E1288" s="1" t="s">
        <v>254</v>
      </c>
      <c r="F1288" s="1" t="n">
        <v>24</v>
      </c>
      <c r="G1288" s="1" t="s">
        <v>77</v>
      </c>
      <c r="H1288" s="1" t="n">
        <v>1110203</v>
      </c>
      <c r="I1288" s="1" t="s">
        <v>108</v>
      </c>
      <c r="J1288" s="1" t="n">
        <v>1424650</v>
      </c>
      <c r="L1288" s="1" t="n">
        <v>190911</v>
      </c>
      <c r="M1288" s="1" t="s">
        <v>83</v>
      </c>
      <c r="N1288" s="1" t="s">
        <v>35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446.28</v>
      </c>
      <c r="W1288" s="1" t="n">
        <v>0</v>
      </c>
      <c r="X1288" s="1" t="s">
        <v>1065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46239</v>
      </c>
      <c r="C1289" s="15" t="n">
        <v>46265</v>
      </c>
      <c r="D1289" s="1" t="n">
        <v>1637</v>
      </c>
      <c r="E1289" s="1" t="s">
        <v>764</v>
      </c>
      <c r="F1289" s="1" t="n">
        <v>24</v>
      </c>
      <c r="G1289" s="1" t="s">
        <v>77</v>
      </c>
      <c r="H1289" s="1" t="n">
        <v>1110203</v>
      </c>
      <c r="I1289" s="1" t="s">
        <v>108</v>
      </c>
      <c r="J1289" s="1" t="n">
        <v>1503906</v>
      </c>
      <c r="L1289" s="1" t="n">
        <v>204194</v>
      </c>
      <c r="M1289" s="1" t="s">
        <v>83</v>
      </c>
      <c r="N1289" s="1" t="s">
        <v>35</v>
      </c>
      <c r="P1289" s="1" t="n">
        <v>113</v>
      </c>
      <c r="Q1289" s="1" t="s">
        <v>36</v>
      </c>
      <c r="R1289" s="1" t="s">
        <v>48</v>
      </c>
      <c r="S1289" s="1" t="n">
        <v>1130101</v>
      </c>
      <c r="T1289" s="1" t="s">
        <v>49</v>
      </c>
      <c r="U1289" s="17" t="n">
        <v>1220.6</v>
      </c>
      <c r="W1289" s="1" t="n">
        <v>0</v>
      </c>
      <c r="X1289" s="1" t="s">
        <v>1202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46251</v>
      </c>
      <c r="C1290" s="15" t="n">
        <v>46265</v>
      </c>
      <c r="D1290" s="1" t="n">
        <v>1683</v>
      </c>
      <c r="E1290" s="1" t="s">
        <v>369</v>
      </c>
      <c r="F1290" s="1" t="n">
        <v>34</v>
      </c>
      <c r="G1290" s="1" t="s">
        <v>97</v>
      </c>
      <c r="H1290" s="1" t="n">
        <v>2110405</v>
      </c>
      <c r="I1290" s="1" t="s">
        <v>41</v>
      </c>
      <c r="J1290" s="1" t="n">
        <v>1560849</v>
      </c>
      <c r="L1290" s="1" t="n">
        <v>212901</v>
      </c>
      <c r="M1290" s="1" t="s">
        <v>83</v>
      </c>
      <c r="N1290" s="1" t="s">
        <v>35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97.5</v>
      </c>
      <c r="W1290" s="1" t="n">
        <v>0</v>
      </c>
      <c r="X1290" s="1" t="s">
        <v>371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45992</v>
      </c>
      <c r="C1291" s="15" t="n">
        <v>46266</v>
      </c>
      <c r="D1291" s="1" t="n">
        <v>983</v>
      </c>
      <c r="E1291" s="1" t="s">
        <v>31</v>
      </c>
      <c r="F1291" s="1" t="n">
        <v>47</v>
      </c>
      <c r="G1291" s="1" t="s">
        <v>32</v>
      </c>
      <c r="H1291" s="1" t="n">
        <v>2110101</v>
      </c>
      <c r="I1291" s="1" t="s">
        <v>33</v>
      </c>
      <c r="J1291" s="1" t="n">
        <v>361903</v>
      </c>
      <c r="L1291" s="1" t="n">
        <v>47174</v>
      </c>
      <c r="M1291" s="1" t="s">
        <v>1203</v>
      </c>
      <c r="N1291" s="1" t="s">
        <v>35</v>
      </c>
      <c r="P1291" s="1" t="n">
        <v>113</v>
      </c>
      <c r="Q1291" s="1" t="s">
        <v>36</v>
      </c>
      <c r="R1291" s="1" t="s">
        <v>37</v>
      </c>
      <c r="S1291" s="1" t="n">
        <v>1240103</v>
      </c>
      <c r="T1291" s="1" t="s">
        <v>38</v>
      </c>
      <c r="U1291" s="17" t="n">
        <v>1898</v>
      </c>
      <c r="W1291" s="1" t="n">
        <v>0</v>
      </c>
      <c r="X1291" s="1" t="s">
        <v>1204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46055</v>
      </c>
      <c r="C1292" s="15" t="n">
        <v>46266</v>
      </c>
      <c r="D1292" s="1" t="n">
        <v>10039</v>
      </c>
      <c r="E1292" s="1" t="s">
        <v>70</v>
      </c>
      <c r="F1292" s="1" t="n">
        <v>47</v>
      </c>
      <c r="G1292" s="1" t="s">
        <v>32</v>
      </c>
      <c r="H1292" s="1" t="n">
        <v>2110405</v>
      </c>
      <c r="I1292" s="1" t="s">
        <v>41</v>
      </c>
      <c r="J1292" s="1" t="n">
        <v>846832</v>
      </c>
      <c r="L1292" s="1" t="n">
        <v>111506</v>
      </c>
      <c r="M1292" s="1" t="s">
        <v>34</v>
      </c>
      <c r="N1292" s="1" t="s">
        <v>35</v>
      </c>
      <c r="P1292" s="1" t="n">
        <v>113</v>
      </c>
      <c r="Q1292" s="1" t="s">
        <v>36</v>
      </c>
      <c r="R1292" s="1" t="s">
        <v>56</v>
      </c>
      <c r="S1292" s="1" t="n">
        <v>4210227</v>
      </c>
      <c r="T1292" s="1" t="s">
        <v>63</v>
      </c>
      <c r="U1292" s="17" t="n">
        <v>378.82</v>
      </c>
      <c r="W1292" s="1" t="n">
        <v>0</v>
      </c>
      <c r="X1292" s="1" t="s">
        <v>1205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46196</v>
      </c>
      <c r="C1293" s="15" t="n">
        <v>46266</v>
      </c>
      <c r="D1293" s="1" t="n">
        <v>875</v>
      </c>
      <c r="E1293" s="1" t="s">
        <v>73</v>
      </c>
      <c r="F1293" s="1" t="n">
        <v>47</v>
      </c>
      <c r="G1293" s="1" t="s">
        <v>32</v>
      </c>
      <c r="H1293" s="1" t="n">
        <v>2110101</v>
      </c>
      <c r="I1293" s="1" t="s">
        <v>33</v>
      </c>
      <c r="J1293" s="1" t="n">
        <v>1295066</v>
      </c>
      <c r="L1293" s="1" t="n">
        <v>173322</v>
      </c>
      <c r="M1293" s="1" t="s">
        <v>62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1290.16</v>
      </c>
      <c r="W1293" s="1" t="n">
        <v>0</v>
      </c>
      <c r="X1293" s="1" t="s">
        <v>1206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false" outlineLevel="0" collapsed="false">
      <c r="A1294" s="1" t="n">
        <v>2</v>
      </c>
      <c r="B1294" s="22" t="n">
        <v>46226</v>
      </c>
      <c r="C1294" s="22" t="n">
        <v>46266</v>
      </c>
      <c r="D1294" s="1" t="n">
        <v>957</v>
      </c>
      <c r="E1294" s="1" t="s">
        <v>554</v>
      </c>
      <c r="F1294" s="1" t="n">
        <v>24</v>
      </c>
      <c r="G1294" s="1" t="s">
        <v>77</v>
      </c>
      <c r="H1294" s="1" t="n">
        <v>1110203</v>
      </c>
      <c r="I1294" s="1" t="s">
        <v>108</v>
      </c>
      <c r="J1294" s="1" t="n">
        <v>1438932</v>
      </c>
      <c r="L1294" s="1" t="n">
        <v>194431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1501.38</v>
      </c>
      <c r="W1294" s="1" t="n">
        <v>0</v>
      </c>
      <c r="X1294" s="0" t="s">
        <v>1097</v>
      </c>
      <c r="Z1294" s="0" t="str">
        <f aca="false">IF($T1294="","",IFERROR(INDEX('Resumo Grupos'!$AC$3:$AC$200,MATCH($T1294,'Resumo Grupos'!$AB$3:$AB$200,0)),"n/d"))</f>
        <v>Mercadoria</v>
      </c>
      <c r="AA1294" s="0" t="str">
        <f aca="false">IF($T1294="","",IF(COUNTIF('Resumo Grupos'!$AE$3:$AE$40,$T1294)&gt;0,"NAO","SIM"))</f>
        <v>SIM</v>
      </c>
    </row>
    <row r="1295" customFormat="false" ht="12.75" hidden="false" customHeight="false" outlineLevel="0" collapsed="false">
      <c r="A1295" s="1" t="n">
        <v>2</v>
      </c>
      <c r="B1295" s="22" t="n">
        <v>46226</v>
      </c>
      <c r="C1295" s="22" t="n">
        <v>46266</v>
      </c>
      <c r="D1295" s="1" t="n">
        <v>10011</v>
      </c>
      <c r="E1295" s="1" t="s">
        <v>292</v>
      </c>
      <c r="F1295" s="1" t="n">
        <v>24</v>
      </c>
      <c r="G1295" s="1" t="s">
        <v>77</v>
      </c>
      <c r="H1295" s="1" t="n">
        <v>1110203</v>
      </c>
      <c r="I1295" s="1" t="s">
        <v>108</v>
      </c>
      <c r="J1295" s="1" t="n">
        <v>1438962</v>
      </c>
      <c r="L1295" s="1" t="n">
        <v>194443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591.07</v>
      </c>
      <c r="W1295" s="1" t="n">
        <v>0</v>
      </c>
      <c r="X1295" s="0" t="s">
        <v>1098</v>
      </c>
      <c r="Z1295" s="0" t="str">
        <f aca="false">IF($T1295="","",IFERROR(INDEX('Resumo Grupos'!$AC$3:$AC$200,MATCH($T1295,'Resumo Grupos'!$AB$3:$AB$200,0)),"n/d"))</f>
        <v>Mercadoria</v>
      </c>
      <c r="AA1295" s="0" t="str">
        <f aca="false">IF($T1295="","",IF(COUNTIF('Resumo Grupos'!$AE$3:$AE$40,$T1295)&gt;0,"NAO","SIM"))</f>
        <v>SIM</v>
      </c>
    </row>
    <row r="1296" customFormat="false" ht="12.75" hidden="false" customHeight="false" outlineLevel="0" collapsed="false">
      <c r="A1296" s="1" t="n">
        <v>2</v>
      </c>
      <c r="B1296" s="22" t="n">
        <v>46245</v>
      </c>
      <c r="C1296" s="22" t="n">
        <v>46266</v>
      </c>
      <c r="D1296" s="1" t="n">
        <v>1259</v>
      </c>
      <c r="E1296" s="1" t="s">
        <v>1207</v>
      </c>
      <c r="F1296" s="1" t="n">
        <v>47</v>
      </c>
      <c r="G1296" s="1" t="s">
        <v>32</v>
      </c>
      <c r="H1296" s="1" t="n">
        <v>2110405</v>
      </c>
      <c r="I1296" s="1" t="s">
        <v>41</v>
      </c>
      <c r="J1296" s="1" t="n">
        <v>1532317</v>
      </c>
      <c r="L1296" s="1" t="n">
        <v>208731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56</v>
      </c>
      <c r="S1296" s="1" t="n">
        <v>4210209</v>
      </c>
      <c r="T1296" s="1" t="s">
        <v>605</v>
      </c>
      <c r="U1296" s="1" t="n">
        <v>200</v>
      </c>
      <c r="W1296" s="1" t="n">
        <v>0</v>
      </c>
      <c r="X1296" s="0" t="s">
        <v>1208</v>
      </c>
      <c r="Z1296" s="0" t="str">
        <f aca="false">IF($T1296="","",IFERROR(INDEX('Resumo Grupos'!$AC$3:$AC$200,MATCH($T1296,'Resumo Grupos'!$AB$3:$AB$200,0)),"n/d"))</f>
        <v>Despesa</v>
      </c>
      <c r="AA1296" s="0" t="str">
        <f aca="false">IF($T1296="","",IF(COUNTIF('Resumo Grupos'!$AE$3:$AE$40,$T1296)&gt;0,"NAO","SIM"))</f>
        <v>SIM</v>
      </c>
    </row>
    <row r="1297" customFormat="false" ht="12.75" hidden="false" customHeight="false" outlineLevel="0" collapsed="false">
      <c r="A1297" s="1" t="n">
        <v>2</v>
      </c>
      <c r="B1297" s="22" t="n">
        <v>46246</v>
      </c>
      <c r="C1297" s="22" t="n">
        <v>46266</v>
      </c>
      <c r="D1297" s="1" t="n">
        <v>875</v>
      </c>
      <c r="E1297" s="1" t="s">
        <v>73</v>
      </c>
      <c r="F1297" s="1" t="n">
        <v>47</v>
      </c>
      <c r="G1297" s="1" t="s">
        <v>32</v>
      </c>
      <c r="H1297" s="1" t="n">
        <v>2110405</v>
      </c>
      <c r="I1297" s="1" t="s">
        <v>41</v>
      </c>
      <c r="J1297" s="1" t="n">
        <v>1534947</v>
      </c>
      <c r="L1297" s="1" t="n">
        <v>209452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638.75</v>
      </c>
      <c r="W1297" s="1" t="n">
        <v>0</v>
      </c>
      <c r="X1297" s="0" t="s">
        <v>1209</v>
      </c>
      <c r="Z1297" s="0" t="str">
        <f aca="false">IF($T1297="","",IFERROR(INDEX('Resumo Grupos'!$AC$3:$AC$200,MATCH($T1297,'Resumo Grupos'!$AB$3:$AB$200,0)),"n/d"))</f>
        <v>Mercadoria</v>
      </c>
      <c r="AA1297" s="0" t="str">
        <f aca="false">IF($T1297="","",IF(COUNTIF('Resumo Grupos'!$AE$3:$AE$40,$T1297)&gt;0,"NAO","SIM"))</f>
        <v>SIM</v>
      </c>
    </row>
    <row r="1298" customFormat="false" ht="12.75" hidden="false" customHeight="false" outlineLevel="0" collapsed="false">
      <c r="A1298" s="1" t="n">
        <v>2</v>
      </c>
      <c r="B1298" s="22" t="n">
        <v>46251</v>
      </c>
      <c r="C1298" s="22" t="n">
        <v>46266</v>
      </c>
      <c r="D1298" s="1" t="n">
        <v>10017</v>
      </c>
      <c r="E1298" s="1" t="s">
        <v>168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1561240</v>
      </c>
      <c r="L1298" s="1" t="n">
        <v>212990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599.85</v>
      </c>
      <c r="W1298" s="1" t="n">
        <v>0</v>
      </c>
      <c r="X1298" s="0" t="s">
        <v>1210</v>
      </c>
      <c r="Z1298" s="0" t="str">
        <f aca="false">IF($T1298="","",IFERROR(INDEX('Resumo Grupos'!$AC$3:$AC$200,MATCH($T1298,'Resumo Grupos'!$AB$3:$AB$200,0)),"n/d"))</f>
        <v>Mercadoria</v>
      </c>
      <c r="AA1298" s="0" t="str">
        <f aca="false">IF($T1298="","",IF(COUNTIF('Resumo Grupos'!$AE$3:$AE$40,$T1298)&gt;0,"NAO","SIM"))</f>
        <v>SIM</v>
      </c>
    </row>
    <row r="1299" customFormat="false" ht="12.75" hidden="false" customHeight="false" outlineLevel="0" collapsed="false">
      <c r="A1299" s="1" t="n">
        <v>2</v>
      </c>
      <c r="B1299" s="22" t="n">
        <v>46246</v>
      </c>
      <c r="C1299" s="22" t="n">
        <v>46267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1534795</v>
      </c>
      <c r="L1299" s="1" t="n">
        <v>209428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1279.58</v>
      </c>
      <c r="W1299" s="1" t="n">
        <v>0</v>
      </c>
      <c r="X1299" s="0" t="s">
        <v>1188</v>
      </c>
      <c r="Z1299" s="0" t="str">
        <f aca="false">IF($T1299="","",IFERROR(INDEX('Resumo Grupos'!$AC$3:$AC$200,MATCH($T1299,'Resumo Grupos'!$AB$3:$AB$200,0)),"n/d"))</f>
        <v>Mercadoria</v>
      </c>
      <c r="AA1299" s="0" t="str">
        <f aca="false">IF($T1299="","",IF(COUNTIF('Resumo Grupos'!$AE$3:$AE$40,$T1299)&gt;0,"NAO","SIM"))</f>
        <v>SIM</v>
      </c>
    </row>
    <row r="1300" customFormat="false" ht="12.75" hidden="false" customHeight="false" outlineLevel="0" collapsed="false">
      <c r="A1300" s="1" t="n">
        <v>2</v>
      </c>
      <c r="B1300" s="22" t="n">
        <v>46246</v>
      </c>
      <c r="C1300" s="22" t="n">
        <v>46267</v>
      </c>
      <c r="D1300" s="1" t="n">
        <v>1634</v>
      </c>
      <c r="E1300" s="1" t="s">
        <v>261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1535495</v>
      </c>
      <c r="L1300" s="1" t="n">
        <v>209569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700.7</v>
      </c>
      <c r="W1300" s="1" t="n">
        <v>0</v>
      </c>
      <c r="X1300" s="0" t="s">
        <v>1189</v>
      </c>
      <c r="Z1300" s="0" t="str">
        <f aca="false">IF($T1300="","",IFERROR(INDEX('Resumo Grupos'!$AC$3:$AC$200,MATCH($T1300,'Resumo Grupos'!$AB$3:$AB$200,0)),"n/d"))</f>
        <v>Mercadoria</v>
      </c>
      <c r="AA1300" s="0" t="str">
        <f aca="false">IF($T1300="","",IF(COUNTIF('Resumo Grupos'!$AE$3:$AE$40,$T1300)&gt;0,"NAO","SIM"))</f>
        <v>SIM</v>
      </c>
    </row>
    <row r="1301" customFormat="false" ht="12.75" hidden="false" customHeight="false" outlineLevel="0" collapsed="false">
      <c r="A1301" s="1" t="n">
        <v>2</v>
      </c>
      <c r="B1301" s="22" t="n">
        <v>46246</v>
      </c>
      <c r="C1301" s="22" t="n">
        <v>46267</v>
      </c>
      <c r="D1301" s="1" t="n">
        <v>10010</v>
      </c>
      <c r="E1301" s="1" t="s">
        <v>728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1537384</v>
      </c>
      <c r="L1301" s="1" t="n">
        <v>209767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205.44</v>
      </c>
      <c r="W1301" s="1" t="n">
        <v>0</v>
      </c>
      <c r="X1301" s="0" t="s">
        <v>1211</v>
      </c>
      <c r="Z1301" s="0" t="str">
        <f aca="false">IF($T1301="","",IFERROR(INDEX('Resumo Grupos'!$AC$3:$AC$200,MATCH($T1301,'Resumo Grupos'!$AB$3:$AB$200,0)),"n/d"))</f>
        <v>Mercadoria</v>
      </c>
      <c r="AA1301" s="0" t="str">
        <f aca="false">IF($T1301="","",IF(COUNTIF('Resumo Grupos'!$AE$3:$AE$40,$T1301)&gt;0,"NAO","SIM"))</f>
        <v>SIM</v>
      </c>
    </row>
    <row r="1302" customFormat="false" ht="12.75" hidden="false" customHeight="false" outlineLevel="0" collapsed="false">
      <c r="A1302" s="1" t="n">
        <v>2</v>
      </c>
      <c r="B1302" s="22" t="n">
        <v>46247</v>
      </c>
      <c r="C1302" s="22" t="n">
        <v>46267</v>
      </c>
      <c r="D1302" s="1" t="n">
        <v>1624</v>
      </c>
      <c r="E1302" s="1" t="s">
        <v>300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1543912</v>
      </c>
      <c r="L1302" s="1" t="n">
        <v>210532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830.14</v>
      </c>
      <c r="W1302" s="1" t="n">
        <v>0</v>
      </c>
      <c r="X1302" s="0" t="s">
        <v>1212</v>
      </c>
      <c r="Z1302" s="0" t="str">
        <f aca="false">IF($T1302="","",IFERROR(INDEX('Resumo Grupos'!$AC$3:$AC$200,MATCH($T1302,'Resumo Grupos'!$AB$3:$AB$200,0)),"n/d"))</f>
        <v>Mercadoria</v>
      </c>
      <c r="AA1302" s="0" t="str">
        <f aca="false">IF($T1302="","",IF(COUNTIF('Resumo Grupos'!$AE$3:$AE$40,$T1302)&gt;0,"NAO","SIM"))</f>
        <v>SIM</v>
      </c>
    </row>
    <row r="1303" customFormat="false" ht="12.75" hidden="false" customHeight="false" outlineLevel="0" collapsed="false">
      <c r="A1303" s="1" t="n">
        <v>2</v>
      </c>
      <c r="B1303" s="22" t="n">
        <v>46248</v>
      </c>
      <c r="C1303" s="22" t="n">
        <v>46267</v>
      </c>
      <c r="D1303" s="1" t="n">
        <v>1613</v>
      </c>
      <c r="E1303" s="1" t="s">
        <v>94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1547487</v>
      </c>
      <c r="L1303" s="1" t="n">
        <v>211364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1164.76</v>
      </c>
      <c r="W1303" s="1" t="n">
        <v>0</v>
      </c>
      <c r="X1303" s="0" t="s">
        <v>1192</v>
      </c>
      <c r="Z1303" s="0" t="str">
        <f aca="false">IF($T1303="","",IFERROR(INDEX('Resumo Grupos'!$AC$3:$AC$200,MATCH($T1303,'Resumo Grupos'!$AB$3:$AB$200,0)),"n/d"))</f>
        <v>Mercadoria</v>
      </c>
      <c r="AA1303" s="0" t="str">
        <f aca="false">IF($T1303="","",IF(COUNTIF('Resumo Grupos'!$AE$3:$AE$40,$T1303)&gt;0,"NAO","SIM"))</f>
        <v>SIM</v>
      </c>
    </row>
    <row r="1304" customFormat="false" ht="12.75" hidden="false" customHeight="false" outlineLevel="0" collapsed="false">
      <c r="A1304" s="1" t="n">
        <v>2</v>
      </c>
      <c r="B1304" s="22" t="n">
        <v>46241</v>
      </c>
      <c r="C1304" s="22" t="n">
        <v>46268</v>
      </c>
      <c r="D1304" s="1" t="n">
        <v>794</v>
      </c>
      <c r="E1304" s="1" t="s">
        <v>305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1514442</v>
      </c>
      <c r="L1304" s="1" t="n">
        <v>206014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56</v>
      </c>
      <c r="S1304" s="1" t="n">
        <v>4210299</v>
      </c>
      <c r="T1304" s="1" t="s">
        <v>115</v>
      </c>
      <c r="U1304" s="1" t="n">
        <v>520.46</v>
      </c>
      <c r="W1304" s="1" t="n">
        <v>0</v>
      </c>
      <c r="X1304" s="0" t="s">
        <v>1162</v>
      </c>
      <c r="Z1304" s="0" t="str">
        <f aca="false">IF($T1304="","",IFERROR(INDEX('Resumo Grupos'!$AC$3:$AC$200,MATCH($T1304,'Resumo Grupos'!$AB$3:$AB$200,0)),"n/d"))</f>
        <v>Despesa</v>
      </c>
      <c r="AA1304" s="0" t="str">
        <f aca="false">IF($T1304="","",IF(COUNTIF('Resumo Grupos'!$AE$3:$AE$40,$T1304)&gt;0,"NAO","SIM"))</f>
        <v>SIM</v>
      </c>
    </row>
    <row r="1305" customFormat="false" ht="12.75" hidden="false" customHeight="false" outlineLevel="0" collapsed="false">
      <c r="A1305" s="1" t="n">
        <v>2</v>
      </c>
      <c r="B1305" s="22" t="n">
        <v>46241</v>
      </c>
      <c r="C1305" s="22" t="n">
        <v>46268</v>
      </c>
      <c r="D1305" s="1" t="n">
        <v>1705</v>
      </c>
      <c r="E1305" s="1" t="s">
        <v>119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1514117</v>
      </c>
      <c r="L1305" s="1" t="n">
        <v>205956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77.62</v>
      </c>
      <c r="W1305" s="1" t="n">
        <v>0</v>
      </c>
      <c r="X1305" s="0" t="s">
        <v>1213</v>
      </c>
      <c r="Z1305" s="0" t="str">
        <f aca="false">IF($T1305="","",IFERROR(INDEX('Resumo Grupos'!$AC$3:$AC$200,MATCH($T1305,'Resumo Grupos'!$AB$3:$AB$200,0)),"n/d"))</f>
        <v>Mercadoria</v>
      </c>
      <c r="AA1305" s="0" t="str">
        <f aca="false">IF($T1305="","",IF(COUNTIF('Resumo Grupos'!$AE$3:$AE$40,$T1305)&gt;0,"NAO","SIM"))</f>
        <v>SIM</v>
      </c>
    </row>
    <row r="1306" customFormat="false" ht="12.75" hidden="false" customHeight="false" outlineLevel="0" collapsed="false">
      <c r="A1306" s="1" t="n">
        <v>2</v>
      </c>
      <c r="B1306" s="22" t="n">
        <v>46247</v>
      </c>
      <c r="C1306" s="22" t="n">
        <v>46268</v>
      </c>
      <c r="D1306" s="1" t="n">
        <v>1608</v>
      </c>
      <c r="E1306" s="1" t="s">
        <v>201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1540762</v>
      </c>
      <c r="L1306" s="1" t="n">
        <v>210179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692.26</v>
      </c>
      <c r="W1306" s="1" t="n">
        <v>0</v>
      </c>
      <c r="X1306" s="0" t="s">
        <v>1193</v>
      </c>
      <c r="Z1306" s="0" t="str">
        <f aca="false">IF($T1306="","",IFERROR(INDEX('Resumo Grupos'!$AC$3:$AC$200,MATCH($T1306,'Resumo Grupos'!$AB$3:$AB$200,0)),"n/d"))</f>
        <v>Mercadoria</v>
      </c>
      <c r="AA1306" s="0" t="str">
        <f aca="false">IF($T1306="","",IF(COUNTIF('Resumo Grupos'!$AE$3:$AE$40,$T1306)&gt;0,"NAO","SIM"))</f>
        <v>SIM</v>
      </c>
    </row>
    <row r="1307" customFormat="false" ht="12.75" hidden="false" customHeight="false" outlineLevel="0" collapsed="false">
      <c r="A1307" s="1" t="n">
        <v>2</v>
      </c>
      <c r="B1307" s="22" t="n">
        <v>46247</v>
      </c>
      <c r="C1307" s="22" t="n">
        <v>46268</v>
      </c>
      <c r="D1307" s="1" t="n">
        <v>1667</v>
      </c>
      <c r="E1307" s="1" t="s">
        <v>82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1540925</v>
      </c>
      <c r="L1307" s="1" t="n">
        <v>210243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668.78</v>
      </c>
      <c r="W1307" s="1" t="n">
        <v>0</v>
      </c>
      <c r="X1307" s="0" t="s">
        <v>1194</v>
      </c>
      <c r="Z1307" s="0" t="str">
        <f aca="false">IF($T1307="","",IFERROR(INDEX('Resumo Grupos'!$AC$3:$AC$200,MATCH($T1307,'Resumo Grupos'!$AB$3:$AB$200,0)),"n/d"))</f>
        <v>Mercadoria</v>
      </c>
      <c r="AA1307" s="0" t="str">
        <f aca="false">IF($T1307="","",IF(COUNTIF('Resumo Grupos'!$AE$3:$AE$40,$T1307)&gt;0,"NAO","SIM"))</f>
        <v>SIM</v>
      </c>
    </row>
    <row r="1308" customFormat="false" ht="12.75" hidden="false" customHeight="false" outlineLevel="0" collapsed="false">
      <c r="A1308" s="1" t="n">
        <v>2</v>
      </c>
      <c r="B1308" s="22" t="n">
        <v>46248</v>
      </c>
      <c r="C1308" s="22" t="n">
        <v>46268</v>
      </c>
      <c r="D1308" s="1" t="n">
        <v>1720</v>
      </c>
      <c r="E1308" s="1" t="s">
        <v>743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1545774</v>
      </c>
      <c r="L1308" s="1" t="n">
        <v>211087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1130.5</v>
      </c>
      <c r="W1308" s="1" t="n">
        <v>0</v>
      </c>
      <c r="X1308" s="0" t="s">
        <v>1214</v>
      </c>
      <c r="Z1308" s="0" t="str">
        <f aca="false">IF($T1308="","",IFERROR(INDEX('Resumo Grupos'!$AC$3:$AC$200,MATCH($T1308,'Resumo Grupos'!$AB$3:$AB$200,0)),"n/d"))</f>
        <v>Mercadoria</v>
      </c>
      <c r="AA1308" s="0" t="str">
        <f aca="false">IF($T1308="","",IF(COUNTIF('Resumo Grupos'!$AE$3:$AE$40,$T1308)&gt;0,"NAO","SIM"))</f>
        <v>SIM</v>
      </c>
    </row>
    <row r="1309" customFormat="false" ht="12.75" hidden="false" customHeight="false" outlineLevel="0" collapsed="false">
      <c r="A1309" s="1" t="n">
        <v>2</v>
      </c>
      <c r="B1309" s="22" t="n">
        <v>46251</v>
      </c>
      <c r="C1309" s="22" t="n">
        <v>46268</v>
      </c>
      <c r="D1309" s="1" t="n">
        <v>1657</v>
      </c>
      <c r="E1309" s="1" t="s">
        <v>1215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1562800</v>
      </c>
      <c r="L1309" s="1" t="n">
        <v>213295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1120.76</v>
      </c>
      <c r="W1309" s="1" t="n">
        <v>0</v>
      </c>
      <c r="X1309" s="0" t="s">
        <v>1216</v>
      </c>
      <c r="Z1309" s="0" t="str">
        <f aca="false">IF($T1309="","",IFERROR(INDEX('Resumo Grupos'!$AC$3:$AC$200,MATCH($T1309,'Resumo Grupos'!$AB$3:$AB$200,0)),"n/d"))</f>
        <v>Mercadoria</v>
      </c>
      <c r="AA1309" s="0" t="str">
        <f aca="false">IF($T1309="","",IF(COUNTIF('Resumo Grupos'!$AE$3:$AE$40,$T1309)&gt;0,"NAO","SIM"))</f>
        <v>SIM</v>
      </c>
    </row>
    <row r="1310" customFormat="false" ht="12.75" hidden="false" customHeight="false" outlineLevel="0" collapsed="false">
      <c r="A1310" s="1" t="n">
        <v>2</v>
      </c>
      <c r="B1310" s="22" t="n">
        <v>46209</v>
      </c>
      <c r="C1310" s="22" t="n">
        <v>46269</v>
      </c>
      <c r="D1310" s="1" t="n">
        <v>1768</v>
      </c>
      <c r="E1310" s="1" t="s">
        <v>345</v>
      </c>
      <c r="F1310" s="1" t="n">
        <v>34</v>
      </c>
      <c r="G1310" s="1" t="s">
        <v>97</v>
      </c>
      <c r="H1310" s="1" t="n">
        <v>1110202</v>
      </c>
      <c r="I1310" s="1" t="s">
        <v>346</v>
      </c>
      <c r="J1310" s="1" t="n">
        <v>628286</v>
      </c>
      <c r="L1310" s="1" t="n">
        <v>81552</v>
      </c>
      <c r="M1310" s="1" t="s">
        <v>34</v>
      </c>
      <c r="N1310" s="1" t="s">
        <v>35</v>
      </c>
      <c r="P1310" s="1" t="n">
        <v>102</v>
      </c>
      <c r="Q1310" s="1" t="s">
        <v>282</v>
      </c>
      <c r="R1310" s="1" t="s">
        <v>56</v>
      </c>
      <c r="S1310" s="1" t="n">
        <v>4210202</v>
      </c>
      <c r="T1310" s="1" t="s">
        <v>347</v>
      </c>
      <c r="U1310" s="1" t="n">
        <v>2431.5</v>
      </c>
      <c r="W1310" s="1" t="n">
        <v>0</v>
      </c>
      <c r="X1310" s="0" t="s">
        <v>348</v>
      </c>
      <c r="Z1310" s="0" t="str">
        <f aca="false">IF($T1310="","",IFERROR(INDEX('Resumo Grupos'!$AC$3:$AC$200,MATCH($T1310,'Resumo Grupos'!$AB$3:$AB$200,0)),"n/d"))</f>
        <v>Despesa</v>
      </c>
      <c r="AA1310" s="0" t="str">
        <f aca="false">IF($T1310="","",IF(COUNTIF('Resumo Grupos'!$AE$3:$AE$40,$T1310)&gt;0,"NAO","SIM"))</f>
        <v>SIM</v>
      </c>
    </row>
    <row r="1311" customFormat="false" ht="12.75" hidden="false" customHeight="false" outlineLevel="0" collapsed="false">
      <c r="A1311" s="1" t="n">
        <v>2</v>
      </c>
      <c r="B1311" s="22" t="n">
        <v>46238</v>
      </c>
      <c r="C1311" s="22" t="n">
        <v>46269</v>
      </c>
      <c r="D1311" s="1" t="n">
        <v>862</v>
      </c>
      <c r="E1311" s="1" t="s">
        <v>284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1498421</v>
      </c>
      <c r="L1311" s="1" t="n">
        <v>202608</v>
      </c>
      <c r="M1311" s="1" t="s">
        <v>74</v>
      </c>
      <c r="N1311" s="1" t="s">
        <v>35</v>
      </c>
      <c r="P1311" s="1" t="n">
        <v>101</v>
      </c>
      <c r="Q1311" s="1" t="s">
        <v>42</v>
      </c>
      <c r="R1311" s="1" t="s">
        <v>56</v>
      </c>
      <c r="S1311" s="1" t="n">
        <v>4210233</v>
      </c>
      <c r="T1311" s="1" t="s">
        <v>186</v>
      </c>
      <c r="U1311" s="1" t="n">
        <v>270.9</v>
      </c>
      <c r="W1311" s="1" t="n">
        <v>0</v>
      </c>
      <c r="Z1311" s="0" t="str">
        <f aca="false">IF($T1311="","",IFERROR(INDEX('Resumo Grupos'!$AC$3:$AC$200,MATCH($T1311,'Resumo Grupos'!$AB$3:$AB$200,0)),"n/d"))</f>
        <v>Despesa</v>
      </c>
      <c r="AA1311" s="0" t="str">
        <f aca="false">IF($T1311="","",IF(COUNTIF('Resumo Grupos'!$AE$3:$AE$40,$T1311)&gt;0,"NAO","SIM"))</f>
        <v>SIM</v>
      </c>
    </row>
    <row r="1312" customFormat="false" ht="12.75" hidden="false" customHeight="false" outlineLevel="0" collapsed="false">
      <c r="A1312" s="1" t="n">
        <v>2</v>
      </c>
      <c r="B1312" s="22" t="n">
        <v>46247</v>
      </c>
      <c r="C1312" s="22" t="n">
        <v>46269</v>
      </c>
      <c r="D1312" s="1" t="n">
        <v>1136</v>
      </c>
      <c r="E1312" s="1" t="s">
        <v>1011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1543200</v>
      </c>
      <c r="L1312" s="1" t="n">
        <v>210474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1393.49</v>
      </c>
      <c r="W1312" s="1" t="n">
        <v>0</v>
      </c>
      <c r="X1312" s="0" t="s">
        <v>1217</v>
      </c>
      <c r="Z1312" s="0" t="str">
        <f aca="false">IF($T1312="","",IFERROR(INDEX('Resumo Grupos'!$AC$3:$AC$200,MATCH($T1312,'Resumo Grupos'!$AB$3:$AB$200,0)),"n/d"))</f>
        <v>Mercadoria</v>
      </c>
      <c r="AA1312" s="0" t="str">
        <f aca="false">IF($T1312="","",IF(COUNTIF('Resumo Grupos'!$AE$3:$AE$40,$T1312)&gt;0,"NAO","SIM"))</f>
        <v>SIM</v>
      </c>
    </row>
    <row r="1313" customFormat="false" ht="12.75" hidden="false" customHeight="false" outlineLevel="0" collapsed="false">
      <c r="A1313" s="1" t="n">
        <v>2</v>
      </c>
      <c r="B1313" s="22" t="n">
        <v>46249</v>
      </c>
      <c r="C1313" s="22" t="n">
        <v>46269</v>
      </c>
      <c r="D1313" s="1" t="n">
        <v>1636</v>
      </c>
      <c r="E1313" s="1" t="s">
        <v>85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1551860</v>
      </c>
      <c r="L1313" s="1" t="n">
        <v>211776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748.32</v>
      </c>
      <c r="W1313" s="1" t="n">
        <v>0</v>
      </c>
      <c r="X1313" s="0" t="s">
        <v>1218</v>
      </c>
      <c r="Z1313" s="0" t="str">
        <f aca="false">IF($T1313="","",IFERROR(INDEX('Resumo Grupos'!$AC$3:$AC$200,MATCH($T1313,'Resumo Grupos'!$AB$3:$AB$200,0)),"n/d"))</f>
        <v>Mercadoria</v>
      </c>
      <c r="AA1313" s="0" t="str">
        <f aca="false">IF($T1313="","",IF(COUNTIF('Resumo Grupos'!$AE$3:$AE$40,$T1313)&gt;0,"NAO","SIM"))</f>
        <v>SIM</v>
      </c>
    </row>
    <row r="1314" customFormat="false" ht="12.75" hidden="false" customHeight="false" outlineLevel="0" collapsed="false">
      <c r="A1314" s="1" t="n">
        <v>2</v>
      </c>
      <c r="B1314" s="22" t="n">
        <v>46244</v>
      </c>
      <c r="C1314" s="22" t="n">
        <v>46270</v>
      </c>
      <c r="D1314" s="1" t="n">
        <v>33</v>
      </c>
      <c r="E1314" s="1" t="s">
        <v>272</v>
      </c>
      <c r="F1314" s="1" t="n">
        <v>34</v>
      </c>
      <c r="G1314" s="1" t="s">
        <v>97</v>
      </c>
      <c r="H1314" s="1" t="n">
        <v>2110405</v>
      </c>
      <c r="I1314" s="1" t="s">
        <v>41</v>
      </c>
      <c r="J1314" s="1" t="n">
        <v>1530158</v>
      </c>
      <c r="L1314" s="1" t="n">
        <v>208205</v>
      </c>
      <c r="M1314" s="1" t="s">
        <v>83</v>
      </c>
      <c r="N1314" s="1" t="s">
        <v>35</v>
      </c>
      <c r="P1314" s="1" t="n">
        <v>101</v>
      </c>
      <c r="Q1314" s="1" t="s">
        <v>42</v>
      </c>
      <c r="R1314" s="1" t="s">
        <v>100</v>
      </c>
      <c r="S1314" s="1" t="n">
        <v>4210301</v>
      </c>
      <c r="T1314" s="1" t="s">
        <v>230</v>
      </c>
      <c r="U1314" s="1" t="n">
        <v>250.1</v>
      </c>
      <c r="W1314" s="1" t="n">
        <v>0</v>
      </c>
      <c r="X1314" s="0" t="s">
        <v>1219</v>
      </c>
      <c r="Z1314" s="0" t="str">
        <f aca="false">IF($T1314="","",IFERROR(INDEX('Resumo Grupos'!$AC$3:$AC$200,MATCH($T1314,'Resumo Grupos'!$AB$3:$AB$200,0)),"n/d"))</f>
        <v>Salários</v>
      </c>
      <c r="AA1314" s="0" t="str">
        <f aca="false">IF($T1314="","",IF(COUNTIF('Resumo Grupos'!$AE$3:$AE$40,$T1314)&gt;0,"NAO","SIM"))</f>
        <v>SIM</v>
      </c>
    </row>
    <row r="1315" customFormat="false" ht="12.75" hidden="false" customHeight="false" outlineLevel="0" collapsed="false">
      <c r="A1315" s="1" t="n">
        <v>2</v>
      </c>
      <c r="B1315" s="22" t="n">
        <v>46248</v>
      </c>
      <c r="C1315" s="22" t="n">
        <v>46270</v>
      </c>
      <c r="D1315" s="1" t="n">
        <v>1718</v>
      </c>
      <c r="E1315" s="1" t="s">
        <v>199</v>
      </c>
      <c r="F1315" s="1" t="n">
        <v>24</v>
      </c>
      <c r="G1315" s="1" t="s">
        <v>77</v>
      </c>
      <c r="H1315" s="1" t="n">
        <v>2110405</v>
      </c>
      <c r="I1315" s="1" t="s">
        <v>41</v>
      </c>
      <c r="J1315" s="1" t="n">
        <v>1547755</v>
      </c>
      <c r="L1315" s="1" t="n">
        <v>211394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706.56</v>
      </c>
      <c r="W1315" s="1" t="n">
        <v>0</v>
      </c>
      <c r="X1315" s="0" t="s">
        <v>1200</v>
      </c>
      <c r="Z1315" s="0" t="str">
        <f aca="false">IF($T1315="","",IFERROR(INDEX('Resumo Grupos'!$AC$3:$AC$200,MATCH($T1315,'Resumo Grupos'!$AB$3:$AB$200,0)),"n/d"))</f>
        <v>Mercadoria</v>
      </c>
      <c r="AA1315" s="0" t="str">
        <f aca="false">IF($T1315="","",IF(COUNTIF('Resumo Grupos'!$AE$3:$AE$40,$T1315)&gt;0,"NAO","SIM"))</f>
        <v>SIM</v>
      </c>
    </row>
    <row r="1316" customFormat="false" ht="12.75" hidden="false" customHeight="false" outlineLevel="0" collapsed="false">
      <c r="A1316" s="1" t="n">
        <v>2</v>
      </c>
      <c r="B1316" s="22" t="n">
        <v>46249</v>
      </c>
      <c r="C1316" s="22" t="n">
        <v>46270</v>
      </c>
      <c r="D1316" s="1" t="n">
        <v>1718</v>
      </c>
      <c r="E1316" s="1" t="s">
        <v>199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1551498</v>
      </c>
      <c r="L1316" s="1" t="n">
        <v>211718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1422.67</v>
      </c>
      <c r="W1316" s="1" t="n">
        <v>0</v>
      </c>
      <c r="X1316" s="0" t="s">
        <v>1201</v>
      </c>
      <c r="Z1316" s="0" t="str">
        <f aca="false">IF($T1316="","",IFERROR(INDEX('Resumo Grupos'!$AC$3:$AC$200,MATCH($T1316,'Resumo Grupos'!$AB$3:$AB$200,0)),"n/d"))</f>
        <v>Mercadoria</v>
      </c>
      <c r="AA1316" s="0" t="str">
        <f aca="false">IF($T1316="","",IF(COUNTIF('Resumo Grupos'!$AE$3:$AE$40,$T1316)&gt;0,"NAO","SIM"))</f>
        <v>SIM</v>
      </c>
    </row>
    <row r="1317" customFormat="false" ht="12.75" hidden="false" customHeight="false" outlineLevel="0" collapsed="false">
      <c r="A1317" s="1" t="n">
        <v>2</v>
      </c>
      <c r="B1317" s="22" t="n">
        <v>46232</v>
      </c>
      <c r="C1317" s="22" t="n">
        <v>46272</v>
      </c>
      <c r="D1317" s="1" t="n">
        <v>1932</v>
      </c>
      <c r="E1317" s="1" t="s">
        <v>256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1469462</v>
      </c>
      <c r="L1317" s="1" t="n">
        <v>199057</v>
      </c>
      <c r="M1317" s="1" t="s">
        <v>74</v>
      </c>
      <c r="N1317" s="1" t="s">
        <v>35</v>
      </c>
      <c r="P1317" s="1" t="n">
        <v>101</v>
      </c>
      <c r="Q1317" s="1" t="s">
        <v>42</v>
      </c>
      <c r="R1317" s="1" t="s">
        <v>100</v>
      </c>
      <c r="S1317" s="1" t="n">
        <v>4210315</v>
      </c>
      <c r="T1317" s="1" t="s">
        <v>257</v>
      </c>
      <c r="U1317" s="1" t="n">
        <v>119.97</v>
      </c>
      <c r="W1317" s="1" t="n">
        <v>0</v>
      </c>
      <c r="X1317" s="0" t="s">
        <v>1043</v>
      </c>
      <c r="Z1317" s="0" t="str">
        <f aca="false">IF($T1317="","",IFERROR(INDEX('Resumo Grupos'!$AC$3:$AC$200,MATCH($T1317,'Resumo Grupos'!$AB$3:$AB$200,0)),"n/d"))</f>
        <v>Despesa</v>
      </c>
      <c r="AA1317" s="0" t="str">
        <f aca="false">IF($T1317="","",IF(COUNTIF('Resumo Grupos'!$AE$3:$AE$40,$T1317)&gt;0,"NAO","SIM"))</f>
        <v>SIM</v>
      </c>
    </row>
    <row r="1318" customFormat="false" ht="12.75" hidden="false" customHeight="false" outlineLevel="0" collapsed="false">
      <c r="A1318" s="1" t="n">
        <v>2</v>
      </c>
      <c r="B1318" s="22" t="n">
        <v>46246</v>
      </c>
      <c r="C1318" s="22" t="n">
        <v>46272</v>
      </c>
      <c r="D1318" s="1" t="n">
        <v>1668</v>
      </c>
      <c r="E1318" s="1" t="s">
        <v>123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1534508</v>
      </c>
      <c r="L1318" s="1" t="n">
        <v>209393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509.85</v>
      </c>
      <c r="W1318" s="1" t="n">
        <v>0</v>
      </c>
      <c r="X1318" s="0" t="s">
        <v>1220</v>
      </c>
      <c r="Z1318" s="0" t="str">
        <f aca="false">IF($T1318="","",IFERROR(INDEX('Resumo Grupos'!$AC$3:$AC$200,MATCH($T1318,'Resumo Grupos'!$AB$3:$AB$200,0)),"n/d"))</f>
        <v>Mercadoria</v>
      </c>
      <c r="AA1318" s="0" t="str">
        <f aca="false">IF($T1318="","",IF(COUNTIF('Resumo Grupos'!$AE$3:$AE$40,$T1318)&gt;0,"NAO","SIM"))</f>
        <v>SIM</v>
      </c>
    </row>
    <row r="1319" customFormat="false" ht="12.75" hidden="false" customHeight="false" outlineLevel="0" collapsed="false">
      <c r="A1319" s="1" t="n">
        <v>2</v>
      </c>
      <c r="B1319" s="22" t="n">
        <v>46247</v>
      </c>
      <c r="C1319" s="22" t="n">
        <v>46272</v>
      </c>
      <c r="D1319" s="1" t="n">
        <v>1671</v>
      </c>
      <c r="E1319" s="1" t="s">
        <v>88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1543021</v>
      </c>
      <c r="L1319" s="1" t="n">
        <v>210470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271.2</v>
      </c>
      <c r="W1319" s="1" t="n">
        <v>0</v>
      </c>
      <c r="X1319" s="0" t="s">
        <v>1221</v>
      </c>
      <c r="Z1319" s="0" t="str">
        <f aca="false">IF($T1319="","",IFERROR(INDEX('Resumo Grupos'!$AC$3:$AC$200,MATCH($T1319,'Resumo Grupos'!$AB$3:$AB$200,0)),"n/d"))</f>
        <v>Mercadoria</v>
      </c>
      <c r="AA1319" s="0" t="str">
        <f aca="false">IF($T1319="","",IF(COUNTIF('Resumo Grupos'!$AE$3:$AE$40,$T1319)&gt;0,"NAO","SIM"))</f>
        <v>SIM</v>
      </c>
    </row>
    <row r="1320" customFormat="false" ht="12.75" hidden="false" customHeight="false" outlineLevel="0" collapsed="false">
      <c r="A1320" s="1" t="n">
        <v>2</v>
      </c>
      <c r="B1320" s="22" t="n">
        <v>46251</v>
      </c>
      <c r="C1320" s="22" t="n">
        <v>46272</v>
      </c>
      <c r="D1320" s="1" t="n">
        <v>1921</v>
      </c>
      <c r="E1320" s="1" t="s">
        <v>166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1562668</v>
      </c>
      <c r="L1320" s="1" t="n">
        <v>213270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691.91</v>
      </c>
      <c r="W1320" s="1" t="n">
        <v>0</v>
      </c>
      <c r="X1320" s="0" t="s">
        <v>1222</v>
      </c>
      <c r="Z1320" s="0" t="str">
        <f aca="false">IF($T1320="","",IFERROR(INDEX('Resumo Grupos'!$AC$3:$AC$200,MATCH($T1320,'Resumo Grupos'!$AB$3:$AB$200,0)),"n/d"))</f>
        <v>Mercadoria</v>
      </c>
      <c r="AA1320" s="0" t="str">
        <f aca="false">IF($T1320="","",IF(COUNTIF('Resumo Grupos'!$AE$3:$AE$40,$T1320)&gt;0,"NAO","SIM"))</f>
        <v>SIM</v>
      </c>
    </row>
    <row r="1321" customFormat="false" ht="12.75" hidden="false" customHeight="false" outlineLevel="0" collapsed="false">
      <c r="A1321" s="1" t="n">
        <v>2</v>
      </c>
      <c r="B1321" s="22" t="n">
        <v>46251</v>
      </c>
      <c r="C1321" s="22" t="n">
        <v>46272</v>
      </c>
      <c r="D1321" s="1" t="n">
        <v>1636</v>
      </c>
      <c r="E1321" s="1" t="s">
        <v>85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1562691</v>
      </c>
      <c r="L1321" s="1" t="n">
        <v>213277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1352.12</v>
      </c>
      <c r="W1321" s="1" t="n">
        <v>0</v>
      </c>
      <c r="X1321" s="0" t="s">
        <v>1223</v>
      </c>
      <c r="Z1321" s="0" t="str">
        <f aca="false">IF($T1321="","",IFERROR(INDEX('Resumo Grupos'!$AC$3:$AC$200,MATCH($T1321,'Resumo Grupos'!$AB$3:$AB$200,0)),"n/d"))</f>
        <v>Mercadoria</v>
      </c>
      <c r="AA1321" s="0" t="str">
        <f aca="false">IF($T1321="","",IF(COUNTIF('Resumo Grupos'!$AE$3:$AE$40,$T1321)&gt;0,"NAO","SIM"))</f>
        <v>SIM</v>
      </c>
    </row>
    <row r="1322" customFormat="false" ht="12.75" hidden="false" customHeight="false" outlineLevel="0" collapsed="false">
      <c r="A1322" s="1" t="n">
        <v>2</v>
      </c>
      <c r="B1322" s="22" t="n">
        <v>46239</v>
      </c>
      <c r="C1322" s="22" t="n">
        <v>46273</v>
      </c>
      <c r="D1322" s="1" t="n">
        <v>1637</v>
      </c>
      <c r="E1322" s="1" t="s">
        <v>764</v>
      </c>
      <c r="F1322" s="1" t="n">
        <v>24</v>
      </c>
      <c r="G1322" s="1" t="s">
        <v>77</v>
      </c>
      <c r="H1322" s="1" t="n">
        <v>1110203</v>
      </c>
      <c r="I1322" s="1" t="s">
        <v>108</v>
      </c>
      <c r="J1322" s="1" t="n">
        <v>1503931</v>
      </c>
      <c r="L1322" s="1" t="n">
        <v>204198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1184.7</v>
      </c>
      <c r="W1322" s="1" t="n">
        <v>0</v>
      </c>
      <c r="X1322" s="0" t="s">
        <v>1224</v>
      </c>
      <c r="Z1322" s="0" t="str">
        <f aca="false">IF($T1322="","",IFERROR(INDEX('Resumo Grupos'!$AC$3:$AC$200,MATCH($T1322,'Resumo Grupos'!$AB$3:$AB$200,0)),"n/d"))</f>
        <v>Mercadoria</v>
      </c>
      <c r="AA1322" s="0" t="str">
        <f aca="false">IF($T1322="","",IF(COUNTIF('Resumo Grupos'!$AE$3:$AE$40,$T1322)&gt;0,"NAO","SIM"))</f>
        <v>SIM</v>
      </c>
    </row>
    <row r="1323" customFormat="false" ht="12.75" hidden="false" customHeight="false" outlineLevel="0" collapsed="false">
      <c r="A1323" s="1" t="n">
        <v>2</v>
      </c>
      <c r="B1323" s="22" t="n">
        <v>46251</v>
      </c>
      <c r="C1323" s="22" t="n">
        <v>46273</v>
      </c>
      <c r="D1323" s="1" t="n">
        <v>10017</v>
      </c>
      <c r="E1323" s="1" t="s">
        <v>168</v>
      </c>
      <c r="F1323" s="1" t="n">
        <v>24</v>
      </c>
      <c r="G1323" s="1" t="s">
        <v>77</v>
      </c>
      <c r="H1323" s="1" t="n">
        <v>2110405</v>
      </c>
      <c r="I1323" s="1" t="s">
        <v>41</v>
      </c>
      <c r="J1323" s="1" t="n">
        <v>1561245</v>
      </c>
      <c r="L1323" s="1" t="n">
        <v>212996</v>
      </c>
      <c r="M1323" s="1" t="s">
        <v>83</v>
      </c>
      <c r="N1323" s="1" t="s">
        <v>35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599.85</v>
      </c>
      <c r="W1323" s="1" t="n">
        <v>0</v>
      </c>
      <c r="X1323" s="0" t="s">
        <v>1210</v>
      </c>
      <c r="Z1323" s="0" t="str">
        <f aca="false">IF($T1323="","",IFERROR(INDEX('Resumo Grupos'!$AC$3:$AC$200,MATCH($T1323,'Resumo Grupos'!$AB$3:$AB$200,0)),"n/d"))</f>
        <v>Mercadoria</v>
      </c>
      <c r="AA1323" s="0" t="str">
        <f aca="false">IF($T1323="","",IF(COUNTIF('Resumo Grupos'!$AE$3:$AE$40,$T1323)&gt;0,"NAO","SIM"))</f>
        <v>SIM</v>
      </c>
    </row>
    <row r="1324" customFormat="false" ht="12.75" hidden="false" customHeight="false" outlineLevel="0" collapsed="false">
      <c r="A1324" s="1" t="n">
        <v>2</v>
      </c>
      <c r="B1324" s="22" t="n">
        <v>46246</v>
      </c>
      <c r="C1324" s="22" t="n">
        <v>46274</v>
      </c>
      <c r="D1324" s="1" t="n">
        <v>1608</v>
      </c>
      <c r="E1324" s="1" t="s">
        <v>201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1534806</v>
      </c>
      <c r="L1324" s="1" t="n">
        <v>209429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1279.58</v>
      </c>
      <c r="W1324" s="1" t="n">
        <v>0</v>
      </c>
      <c r="X1324" s="0" t="s">
        <v>1188</v>
      </c>
      <c r="Z1324" s="0" t="str">
        <f aca="false">IF($T1324="","",IFERROR(INDEX('Resumo Grupos'!$AC$3:$AC$200,MATCH($T1324,'Resumo Grupos'!$AB$3:$AB$200,0)),"n/d"))</f>
        <v>Mercadoria</v>
      </c>
      <c r="AA1324" s="0" t="str">
        <f aca="false">IF($T1324="","",IF(COUNTIF('Resumo Grupos'!$AE$3:$AE$40,$T1324)&gt;0,"NAO","SIM"))</f>
        <v>SIM</v>
      </c>
    </row>
    <row r="1325" customFormat="false" ht="12.75" hidden="false" customHeight="false" outlineLevel="0" collapsed="false">
      <c r="A1325" s="1" t="n">
        <v>2</v>
      </c>
      <c r="B1325" s="22" t="n">
        <v>46247</v>
      </c>
      <c r="C1325" s="22" t="n">
        <v>46274</v>
      </c>
      <c r="D1325" s="1" t="n">
        <v>1624</v>
      </c>
      <c r="E1325" s="1" t="s">
        <v>300</v>
      </c>
      <c r="F1325" s="1" t="n">
        <v>24</v>
      </c>
      <c r="G1325" s="1" t="s">
        <v>77</v>
      </c>
      <c r="H1325" s="1" t="n">
        <v>2110405</v>
      </c>
      <c r="I1325" s="1" t="s">
        <v>41</v>
      </c>
      <c r="J1325" s="1" t="n">
        <v>1543917</v>
      </c>
      <c r="L1325" s="1" t="n">
        <v>210534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830.13</v>
      </c>
      <c r="W1325" s="1" t="n">
        <v>0</v>
      </c>
      <c r="X1325" s="0" t="s">
        <v>1212</v>
      </c>
      <c r="Z1325" s="0" t="str">
        <f aca="false">IF($T1325="","",IFERROR(INDEX('Resumo Grupos'!$AC$3:$AC$200,MATCH($T1325,'Resumo Grupos'!$AB$3:$AB$200,0)),"n/d"))</f>
        <v>Mercadoria</v>
      </c>
      <c r="AA1325" s="0" t="str">
        <f aca="false">IF($T1325="","",IF(COUNTIF('Resumo Grupos'!$AE$3:$AE$40,$T1325)&gt;0,"NAO","SIM"))</f>
        <v>SIM</v>
      </c>
    </row>
    <row r="1326" customFormat="false" ht="12.75" hidden="false" customHeight="false" outlineLevel="0" collapsed="false">
      <c r="A1326" s="1" t="n">
        <v>2</v>
      </c>
      <c r="B1326" s="22" t="n">
        <v>46191</v>
      </c>
      <c r="C1326" s="22" t="n">
        <v>46275</v>
      </c>
      <c r="D1326" s="1" t="n">
        <v>957</v>
      </c>
      <c r="E1326" s="1" t="s">
        <v>554</v>
      </c>
      <c r="F1326" s="1" t="n">
        <v>24</v>
      </c>
      <c r="G1326" s="1" t="s">
        <v>77</v>
      </c>
      <c r="H1326" s="1" t="n">
        <v>2110101</v>
      </c>
      <c r="I1326" s="1" t="s">
        <v>33</v>
      </c>
      <c r="J1326" s="1" t="n">
        <v>1268715</v>
      </c>
      <c r="L1326" s="1" t="n">
        <v>20440</v>
      </c>
      <c r="M1326" s="1" t="s">
        <v>83</v>
      </c>
      <c r="N1326" s="1" t="s">
        <v>54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128.85</v>
      </c>
      <c r="W1326" s="1" t="n">
        <v>0</v>
      </c>
      <c r="X1326" s="0" t="s">
        <v>1225</v>
      </c>
      <c r="Z1326" s="0" t="str">
        <f aca="false">IF($T1326="","",IFERROR(INDEX('Resumo Grupos'!$AC$3:$AC$200,MATCH($T1326,'Resumo Grupos'!$AB$3:$AB$200,0)),"n/d"))</f>
        <v>Mercadoria</v>
      </c>
      <c r="AA1326" s="0" t="str">
        <f aca="false">IF($T1326="","",IF(COUNTIF('Resumo Grupos'!$AE$3:$AE$40,$T1326)&gt;0,"NAO","SIM"))</f>
        <v>SIM</v>
      </c>
    </row>
    <row r="1327" customFormat="false" ht="12.75" hidden="false" customHeight="false" outlineLevel="0" collapsed="false">
      <c r="A1327" s="1" t="n">
        <v>2</v>
      </c>
      <c r="B1327" s="22" t="n">
        <v>46230</v>
      </c>
      <c r="C1327" s="22" t="n">
        <v>46275</v>
      </c>
      <c r="D1327" s="1" t="n">
        <v>513</v>
      </c>
      <c r="E1327" s="1" t="s">
        <v>314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1459285</v>
      </c>
      <c r="L1327" s="1" t="n">
        <v>197498</v>
      </c>
      <c r="M1327" s="1" t="s">
        <v>74</v>
      </c>
      <c r="N1327" s="1" t="s">
        <v>35</v>
      </c>
      <c r="P1327" s="1" t="n">
        <v>101</v>
      </c>
      <c r="Q1327" s="1" t="s">
        <v>42</v>
      </c>
      <c r="R1327" s="1" t="s">
        <v>100</v>
      </c>
      <c r="S1327" s="1" t="n">
        <v>4210315</v>
      </c>
      <c r="T1327" s="1" t="s">
        <v>257</v>
      </c>
      <c r="U1327" s="1" t="n">
        <v>160</v>
      </c>
      <c r="W1327" s="1" t="n">
        <v>0</v>
      </c>
      <c r="X1327" s="0" t="s">
        <v>713</v>
      </c>
      <c r="Z1327" s="0" t="str">
        <f aca="false">IF($T1327="","",IFERROR(INDEX('Resumo Grupos'!$AC$3:$AC$200,MATCH($T1327,'Resumo Grupos'!$AB$3:$AB$200,0)),"n/d"))</f>
        <v>Despesa</v>
      </c>
      <c r="AA1327" s="0" t="str">
        <f aca="false">IF($T1327="","",IF(COUNTIF('Resumo Grupos'!$AE$3:$AE$40,$T1327)&gt;0,"NAO","SIM"))</f>
        <v>SIM</v>
      </c>
    </row>
    <row r="1328" customFormat="false" ht="12.75" hidden="false" customHeight="false" outlineLevel="0" collapsed="false">
      <c r="A1328" s="1" t="n">
        <v>2</v>
      </c>
      <c r="B1328" s="22" t="n">
        <v>46211</v>
      </c>
      <c r="C1328" s="22" t="n">
        <v>46275</v>
      </c>
      <c r="D1328" s="1" t="n">
        <v>33</v>
      </c>
      <c r="E1328" s="1" t="s">
        <v>272</v>
      </c>
      <c r="F1328" s="1" t="n">
        <v>34</v>
      </c>
      <c r="G1328" s="1" t="s">
        <v>97</v>
      </c>
      <c r="H1328" s="1" t="n">
        <v>2110405</v>
      </c>
      <c r="I1328" s="1" t="s">
        <v>41</v>
      </c>
      <c r="J1328" s="1" t="n">
        <v>1370733</v>
      </c>
      <c r="L1328" s="1" t="n">
        <v>184338</v>
      </c>
      <c r="M1328" s="1" t="s">
        <v>74</v>
      </c>
      <c r="N1328" s="1" t="s">
        <v>35</v>
      </c>
      <c r="P1328" s="1" t="n">
        <v>101</v>
      </c>
      <c r="Q1328" s="1" t="s">
        <v>42</v>
      </c>
      <c r="R1328" s="1" t="s">
        <v>56</v>
      </c>
      <c r="S1328" s="1" t="n">
        <v>4210222</v>
      </c>
      <c r="T1328" s="1" t="s">
        <v>1059</v>
      </c>
      <c r="U1328" s="1" t="n">
        <v>666.67</v>
      </c>
      <c r="W1328" s="1" t="n">
        <v>0</v>
      </c>
      <c r="X1328" s="0" t="s">
        <v>1060</v>
      </c>
      <c r="Z1328" s="0" t="str">
        <f aca="false">IF($T1328="","",IFERROR(INDEX('Resumo Grupos'!$AC$3:$AC$200,MATCH($T1328,'Resumo Grupos'!$AB$3:$AB$200,0)),"n/d"))</f>
        <v>Despesa</v>
      </c>
      <c r="AA1328" s="0" t="str">
        <f aca="false">IF($T1328="","",IF(COUNTIF('Resumo Grupos'!$AE$3:$AE$40,$T1328)&gt;0,"NAO","SIM"))</f>
        <v>SIM</v>
      </c>
    </row>
    <row r="1329" customFormat="false" ht="12.75" hidden="false" customHeight="false" outlineLevel="0" collapsed="false">
      <c r="A1329" s="1" t="n">
        <v>2</v>
      </c>
      <c r="B1329" s="22" t="n">
        <v>46224</v>
      </c>
      <c r="C1329" s="22" t="n">
        <v>46275</v>
      </c>
      <c r="D1329" s="1" t="n">
        <v>1100</v>
      </c>
      <c r="E1329" s="1" t="s">
        <v>290</v>
      </c>
      <c r="F1329" s="1" t="n">
        <v>46</v>
      </c>
      <c r="G1329" s="1" t="s">
        <v>285</v>
      </c>
      <c r="H1329" s="1" t="n">
        <v>2110405</v>
      </c>
      <c r="I1329" s="1" t="s">
        <v>41</v>
      </c>
      <c r="J1329" s="1" t="n">
        <v>1427624</v>
      </c>
      <c r="L1329" s="1" t="n">
        <v>190916</v>
      </c>
      <c r="M1329" s="1" t="s">
        <v>74</v>
      </c>
      <c r="N1329" s="1" t="s">
        <v>35</v>
      </c>
      <c r="P1329" s="1" t="n">
        <v>113</v>
      </c>
      <c r="Q1329" s="1" t="s">
        <v>36</v>
      </c>
      <c r="R1329" s="1" t="s">
        <v>56</v>
      </c>
      <c r="S1329" s="1" t="n">
        <v>4210227</v>
      </c>
      <c r="T1329" s="1" t="s">
        <v>63</v>
      </c>
      <c r="U1329" s="1" t="n">
        <v>266.68</v>
      </c>
      <c r="W1329" s="1" t="n">
        <v>0</v>
      </c>
      <c r="X1329" s="0" t="s">
        <v>1226</v>
      </c>
      <c r="Z1329" s="0" t="str">
        <f aca="false">IF($T1329="","",IFERROR(INDEX('Resumo Grupos'!$AC$3:$AC$200,MATCH($T1329,'Resumo Grupos'!$AB$3:$AB$200,0)),"n/d"))</f>
        <v>Despesa</v>
      </c>
      <c r="AA1329" s="0" t="str">
        <f aca="false">IF($T1329="","",IF(COUNTIF('Resumo Grupos'!$AE$3:$AE$40,$T1329)&gt;0,"NAO","SIM"))</f>
        <v>SIM</v>
      </c>
    </row>
    <row r="1330" customFormat="false" ht="12.75" hidden="false" customHeight="false" outlineLevel="0" collapsed="false">
      <c r="A1330" s="1" t="n">
        <v>2</v>
      </c>
      <c r="B1330" s="22" t="n">
        <v>46247</v>
      </c>
      <c r="C1330" s="22" t="n">
        <v>46275</v>
      </c>
      <c r="D1330" s="1" t="n">
        <v>1608</v>
      </c>
      <c r="E1330" s="1" t="s">
        <v>201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1540769</v>
      </c>
      <c r="L1330" s="1" t="n">
        <v>210180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692.26</v>
      </c>
      <c r="W1330" s="1" t="n">
        <v>0</v>
      </c>
      <c r="X1330" s="0" t="s">
        <v>1193</v>
      </c>
      <c r="Z1330" s="0" t="str">
        <f aca="false">IF($T1330="","",IFERROR(INDEX('Resumo Grupos'!$AC$3:$AC$200,MATCH($T1330,'Resumo Grupos'!$AB$3:$AB$200,0)),"n/d"))</f>
        <v>Mercadoria</v>
      </c>
      <c r="AA1330" s="0" t="str">
        <f aca="false">IF($T1330="","",IF(COUNTIF('Resumo Grupos'!$AE$3:$AE$40,$T1330)&gt;0,"NAO","SIM"))</f>
        <v>SIM</v>
      </c>
    </row>
    <row r="1331" customFormat="false" ht="12.75" hidden="false" customHeight="false" outlineLevel="0" collapsed="false">
      <c r="A1331" s="1" t="n">
        <v>2</v>
      </c>
      <c r="B1331" s="22" t="n">
        <v>46248</v>
      </c>
      <c r="C1331" s="22" t="n">
        <v>46275</v>
      </c>
      <c r="D1331" s="1" t="n">
        <v>1678</v>
      </c>
      <c r="E1331" s="1" t="s">
        <v>745</v>
      </c>
      <c r="F1331" s="1" t="n">
        <v>24</v>
      </c>
      <c r="G1331" s="1" t="s">
        <v>77</v>
      </c>
      <c r="H1331" s="1" t="n">
        <v>2110405</v>
      </c>
      <c r="I1331" s="1" t="s">
        <v>41</v>
      </c>
      <c r="J1331" s="1" t="n">
        <v>1545805</v>
      </c>
      <c r="L1331" s="1" t="n">
        <v>211100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2153.25</v>
      </c>
      <c r="W1331" s="1" t="n">
        <v>0</v>
      </c>
      <c r="X1331" s="0" t="s">
        <v>1227</v>
      </c>
      <c r="Z1331" s="0" t="str">
        <f aca="false">IF($T1331="","",IFERROR(INDEX('Resumo Grupos'!$AC$3:$AC$200,MATCH($T1331,'Resumo Grupos'!$AB$3:$AB$200,0)),"n/d"))</f>
        <v>Mercadoria</v>
      </c>
      <c r="AA1331" s="0" t="str">
        <f aca="false">IF($T1331="","",IF(COUNTIF('Resumo Grupos'!$AE$3:$AE$40,$T1331)&gt;0,"NAO","SIM"))</f>
        <v>SIM</v>
      </c>
    </row>
    <row r="1332" customFormat="false" ht="12.75" hidden="false" customHeight="false" outlineLevel="0" collapsed="false">
      <c r="A1332" s="1" t="n">
        <v>2</v>
      </c>
      <c r="B1332" s="22" t="n">
        <v>46251</v>
      </c>
      <c r="C1332" s="22" t="n">
        <v>46275</v>
      </c>
      <c r="D1332" s="1" t="n">
        <v>1637</v>
      </c>
      <c r="E1332" s="1" t="s">
        <v>764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1561330</v>
      </c>
      <c r="L1332" s="1" t="n">
        <v>213017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561.84</v>
      </c>
      <c r="W1332" s="1" t="n">
        <v>0</v>
      </c>
      <c r="X1332" s="0" t="s">
        <v>1228</v>
      </c>
      <c r="Z1332" s="0" t="str">
        <f aca="false">IF($T1332="","",IFERROR(INDEX('Resumo Grupos'!$AC$3:$AC$200,MATCH($T1332,'Resumo Grupos'!$AB$3:$AB$200,0)),"n/d"))</f>
        <v>Mercadoria</v>
      </c>
      <c r="AA1332" s="0" t="str">
        <f aca="false">IF($T1332="","",IF(COUNTIF('Resumo Grupos'!$AE$3:$AE$40,$T1332)&gt;0,"NAO","SIM"))</f>
        <v>SIM</v>
      </c>
    </row>
    <row r="1333" customFormat="false" ht="12.75" hidden="false" customHeight="false" outlineLevel="0" collapsed="false">
      <c r="A1333" s="1" t="n">
        <v>2</v>
      </c>
      <c r="B1333" s="22" t="n">
        <v>46248</v>
      </c>
      <c r="C1333" s="22" t="n">
        <v>46277</v>
      </c>
      <c r="D1333" s="1" t="n">
        <v>1718</v>
      </c>
      <c r="E1333" s="1" t="s">
        <v>199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1547763</v>
      </c>
      <c r="L1333" s="1" t="n">
        <v>211395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706.55</v>
      </c>
      <c r="W1333" s="1" t="n">
        <v>0</v>
      </c>
      <c r="X1333" s="0" t="s">
        <v>1200</v>
      </c>
      <c r="Z1333" s="0" t="str">
        <f aca="false">IF($T1333="","",IFERROR(INDEX('Resumo Grupos'!$AC$3:$AC$200,MATCH($T1333,'Resumo Grupos'!$AB$3:$AB$200,0)),"n/d"))</f>
        <v>Mercadoria</v>
      </c>
      <c r="AA1333" s="0" t="str">
        <f aca="false">IF($T1333="","",IF(COUNTIF('Resumo Grupos'!$AE$3:$AE$40,$T1333)&gt;0,"NAO","SIM"))</f>
        <v>SIM</v>
      </c>
    </row>
    <row r="1334" customFormat="false" ht="12.75" hidden="false" customHeight="false" outlineLevel="0" collapsed="false">
      <c r="A1334" s="1" t="n">
        <v>2</v>
      </c>
      <c r="B1334" s="22" t="n">
        <v>46249</v>
      </c>
      <c r="C1334" s="22" t="n">
        <v>46277</v>
      </c>
      <c r="D1334" s="1" t="n">
        <v>1718</v>
      </c>
      <c r="E1334" s="1" t="s">
        <v>199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1551508</v>
      </c>
      <c r="L1334" s="1" t="n">
        <v>211719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1422.68</v>
      </c>
      <c r="W1334" s="1" t="n">
        <v>0</v>
      </c>
      <c r="X1334" s="0" t="s">
        <v>1201</v>
      </c>
      <c r="Z1334" s="0" t="str">
        <f aca="false">IF($T1334="","",IFERROR(INDEX('Resumo Grupos'!$AC$3:$AC$200,MATCH($T1334,'Resumo Grupos'!$AB$3:$AB$200,0)),"n/d"))</f>
        <v>Mercadoria</v>
      </c>
      <c r="AA1334" s="0" t="str">
        <f aca="false">IF($T1334="","",IF(COUNTIF('Resumo Grupos'!$AE$3:$AE$40,$T1334)&gt;0,"NAO","SIM"))</f>
        <v>SIM</v>
      </c>
    </row>
    <row r="1335" customFormat="false" ht="12.75" hidden="false" customHeight="false" outlineLevel="0" collapsed="false">
      <c r="A1335" s="1" t="n">
        <v>2</v>
      </c>
      <c r="B1335" s="22" t="n">
        <v>46097</v>
      </c>
      <c r="C1335" s="22" t="n">
        <v>46280</v>
      </c>
      <c r="D1335" s="1" t="n">
        <v>1867</v>
      </c>
      <c r="E1335" s="1" t="s">
        <v>359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808550</v>
      </c>
      <c r="L1335" s="1" t="n">
        <v>2026</v>
      </c>
      <c r="M1335" s="1" t="s">
        <v>34</v>
      </c>
      <c r="N1335" s="1" t="s">
        <v>35</v>
      </c>
      <c r="P1335" s="1" t="n">
        <v>101</v>
      </c>
      <c r="Q1335" s="1" t="s">
        <v>42</v>
      </c>
      <c r="R1335" s="1" t="s">
        <v>360</v>
      </c>
      <c r="S1335" s="1" t="n">
        <v>4210401</v>
      </c>
      <c r="T1335" s="1" t="s">
        <v>361</v>
      </c>
      <c r="U1335" s="1" t="n">
        <v>228.88</v>
      </c>
      <c r="W1335" s="1" t="n">
        <v>0</v>
      </c>
      <c r="X1335" s="0" t="s">
        <v>1229</v>
      </c>
      <c r="Z1335" s="0" t="str">
        <f aca="false">IF($T1335="","",IFERROR(INDEX('Resumo Grupos'!$AC$3:$AC$200,MATCH($T1335,'Resumo Grupos'!$AB$3:$AB$200,0)),"n/d"))</f>
        <v>Impostos</v>
      </c>
      <c r="AA1335" s="0" t="str">
        <f aca="false">IF($T1335="","",IF(COUNTIF('Resumo Grupos'!$AE$3:$AE$40,$T1335)&gt;0,"NAO","SIM"))</f>
        <v>SIM</v>
      </c>
    </row>
    <row r="1336" customFormat="false" ht="12.75" hidden="false" customHeight="false" outlineLevel="0" collapsed="false">
      <c r="A1336" s="1" t="n">
        <v>2</v>
      </c>
      <c r="B1336" s="22" t="n">
        <v>46127</v>
      </c>
      <c r="C1336" s="22" t="n">
        <v>46280</v>
      </c>
      <c r="D1336" s="1" t="n">
        <v>512</v>
      </c>
      <c r="E1336" s="1" t="s">
        <v>363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954215</v>
      </c>
      <c r="L1336" s="1" t="n">
        <v>126220</v>
      </c>
      <c r="M1336" s="1" t="s">
        <v>47</v>
      </c>
      <c r="N1336" s="1" t="s">
        <v>35</v>
      </c>
      <c r="P1336" s="1" t="n">
        <v>101</v>
      </c>
      <c r="Q1336" s="1" t="s">
        <v>42</v>
      </c>
      <c r="R1336" s="1" t="s">
        <v>364</v>
      </c>
      <c r="S1336" s="1" t="n">
        <v>4210111</v>
      </c>
      <c r="T1336" s="1" t="s">
        <v>365</v>
      </c>
      <c r="U1336" s="1" t="n">
        <v>5700</v>
      </c>
      <c r="W1336" s="1" t="n">
        <v>0</v>
      </c>
      <c r="X1336" s="0" t="s">
        <v>366</v>
      </c>
      <c r="Z1336" s="0" t="str">
        <f aca="false">IF($T1336="","",IFERROR(INDEX('Resumo Grupos'!$AC$3:$AC$200,MATCH($T1336,'Resumo Grupos'!$AB$3:$AB$200,0)),"n/d"))</f>
        <v>Despesa</v>
      </c>
      <c r="AA1336" s="0" t="str">
        <f aca="false">IF($T1336="","",IF(COUNTIF('Resumo Grupos'!$AE$3:$AE$40,$T1336)&gt;0,"NAO","SIM"))</f>
        <v>SIM</v>
      </c>
    </row>
    <row r="1337" customFormat="false" ht="12.75" hidden="false" customHeight="false" outlineLevel="0" collapsed="false">
      <c r="A1337" s="1" t="n">
        <v>2</v>
      </c>
      <c r="B1337" s="22" t="n">
        <v>46226</v>
      </c>
      <c r="C1337" s="22" t="n">
        <v>46281</v>
      </c>
      <c r="D1337" s="1" t="n">
        <v>957</v>
      </c>
      <c r="E1337" s="1" t="s">
        <v>554</v>
      </c>
      <c r="F1337" s="1" t="n">
        <v>24</v>
      </c>
      <c r="G1337" s="1" t="s">
        <v>77</v>
      </c>
      <c r="H1337" s="1" t="n">
        <v>1110203</v>
      </c>
      <c r="I1337" s="1" t="s">
        <v>108</v>
      </c>
      <c r="J1337" s="1" t="n">
        <v>1438939</v>
      </c>
      <c r="L1337" s="1" t="n">
        <v>194433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1501.38</v>
      </c>
      <c r="W1337" s="1" t="n">
        <v>0</v>
      </c>
      <c r="X1337" s="0" t="s">
        <v>1097</v>
      </c>
      <c r="Z1337" s="0" t="str">
        <f aca="false">IF($T1337="","",IFERROR(INDEX('Resumo Grupos'!$AC$3:$AC$200,MATCH($T1337,'Resumo Grupos'!$AB$3:$AB$200,0)),"n/d"))</f>
        <v>Mercadoria</v>
      </c>
      <c r="AA1337" s="0" t="str">
        <f aca="false">IF($T1337="","",IF(COUNTIF('Resumo Grupos'!$AE$3:$AE$40,$T1337)&gt;0,"NAO","SIM"))</f>
        <v>SIM</v>
      </c>
    </row>
    <row r="1338" customFormat="false" ht="12.75" hidden="false" customHeight="false" outlineLevel="0" collapsed="false">
      <c r="A1338" s="1" t="n">
        <v>2</v>
      </c>
      <c r="B1338" s="22" t="n">
        <v>46247</v>
      </c>
      <c r="C1338" s="22" t="n">
        <v>46281</v>
      </c>
      <c r="D1338" s="1" t="n">
        <v>1624</v>
      </c>
      <c r="E1338" s="1" t="s">
        <v>300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1543920</v>
      </c>
      <c r="L1338" s="1" t="n">
        <v>210536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830.13</v>
      </c>
      <c r="W1338" s="1" t="n">
        <v>0</v>
      </c>
      <c r="X1338" s="0" t="s">
        <v>1212</v>
      </c>
      <c r="Z1338" s="0" t="str">
        <f aca="false">IF($T1338="","",IFERROR(INDEX('Resumo Grupos'!$AC$3:$AC$200,MATCH($T1338,'Resumo Grupos'!$AB$3:$AB$200,0)),"n/d"))</f>
        <v>Mercadoria</v>
      </c>
      <c r="AA1338" s="0" t="str">
        <f aca="false">IF($T1338="","",IF(COUNTIF('Resumo Grupos'!$AE$3:$AE$40,$T1338)&gt;0,"NAO","SIM"))</f>
        <v>SIM</v>
      </c>
    </row>
    <row r="1339" customFormat="false" ht="12.75" hidden="false" customHeight="false" outlineLevel="0" collapsed="false">
      <c r="A1339" s="1" t="n">
        <v>2</v>
      </c>
      <c r="B1339" s="22" t="n">
        <v>46248</v>
      </c>
      <c r="C1339" s="22" t="n">
        <v>46282</v>
      </c>
      <c r="D1339" s="1" t="n">
        <v>10011</v>
      </c>
      <c r="E1339" s="1" t="s">
        <v>292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1545976</v>
      </c>
      <c r="L1339" s="1" t="n">
        <v>211185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685.15</v>
      </c>
      <c r="W1339" s="1" t="n">
        <v>0</v>
      </c>
      <c r="X1339" s="0" t="s">
        <v>1230</v>
      </c>
      <c r="Z1339" s="0" t="str">
        <f aca="false">IF($T1339="","",IFERROR(INDEX('Resumo Grupos'!$AC$3:$AC$200,MATCH($T1339,'Resumo Grupos'!$AB$3:$AB$200,0)),"n/d"))</f>
        <v>Mercadoria</v>
      </c>
      <c r="AA1339" s="0" t="str">
        <f aca="false">IF($T1339="","",IF(COUNTIF('Resumo Grupos'!$AE$3:$AE$40,$T1339)&gt;0,"NAO","SIM"))</f>
        <v>SIM</v>
      </c>
    </row>
    <row r="1340" customFormat="false" ht="12.75" hidden="false" customHeight="false" outlineLevel="0" collapsed="false">
      <c r="A1340" s="1" t="n">
        <v>2</v>
      </c>
      <c r="B1340" s="22" t="n">
        <v>46206</v>
      </c>
      <c r="C1340" s="22" t="n">
        <v>46283</v>
      </c>
      <c r="D1340" s="1" t="n">
        <v>33</v>
      </c>
      <c r="E1340" s="1" t="s">
        <v>272</v>
      </c>
      <c r="F1340" s="1" t="n">
        <v>34</v>
      </c>
      <c r="G1340" s="1" t="s">
        <v>97</v>
      </c>
      <c r="H1340" s="1" t="n">
        <v>1110203</v>
      </c>
      <c r="I1340" s="1" t="s">
        <v>108</v>
      </c>
      <c r="J1340" s="1" t="n">
        <v>1345312</v>
      </c>
      <c r="L1340" s="1" t="n">
        <v>180690</v>
      </c>
      <c r="M1340" s="1" t="s">
        <v>62</v>
      </c>
      <c r="N1340" s="1" t="s">
        <v>35</v>
      </c>
      <c r="P1340" s="1" t="n">
        <v>101</v>
      </c>
      <c r="Q1340" s="1" t="s">
        <v>42</v>
      </c>
      <c r="R1340" s="1" t="s">
        <v>56</v>
      </c>
      <c r="S1340" s="1" t="n">
        <v>4210203</v>
      </c>
      <c r="T1340" s="1" t="s">
        <v>664</v>
      </c>
      <c r="U1340" s="1" t="n">
        <v>247.27</v>
      </c>
      <c r="W1340" s="1" t="n">
        <v>0</v>
      </c>
      <c r="X1340" s="0" t="s">
        <v>815</v>
      </c>
      <c r="Z1340" s="0" t="str">
        <f aca="false">IF($T1340="","",IFERROR(INDEX('Resumo Grupos'!$AC$3:$AC$200,MATCH($T1340,'Resumo Grupos'!$AB$3:$AB$200,0)),"n/d"))</f>
        <v>Despesa</v>
      </c>
      <c r="AA1340" s="0" t="str">
        <f aca="false">IF($T1340="","",IF(COUNTIF('Resumo Grupos'!$AE$3:$AE$40,$T1340)&gt;0,"NAO","SIM"))</f>
        <v>SIM</v>
      </c>
    </row>
    <row r="1341" customFormat="false" ht="12.75" hidden="false" customHeight="false" outlineLevel="0" collapsed="false">
      <c r="A1341" s="1" t="n">
        <v>2</v>
      </c>
      <c r="B1341" s="22" t="n">
        <v>46223</v>
      </c>
      <c r="C1341" s="22" t="n">
        <v>46285</v>
      </c>
      <c r="D1341" s="1" t="n">
        <v>33</v>
      </c>
      <c r="E1341" s="1" t="s">
        <v>272</v>
      </c>
      <c r="F1341" s="1" t="n">
        <v>34</v>
      </c>
      <c r="G1341" s="1" t="s">
        <v>97</v>
      </c>
      <c r="H1341" s="1" t="n">
        <v>1110203</v>
      </c>
      <c r="I1341" s="1" t="s">
        <v>108</v>
      </c>
      <c r="J1341" s="1" t="n">
        <v>1424244</v>
      </c>
      <c r="L1341" s="1" t="n">
        <v>190900</v>
      </c>
      <c r="M1341" s="1" t="s">
        <v>62</v>
      </c>
      <c r="N1341" s="1" t="s">
        <v>35</v>
      </c>
      <c r="P1341" s="1" t="n">
        <v>101</v>
      </c>
      <c r="Q1341" s="1" t="s">
        <v>42</v>
      </c>
      <c r="R1341" s="1" t="s">
        <v>364</v>
      </c>
      <c r="S1341" s="1" t="n">
        <v>4210107</v>
      </c>
      <c r="T1341" s="1" t="s">
        <v>441</v>
      </c>
      <c r="U1341" s="1" t="n">
        <v>138.3</v>
      </c>
      <c r="W1341" s="1" t="n">
        <v>0</v>
      </c>
      <c r="X1341" s="0" t="s">
        <v>1160</v>
      </c>
      <c r="Z1341" s="0" t="str">
        <f aca="false">IF($T1341="","",IFERROR(INDEX('Resumo Grupos'!$AC$3:$AC$200,MATCH($T1341,'Resumo Grupos'!$AB$3:$AB$200,0)),"n/d"))</f>
        <v>Despesa</v>
      </c>
      <c r="AA1341" s="0" t="str">
        <f aca="false">IF($T1341="","",IF(COUNTIF('Resumo Grupos'!$AE$3:$AE$40,$T1341)&gt;0,"NAO","SIM"))</f>
        <v>SIM</v>
      </c>
    </row>
    <row r="1342" customFormat="false" ht="12.75" hidden="false" customHeight="false" outlineLevel="0" collapsed="false">
      <c r="A1342" s="1" t="n">
        <v>2</v>
      </c>
      <c r="B1342" s="22" t="n">
        <v>46241</v>
      </c>
      <c r="C1342" s="22" t="n">
        <v>46285</v>
      </c>
      <c r="D1342" s="1" t="n">
        <v>10028</v>
      </c>
      <c r="E1342" s="1" t="s">
        <v>439</v>
      </c>
      <c r="F1342" s="1" t="n">
        <v>24</v>
      </c>
      <c r="G1342" s="1" t="s">
        <v>77</v>
      </c>
      <c r="H1342" s="1" t="n">
        <v>2110405</v>
      </c>
      <c r="I1342" s="1" t="s">
        <v>41</v>
      </c>
      <c r="J1342" s="1" t="n">
        <v>1370757</v>
      </c>
      <c r="L1342" s="1" t="n">
        <v>184341</v>
      </c>
      <c r="M1342" s="1" t="s">
        <v>62</v>
      </c>
      <c r="N1342" s="1" t="s">
        <v>35</v>
      </c>
      <c r="P1342" s="1" t="n">
        <v>101</v>
      </c>
      <c r="Q1342" s="1" t="s">
        <v>42</v>
      </c>
      <c r="R1342" s="1" t="s">
        <v>100</v>
      </c>
      <c r="S1342" s="1" t="n">
        <v>4210315</v>
      </c>
      <c r="T1342" s="1" t="s">
        <v>257</v>
      </c>
      <c r="U1342" s="1" t="n">
        <v>595.9</v>
      </c>
      <c r="W1342" s="1" t="n">
        <v>0</v>
      </c>
      <c r="X1342" s="0" t="s">
        <v>440</v>
      </c>
      <c r="Z1342" s="0" t="str">
        <f aca="false">IF($T1342="","",IFERROR(INDEX('Resumo Grupos'!$AC$3:$AC$200,MATCH($T1342,'Resumo Grupos'!$AB$3:$AB$200,0)),"n/d"))</f>
        <v>Despesa</v>
      </c>
      <c r="AA1342" s="0" t="str">
        <f aca="false">IF($T1342="","",IF(COUNTIF('Resumo Grupos'!$AE$3:$AE$40,$T1342)&gt;0,"NAO","SIM"))</f>
        <v>SIM</v>
      </c>
    </row>
    <row r="1343" customFormat="false" ht="12.75" hidden="false" customHeight="false" outlineLevel="0" collapsed="false">
      <c r="A1343" s="1" t="n">
        <v>2</v>
      </c>
      <c r="B1343" s="22" t="n">
        <v>46244</v>
      </c>
      <c r="C1343" s="22" t="n">
        <v>46289</v>
      </c>
      <c r="D1343" s="1" t="n">
        <v>1789</v>
      </c>
      <c r="E1343" s="1" t="s">
        <v>485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1529685</v>
      </c>
      <c r="L1343" s="1" t="n">
        <v>208126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364</v>
      </c>
      <c r="S1343" s="1" t="n">
        <v>4210112</v>
      </c>
      <c r="T1343" s="1" t="s">
        <v>486</v>
      </c>
      <c r="U1343" s="1" t="n">
        <v>10645.93</v>
      </c>
      <c r="W1343" s="1" t="n">
        <v>0</v>
      </c>
      <c r="X1343" s="0" t="s">
        <v>1231</v>
      </c>
      <c r="Z1343" s="0" t="str">
        <f aca="false">IF($T1343="","",IFERROR(INDEX('Resumo Grupos'!$AC$3:$AC$200,MATCH($T1343,'Resumo Grupos'!$AB$3:$AB$200,0)),"n/d"))</f>
        <v>Despesa</v>
      </c>
      <c r="AA1343" s="0" t="str">
        <f aca="false">IF($T1343="","",IF(COUNTIF('Resumo Grupos'!$AE$3:$AE$40,$T1343)&gt;0,"NAO","SIM"))</f>
        <v>SIM</v>
      </c>
    </row>
    <row r="1344" customFormat="false" ht="12.75" hidden="false" customHeight="false" outlineLevel="0" collapsed="false">
      <c r="A1344" s="1" t="n">
        <v>2</v>
      </c>
      <c r="B1344" s="22" t="n">
        <v>46013</v>
      </c>
      <c r="C1344" s="22" t="n">
        <v>46290</v>
      </c>
      <c r="D1344" s="1" t="n">
        <v>17</v>
      </c>
      <c r="E1344" s="1" t="s">
        <v>436</v>
      </c>
      <c r="F1344" s="1" t="n">
        <v>48</v>
      </c>
      <c r="G1344" s="1" t="s">
        <v>503</v>
      </c>
      <c r="H1344" s="1" t="n">
        <v>2110405</v>
      </c>
      <c r="I1344" s="1" t="s">
        <v>41</v>
      </c>
      <c r="J1344" s="1" t="n">
        <v>660421</v>
      </c>
      <c r="L1344" s="1" t="n">
        <v>86128</v>
      </c>
      <c r="M1344" s="1" t="s">
        <v>970</v>
      </c>
      <c r="N1344" s="1" t="s">
        <v>35</v>
      </c>
      <c r="P1344" s="1" t="n">
        <v>101</v>
      </c>
      <c r="Q1344" s="1" t="s">
        <v>42</v>
      </c>
      <c r="R1344" s="1" t="s">
        <v>43</v>
      </c>
      <c r="S1344" s="1" t="n">
        <v>4220199</v>
      </c>
      <c r="T1344" s="1" t="s">
        <v>44</v>
      </c>
      <c r="U1344" s="1" t="n">
        <v>362.14</v>
      </c>
      <c r="W1344" s="1" t="n">
        <v>0</v>
      </c>
      <c r="X1344" s="0" t="s">
        <v>505</v>
      </c>
      <c r="Z1344" s="0" t="str">
        <f aca="false">IF($T1344="","",IFERROR(INDEX('Resumo Grupos'!$AC$3:$AC$200,MATCH($T1344,'Resumo Grupos'!$AB$3:$AB$200,0)),"n/d"))</f>
        <v>Pagamentos outros não operacionais</v>
      </c>
      <c r="AA1344" s="0" t="str">
        <f aca="false">IF($T1344="","",IF(COUNTIF('Resumo Grupos'!$AE$3:$AE$40,$T1344)&gt;0,"NAO","SIM"))</f>
        <v>SIM</v>
      </c>
    </row>
    <row r="1345" customFormat="false" ht="12.75" hidden="false" customHeight="false" outlineLevel="0" collapsed="false">
      <c r="A1345" s="1" t="n">
        <v>2</v>
      </c>
      <c r="B1345" s="22" t="n">
        <v>46029</v>
      </c>
      <c r="C1345" s="22" t="n">
        <v>46290</v>
      </c>
      <c r="D1345" s="1" t="n">
        <v>17</v>
      </c>
      <c r="E1345" s="1" t="s">
        <v>436</v>
      </c>
      <c r="F1345" s="1" t="n">
        <v>48</v>
      </c>
      <c r="G1345" s="1" t="s">
        <v>503</v>
      </c>
      <c r="H1345" s="1" t="n">
        <v>2110405</v>
      </c>
      <c r="I1345" s="1" t="s">
        <v>41</v>
      </c>
      <c r="J1345" s="1" t="n">
        <v>660305</v>
      </c>
      <c r="L1345" s="1" t="n">
        <v>86116</v>
      </c>
      <c r="M1345" s="1" t="s">
        <v>970</v>
      </c>
      <c r="N1345" s="1" t="s">
        <v>35</v>
      </c>
      <c r="P1345" s="1" t="n">
        <v>101</v>
      </c>
      <c r="Q1345" s="1" t="s">
        <v>42</v>
      </c>
      <c r="R1345" s="1" t="s">
        <v>43</v>
      </c>
      <c r="S1345" s="1" t="n">
        <v>4220199</v>
      </c>
      <c r="T1345" s="1" t="s">
        <v>44</v>
      </c>
      <c r="U1345" s="1" t="n">
        <v>84.03</v>
      </c>
      <c r="W1345" s="1" t="n">
        <v>0</v>
      </c>
      <c r="X1345" s="0" t="s">
        <v>504</v>
      </c>
      <c r="Z1345" s="0" t="str">
        <f aca="false">IF($T1345="","",IFERROR(INDEX('Resumo Grupos'!$AC$3:$AC$200,MATCH($T1345,'Resumo Grupos'!$AB$3:$AB$200,0)),"n/d"))</f>
        <v>Pagamentos outros não operacionais</v>
      </c>
      <c r="AA1345" s="0" t="str">
        <f aca="false">IF($T1345="","",IF(COUNTIF('Resumo Grupos'!$AE$3:$AE$40,$T1345)&gt;0,"NAO","SIM"))</f>
        <v>SIM</v>
      </c>
    </row>
    <row r="1346" customFormat="false" ht="12.75" hidden="false" customHeight="false" outlineLevel="0" collapsed="false">
      <c r="A1346" s="1" t="n">
        <v>2</v>
      </c>
      <c r="B1346" s="22" t="n">
        <v>46243</v>
      </c>
      <c r="C1346" s="22" t="n">
        <v>46290</v>
      </c>
      <c r="D1346" s="1" t="n">
        <v>17</v>
      </c>
      <c r="E1346" s="1" t="s">
        <v>436</v>
      </c>
      <c r="F1346" s="1" t="n">
        <v>48</v>
      </c>
      <c r="G1346" s="1" t="s">
        <v>503</v>
      </c>
      <c r="H1346" s="1" t="n">
        <v>2110405</v>
      </c>
      <c r="I1346" s="1" t="s">
        <v>41</v>
      </c>
      <c r="J1346" s="1" t="n">
        <v>1551938</v>
      </c>
      <c r="L1346" s="1" t="n">
        <v>211786</v>
      </c>
      <c r="M1346" s="1" t="s">
        <v>74</v>
      </c>
      <c r="N1346" s="1" t="s">
        <v>35</v>
      </c>
      <c r="P1346" s="1" t="n">
        <v>101</v>
      </c>
      <c r="Q1346" s="1" t="s">
        <v>42</v>
      </c>
      <c r="R1346" s="1" t="s">
        <v>43</v>
      </c>
      <c r="S1346" s="1" t="n">
        <v>4220199</v>
      </c>
      <c r="T1346" s="1" t="s">
        <v>44</v>
      </c>
      <c r="U1346" s="1" t="n">
        <v>52.52</v>
      </c>
      <c r="W1346" s="1" t="n">
        <v>0</v>
      </c>
      <c r="X1346" s="0" t="s">
        <v>1232</v>
      </c>
      <c r="Z1346" s="0" t="str">
        <f aca="false">IF($T1346="","",IFERROR(INDEX('Resumo Grupos'!$AC$3:$AC$200,MATCH($T1346,'Resumo Grupos'!$AB$3:$AB$200,0)),"n/d"))</f>
        <v>Pagamentos outros não operacionais</v>
      </c>
      <c r="AA1346" s="0" t="str">
        <f aca="false">IF($T1346="","",IF(COUNTIF('Resumo Grupos'!$AE$3:$AE$40,$T1346)&gt;0,"NAO","SIM"))</f>
        <v>SIM</v>
      </c>
    </row>
    <row r="1347" customFormat="false" ht="12.75" hidden="false" customHeight="false" outlineLevel="0" collapsed="false">
      <c r="A1347" s="1" t="n">
        <v>2</v>
      </c>
      <c r="B1347" s="22" t="n">
        <v>46023</v>
      </c>
      <c r="C1347" s="22" t="n">
        <v>46293</v>
      </c>
      <c r="D1347" s="1" t="n">
        <v>515</v>
      </c>
      <c r="E1347" s="1" t="s">
        <v>143</v>
      </c>
      <c r="F1347" s="1" t="n">
        <v>34</v>
      </c>
      <c r="G1347" s="1" t="s">
        <v>97</v>
      </c>
      <c r="H1347" s="1" t="n">
        <v>2110405</v>
      </c>
      <c r="I1347" s="1" t="s">
        <v>41</v>
      </c>
      <c r="J1347" s="1" t="n">
        <v>1012266</v>
      </c>
      <c r="L1347" s="1" t="n">
        <v>133812</v>
      </c>
      <c r="M1347" s="1" t="s">
        <v>970</v>
      </c>
      <c r="N1347" s="1" t="s">
        <v>35</v>
      </c>
      <c r="P1347" s="1" t="n">
        <v>101</v>
      </c>
      <c r="Q1347" s="1" t="s">
        <v>42</v>
      </c>
      <c r="R1347" s="1" t="s">
        <v>295</v>
      </c>
      <c r="S1347" s="1" t="n">
        <v>2110901</v>
      </c>
      <c r="T1347" s="1" t="s">
        <v>296</v>
      </c>
      <c r="U1347" s="1" t="n">
        <v>4168.41</v>
      </c>
      <c r="W1347" s="1" t="n">
        <v>0</v>
      </c>
      <c r="X1347" s="0" t="s">
        <v>1233</v>
      </c>
      <c r="Z1347" s="0" t="str">
        <f aca="false">IF($T1347="","",IFERROR(INDEX('Resumo Grupos'!$AC$3:$AC$200,MATCH($T1347,'Resumo Grupos'!$AB$3:$AB$200,0)),"n/d"))</f>
        <v>Empréstimo</v>
      </c>
      <c r="AA1347" s="0" t="str">
        <f aca="false">IF($T1347="","",IF(COUNTIF('Resumo Grupos'!$AE$3:$AE$40,$T1347)&gt;0,"NAO","SIM"))</f>
        <v>SIM</v>
      </c>
    </row>
    <row r="1348" customFormat="false" ht="12.75" hidden="false" customHeight="false" outlineLevel="0" collapsed="false">
      <c r="A1348" s="1" t="n">
        <v>2</v>
      </c>
      <c r="B1348" s="22" t="n">
        <v>46055</v>
      </c>
      <c r="C1348" s="22" t="n">
        <v>46296</v>
      </c>
      <c r="D1348" s="1" t="n">
        <v>10039</v>
      </c>
      <c r="E1348" s="1" t="s">
        <v>70</v>
      </c>
      <c r="F1348" s="1" t="n">
        <v>47</v>
      </c>
      <c r="G1348" s="1" t="s">
        <v>32</v>
      </c>
      <c r="H1348" s="1" t="n">
        <v>2110405</v>
      </c>
      <c r="I1348" s="1" t="s">
        <v>41</v>
      </c>
      <c r="J1348" s="1" t="n">
        <v>846832</v>
      </c>
      <c r="L1348" s="1" t="n">
        <v>111506</v>
      </c>
      <c r="M1348" s="1" t="s">
        <v>596</v>
      </c>
      <c r="N1348" s="1" t="s">
        <v>35</v>
      </c>
      <c r="P1348" s="1" t="n">
        <v>113</v>
      </c>
      <c r="Q1348" s="1" t="s">
        <v>36</v>
      </c>
      <c r="R1348" s="1" t="s">
        <v>56</v>
      </c>
      <c r="S1348" s="1" t="n">
        <v>4210227</v>
      </c>
      <c r="T1348" s="1" t="s">
        <v>63</v>
      </c>
      <c r="U1348" s="1" t="n">
        <v>378.82</v>
      </c>
      <c r="W1348" s="1" t="n">
        <v>0</v>
      </c>
      <c r="X1348" s="0" t="s">
        <v>1234</v>
      </c>
      <c r="Z1348" s="0" t="str">
        <f aca="false">IF($T1348="","",IFERROR(INDEX('Resumo Grupos'!$AC$3:$AC$200,MATCH($T1348,'Resumo Grupos'!$AB$3:$AB$200,0)),"n/d"))</f>
        <v>Despesa</v>
      </c>
      <c r="AA1348" s="0" t="str">
        <f aca="false">IF($T1348="","",IF(COUNTIF('Resumo Grupos'!$AE$3:$AE$40,$T1348)&gt;0,"NAO","SIM"))</f>
        <v>SIM</v>
      </c>
    </row>
    <row r="1349" customFormat="false" ht="12.75" hidden="false" customHeight="false" outlineLevel="0" collapsed="false">
      <c r="A1349" s="1" t="n">
        <v>2</v>
      </c>
      <c r="B1349" s="22" t="n">
        <v>46246</v>
      </c>
      <c r="C1349" s="22" t="n">
        <v>46296</v>
      </c>
      <c r="D1349" s="1" t="n">
        <v>875</v>
      </c>
      <c r="E1349" s="1" t="s">
        <v>73</v>
      </c>
      <c r="F1349" s="1" t="n">
        <v>47</v>
      </c>
      <c r="G1349" s="1" t="s">
        <v>32</v>
      </c>
      <c r="H1349" s="1" t="n">
        <v>2110405</v>
      </c>
      <c r="I1349" s="1" t="s">
        <v>41</v>
      </c>
      <c r="J1349" s="1" t="n">
        <v>1534947</v>
      </c>
      <c r="L1349" s="1" t="n">
        <v>209452</v>
      </c>
      <c r="M1349" s="1" t="s">
        <v>74</v>
      </c>
      <c r="N1349" s="1" t="s">
        <v>35</v>
      </c>
      <c r="P1349" s="1" t="n">
        <v>113</v>
      </c>
      <c r="Q1349" s="1" t="s">
        <v>36</v>
      </c>
      <c r="R1349" s="1" t="s">
        <v>48</v>
      </c>
      <c r="S1349" s="1" t="n">
        <v>1130101</v>
      </c>
      <c r="T1349" s="1" t="s">
        <v>49</v>
      </c>
      <c r="U1349" s="1" t="n">
        <v>638.75</v>
      </c>
      <c r="W1349" s="1" t="n">
        <v>0</v>
      </c>
      <c r="X1349" s="0" t="s">
        <v>1235</v>
      </c>
      <c r="Z1349" s="0" t="str">
        <f aca="false">IF($T1349="","",IFERROR(INDEX('Resumo Grupos'!$AC$3:$AC$200,MATCH($T1349,'Resumo Grupos'!$AB$3:$AB$200,0)),"n/d"))</f>
        <v>Mercadoria</v>
      </c>
      <c r="AA1349" s="0" t="str">
        <f aca="false">IF($T1349="","",IF(COUNTIF('Resumo Grupos'!$AE$3:$AE$40,$T1349)&gt;0,"NAO","SIM"))</f>
        <v>SIM</v>
      </c>
    </row>
    <row r="1350" customFormat="false" ht="12.75" hidden="false" customHeight="false" outlineLevel="0" collapsed="false">
      <c r="A1350" s="1" t="n">
        <v>2</v>
      </c>
      <c r="B1350" s="22" t="n">
        <v>46238</v>
      </c>
      <c r="C1350" s="22" t="n">
        <v>46299</v>
      </c>
      <c r="D1350" s="1" t="n">
        <v>862</v>
      </c>
      <c r="E1350" s="1" t="s">
        <v>284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1498421</v>
      </c>
      <c r="L1350" s="1" t="n">
        <v>202608</v>
      </c>
      <c r="M1350" s="1" t="s">
        <v>62</v>
      </c>
      <c r="N1350" s="1" t="s">
        <v>35</v>
      </c>
      <c r="P1350" s="1" t="n">
        <v>101</v>
      </c>
      <c r="Q1350" s="1" t="s">
        <v>42</v>
      </c>
      <c r="R1350" s="1" t="s">
        <v>56</v>
      </c>
      <c r="S1350" s="1" t="n">
        <v>4210233</v>
      </c>
      <c r="T1350" s="1" t="s">
        <v>186</v>
      </c>
      <c r="U1350" s="1" t="n">
        <v>270.9</v>
      </c>
      <c r="W1350" s="1" t="n">
        <v>0</v>
      </c>
      <c r="Z1350" s="0" t="str">
        <f aca="false">IF($T1350="","",IFERROR(INDEX('Resumo Grupos'!$AC$3:$AC$200,MATCH($T1350,'Resumo Grupos'!$AB$3:$AB$200,0)),"n/d"))</f>
        <v>Despesa</v>
      </c>
      <c r="AA1350" s="0" t="str">
        <f aca="false">IF($T1350="","",IF(COUNTIF('Resumo Grupos'!$AE$3:$AE$40,$T1350)&gt;0,"NAO","SIM"))</f>
        <v>SIM</v>
      </c>
    </row>
    <row r="1351" customFormat="false" ht="12.75" hidden="false" customHeight="false" outlineLevel="0" collapsed="false">
      <c r="A1351" s="1" t="n">
        <v>2</v>
      </c>
      <c r="B1351" s="22" t="n">
        <v>46244</v>
      </c>
      <c r="C1351" s="22" t="n">
        <v>46300</v>
      </c>
      <c r="D1351" s="1" t="n">
        <v>33</v>
      </c>
      <c r="E1351" s="1" t="s">
        <v>272</v>
      </c>
      <c r="F1351" s="1" t="n">
        <v>34</v>
      </c>
      <c r="G1351" s="1" t="s">
        <v>97</v>
      </c>
      <c r="H1351" s="1" t="n">
        <v>2110405</v>
      </c>
      <c r="I1351" s="1" t="s">
        <v>41</v>
      </c>
      <c r="J1351" s="1" t="n">
        <v>1530158</v>
      </c>
      <c r="L1351" s="1" t="n">
        <v>208205</v>
      </c>
      <c r="M1351" s="1" t="s">
        <v>74</v>
      </c>
      <c r="N1351" s="1" t="s">
        <v>35</v>
      </c>
      <c r="P1351" s="1" t="n">
        <v>101</v>
      </c>
      <c r="Q1351" s="1" t="s">
        <v>42</v>
      </c>
      <c r="R1351" s="1" t="s">
        <v>100</v>
      </c>
      <c r="S1351" s="1" t="n">
        <v>4210301</v>
      </c>
      <c r="T1351" s="1" t="s">
        <v>230</v>
      </c>
      <c r="U1351" s="1" t="n">
        <v>250.1</v>
      </c>
      <c r="W1351" s="1" t="n">
        <v>0</v>
      </c>
      <c r="X1351" s="0" t="s">
        <v>1219</v>
      </c>
      <c r="Z1351" s="0" t="str">
        <f aca="false">IF($T1351="","",IFERROR(INDEX('Resumo Grupos'!$AC$3:$AC$200,MATCH($T1351,'Resumo Grupos'!$AB$3:$AB$200,0)),"n/d"))</f>
        <v>Salários</v>
      </c>
      <c r="AA1351" s="0" t="str">
        <f aca="false">IF($T1351="","",IF(COUNTIF('Resumo Grupos'!$AE$3:$AE$40,$T1351)&gt;0,"NAO","SIM"))</f>
        <v>SIM</v>
      </c>
    </row>
    <row r="1352" customFormat="false" ht="12.75" hidden="false" customHeight="false" outlineLevel="0" collapsed="false">
      <c r="A1352" s="1" t="n">
        <v>2</v>
      </c>
      <c r="B1352" s="22" t="n">
        <v>46232</v>
      </c>
      <c r="C1352" s="22" t="n">
        <v>46302</v>
      </c>
      <c r="D1352" s="1" t="n">
        <v>1932</v>
      </c>
      <c r="E1352" s="1" t="s">
        <v>256</v>
      </c>
      <c r="F1352" s="1" t="n">
        <v>34</v>
      </c>
      <c r="G1352" s="1" t="s">
        <v>97</v>
      </c>
      <c r="H1352" s="1" t="n">
        <v>2110405</v>
      </c>
      <c r="I1352" s="1" t="s">
        <v>41</v>
      </c>
      <c r="J1352" s="1" t="n">
        <v>1469462</v>
      </c>
      <c r="L1352" s="1" t="n">
        <v>199057</v>
      </c>
      <c r="M1352" s="1" t="s">
        <v>62</v>
      </c>
      <c r="N1352" s="1" t="s">
        <v>35</v>
      </c>
      <c r="P1352" s="1" t="n">
        <v>101</v>
      </c>
      <c r="Q1352" s="1" t="s">
        <v>42</v>
      </c>
      <c r="R1352" s="1" t="s">
        <v>100</v>
      </c>
      <c r="S1352" s="1" t="n">
        <v>4210315</v>
      </c>
      <c r="T1352" s="1" t="s">
        <v>257</v>
      </c>
      <c r="U1352" s="1" t="n">
        <v>119.97</v>
      </c>
      <c r="W1352" s="1" t="n">
        <v>0</v>
      </c>
      <c r="X1352" s="0" t="s">
        <v>1043</v>
      </c>
      <c r="Z1352" s="0" t="str">
        <f aca="false">IF($T1352="","",IFERROR(INDEX('Resumo Grupos'!$AC$3:$AC$200,MATCH($T1352,'Resumo Grupos'!$AB$3:$AB$200,0)),"n/d"))</f>
        <v>Despesa</v>
      </c>
      <c r="AA1352" s="0" t="str">
        <f aca="false">IF($T1352="","",IF(COUNTIF('Resumo Grupos'!$AE$3:$AE$40,$T1352)&gt;0,"NAO","SIM"))</f>
        <v>SIM</v>
      </c>
    </row>
    <row r="1353" customFormat="false" ht="12.75" hidden="false" customHeight="false" outlineLevel="0" collapsed="false">
      <c r="A1353" s="1" t="n">
        <v>2</v>
      </c>
      <c r="B1353" s="22" t="n">
        <v>46211</v>
      </c>
      <c r="C1353" s="22" t="n">
        <v>46305</v>
      </c>
      <c r="D1353" s="1" t="n">
        <v>33</v>
      </c>
      <c r="E1353" s="1" t="s">
        <v>272</v>
      </c>
      <c r="F1353" s="1" t="n">
        <v>34</v>
      </c>
      <c r="G1353" s="1" t="s">
        <v>97</v>
      </c>
      <c r="H1353" s="1" t="n">
        <v>2110405</v>
      </c>
      <c r="I1353" s="1" t="s">
        <v>41</v>
      </c>
      <c r="J1353" s="1" t="n">
        <v>1370733</v>
      </c>
      <c r="L1353" s="1" t="n">
        <v>184338</v>
      </c>
      <c r="M1353" s="1" t="s">
        <v>62</v>
      </c>
      <c r="N1353" s="1" t="s">
        <v>35</v>
      </c>
      <c r="P1353" s="1" t="n">
        <v>101</v>
      </c>
      <c r="Q1353" s="1" t="s">
        <v>42</v>
      </c>
      <c r="R1353" s="1" t="s">
        <v>56</v>
      </c>
      <c r="S1353" s="1" t="n">
        <v>4210222</v>
      </c>
      <c r="T1353" s="1" t="s">
        <v>1059</v>
      </c>
      <c r="U1353" s="1" t="n">
        <v>666.67</v>
      </c>
      <c r="W1353" s="1" t="n">
        <v>0</v>
      </c>
      <c r="X1353" s="0" t="s">
        <v>1060</v>
      </c>
      <c r="Z1353" s="0" t="str">
        <f aca="false">IF($T1353="","",IFERROR(INDEX('Resumo Grupos'!$AC$3:$AC$200,MATCH($T1353,'Resumo Grupos'!$AB$3:$AB$200,0)),"n/d"))</f>
        <v>Despesa</v>
      </c>
      <c r="AA1353" s="0" t="str">
        <f aca="false">IF($T1353="","",IF(COUNTIF('Resumo Grupos'!$AE$3:$AE$40,$T1353)&gt;0,"NAO","SIM"))</f>
        <v>SIM</v>
      </c>
    </row>
    <row r="1354" customFormat="false" ht="12.75" hidden="false" customHeight="false" outlineLevel="0" collapsed="false">
      <c r="A1354" s="1" t="n">
        <v>2</v>
      </c>
      <c r="B1354" s="22" t="n">
        <v>46242</v>
      </c>
      <c r="C1354" s="22" t="n">
        <v>46305</v>
      </c>
      <c r="D1354" s="1" t="n">
        <v>1100</v>
      </c>
      <c r="E1354" s="1" t="s">
        <v>290</v>
      </c>
      <c r="F1354" s="1" t="n">
        <v>46</v>
      </c>
      <c r="G1354" s="1" t="s">
        <v>285</v>
      </c>
      <c r="H1354" s="1" t="n">
        <v>2110405</v>
      </c>
      <c r="I1354" s="1" t="s">
        <v>41</v>
      </c>
      <c r="J1354" s="1" t="n">
        <v>1427624</v>
      </c>
      <c r="L1354" s="1" t="n">
        <v>190916</v>
      </c>
      <c r="M1354" s="1" t="s">
        <v>62</v>
      </c>
      <c r="N1354" s="1" t="s">
        <v>35</v>
      </c>
      <c r="P1354" s="1" t="n">
        <v>101</v>
      </c>
      <c r="Q1354" s="1" t="s">
        <v>42</v>
      </c>
      <c r="R1354" s="1" t="s">
        <v>56</v>
      </c>
      <c r="S1354" s="1" t="n">
        <v>4210227</v>
      </c>
      <c r="T1354" s="1" t="s">
        <v>63</v>
      </c>
      <c r="U1354" s="1" t="n">
        <v>266.68</v>
      </c>
      <c r="W1354" s="1" t="n">
        <v>0</v>
      </c>
      <c r="X1354" s="0" t="s">
        <v>1236</v>
      </c>
      <c r="Z1354" s="0" t="str">
        <f aca="false">IF($T1354="","",IFERROR(INDEX('Resumo Grupos'!$AC$3:$AC$200,MATCH($T1354,'Resumo Grupos'!$AB$3:$AB$200,0)),"n/d"))</f>
        <v>Despesa</v>
      </c>
      <c r="AA1354" s="0" t="str">
        <f aca="false">IF($T1354="","",IF(COUNTIF('Resumo Grupos'!$AE$3:$AE$40,$T1354)&gt;0,"NAO","SIM"))</f>
        <v>SIM</v>
      </c>
    </row>
    <row r="1355" customFormat="false" ht="12.75" hidden="false" customHeight="false" outlineLevel="0" collapsed="false">
      <c r="A1355" s="1" t="n">
        <v>2</v>
      </c>
      <c r="B1355" s="22" t="n">
        <v>46097</v>
      </c>
      <c r="C1355" s="22" t="n">
        <v>46310</v>
      </c>
      <c r="D1355" s="1" t="n">
        <v>1867</v>
      </c>
      <c r="E1355" s="1" t="s">
        <v>359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808550</v>
      </c>
      <c r="L1355" s="1" t="n">
        <v>2026</v>
      </c>
      <c r="M1355" s="1" t="s">
        <v>596</v>
      </c>
      <c r="N1355" s="1" t="s">
        <v>35</v>
      </c>
      <c r="P1355" s="1" t="n">
        <v>101</v>
      </c>
      <c r="Q1355" s="1" t="s">
        <v>42</v>
      </c>
      <c r="R1355" s="1" t="s">
        <v>360</v>
      </c>
      <c r="S1355" s="1" t="n">
        <v>4210401</v>
      </c>
      <c r="T1355" s="1" t="s">
        <v>361</v>
      </c>
      <c r="U1355" s="1" t="n">
        <v>228.88</v>
      </c>
      <c r="W1355" s="1" t="n">
        <v>0</v>
      </c>
      <c r="X1355" s="0" t="s">
        <v>1237</v>
      </c>
      <c r="Z1355" s="0" t="str">
        <f aca="false">IF($T1355="","",IFERROR(INDEX('Resumo Grupos'!$AC$3:$AC$200,MATCH($T1355,'Resumo Grupos'!$AB$3:$AB$200,0)),"n/d"))</f>
        <v>Impostos</v>
      </c>
      <c r="AA1355" s="0" t="str">
        <f aca="false">IF($T1355="","",IF(COUNTIF('Resumo Grupos'!$AE$3:$AE$40,$T1355)&gt;0,"NAO","SIM"))</f>
        <v>SIM</v>
      </c>
    </row>
    <row r="1356" customFormat="false" ht="12.75" hidden="false" customHeight="false" outlineLevel="0" collapsed="false">
      <c r="A1356" s="1" t="n">
        <v>2</v>
      </c>
      <c r="B1356" s="22" t="n">
        <v>46127</v>
      </c>
      <c r="C1356" s="22" t="n">
        <v>46310</v>
      </c>
      <c r="D1356" s="1" t="n">
        <v>512</v>
      </c>
      <c r="E1356" s="1" t="s">
        <v>363</v>
      </c>
      <c r="F1356" s="1" t="n">
        <v>34</v>
      </c>
      <c r="G1356" s="1" t="s">
        <v>97</v>
      </c>
      <c r="H1356" s="1" t="n">
        <v>2110405</v>
      </c>
      <c r="I1356" s="1" t="s">
        <v>41</v>
      </c>
      <c r="J1356" s="1" t="n">
        <v>954215</v>
      </c>
      <c r="L1356" s="1" t="n">
        <v>126220</v>
      </c>
      <c r="M1356" s="1" t="s">
        <v>34</v>
      </c>
      <c r="N1356" s="1" t="s">
        <v>35</v>
      </c>
      <c r="P1356" s="1" t="n">
        <v>101</v>
      </c>
      <c r="Q1356" s="1" t="s">
        <v>42</v>
      </c>
      <c r="R1356" s="1" t="s">
        <v>364</v>
      </c>
      <c r="S1356" s="1" t="n">
        <v>4210111</v>
      </c>
      <c r="T1356" s="1" t="s">
        <v>365</v>
      </c>
      <c r="U1356" s="1" t="n">
        <v>5700</v>
      </c>
      <c r="W1356" s="1" t="n">
        <v>0</v>
      </c>
      <c r="X1356" s="0" t="s">
        <v>366</v>
      </c>
      <c r="Z1356" s="0" t="str">
        <f aca="false">IF($T1356="","",IFERROR(INDEX('Resumo Grupos'!$AC$3:$AC$200,MATCH($T1356,'Resumo Grupos'!$AB$3:$AB$200,0)),"n/d"))</f>
        <v>Despesa</v>
      </c>
      <c r="AA1356" s="0" t="str">
        <f aca="false">IF($T1356="","",IF(COUNTIF('Resumo Grupos'!$AE$3:$AE$40,$T1356)&gt;0,"NAO","SIM"))</f>
        <v>SIM</v>
      </c>
    </row>
    <row r="1357" customFormat="false" ht="12.75" hidden="false" customHeight="false" outlineLevel="0" collapsed="false">
      <c r="A1357" s="1" t="n">
        <v>2</v>
      </c>
      <c r="B1357" s="22" t="n">
        <v>46206</v>
      </c>
      <c r="C1357" s="22" t="n">
        <v>46313</v>
      </c>
      <c r="D1357" s="1" t="n">
        <v>33</v>
      </c>
      <c r="E1357" s="1" t="s">
        <v>272</v>
      </c>
      <c r="F1357" s="1" t="n">
        <v>34</v>
      </c>
      <c r="G1357" s="1" t="s">
        <v>97</v>
      </c>
      <c r="H1357" s="1" t="n">
        <v>1110203</v>
      </c>
      <c r="I1357" s="1" t="s">
        <v>108</v>
      </c>
      <c r="J1357" s="1" t="n">
        <v>1345312</v>
      </c>
      <c r="L1357" s="1" t="n">
        <v>180690</v>
      </c>
      <c r="M1357" s="1" t="s">
        <v>71</v>
      </c>
      <c r="N1357" s="1" t="s">
        <v>35</v>
      </c>
      <c r="P1357" s="1" t="n">
        <v>101</v>
      </c>
      <c r="Q1357" s="1" t="s">
        <v>42</v>
      </c>
      <c r="R1357" s="1" t="s">
        <v>56</v>
      </c>
      <c r="S1357" s="1" t="n">
        <v>4210203</v>
      </c>
      <c r="T1357" s="1" t="s">
        <v>664</v>
      </c>
      <c r="U1357" s="1" t="n">
        <v>247.27</v>
      </c>
      <c r="W1357" s="1" t="n">
        <v>0</v>
      </c>
      <c r="X1357" s="0" t="s">
        <v>815</v>
      </c>
      <c r="Z1357" s="0" t="str">
        <f aca="false">IF($T1357="","",IFERROR(INDEX('Resumo Grupos'!$AC$3:$AC$200,MATCH($T1357,'Resumo Grupos'!$AB$3:$AB$200,0)),"n/d"))</f>
        <v>Despesa</v>
      </c>
      <c r="AA1357" s="0" t="str">
        <f aca="false">IF($T1357="","",IF(COUNTIF('Resumo Grupos'!$AE$3:$AE$40,$T1357)&gt;0,"NAO","SIM"))</f>
        <v>SIM</v>
      </c>
    </row>
    <row r="1358" customFormat="false" ht="12.75" hidden="false" customHeight="false" outlineLevel="0" collapsed="false">
      <c r="A1358" s="1" t="n">
        <v>2</v>
      </c>
      <c r="B1358" s="22" t="n">
        <v>46013</v>
      </c>
      <c r="C1358" s="22" t="n">
        <v>46320</v>
      </c>
      <c r="D1358" s="1" t="n">
        <v>17</v>
      </c>
      <c r="E1358" s="1" t="s">
        <v>436</v>
      </c>
      <c r="F1358" s="1" t="n">
        <v>48</v>
      </c>
      <c r="G1358" s="1" t="s">
        <v>503</v>
      </c>
      <c r="H1358" s="1" t="n">
        <v>2110405</v>
      </c>
      <c r="I1358" s="1" t="s">
        <v>41</v>
      </c>
      <c r="J1358" s="1" t="n">
        <v>660421</v>
      </c>
      <c r="L1358" s="1" t="n">
        <v>86128</v>
      </c>
      <c r="M1358" s="1" t="s">
        <v>1203</v>
      </c>
      <c r="N1358" s="1" t="s">
        <v>35</v>
      </c>
      <c r="P1358" s="1" t="n">
        <v>101</v>
      </c>
      <c r="Q1358" s="1" t="s">
        <v>42</v>
      </c>
      <c r="R1358" s="1" t="s">
        <v>43</v>
      </c>
      <c r="S1358" s="1" t="n">
        <v>4220199</v>
      </c>
      <c r="T1358" s="1" t="s">
        <v>44</v>
      </c>
      <c r="U1358" s="1" t="n">
        <v>362.14</v>
      </c>
      <c r="W1358" s="1" t="n">
        <v>0</v>
      </c>
      <c r="X1358" s="0" t="s">
        <v>505</v>
      </c>
      <c r="Z1358" s="0" t="str">
        <f aca="false">IF($T1358="","",IFERROR(INDEX('Resumo Grupos'!$AC$3:$AC$200,MATCH($T1358,'Resumo Grupos'!$AB$3:$AB$200,0)),"n/d"))</f>
        <v>Pagamentos outros não operacionais</v>
      </c>
      <c r="AA1358" s="0" t="str">
        <f aca="false">IF($T1358="","",IF(COUNTIF('Resumo Grupos'!$AE$3:$AE$40,$T1358)&gt;0,"NAO","SIM"))</f>
        <v>SIM</v>
      </c>
    </row>
    <row r="1359" customFormat="false" ht="12.75" hidden="false" customHeight="false" outlineLevel="0" collapsed="false">
      <c r="A1359" s="1" t="n">
        <v>2</v>
      </c>
      <c r="B1359" s="22" t="n">
        <v>46029</v>
      </c>
      <c r="C1359" s="22" t="n">
        <v>46320</v>
      </c>
      <c r="D1359" s="1" t="n">
        <v>17</v>
      </c>
      <c r="E1359" s="1" t="s">
        <v>436</v>
      </c>
      <c r="F1359" s="1" t="n">
        <v>48</v>
      </c>
      <c r="G1359" s="1" t="s">
        <v>503</v>
      </c>
      <c r="H1359" s="1" t="n">
        <v>2110405</v>
      </c>
      <c r="I1359" s="1" t="s">
        <v>41</v>
      </c>
      <c r="J1359" s="1" t="n">
        <v>660305</v>
      </c>
      <c r="L1359" s="1" t="n">
        <v>86116</v>
      </c>
      <c r="M1359" s="1" t="s">
        <v>1203</v>
      </c>
      <c r="N1359" s="1" t="s">
        <v>35</v>
      </c>
      <c r="P1359" s="1" t="n">
        <v>101</v>
      </c>
      <c r="Q1359" s="1" t="s">
        <v>42</v>
      </c>
      <c r="R1359" s="1" t="s">
        <v>43</v>
      </c>
      <c r="S1359" s="1" t="n">
        <v>4220199</v>
      </c>
      <c r="T1359" s="1" t="s">
        <v>44</v>
      </c>
      <c r="U1359" s="1" t="n">
        <v>84.03</v>
      </c>
      <c r="W1359" s="1" t="n">
        <v>0</v>
      </c>
      <c r="X1359" s="0" t="s">
        <v>504</v>
      </c>
      <c r="Z1359" s="0" t="str">
        <f aca="false">IF($T1359="","",IFERROR(INDEX('Resumo Grupos'!$AC$3:$AC$200,MATCH($T1359,'Resumo Grupos'!$AB$3:$AB$200,0)),"n/d"))</f>
        <v>Pagamentos outros não operacionais</v>
      </c>
      <c r="AA1359" s="0" t="str">
        <f aca="false">IF($T1359="","",IF(COUNTIF('Resumo Grupos'!$AE$3:$AE$40,$T1359)&gt;0,"NAO","SIM"))</f>
        <v>SIM</v>
      </c>
    </row>
    <row r="1360" customFormat="false" ht="12.75" hidden="false" customHeight="false" outlineLevel="0" collapsed="false">
      <c r="A1360" s="1" t="n">
        <v>2</v>
      </c>
      <c r="B1360" s="22" t="n">
        <v>46023</v>
      </c>
      <c r="C1360" s="22" t="n">
        <v>46321</v>
      </c>
      <c r="D1360" s="1" t="n">
        <v>515</v>
      </c>
      <c r="E1360" s="1" t="s">
        <v>143</v>
      </c>
      <c r="F1360" s="1" t="n">
        <v>34</v>
      </c>
      <c r="G1360" s="1" t="s">
        <v>97</v>
      </c>
      <c r="H1360" s="1" t="n">
        <v>2110405</v>
      </c>
      <c r="I1360" s="1" t="s">
        <v>41</v>
      </c>
      <c r="J1360" s="1" t="n">
        <v>1012266</v>
      </c>
      <c r="L1360" s="1" t="n">
        <v>133812</v>
      </c>
      <c r="M1360" s="1" t="s">
        <v>1203</v>
      </c>
      <c r="N1360" s="1" t="s">
        <v>35</v>
      </c>
      <c r="P1360" s="1" t="n">
        <v>101</v>
      </c>
      <c r="Q1360" s="1" t="s">
        <v>42</v>
      </c>
      <c r="R1360" s="1" t="s">
        <v>295</v>
      </c>
      <c r="S1360" s="1" t="n">
        <v>2110901</v>
      </c>
      <c r="T1360" s="1" t="s">
        <v>296</v>
      </c>
      <c r="U1360" s="1" t="n">
        <v>4168.41</v>
      </c>
      <c r="W1360" s="1" t="n">
        <v>0</v>
      </c>
      <c r="X1360" s="0" t="s">
        <v>1238</v>
      </c>
      <c r="Z1360" s="0" t="str">
        <f aca="false">IF($T1360="","",IFERROR(INDEX('Resumo Grupos'!$AC$3:$AC$200,MATCH($T1360,'Resumo Grupos'!$AB$3:$AB$200,0)),"n/d"))</f>
        <v>Empréstimo</v>
      </c>
      <c r="AA1360" s="0" t="str">
        <f aca="false">IF($T1360="","",IF(COUNTIF('Resumo Grupos'!$AE$3:$AE$40,$T1360)&gt;0,"NAO","SIM"))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1239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Report!C1158</f>
        <v>46248</v>
      </c>
      <c r="B881" s="1" t="str">
        <f aca="false">Report!E1158</f>
        <v>RV TECNOLOGIA E SISTEMAS S.A</v>
      </c>
      <c r="C881" s="17" t="n">
        <f aca="false">Report!U1158</f>
        <v>585</v>
      </c>
      <c r="D881" s="1" t="str">
        <f aca="false">Report!X1158</f>
        <v>RECARGA CELULAR CHIP  MO2 - KEILA</v>
      </c>
    </row>
    <row r="882" customFormat="false" ht="12.75" hidden="false" customHeight="true" outlineLevel="0" collapsed="false">
      <c r="A882" s="15" t="n">
        <f aca="false">Report!C1160</f>
        <v>46248</v>
      </c>
      <c r="B882" s="1" t="str">
        <f aca="false">Report!E1160</f>
        <v>SB COMERCIO LTDA</v>
      </c>
      <c r="C882" s="17" t="n">
        <f aca="false">Report!U1160</f>
        <v>945.12</v>
      </c>
      <c r="D882" s="1" t="str">
        <f aca="false">Report!X1160</f>
        <v>NF 1964289 ELLEN</v>
      </c>
    </row>
    <row r="883" customFormat="false" ht="12.75" hidden="false" customHeight="true" outlineLevel="0" collapsed="false">
      <c r="A883" s="15" t="n">
        <f aca="false">Report!C1161</f>
        <v>46248</v>
      </c>
      <c r="B883" s="1" t="str">
        <f aca="false">Report!E1161</f>
        <v>BF COMERCIO DE ALIMENTOS REPRESENTACAO L</v>
      </c>
      <c r="C883" s="17" t="n">
        <f aca="false">Report!U1161</f>
        <v>581.65</v>
      </c>
      <c r="D883" s="1" t="str">
        <f aca="false">Report!X1161</f>
        <v>NF 21130 ELLEN</v>
      </c>
    </row>
    <row r="884" customFormat="false" ht="12.75" hidden="false" customHeight="true" outlineLevel="0" collapsed="false">
      <c r="A884" s="15" t="n">
        <f aca="false">Report!C1162</f>
        <v>46248</v>
      </c>
      <c r="B884" s="1" t="str">
        <f aca="false">Report!E1162</f>
        <v>SOUZA CRUZ LTDA.</v>
      </c>
      <c r="C884" s="17" t="n">
        <f aca="false">Report!U1162</f>
        <v>6409.6</v>
      </c>
      <c r="D884" s="1" t="str">
        <f aca="false">Report!X1162</f>
        <v>NF 568309 ELLEN</v>
      </c>
    </row>
    <row r="885" customFormat="false" ht="12.75" hidden="false" customHeight="true" outlineLevel="0" collapsed="false">
      <c r="A885" s="15" t="n">
        <f aca="false">Report!C1163</f>
        <v>46248</v>
      </c>
      <c r="B885" s="1" t="str">
        <f aca="false">Report!E1163</f>
        <v>DISTRIBUIDORA LOPES LTDA</v>
      </c>
      <c r="C885" s="17" t="n">
        <f aca="false">Report!U1163</f>
        <v>1111.12</v>
      </c>
      <c r="D885" s="1" t="str">
        <f aca="false">Report!X1163</f>
        <v>NF 1698151 ELLEN</v>
      </c>
    </row>
    <row r="886" customFormat="false" ht="12.75" hidden="false" customHeight="true" outlineLevel="0" collapsed="false">
      <c r="A886" s="15" t="n">
        <f aca="false">Report!C1164</f>
        <v>46248</v>
      </c>
      <c r="B886" s="1" t="str">
        <f aca="false">Report!E1164</f>
        <v>MIKITOS IND.COM.DE GEN. ALIM. DO AM. LTD</v>
      </c>
      <c r="C886" s="17" t="n">
        <f aca="false">Report!U1164</f>
        <v>690</v>
      </c>
      <c r="D886" s="1" t="str">
        <f aca="false">Report!X1164</f>
        <v>NF 294640 ELLEN</v>
      </c>
    </row>
    <row r="887" customFormat="false" ht="12.75" hidden="false" customHeight="true" outlineLevel="0" collapsed="false">
      <c r="A887" s="15" t="n">
        <f aca="false">Report!C1165</f>
        <v>46248</v>
      </c>
      <c r="B887" s="1" t="str">
        <f aca="false">Report!E1165</f>
        <v>BONNA VITTA INDUSTRIA E COMERCIO LTDA.</v>
      </c>
      <c r="C887" s="17" t="n">
        <f aca="false">Report!U1165</f>
        <v>740.52</v>
      </c>
      <c r="D887" s="1" t="str">
        <f aca="false">Report!X1165</f>
        <v>NF 1842 ELLEN</v>
      </c>
    </row>
    <row r="888" customFormat="false" ht="12.75" hidden="false" customHeight="true" outlineLevel="0" collapsed="false">
      <c r="A888" s="15" t="n">
        <f aca="false">Report!C1166</f>
        <v>46248</v>
      </c>
      <c r="B888" s="1" t="str">
        <f aca="false">Report!E1166</f>
        <v>ORIENTE COM. ATACADISTA E REPRES. LTDA</v>
      </c>
      <c r="C888" s="17" t="n">
        <f aca="false">Report!U1166</f>
        <v>2975.9</v>
      </c>
      <c r="D888" s="1" t="str">
        <f aca="false">Report!X1166</f>
        <v>NF 3040 ELLEN</v>
      </c>
    </row>
    <row r="889" customFormat="false" ht="12.75" hidden="false" customHeight="true" outlineLevel="0" collapsed="false">
      <c r="A889" s="15" t="n">
        <f aca="false">Report!C1167</f>
        <v>46248</v>
      </c>
      <c r="B889" s="1" t="str">
        <f aca="false">Report!E1167</f>
        <v>EDSON AGUIAR DE SOUZA</v>
      </c>
      <c r="C889" s="17" t="n">
        <f aca="false">Report!U1167</f>
        <v>120</v>
      </c>
      <c r="D889" s="1" t="str">
        <f aca="false">Report!X1167</f>
        <v>COMPRAS - CHEIRO-VERDE - ELLEN</v>
      </c>
    </row>
    <row r="890" customFormat="false" ht="12.75" hidden="false" customHeight="true" outlineLevel="0" collapsed="false">
      <c r="A890" s="15" t="n">
        <f aca="false">Report!C1168</f>
        <v>46248</v>
      </c>
      <c r="B890" s="1" t="str">
        <f aca="false">Report!E1168</f>
        <v>EDSON AGUIAR DE SOUZA</v>
      </c>
      <c r="C890" s="17" t="n">
        <f aca="false">Report!U1168</f>
        <v>144.5</v>
      </c>
      <c r="D890" s="1" t="str">
        <f aca="false">Report!X1168</f>
        <v>COMPRAS - CHEIRO-VERDE - ELLEN</v>
      </c>
    </row>
    <row r="891" customFormat="false" ht="12.75" hidden="false" customHeight="true" outlineLevel="0" collapsed="false">
      <c r="A891" s="15" t="n">
        <f aca="false">Report!C1169</f>
        <v>46248</v>
      </c>
      <c r="B891" s="1" t="str">
        <f aca="false">Report!E1169</f>
        <v>COMERCIO DE FRIOS MANAUS LTDA</v>
      </c>
      <c r="C891" s="17" t="n">
        <f aca="false">Report!U1169</f>
        <v>2347.2</v>
      </c>
      <c r="D891" s="1" t="str">
        <f aca="false">Report!X1169</f>
        <v>NF 174275 ELLEN</v>
      </c>
    </row>
    <row r="892" customFormat="false" ht="12.75" hidden="false" customHeight="true" outlineLevel="0" collapsed="false">
      <c r="A892" s="15" t="n">
        <f aca="false">Report!C1170</f>
        <v>46248</v>
      </c>
      <c r="B892" s="1" t="str">
        <f aca="false">Report!E1170</f>
        <v>EDSON AGUIAR DE SOUZA</v>
      </c>
      <c r="C892" s="17" t="n">
        <f aca="false">Report!U1170</f>
        <v>184</v>
      </c>
      <c r="D892" s="1" t="str">
        <f aca="false">Report!X1170</f>
        <v>COMPRAS - CHEIRO-VERDE - ELLEN</v>
      </c>
    </row>
    <row r="893" customFormat="false" ht="12.75" hidden="false" customHeight="true" outlineLevel="0" collapsed="false">
      <c r="A893" s="15" t="n">
        <f aca="false">Report!C1171</f>
        <v>46248</v>
      </c>
      <c r="B893" s="1" t="str">
        <f aca="false">Report!E1171</f>
        <v>NEYLIANE S DE OLIVEIRA &amp; CIA LTDA</v>
      </c>
      <c r="C893" s="17" t="n">
        <f aca="false">Report!U1171</f>
        <v>225</v>
      </c>
      <c r="D893" s="1" t="str">
        <f aca="false">Report!X1171</f>
        <v>COMPRAS - 15L DE AÇAI - PG NO P 13/8/26 ELLEN</v>
      </c>
    </row>
    <row r="894" customFormat="false" ht="12.75" hidden="false" customHeight="true" outlineLevel="0" collapsed="false">
      <c r="A894" s="15" t="n">
        <f aca="false">Report!C1172</f>
        <v>46248</v>
      </c>
      <c r="B894" s="1" t="str">
        <f aca="false">Report!E1172</f>
        <v>BROTHERS  INDUSTRIA DE ALIMENTOS LTDA</v>
      </c>
      <c r="C894" s="17" t="n">
        <f aca="false">Report!U1172</f>
        <v>497.91</v>
      </c>
      <c r="D894" s="1" t="str">
        <f aca="false">Report!X1172</f>
        <v>NF 1035731 ELLEN</v>
      </c>
    </row>
    <row r="895" customFormat="false" ht="12.75" hidden="false" customHeight="true" outlineLevel="0" collapsed="false">
      <c r="A895" s="15" t="n">
        <f aca="false">Report!C1173</f>
        <v>46248</v>
      </c>
      <c r="B895" s="1" t="str">
        <f aca="false">Report!E1173</f>
        <v>KAROLINY RODRIGUES SOUZA VENANCIO 915783</v>
      </c>
      <c r="C895" s="17" t="n">
        <f aca="false">Report!U1173</f>
        <v>250</v>
      </c>
      <c r="D895" s="1" t="str">
        <f aca="false">Report!X1173</f>
        <v>NF 1978 ELLEN</v>
      </c>
    </row>
    <row r="896" customFormat="false" ht="12.75" hidden="false" customHeight="true" outlineLevel="0" collapsed="false">
      <c r="A896" s="15" t="n">
        <f aca="false">Report!C1174</f>
        <v>46248</v>
      </c>
      <c r="B896" s="1" t="str">
        <f aca="false">Report!E1174</f>
        <v>FALCAO INDUSTRIA DE ALIMENTOS LTDA</v>
      </c>
      <c r="C896" s="17" t="n">
        <f aca="false">Report!U1174</f>
        <v>1023.98</v>
      </c>
      <c r="D896" s="1" t="str">
        <f aca="false">Report!X1174</f>
        <v>NF 32318 ELLEN</v>
      </c>
    </row>
    <row r="897" customFormat="false" ht="12.75" hidden="false" customHeight="true" outlineLevel="0" collapsed="false">
      <c r="A897" s="15" t="n">
        <f aca="false">Report!C1175</f>
        <v>46248</v>
      </c>
      <c r="B897" s="1" t="str">
        <f aca="false">Report!E1175</f>
        <v>SOUZA CRUZ LTDA.</v>
      </c>
      <c r="C897" s="17" t="n">
        <f aca="false">Report!U1175</f>
        <v>4470.03</v>
      </c>
      <c r="D897" s="1" t="str">
        <f aca="false">Report!X1175</f>
        <v>NF 569335 ELLEN</v>
      </c>
    </row>
    <row r="898" customFormat="false" ht="12.75" hidden="false" customHeight="true" outlineLevel="0" collapsed="false">
      <c r="A898" s="15" t="n">
        <f aca="false">Report!C1176</f>
        <v>46248</v>
      </c>
      <c r="B898" s="1" t="str">
        <f aca="false">Report!E1176</f>
        <v>EDSON AGUIAR DE SOUZA</v>
      </c>
      <c r="C898" s="17" t="n">
        <f aca="false">Report!U1176</f>
        <v>216.5</v>
      </c>
      <c r="D898" s="1" t="str">
        <f aca="false">Report!X1176</f>
        <v>COMPRAS - CHEIRO-VERDE - ELLEN</v>
      </c>
    </row>
    <row r="899" customFormat="false" ht="12.75" hidden="false" customHeight="true" outlineLevel="0" collapsed="false">
      <c r="A899" s="15" t="n">
        <f aca="false">Report!C1177</f>
        <v>46248</v>
      </c>
      <c r="B899" s="1" t="str">
        <f aca="false">Report!E1177</f>
        <v>EDSON AGUIAR DE SOUZA</v>
      </c>
      <c r="C899" s="17" t="n">
        <f aca="false">Report!U1177</f>
        <v>136</v>
      </c>
      <c r="D899" s="1" t="str">
        <f aca="false">Report!X1177</f>
        <v>COMPRAS - CHEIRO-VERDE - ELLEN</v>
      </c>
    </row>
    <row r="900" customFormat="false" ht="12.75" hidden="false" customHeight="true" outlineLevel="0" collapsed="false">
      <c r="A900" s="15" t="n">
        <f aca="false">Report!C1178</f>
        <v>46248</v>
      </c>
      <c r="B900" s="1" t="str">
        <f aca="false">Report!E1178</f>
        <v>ADICSO FABIAN GONZALEZ MONTILLA 70302186</v>
      </c>
      <c r="C900" s="17" t="n">
        <f aca="false">Report!U1178</f>
        <v>240</v>
      </c>
      <c r="D900" s="1" t="str">
        <f aca="false">Report!X1178</f>
        <v>NF 598 ELLEN</v>
      </c>
    </row>
    <row r="901" customFormat="false" ht="12.75" hidden="false" customHeight="true" outlineLevel="0" collapsed="false">
      <c r="A901" s="15" t="n">
        <f aca="false">Report!C1179</f>
        <v>46248</v>
      </c>
      <c r="B901" s="1" t="str">
        <f aca="false">Report!E1179</f>
        <v>NEYLIANE S DE OLIVEIRA &amp; CIA LTDA</v>
      </c>
      <c r="C901" s="17" t="n">
        <f aca="false">Report!U1179</f>
        <v>115</v>
      </c>
      <c r="D901" s="1" t="str">
        <f aca="false">Report!X1179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Report!C1180</f>
        <v>46248</v>
      </c>
      <c r="B902" s="1" t="str">
        <f aca="false">Report!E1180</f>
        <v>NEYLIANE S DE OLIVEIRA &amp; CIA LTDA</v>
      </c>
      <c r="C902" s="17" t="n">
        <f aca="false">Report!U1180</f>
        <v>1899.7</v>
      </c>
      <c r="D902" s="1" t="str">
        <f aca="false">Report!X1180</f>
        <v>FEIRA - PIX P C6-BANK-RENATO - ELLEN</v>
      </c>
    </row>
    <row r="903" customFormat="false" ht="12.75" hidden="false" customHeight="true" outlineLevel="0" collapsed="false">
      <c r="A903" s="15" t="n">
        <f aca="false">Report!C1181</f>
        <v>46248</v>
      </c>
      <c r="B903" s="1" t="str">
        <f aca="false">Report!E1181</f>
        <v>FEIRA</v>
      </c>
      <c r="C903" s="17" t="n">
        <f aca="false">Report!U1181</f>
        <v>399</v>
      </c>
      <c r="D903" s="1" t="str">
        <f aca="false">Report!X1181</f>
        <v>FEIRA - PIX P C6-BANK-RENATO (ALHO/UVA) ELLEN</v>
      </c>
    </row>
    <row r="904" customFormat="false" ht="12.75" hidden="false" customHeight="true" outlineLevel="0" collapsed="false">
      <c r="A904" s="15" t="n">
        <f aca="false">Report!C1182</f>
        <v>46248</v>
      </c>
      <c r="B904" s="1" t="str">
        <f aca="false">Report!E1182</f>
        <v>EDSON AGUIAR DE SOUZA</v>
      </c>
      <c r="C904" s="17" t="n">
        <f aca="false">Report!U1182</f>
        <v>117</v>
      </c>
      <c r="D904" s="1" t="str">
        <f aca="false">Report!X1182</f>
        <v>COMPRAS - CHEIRO-VERDE - ELLEN</v>
      </c>
    </row>
    <row r="905" customFormat="false" ht="12.75" hidden="false" customHeight="true" outlineLevel="0" collapsed="false">
      <c r="A905" s="15" t="n">
        <f aca="false">Report!C1183</f>
        <v>46248</v>
      </c>
      <c r="B905" s="1" t="str">
        <f aca="false">Report!E1183</f>
        <v>EDSON AGUIAR DE SOUZA</v>
      </c>
      <c r="C905" s="17" t="n">
        <f aca="false">Report!U1183</f>
        <v>79</v>
      </c>
      <c r="D905" s="1" t="str">
        <f aca="false">Report!X1183</f>
        <v>COMPRAS - CHEIRO-VERDE - ELLEN</v>
      </c>
    </row>
    <row r="906" customFormat="false" ht="12.75" hidden="false" customHeight="true" outlineLevel="0" collapsed="false">
      <c r="A906" s="15" t="n">
        <f aca="false">Report!C1186</f>
        <v>46249</v>
      </c>
      <c r="B906" s="1" t="str">
        <f aca="false">Report!E1186</f>
        <v>FE COMERCIO DE MATERIAIS DE CONSTRUCAO</v>
      </c>
      <c r="C906" s="17" t="n">
        <f aca="false">Report!U1186</f>
        <v>819.53</v>
      </c>
      <c r="D906" s="1" t="str">
        <f aca="false">Report!X1186</f>
        <v>NF 4467 ELLEN</v>
      </c>
    </row>
    <row r="907" customFormat="false" ht="12.75" hidden="false" customHeight="true" outlineLevel="0" collapsed="false">
      <c r="A907" s="15" t="n">
        <f aca="false">Report!C1187</f>
        <v>46249</v>
      </c>
      <c r="B907" s="1" t="str">
        <f aca="false">Report!E1187</f>
        <v>ADRIANA DISTRIBUIDORA DE PRODUTOS ALIMEN</v>
      </c>
      <c r="C907" s="17" t="n">
        <f aca="false">Report!U1187</f>
        <v>1006.03</v>
      </c>
      <c r="D907" s="1" t="str">
        <f aca="false">Report!X1187</f>
        <v>NF 886799 ELLEN</v>
      </c>
    </row>
    <row r="908" customFormat="false" ht="12.75" hidden="false" customHeight="true" outlineLevel="0" collapsed="false">
      <c r="A908" s="15" t="n">
        <f aca="false">Report!C1188</f>
        <v>46249</v>
      </c>
      <c r="B908" s="1" t="str">
        <f aca="false">Report!E1188</f>
        <v>BRASIL NORTE BEBIDAS S/A</v>
      </c>
      <c r="C908" s="17" t="n">
        <f aca="false">Report!U1188</f>
        <v>2636.73</v>
      </c>
      <c r="D908" s="1" t="str">
        <f aca="false">Report!X1188</f>
        <v>NF 1964129 ELLEN</v>
      </c>
    </row>
    <row r="909" customFormat="false" ht="12.75" hidden="false" customHeight="true" outlineLevel="0" collapsed="false">
      <c r="A909" s="15" t="n">
        <f aca="false">Report!C1189</f>
        <v>46249</v>
      </c>
      <c r="B909" s="1" t="str">
        <f aca="false">Report!E1189</f>
        <v>BRASIL NORTE BEBIDAS S/A</v>
      </c>
      <c r="C909" s="17" t="n">
        <f aca="false">Report!U1189</f>
        <v>45.18</v>
      </c>
      <c r="D909" s="1" t="str">
        <f aca="false">Report!X1189</f>
        <v>NF 1964130 ELLEN</v>
      </c>
    </row>
    <row r="910" customFormat="false" ht="12.75" hidden="false" customHeight="true" outlineLevel="0" collapsed="false">
      <c r="A910" s="15" t="n">
        <f aca="false">Report!C1190</f>
        <v>46249</v>
      </c>
      <c r="B910" s="1" t="str">
        <f aca="false">Report!E1190</f>
        <v>BRASIL NORTE BEBIDAS S/A</v>
      </c>
      <c r="C910" s="17" t="n">
        <f aca="false">Report!U1190</f>
        <v>327.46</v>
      </c>
      <c r="D910" s="1" t="str">
        <f aca="false">Report!X1190</f>
        <v>NF 1228756 ELLEN</v>
      </c>
    </row>
    <row r="911" customFormat="false" ht="12.75" hidden="false" customHeight="true" outlineLevel="0" collapsed="false">
      <c r="A911" s="15" t="n">
        <f aca="false">Report!C1191</f>
        <v>46249</v>
      </c>
      <c r="B911" s="1" t="str">
        <f aca="false">Report!E1191</f>
        <v>BRASIL NORTE BEBIDAS S/A</v>
      </c>
      <c r="C911" s="17" t="n">
        <f aca="false">Report!U1191</f>
        <v>190.71</v>
      </c>
      <c r="D911" s="1" t="str">
        <f aca="false">Report!X1191</f>
        <v>NF 1228757 ELLEN</v>
      </c>
    </row>
    <row r="912" customFormat="false" ht="12.75" hidden="false" customHeight="true" outlineLevel="0" collapsed="false">
      <c r="A912" s="15" t="n">
        <f aca="false">Report!C1192</f>
        <v>46249</v>
      </c>
      <c r="B912" s="1" t="str">
        <f aca="false">Report!E1192</f>
        <v>BRASIL NORTE BEBIDAS S/A</v>
      </c>
      <c r="C912" s="17" t="n">
        <f aca="false">Report!U1192</f>
        <v>538.46</v>
      </c>
      <c r="D912" s="1" t="str">
        <f aca="false">Report!X1192</f>
        <v>NF 1964124 NOTA C/ BONIFICAÇÃO/DESCONTO - ELLEN</v>
      </c>
    </row>
    <row r="913" customFormat="false" ht="12.75" hidden="false" customHeight="true" outlineLevel="0" collapsed="false">
      <c r="A913" s="15" t="n">
        <f aca="false">Report!C1193</f>
        <v>46249</v>
      </c>
      <c r="B913" s="1" t="str">
        <f aca="false">Report!E1193</f>
        <v>BRAGA TABACARIA EIRELI ME</v>
      </c>
      <c r="C913" s="17" t="n">
        <f aca="false">Report!U1193</f>
        <v>1563.41</v>
      </c>
      <c r="D913" s="1" t="str">
        <f aca="false">Report!X1193</f>
        <v>NF 19579 ELLEN</v>
      </c>
    </row>
    <row r="914" customFormat="false" ht="12.75" hidden="false" customHeight="true" outlineLevel="0" collapsed="false">
      <c r="A914" s="15" t="n">
        <f aca="false">Report!C1194</f>
        <v>46249</v>
      </c>
      <c r="B914" s="1" t="str">
        <f aca="false">Report!E1194</f>
        <v>SILVA E SANTOS FRIGORIFICO LTDA</v>
      </c>
      <c r="C914" s="17" t="n">
        <f aca="false">Report!U1194</f>
        <v>2918.55</v>
      </c>
      <c r="D914" s="1" t="str">
        <f aca="false">Report!X1194</f>
        <v>NF 32337 ELLEN</v>
      </c>
    </row>
    <row r="915" customFormat="false" ht="12.75" hidden="false" customHeight="true" outlineLevel="0" collapsed="false">
      <c r="A915" s="15" t="n">
        <f aca="false">Report!C1195</f>
        <v>46249</v>
      </c>
      <c r="B915" s="1" t="str">
        <f aca="false">Report!E1195</f>
        <v>MAXFRI DISTRIUIDORA LTDA</v>
      </c>
      <c r="C915" s="17" t="n">
        <f aca="false">Report!U1195</f>
        <v>4599.9</v>
      </c>
      <c r="D915" s="1" t="str">
        <f aca="false">Report!X1195</f>
        <v>NF 14993 ELLEN</v>
      </c>
    </row>
    <row r="916" customFormat="false" ht="12.75" hidden="false" customHeight="true" outlineLevel="0" collapsed="false">
      <c r="A916" s="15" t="n">
        <f aca="false">Report!C1196</f>
        <v>46249</v>
      </c>
      <c r="B916" s="1" t="str">
        <f aca="false">Report!E1196</f>
        <v>NEYLIANE S DE OLIVEIRA &amp; CIA LTDA</v>
      </c>
      <c r="C916" s="17" t="n">
        <f aca="false">Report!U1196</f>
        <v>270</v>
      </c>
      <c r="D916" s="1" t="str">
        <f aca="false">Report!X1196</f>
        <v>COMPRAS - 18L DE ACAI - PG NO P 15/8/26 - ELLEN</v>
      </c>
    </row>
    <row r="917" customFormat="false" ht="12.75" hidden="false" customHeight="true" outlineLevel="0" collapsed="false">
      <c r="A917" s="15" t="n">
        <f aca="false">Report!C1197</f>
        <v>46249</v>
      </c>
      <c r="B917" s="1" t="str">
        <f aca="false">Report!E1197</f>
        <v>H L M PADARIA E CONFEITARIA LTDA</v>
      </c>
      <c r="C917" s="17" t="n">
        <f aca="false">Report!U1197</f>
        <v>200</v>
      </c>
      <c r="D917" s="1" t="str">
        <f aca="false">Report!X1197</f>
        <v>NF 174 COMPRAS-BOLO PG NO P 15/8/26-ELLEN</v>
      </c>
    </row>
    <row r="918" customFormat="false" ht="12.75" hidden="false" customHeight="true" outlineLevel="0" collapsed="false">
      <c r="A918" s="15" t="n">
        <f aca="false">Report!C1198</f>
        <v>46251</v>
      </c>
      <c r="B918" s="1" t="str">
        <f aca="false">Report!E1198</f>
        <v>TAPAJOS COM DE PERFUMARIA COSMETICOS E G</v>
      </c>
      <c r="C918" s="17" t="n">
        <f aca="false">Report!U1198</f>
        <v>1413.72</v>
      </c>
      <c r="D918" s="1" t="str">
        <f aca="false">Report!X1198</f>
        <v>NF 580863 ELLEN</v>
      </c>
    </row>
    <row r="919" customFormat="false" ht="12.75" hidden="false" customHeight="true" outlineLevel="0" collapsed="false">
      <c r="A919" s="15" t="n">
        <f aca="false">Report!C1199</f>
        <v>46251</v>
      </c>
      <c r="B919" s="1" t="str">
        <f aca="false">Report!E1199</f>
        <v>TAPAJOS COM DE PERFUMARIA COSMETICOS E G</v>
      </c>
      <c r="C919" s="17" t="n">
        <f aca="false">Report!U1199</f>
        <v>1142.36</v>
      </c>
      <c r="D919" s="1" t="str">
        <f aca="false">Report!X1199</f>
        <v>NF 580861 ELLEN</v>
      </c>
    </row>
    <row r="920" customFormat="false" ht="12.75" hidden="false" customHeight="true" outlineLevel="0" collapsed="false">
      <c r="A920" s="15" t="n">
        <f aca="false">Report!C1200</f>
        <v>46251</v>
      </c>
      <c r="B920" s="1" t="str">
        <f aca="false">Report!E1200</f>
        <v>CB COMERCIO E DISTRIBUIDORA DE ALIMENTOS</v>
      </c>
      <c r="C920" s="17" t="n">
        <f aca="false">Report!U1200</f>
        <v>676.98</v>
      </c>
      <c r="D920" s="1" t="str">
        <f aca="false">Report!X1200</f>
        <v>NF 854967 ELLEN</v>
      </c>
    </row>
    <row r="921" customFormat="false" ht="12.75" hidden="false" customHeight="true" outlineLevel="0" collapsed="false">
      <c r="A921" s="15" t="n">
        <f aca="false">Report!C1201</f>
        <v>46251</v>
      </c>
      <c r="B921" s="1" t="str">
        <f aca="false">Report!E1201</f>
        <v>BRASIL NORTE BEBIDAS S/A</v>
      </c>
      <c r="C921" s="17" t="n">
        <f aca="false">Report!U1201</f>
        <v>114.61</v>
      </c>
      <c r="D921" s="1" t="str">
        <f aca="false">Report!X1201</f>
        <v>NF 1210021 ELLEN</v>
      </c>
    </row>
    <row r="922" customFormat="false" ht="12.75" hidden="false" customHeight="true" outlineLevel="0" collapsed="false">
      <c r="A922" s="15" t="n">
        <f aca="false">Report!C1202</f>
        <v>46251</v>
      </c>
      <c r="B922" s="1" t="str">
        <f aca="false">Report!E1202</f>
        <v>FENNIX BRASIL DISTRIBUIDORA DE PRODUTOS</v>
      </c>
      <c r="C922" s="17" t="n">
        <f aca="false">Report!U1202</f>
        <v>416.64</v>
      </c>
      <c r="D922" s="1" t="str">
        <f aca="false">Report!X1202</f>
        <v>NF 315892 ELLEN</v>
      </c>
    </row>
    <row r="923" customFormat="false" ht="12.75" hidden="false" customHeight="true" outlineLevel="0" collapsed="false">
      <c r="A923" s="15" t="n">
        <f aca="false">Report!C1203</f>
        <v>46251</v>
      </c>
      <c r="B923" s="1" t="str">
        <f aca="false">Report!E1203</f>
        <v>CRBS S/A</v>
      </c>
      <c r="C923" s="17" t="n">
        <f aca="false">Report!U1203</f>
        <v>2448.61</v>
      </c>
      <c r="D923" s="1" t="str">
        <f aca="false">Report!X1203</f>
        <v>NF 940437 ELLEN</v>
      </c>
    </row>
    <row r="924" customFormat="false" ht="12.75" hidden="false" customHeight="true" outlineLevel="0" collapsed="false">
      <c r="A924" s="15" t="n">
        <f aca="false">Report!C1204</f>
        <v>46251</v>
      </c>
      <c r="B924" s="1" t="str">
        <f aca="false">Report!E1204</f>
        <v>OCIDENTAL COMERCIO DE FRIOS LTDA</v>
      </c>
      <c r="C924" s="17" t="n">
        <f aca="false">Report!U1204</f>
        <v>364.47</v>
      </c>
      <c r="D924" s="1" t="str">
        <f aca="false">Report!X1204</f>
        <v>NF 1257279 ELLEN</v>
      </c>
    </row>
    <row r="925" customFormat="false" ht="12.75" hidden="false" customHeight="true" outlineLevel="0" collapsed="false">
      <c r="A925" s="15" t="n">
        <f aca="false">Report!C1205</f>
        <v>46251</v>
      </c>
      <c r="B925" s="1" t="str">
        <f aca="false">Report!E1205</f>
        <v>T. M. L. DA SILVA LTDA</v>
      </c>
      <c r="C925" s="17" t="n">
        <f aca="false">Report!U1205</f>
        <v>284.93</v>
      </c>
      <c r="D925" s="1" t="str">
        <f aca="false">Report!X1205</f>
        <v>NF 15234 ELLEN</v>
      </c>
    </row>
    <row r="926" customFormat="false" ht="12.75" hidden="false" customHeight="true" outlineLevel="0" collapsed="false">
      <c r="A926" s="15" t="n">
        <f aca="false">Report!C1206</f>
        <v>46251</v>
      </c>
      <c r="B926" s="1" t="str">
        <f aca="false">Report!E1206</f>
        <v>LIMA E BARANDA COMERCIO DE PRODUTOS REGI</v>
      </c>
      <c r="C926" s="17" t="n">
        <f aca="false">Report!U1206</f>
        <v>138</v>
      </c>
      <c r="D926" s="1" t="str">
        <f aca="false">Report!X1206</f>
        <v>NF 31847 ELLEN</v>
      </c>
    </row>
    <row r="927" customFormat="false" ht="12.75" hidden="false" customHeight="true" outlineLevel="0" collapsed="false">
      <c r="A927" s="15" t="n">
        <f aca="false">Report!C1207</f>
        <v>46251</v>
      </c>
      <c r="B927" s="1" t="str">
        <f aca="false">Report!E1207</f>
        <v>CRBS S/A</v>
      </c>
      <c r="C927" s="17" t="n">
        <f aca="false">Report!U1207</f>
        <v>1125.94</v>
      </c>
      <c r="D927" s="1" t="str">
        <f aca="false">Report!X1207</f>
        <v>NF 948218 ELLEN</v>
      </c>
    </row>
    <row r="928" customFormat="false" ht="12.75" hidden="false" customHeight="true" outlineLevel="0" collapsed="false">
      <c r="A928" s="15" t="n">
        <f aca="false">Report!C1208</f>
        <v>46251</v>
      </c>
      <c r="B928" s="1" t="str">
        <f aca="false">Report!E1208</f>
        <v>FEMAR IND E COM DE BEBIDAS LTDA</v>
      </c>
      <c r="C928" s="17" t="n">
        <f aca="false">Report!U1208</f>
        <v>304.02</v>
      </c>
      <c r="D928" s="1" t="str">
        <f aca="false">Report!X1208</f>
        <v>NF 55971 ELLEN</v>
      </c>
    </row>
    <row r="929" customFormat="false" ht="12.75" hidden="false" customHeight="true" outlineLevel="0" collapsed="false">
      <c r="A929" s="15" t="n">
        <f aca="false">Report!C1209</f>
        <v>46251</v>
      </c>
      <c r="B929" s="1" t="str">
        <f aca="false">Report!E1209</f>
        <v>NOVA FRIOS COMERCIO ATACADISTA DE LATICINIOS LTDA</v>
      </c>
      <c r="C929" s="17" t="n">
        <f aca="false">Report!U1209</f>
        <v>279.65</v>
      </c>
      <c r="D929" s="1" t="str">
        <f aca="false">Report!X1209</f>
        <v>NF 4340 ELLEN</v>
      </c>
    </row>
    <row r="930" customFormat="false" ht="12.75" hidden="false" customHeight="true" outlineLevel="0" collapsed="false">
      <c r="A930" s="15" t="n">
        <f aca="false">Report!C1210</f>
        <v>46251</v>
      </c>
      <c r="B930" s="1" t="str">
        <f aca="false">Report!E1210</f>
        <v>PANIFICADORA E CONFEITARIA REAL MADRI LTDA</v>
      </c>
      <c r="C930" s="17" t="n">
        <f aca="false">Report!U1210</f>
        <v>317.18</v>
      </c>
      <c r="D930" s="1" t="str">
        <f aca="false">Report!X1210</f>
        <v>NF 760 ELLEN</v>
      </c>
    </row>
    <row r="931" customFormat="false" ht="12.75" hidden="false" customHeight="true" outlineLevel="0" collapsed="false">
      <c r="A931" s="15" t="n">
        <f aca="false">Report!C1211</f>
        <v>46251</v>
      </c>
      <c r="B931" s="1" t="str">
        <f aca="false">Report!E1211</f>
        <v>J W N DOS SANTOS</v>
      </c>
      <c r="C931" s="17" t="n">
        <f aca="false">Report!U1211</f>
        <v>183</v>
      </c>
      <c r="D931" s="1" t="str">
        <f aca="false">Report!X1211</f>
        <v>NF 401 - ELLEN</v>
      </c>
    </row>
    <row r="932" customFormat="false" ht="12.75" hidden="false" customHeight="true" outlineLevel="0" collapsed="false">
      <c r="A932" s="15" t="n">
        <f aca="false">Report!C1212</f>
        <v>46251</v>
      </c>
      <c r="B932" s="1" t="str">
        <f aca="false">Report!E1212</f>
        <v>NEYLIANE S DE OLIVEIRA &amp; CIA LTDA</v>
      </c>
      <c r="C932" s="17" t="n">
        <f aca="false">Report!U1212</f>
        <v>225</v>
      </c>
      <c r="D932" s="1" t="str">
        <f aca="false">Report!X1212</f>
        <v>COMPRAS - 15L DE ACAI - PG NO P 17/8/26 - ELLEN</v>
      </c>
    </row>
    <row r="933" customFormat="false" ht="12.75" hidden="false" customHeight="true" outlineLevel="0" collapsed="false">
      <c r="A933" s="15" t="n">
        <f aca="false">Report!C1214</f>
        <v>46252</v>
      </c>
      <c r="B933" s="1" t="str">
        <f aca="false">Report!E1214</f>
        <v>ATACADAO S.A.</v>
      </c>
      <c r="C933" s="17" t="n">
        <f aca="false">Report!U1214</f>
        <v>479.64</v>
      </c>
      <c r="D933" s="1" t="str">
        <f aca="false">Report!X1214</f>
        <v>NF 1905833 ELLEN</v>
      </c>
    </row>
    <row r="934" customFormat="false" ht="12.75" hidden="false" customHeight="true" outlineLevel="0" collapsed="false">
      <c r="A934" s="15" t="n">
        <f aca="false">Report!C1216</f>
        <v>46253</v>
      </c>
      <c r="B934" s="1" t="str">
        <f aca="false">Report!E1216</f>
        <v>SB COMERCIO LTDA</v>
      </c>
      <c r="C934" s="17" t="n">
        <f aca="false">Report!U1216</f>
        <v>1504.06</v>
      </c>
      <c r="D934" s="1" t="str">
        <f aca="false">Report!X1216</f>
        <v>NF 1962669 ELLEN</v>
      </c>
    </row>
    <row r="935" customFormat="false" ht="12.75" hidden="false" customHeight="true" outlineLevel="0" collapsed="false">
      <c r="A935" s="15" t="n">
        <f aca="false">Report!C1217</f>
        <v>46253</v>
      </c>
      <c r="B935" s="1" t="str">
        <f aca="false">Report!E1217</f>
        <v>BONNA VITTA INDUSTRIA E COMERCIO LTDA.</v>
      </c>
      <c r="C935" s="17" t="n">
        <f aca="false">Report!U1217</f>
        <v>109.51</v>
      </c>
      <c r="D935" s="1" t="str">
        <f aca="false">Report!X1217</f>
        <v>NF 1625 ELLEN</v>
      </c>
    </row>
    <row r="936" customFormat="false" ht="12.75" hidden="false" customHeight="true" outlineLevel="0" collapsed="false">
      <c r="A936" s="15" t="n">
        <f aca="false">Report!C1218</f>
        <v>46253</v>
      </c>
      <c r="B936" s="1" t="str">
        <f aca="false">Report!E1218</f>
        <v>BRF S A</v>
      </c>
      <c r="C936" s="17" t="n">
        <f aca="false">Report!U1218</f>
        <v>1190.19</v>
      </c>
      <c r="D936" s="1" t="str">
        <f aca="false">Report!X1218</f>
        <v>NF 1614426 ELLEN</v>
      </c>
    </row>
    <row r="937" customFormat="false" ht="12.75" hidden="false" customHeight="true" outlineLevel="0" collapsed="false">
      <c r="A937" s="15" t="n">
        <f aca="false">Report!C1219</f>
        <v>46253</v>
      </c>
      <c r="B937" s="1" t="str">
        <f aca="false">Report!E1219</f>
        <v>BONNA VITTA INDUSTRIA E COMERCIO LTDA.</v>
      </c>
      <c r="C937" s="17" t="n">
        <f aca="false">Report!U1219</f>
        <v>491.46</v>
      </c>
      <c r="D937" s="1" t="str">
        <f aca="false">Report!X1219</f>
        <v>NF 2658 ELLEN</v>
      </c>
    </row>
    <row r="938" customFormat="false" ht="12.75" hidden="false" customHeight="true" outlineLevel="0" collapsed="false">
      <c r="A938" s="15" t="n">
        <f aca="false">Report!C1220</f>
        <v>46253</v>
      </c>
      <c r="B938" s="1" t="str">
        <f aca="false">Report!E1220</f>
        <v>BRF S A</v>
      </c>
      <c r="C938" s="17" t="n">
        <f aca="false">Report!U1220</f>
        <v>1275.54</v>
      </c>
      <c r="D938" s="1" t="str">
        <f aca="false">Report!X1220</f>
        <v>NF 1616567 ELLEN</v>
      </c>
    </row>
    <row r="939" customFormat="false" ht="12.75" hidden="false" customHeight="true" outlineLevel="0" collapsed="false">
      <c r="A939" s="15" t="n">
        <f aca="false">Report!C1221</f>
        <v>46253</v>
      </c>
      <c r="B939" s="1" t="str">
        <f aca="false">Report!E1221</f>
        <v>ADRIANA DISTRIBUIDORA DE PRODUTOS ALIMEN</v>
      </c>
      <c r="C939" s="17" t="n">
        <f aca="false">Report!U1221</f>
        <v>349</v>
      </c>
      <c r="D939" s="1" t="str">
        <f aca="false">Report!X1221</f>
        <v>NF 889827 ELLEN</v>
      </c>
    </row>
    <row r="940" customFormat="false" ht="12.75" hidden="false" customHeight="true" outlineLevel="0" collapsed="false">
      <c r="A940" s="15" t="n">
        <f aca="false">Report!C1222</f>
        <v>46253</v>
      </c>
      <c r="B940" s="1" t="str">
        <f aca="false">Report!E1222</f>
        <v>ADRIANO FEITOSA OLIVEIRA LTDA</v>
      </c>
      <c r="C940" s="17" t="n">
        <f aca="false">Report!U1222</f>
        <v>899.5</v>
      </c>
      <c r="D940" s="1" t="str">
        <f aca="false">Report!X1222</f>
        <v>NF 360 ELLEN</v>
      </c>
    </row>
    <row r="941" customFormat="false" ht="12.75" hidden="false" customHeight="true" outlineLevel="0" collapsed="false">
      <c r="A941" s="15" t="n">
        <f aca="false">Report!C1223</f>
        <v>46254</v>
      </c>
      <c r="B941" s="1" t="str">
        <f aca="false">Report!E1223</f>
        <v>RISADINHA LTDA</v>
      </c>
      <c r="C941" s="17" t="n">
        <f aca="false">Report!U1223</f>
        <v>381</v>
      </c>
      <c r="D941" s="1" t="str">
        <f aca="false">Report!X1223</f>
        <v>NF 664184 ELLEN</v>
      </c>
    </row>
    <row r="942" customFormat="false" ht="12.75" hidden="false" customHeight="true" outlineLevel="0" collapsed="false">
      <c r="A942" s="15" t="n">
        <f aca="false">Report!C1225</f>
        <v>46254</v>
      </c>
      <c r="B942" s="1" t="str">
        <f aca="false">Report!E1225</f>
        <v>PRIME PET DISTRIBUIDORA LTDA</v>
      </c>
      <c r="C942" s="17" t="n">
        <f aca="false">Report!U1225</f>
        <v>446.28</v>
      </c>
      <c r="D942" s="1" t="str">
        <f aca="false">Report!X1225</f>
        <v>NF 11173 ELLEN</v>
      </c>
    </row>
    <row r="943" customFormat="false" ht="12.75" hidden="false" customHeight="true" outlineLevel="0" collapsed="false">
      <c r="A943" s="15" t="n">
        <f aca="false">Report!C1226</f>
        <v>46254</v>
      </c>
      <c r="B943" s="1" t="str">
        <f aca="false">Report!E1226</f>
        <v>J G COMERCIO DE PRODUTOS ALIMENTICIOS LTDA</v>
      </c>
      <c r="C943" s="17" t="n">
        <f aca="false">Report!U1226</f>
        <v>628.2</v>
      </c>
      <c r="D943" s="1" t="str">
        <f aca="false">Report!X1226</f>
        <v>NF 396443 ELLEN</v>
      </c>
    </row>
    <row r="944" customFormat="false" ht="12.75" hidden="false" customHeight="true" outlineLevel="0" collapsed="false">
      <c r="A944" s="15" t="n">
        <f aca="false">Report!C1227</f>
        <v>46254</v>
      </c>
      <c r="B944" s="1" t="str">
        <f aca="false">Report!E1227</f>
        <v>EDMARA COMERCIO DE HIGIENE PESSOAL LTDA</v>
      </c>
      <c r="C944" s="17" t="n">
        <f aca="false">Report!U1227</f>
        <v>382.62</v>
      </c>
      <c r="D944" s="1" t="str">
        <f aca="false">Report!X1227</f>
        <v>NF 8582 ELLEN</v>
      </c>
    </row>
    <row r="945" customFormat="false" ht="12.75" hidden="false" customHeight="true" outlineLevel="0" collapsed="false">
      <c r="A945" s="15" t="n">
        <f aca="false">Report!C1230</f>
        <v>46254</v>
      </c>
      <c r="B945" s="1" t="str">
        <f aca="false">Report!E1230</f>
        <v>REAL BEBIDAS DA AMAZONIA LTDA</v>
      </c>
      <c r="C945" s="17" t="n">
        <f aca="false">Report!U1230</f>
        <v>149</v>
      </c>
      <c r="D945" s="1" t="str">
        <f aca="false">Report!X1230</f>
        <v>NF 321794 ELLEN</v>
      </c>
    </row>
    <row r="946" customFormat="false" ht="12.75" hidden="false" customHeight="true" outlineLevel="0" collapsed="false">
      <c r="A946" s="15" t="n">
        <f aca="false">Report!C1231</f>
        <v>46254</v>
      </c>
      <c r="B946" s="1" t="str">
        <f aca="false">Report!E1231</f>
        <v>H. L. DO NASCIMENTO</v>
      </c>
      <c r="C946" s="17" t="n">
        <f aca="false">Report!U1231</f>
        <v>597.4</v>
      </c>
      <c r="D946" s="1" t="str">
        <f aca="false">Report!X1231</f>
        <v>NF 5971 ELLEN</v>
      </c>
    </row>
    <row r="947" customFormat="false" ht="12.75" hidden="false" customHeight="true" outlineLevel="0" collapsed="false">
      <c r="A947" s="15" t="n">
        <f aca="false">Report!C1233</f>
        <v>46255</v>
      </c>
      <c r="B947" s="1" t="str">
        <f aca="false">Report!E1233</f>
        <v>PRIME PET DISTRIBUIDORA LTDA</v>
      </c>
      <c r="C947" s="17" t="n">
        <f aca="false">Report!U1233</f>
        <v>1361.81</v>
      </c>
      <c r="D947" s="1" t="str">
        <f aca="false">Report!X1233</f>
        <v>NF 10860 ELLEN</v>
      </c>
    </row>
    <row r="948" customFormat="false" ht="12.75" hidden="false" customHeight="true" outlineLevel="0" collapsed="false">
      <c r="A948" s="15" t="n">
        <f aca="false">Report!C1234</f>
        <v>46255</v>
      </c>
      <c r="B948" s="1" t="str">
        <f aca="false">Report!E1234</f>
        <v>MIKITOS IND.COM.DE GEN. ALIM. DO AM. LTD</v>
      </c>
      <c r="C948" s="17" t="n">
        <f aca="false">Report!U1234</f>
        <v>690</v>
      </c>
      <c r="D948" s="1" t="str">
        <f aca="false">Report!X1234</f>
        <v>NF 294640 ELLEN</v>
      </c>
    </row>
    <row r="949" customFormat="false" ht="12.75" hidden="false" customHeight="true" outlineLevel="0" collapsed="false">
      <c r="A949" s="15" t="n">
        <f aca="false">Report!C1235</f>
        <v>46255</v>
      </c>
      <c r="B949" s="1" t="str">
        <f aca="false">Report!E1235</f>
        <v>BRASIL NORTE BEBIDAS S/A</v>
      </c>
      <c r="C949" s="17" t="n">
        <f aca="false">Report!U1235</f>
        <v>540.41</v>
      </c>
      <c r="D949" s="1" t="str">
        <f aca="false">Report!X1235</f>
        <v>NF 1237147 ELLEN</v>
      </c>
    </row>
    <row r="950" customFormat="false" ht="12.75" hidden="false" customHeight="true" outlineLevel="0" collapsed="false">
      <c r="A950" s="15" t="n">
        <f aca="false">Report!C1236</f>
        <v>46255</v>
      </c>
      <c r="B950" s="1" t="str">
        <f aca="false">Report!E1236</f>
        <v>BRASIL NORTE BEBIDAS S/A</v>
      </c>
      <c r="C950" s="17" t="n">
        <f aca="false">Report!U1236</f>
        <v>3289.2</v>
      </c>
      <c r="D950" s="1" t="str">
        <f aca="false">Report!X1236</f>
        <v>NF 1973888 ELLEN</v>
      </c>
    </row>
    <row r="951" customFormat="false" ht="12.75" hidden="false" customHeight="true" outlineLevel="0" collapsed="false">
      <c r="A951" s="15" t="n">
        <f aca="false">Report!C1237</f>
        <v>46255</v>
      </c>
      <c r="B951" s="1" t="str">
        <f aca="false">Report!E1237</f>
        <v>BRASIL NORTE BEBIDAS S/A</v>
      </c>
      <c r="C951" s="17" t="n">
        <f aca="false">Report!U1237</f>
        <v>201.65</v>
      </c>
      <c r="D951" s="1" t="str">
        <f aca="false">Report!X1237</f>
        <v>NF 1236446 ELLEN</v>
      </c>
    </row>
    <row r="952" customFormat="false" ht="12.75" hidden="false" customHeight="true" outlineLevel="0" collapsed="false">
      <c r="A952" s="15" t="n">
        <f aca="false">Report!C1238</f>
        <v>46255</v>
      </c>
      <c r="B952" s="1" t="str">
        <f aca="false">Report!E1238</f>
        <v>FALCAO INDUSTRIA DE ALIMENTOS LTDA</v>
      </c>
      <c r="C952" s="17" t="n">
        <f aca="false">Report!U1238</f>
        <v>1023.97</v>
      </c>
      <c r="D952" s="1" t="str">
        <f aca="false">Report!X1238</f>
        <v>NF 32318 ELLEN</v>
      </c>
    </row>
    <row r="953" customFormat="false" ht="12.75" hidden="false" customHeight="true" outlineLevel="0" collapsed="false">
      <c r="A953" s="15" t="n">
        <f aca="false">Report!C1239</f>
        <v>46255</v>
      </c>
      <c r="B953" s="1" t="str">
        <f aca="false">Report!E1239</f>
        <v>SOUZA CRUZ LTDA.</v>
      </c>
      <c r="C953" s="17" t="n">
        <f aca="false">Report!U1239</f>
        <v>4470.03</v>
      </c>
      <c r="D953" s="1" t="str">
        <f aca="false">Report!X1239</f>
        <v>NF 569335 ELLEN</v>
      </c>
    </row>
    <row r="954" customFormat="false" ht="12.75" hidden="false" customHeight="true" outlineLevel="0" collapsed="false">
      <c r="A954" s="15" t="n">
        <f aca="false">Report!C1240</f>
        <v>46255</v>
      </c>
      <c r="B954" s="1" t="str">
        <f aca="false">Report!E1240</f>
        <v>LIMA E BARANDA COMERCIO DE PRODUTOS REGI</v>
      </c>
      <c r="C954" s="17" t="n">
        <f aca="false">Report!U1240</f>
        <v>195</v>
      </c>
      <c r="D954" s="1" t="str">
        <f aca="false">Report!X1240</f>
        <v>NF 31936 ELLEN</v>
      </c>
    </row>
    <row r="955" customFormat="false" ht="12.75" hidden="false" customHeight="true" outlineLevel="0" collapsed="false">
      <c r="A955" s="15" t="n">
        <f aca="false">Report!C1241</f>
        <v>46255</v>
      </c>
      <c r="B955" s="1" t="str">
        <f aca="false">Report!E1241</f>
        <v>D DE J SANTOS LTDA</v>
      </c>
      <c r="C955" s="17" t="n">
        <f aca="false">Report!U1241</f>
        <v>1045</v>
      </c>
      <c r="D955" s="1" t="str">
        <f aca="false">Report!X1241</f>
        <v>NF 269 ELLEN</v>
      </c>
    </row>
    <row r="956" customFormat="false" ht="12.75" hidden="false" customHeight="true" outlineLevel="0" collapsed="false">
      <c r="A956" s="15" t="n">
        <f aca="false">Report!C1242</f>
        <v>46255</v>
      </c>
      <c r="B956" s="1" t="str">
        <f aca="false">Report!E1242</f>
        <v>DISTRIBUIDORA LOPES LTDA</v>
      </c>
      <c r="C956" s="17" t="n">
        <f aca="false">Report!U1242</f>
        <v>877.23</v>
      </c>
      <c r="D956" s="1" t="str">
        <f aca="false">Report!X1242</f>
        <v>NF 1711525 ELLEN</v>
      </c>
    </row>
    <row r="957" customFormat="false" ht="12.75" hidden="false" customHeight="true" outlineLevel="0" collapsed="false">
      <c r="A957" s="15" t="n">
        <f aca="false">Report!C1243</f>
        <v>46255</v>
      </c>
      <c r="B957" s="1" t="str">
        <f aca="false">Report!E1243</f>
        <v>NORTELAC DISTRIBUIDORA DE FRIOS LTDA</v>
      </c>
      <c r="C957" s="17" t="n">
        <f aca="false">Report!U1243</f>
        <v>460</v>
      </c>
      <c r="D957" s="1" t="str">
        <f aca="false">Report!X1243</f>
        <v>NF 46106 ELLEN</v>
      </c>
    </row>
    <row r="958" customFormat="false" ht="12.75" hidden="false" customHeight="true" outlineLevel="0" collapsed="false">
      <c r="A958" s="15" t="n">
        <f aca="false">Report!C1244</f>
        <v>46255</v>
      </c>
      <c r="B958" s="1" t="str">
        <f aca="false">Report!E1244</f>
        <v>FRUTAL INDUSTRIA E COMERCIO LTDA</v>
      </c>
      <c r="C958" s="17" t="n">
        <f aca="false">Report!U1244</f>
        <v>571.73</v>
      </c>
      <c r="D958" s="1" t="str">
        <f aca="false">Report!X1244</f>
        <v>NF 228832 ELLEN</v>
      </c>
    </row>
    <row r="959" customFormat="false" ht="12.75" hidden="false" customHeight="true" outlineLevel="0" collapsed="false">
      <c r="A959" s="15" t="n">
        <f aca="false">Report!C1245</f>
        <v>46255</v>
      </c>
      <c r="B959" s="1" t="str">
        <f aca="false">Report!E1245</f>
        <v>JAB COMERCIO DE PRODUTOS ALIMENTICIOS LT</v>
      </c>
      <c r="C959" s="17" t="n">
        <f aca="false">Report!U1245</f>
        <v>142</v>
      </c>
      <c r="D959" s="1" t="str">
        <f aca="false">Report!X1245</f>
        <v>NF 3728 ELLEN</v>
      </c>
    </row>
    <row r="960" customFormat="false" ht="12.75" hidden="false" customHeight="true" outlineLevel="0" collapsed="false">
      <c r="A960" s="15" t="n">
        <f aca="false">Report!C1246</f>
        <v>46256</v>
      </c>
      <c r="B960" s="1" t="str">
        <f aca="false">Report!E1246</f>
        <v>FUNNY PET DISTRIBUIDORA DE ALIMENTOS PAR</v>
      </c>
      <c r="C960" s="17" t="n">
        <f aca="false">Report!U1246</f>
        <v>1501.38</v>
      </c>
      <c r="D960" s="1" t="str">
        <f aca="false">Report!X1246</f>
        <v>NF 21189 ELLEN</v>
      </c>
    </row>
    <row r="961" customFormat="false" ht="12.75" hidden="false" customHeight="true" outlineLevel="0" collapsed="false">
      <c r="A961" s="15" t="n">
        <f aca="false">Report!C1247</f>
        <v>46256</v>
      </c>
      <c r="B961" s="1" t="str">
        <f aca="false">Report!E1247</f>
        <v>OPPORTUNITY ALIMENTOS PARA ANIMAIS LTDA</v>
      </c>
      <c r="C961" s="17" t="n">
        <f aca="false">Report!U1247</f>
        <v>591.07</v>
      </c>
      <c r="D961" s="1" t="str">
        <f aca="false">Report!X1247</f>
        <v>NF 34738 ELLEN</v>
      </c>
    </row>
    <row r="962" customFormat="false" ht="12.75" hidden="false" customHeight="true" outlineLevel="0" collapsed="false">
      <c r="A962" s="15" t="n">
        <f aca="false">Report!C1248</f>
        <v>46256</v>
      </c>
      <c r="B962" s="1" t="str">
        <f aca="false">Report!E1248</f>
        <v>ADRIANA DISTRIBUIDORA DE PRODUTOS ALIMEN</v>
      </c>
      <c r="C962" s="17" t="n">
        <f aca="false">Report!U1248</f>
        <v>1006.03</v>
      </c>
      <c r="D962" s="1" t="str">
        <f aca="false">Report!X1248</f>
        <v>NF 886799 ELLEN</v>
      </c>
    </row>
    <row r="963" customFormat="false" ht="12.75" hidden="false" customHeight="true" outlineLevel="0" collapsed="false">
      <c r="A963" s="15" t="n">
        <f aca="false">Report!C1249</f>
        <v>46256</v>
      </c>
      <c r="B963" s="1" t="str">
        <f aca="false">Report!E1249</f>
        <v>BRAGA TABACARIA EIRELI ME</v>
      </c>
      <c r="C963" s="17" t="n">
        <f aca="false">Report!U1249</f>
        <v>1563.4</v>
      </c>
      <c r="D963" s="1" t="str">
        <f aca="false">Report!X1249</f>
        <v>NF 19579 ELLEN</v>
      </c>
    </row>
    <row r="964" customFormat="false" ht="12.75" hidden="false" customHeight="true" outlineLevel="0" collapsed="false">
      <c r="A964" s="15" t="n">
        <f aca="false">Report!C1250</f>
        <v>46256</v>
      </c>
      <c r="B964" s="1" t="str">
        <f aca="false">Report!E1250</f>
        <v>MARE DISTRIBUIDORA DE BEBIDAS E DE PRODUTOS ALIMENTICIOS LTDA</v>
      </c>
      <c r="C964" s="17" t="n">
        <f aca="false">Report!U1250</f>
        <v>2852.4</v>
      </c>
      <c r="D964" s="1" t="str">
        <f aca="false">Report!X1250</f>
        <v>NF 1414620 ELLEN</v>
      </c>
    </row>
    <row r="965" customFormat="false" ht="12.75" hidden="false" customHeight="true" outlineLevel="0" collapsed="false">
      <c r="A965" s="15" t="n">
        <f aca="false">Report!C1251</f>
        <v>46256</v>
      </c>
      <c r="B965" s="1" t="str">
        <f aca="false">Report!E1251</f>
        <v>J G COMERCIO DE PRODUTOS ALIMENTICIOS LTDA</v>
      </c>
      <c r="C965" s="17" t="n">
        <f aca="false">Report!U1251</f>
        <v>511.98</v>
      </c>
      <c r="D965" s="1" t="str">
        <f aca="false">Report!X1251</f>
        <v>NF 398015 ELLEN</v>
      </c>
    </row>
    <row r="966" customFormat="false" ht="12.75" hidden="false" customHeight="true" outlineLevel="0" collapsed="false">
      <c r="A966" s="15" t="n">
        <f aca="false">Report!C1252</f>
        <v>46256</v>
      </c>
      <c r="B966" s="1" t="str">
        <f aca="false">Report!E1252</f>
        <v>MAXFRI DISTRIUIDORA LTDA</v>
      </c>
      <c r="C966" s="17" t="n">
        <f aca="false">Report!U1252</f>
        <v>3472.5</v>
      </c>
      <c r="D966" s="1" t="str">
        <f aca="false">Report!X1252</f>
        <v>NF 15061 ELLEN</v>
      </c>
    </row>
    <row r="967" customFormat="false" ht="12.75" hidden="false" customHeight="true" outlineLevel="0" collapsed="false">
      <c r="A967" s="15" t="n">
        <f aca="false">Report!C1253</f>
        <v>46257</v>
      </c>
      <c r="B967" s="1" t="str">
        <f aca="false">Report!E1253</f>
        <v>COMERCIO DE FRIOS MANAUS LTDA</v>
      </c>
      <c r="C967" s="17" t="n">
        <f aca="false">Report!U1253</f>
        <v>3814.8</v>
      </c>
      <c r="D967" s="1" t="str">
        <f aca="false">Report!X1253</f>
        <v>NF 174797 ELLEN</v>
      </c>
    </row>
    <row r="968" customFormat="false" ht="12.75" hidden="false" customHeight="true" outlineLevel="0" collapsed="false">
      <c r="A968" s="15" t="n">
        <f aca="false">Report!C1254</f>
        <v>46258</v>
      </c>
      <c r="B968" s="1" t="str">
        <f aca="false">Report!E1254</f>
        <v>FENNIX BRASIL DISTRIBUIDORA DE PRODUTOS</v>
      </c>
      <c r="C968" s="17" t="n">
        <f aca="false">Report!U1254</f>
        <v>416.64</v>
      </c>
      <c r="D968" s="1" t="str">
        <f aca="false">Report!X1254</f>
        <v>NF 315892 ELLEN</v>
      </c>
    </row>
    <row r="969" customFormat="false" ht="12.75" hidden="false" customHeight="true" outlineLevel="0" collapsed="false">
      <c r="A969" s="15" t="n">
        <f aca="false">Report!C1255</f>
        <v>46258</v>
      </c>
      <c r="B969" s="1" t="str">
        <f aca="false">Report!E1255</f>
        <v>ATACADAO S.A.</v>
      </c>
      <c r="C969" s="17" t="n">
        <f aca="false">Report!U1255</f>
        <v>1184.7</v>
      </c>
      <c r="D969" s="1" t="str">
        <f aca="false">Report!X1255</f>
        <v>NF 1915874 ELLEN</v>
      </c>
    </row>
    <row r="970" customFormat="false" ht="12.75" hidden="false" customHeight="false" outlineLevel="0" collapsed="false">
      <c r="A970" s="23" t="n">
        <f aca="false">Report!C1256</f>
        <v>46258</v>
      </c>
      <c r="B970" s="1" t="str">
        <f aca="false">Report!E1256</f>
        <v>BRASIL NORTE BEBIDAS S/A</v>
      </c>
      <c r="C970" s="17" t="n">
        <f aca="false">Report!U1256</f>
        <v>268.07</v>
      </c>
      <c r="D970" s="1" t="str">
        <f aca="false">Report!X1256</f>
        <v>NF 1236941 ELLEN</v>
      </c>
    </row>
    <row r="971" customFormat="false" ht="12.75" hidden="false" customHeight="false" outlineLevel="0" collapsed="false">
      <c r="A971" s="23" t="n">
        <f aca="false">Report!C1257</f>
        <v>46258</v>
      </c>
      <c r="B971" s="1" t="str">
        <f aca="false">Report!E1257</f>
        <v>BRASIL NORTE BEBIDAS S/A</v>
      </c>
      <c r="C971" s="17" t="n">
        <f aca="false">Report!U1257</f>
        <v>360.51</v>
      </c>
      <c r="D971" s="1" t="str">
        <f aca="false">Report!X1257</f>
        <v>NF 1973404 ELLEN</v>
      </c>
    </row>
    <row r="972" customFormat="false" ht="12.75" hidden="false" customHeight="false" outlineLevel="0" collapsed="false">
      <c r="A972" s="23" t="n">
        <f aca="false">Report!C1260</f>
        <v>46258</v>
      </c>
      <c r="B972" s="1" t="str">
        <f aca="false">Report!E1260</f>
        <v>CRBS S/A</v>
      </c>
      <c r="C972" s="17" t="n">
        <f aca="false">Report!U1260</f>
        <v>3733.25</v>
      </c>
      <c r="D972" s="1" t="str">
        <f aca="false">Report!X1260</f>
        <v>NF 957093 ELLEN</v>
      </c>
    </row>
    <row r="973" customFormat="false" ht="12.75" hidden="false" customHeight="false" outlineLevel="0" collapsed="false">
      <c r="A973" s="23" t="n">
        <f aca="false">Report!C1263</f>
        <v>46259</v>
      </c>
      <c r="B973" s="1" t="str">
        <f aca="false">Report!E1263</f>
        <v>FE COMERCIO DE MATERIAIS DE CONSTRUCAO</v>
      </c>
      <c r="C973" s="17" t="n">
        <f aca="false">Report!U1263</f>
        <v>818.55</v>
      </c>
      <c r="D973" s="1" t="str">
        <f aca="false">Report!X1263</f>
        <v>NF 4467 ELLEN</v>
      </c>
    </row>
    <row r="974" customFormat="false" ht="12.75" hidden="false" customHeight="false" outlineLevel="0" collapsed="false">
      <c r="A974" s="23" t="n">
        <f aca="false">Report!C1267</f>
        <v>46260</v>
      </c>
      <c r="B974" s="1" t="str">
        <f aca="false">Report!E1267</f>
        <v>BRF S A</v>
      </c>
      <c r="C974" s="17" t="n">
        <f aca="false">Report!U1267</f>
        <v>1275.53</v>
      </c>
      <c r="D974" s="1" t="str">
        <f aca="false">Report!X1267</f>
        <v>NF 1616567 ELLEN</v>
      </c>
    </row>
    <row r="975" customFormat="false" ht="12.75" hidden="false" customHeight="false" outlineLevel="0" collapsed="false">
      <c r="A975" s="23" t="n">
        <f aca="false">Report!C1268</f>
        <v>46260</v>
      </c>
      <c r="B975" s="1" t="str">
        <f aca="false">Report!E1268</f>
        <v>ADRIANA DISTRIBUIDORA DE PRODUTOS ALIMEN</v>
      </c>
      <c r="C975" s="17" t="n">
        <f aca="false">Report!U1268</f>
        <v>349</v>
      </c>
      <c r="D975" s="1" t="str">
        <f aca="false">Report!X1268</f>
        <v>NF 889827 ELLEN</v>
      </c>
    </row>
    <row r="976" customFormat="false" ht="12.75" hidden="false" customHeight="false" outlineLevel="0" collapsed="false">
      <c r="A976" s="23" t="n">
        <f aca="false">Report!C1269</f>
        <v>46260</v>
      </c>
      <c r="B976" s="1" t="str">
        <f aca="false">Report!E1269</f>
        <v>DISTRIBUIDORA LOPES LTDA</v>
      </c>
      <c r="C976" s="17" t="n">
        <f aca="false">Report!U1269</f>
        <v>1279.58</v>
      </c>
      <c r="D976" s="1" t="str">
        <f aca="false">Report!X1269</f>
        <v>NF 1709601 ELLEN</v>
      </c>
    </row>
    <row r="977" customFormat="false" ht="12.75" hidden="false" customHeight="false" outlineLevel="0" collapsed="false">
      <c r="A977" s="23" t="n">
        <f aca="false">Report!C1270</f>
        <v>46260</v>
      </c>
      <c r="B977" s="1" t="str">
        <f aca="false">Report!E1270</f>
        <v>FH DISTRIBUIDORA DE ALIM. E BEBIDAS LTDA</v>
      </c>
      <c r="C977" s="17" t="n">
        <f aca="false">Report!U1270</f>
        <v>700.7</v>
      </c>
      <c r="D977" s="1" t="str">
        <f aca="false">Report!X1270</f>
        <v>NF 330057 ELLEN</v>
      </c>
    </row>
    <row r="978" customFormat="false" ht="12.75" hidden="false" customHeight="false" outlineLevel="0" collapsed="false">
      <c r="A978" s="23" t="n">
        <f aca="false">Report!C1271</f>
        <v>46260</v>
      </c>
      <c r="B978" s="1" t="str">
        <f aca="false">Report!E1271</f>
        <v>BONNA VITTA INDUSTRIA E COMERCIO LTDA.</v>
      </c>
      <c r="C978" s="17" t="n">
        <f aca="false">Report!U1271</f>
        <v>600</v>
      </c>
      <c r="D978" s="1" t="str">
        <f aca="false">Report!X1271</f>
        <v>NF 3231 ELLEN</v>
      </c>
    </row>
    <row r="979" customFormat="false" ht="12.75" hidden="false" customHeight="false" outlineLevel="0" collapsed="false">
      <c r="A979" s="23" t="n">
        <f aca="false">Report!C1272</f>
        <v>46260</v>
      </c>
      <c r="B979" s="1" t="str">
        <f aca="false">Report!E1272</f>
        <v>TOYA INDUSTRIA E COMERCIO LTDA.</v>
      </c>
      <c r="C979" s="17" t="n">
        <f aca="false">Report!U1272</f>
        <v>1050.07</v>
      </c>
      <c r="D979" s="1" t="str">
        <f aca="false">Report!X1272</f>
        <v>NF 257600 ELLEN</v>
      </c>
    </row>
    <row r="980" customFormat="false" ht="12.75" hidden="false" customHeight="false" outlineLevel="0" collapsed="false">
      <c r="A980" s="23" t="n">
        <f aca="false">Report!C1273</f>
        <v>46260</v>
      </c>
      <c r="B980" s="1" t="str">
        <f aca="false">Report!E1273</f>
        <v>BRF S A</v>
      </c>
      <c r="C980" s="17" t="n">
        <f aca="false">Report!U1273</f>
        <v>1164.76</v>
      </c>
      <c r="D980" s="1" t="str">
        <f aca="false">Report!X1273</f>
        <v>NF 1619132 ELLEN</v>
      </c>
    </row>
    <row r="981" customFormat="false" ht="12.75" hidden="false" customHeight="false" outlineLevel="0" collapsed="false">
      <c r="A981" s="23" t="n">
        <f aca="false">Report!C1274</f>
        <v>46261</v>
      </c>
      <c r="B981" s="1" t="str">
        <f aca="false">Report!E1274</f>
        <v>J G COMERCIO DE PRODUTOS ALIMENTICIOS LTDA</v>
      </c>
      <c r="C981" s="17" t="n">
        <f aca="false">Report!U1274</f>
        <v>628.19</v>
      </c>
      <c r="D981" s="1" t="str">
        <f aca="false">Report!X1274</f>
        <v>NF 396443 ELLEN</v>
      </c>
    </row>
    <row r="982" customFormat="false" ht="12.75" hidden="false" customHeight="false" outlineLevel="0" collapsed="false">
      <c r="A982" s="23" t="n">
        <f aca="false">Report!C1275</f>
        <v>46261</v>
      </c>
      <c r="B982" s="1" t="str">
        <f aca="false">Report!E1275</f>
        <v>EDMARA COMERCIO DE HIGIENE PESSOAL LTDA</v>
      </c>
      <c r="C982" s="17" t="n">
        <f aca="false">Report!U1275</f>
        <v>382.62</v>
      </c>
      <c r="D982" s="1" t="str">
        <f aca="false">Report!X1275</f>
        <v>NF 8582 ELLEN</v>
      </c>
    </row>
    <row r="983" customFormat="false" ht="12.75" hidden="false" customHeight="false" outlineLevel="0" collapsed="false">
      <c r="A983" s="23" t="n">
        <f aca="false">Report!C1277</f>
        <v>46261</v>
      </c>
      <c r="B983" s="1" t="str">
        <f aca="false">Report!E1277</f>
        <v>DISTRIBUIDORA LOPES LTDA</v>
      </c>
      <c r="C983" s="17" t="n">
        <f aca="false">Report!U1277</f>
        <v>692.26</v>
      </c>
      <c r="D983" s="1" t="str">
        <f aca="false">Report!X1277</f>
        <v>NF 1710665 ELLEN</v>
      </c>
    </row>
    <row r="984" customFormat="false" ht="12.75" hidden="false" customHeight="false" outlineLevel="0" collapsed="false">
      <c r="A984" s="23" t="n">
        <f aca="false">Report!C1278</f>
        <v>46261</v>
      </c>
      <c r="B984" s="1" t="str">
        <f aca="false">Report!E1278</f>
        <v>FENNIX BRASIL DISTRIBUIDORA DE PRODUTOS</v>
      </c>
      <c r="C984" s="17" t="n">
        <f aca="false">Report!U1278</f>
        <v>668.77</v>
      </c>
      <c r="D984" s="1" t="str">
        <f aca="false">Report!X1278</f>
        <v>NF 398227 ELLEN</v>
      </c>
    </row>
    <row r="985" customFormat="false" ht="12.75" hidden="false" customHeight="false" outlineLevel="0" collapsed="false">
      <c r="A985" s="23" t="n">
        <f aca="false">Report!C1279</f>
        <v>46261</v>
      </c>
      <c r="B985" s="1" t="str">
        <f aca="false">Report!E1279</f>
        <v>OCIDENTAL COMERCIO DE FRIOS LTDA</v>
      </c>
      <c r="C985" s="17" t="n">
        <f aca="false">Report!U1279</f>
        <v>386.74</v>
      </c>
      <c r="D985" s="1" t="str">
        <f aca="false">Report!X1279</f>
        <v>NF 1258801 ELLEN</v>
      </c>
    </row>
    <row r="986" customFormat="false" ht="12.75" hidden="false" customHeight="false" outlineLevel="0" collapsed="false">
      <c r="A986" s="23" t="n">
        <f aca="false">Report!C1280</f>
        <v>46261</v>
      </c>
      <c r="B986" s="1" t="str">
        <f aca="false">Report!E1280</f>
        <v>CB COMERCIO E DISTRIBUIDORA DE ALIMENTOS</v>
      </c>
      <c r="C986" s="17" t="n">
        <f aca="false">Report!U1280</f>
        <v>436.02</v>
      </c>
      <c r="D986" s="1" t="str">
        <f aca="false">Report!X1280</f>
        <v>NF 862791 ELLEN</v>
      </c>
    </row>
    <row r="987" customFormat="false" ht="12.75" hidden="false" customHeight="false" outlineLevel="0" collapsed="false">
      <c r="A987" s="23" t="n">
        <f aca="false">Report!C1281</f>
        <v>46262</v>
      </c>
      <c r="B987" s="1" t="str">
        <f aca="false">Report!E1281</f>
        <v>SOUZA CRUZ LTDA.</v>
      </c>
      <c r="C987" s="17" t="n">
        <f aca="false">Report!U1281</f>
        <v>4605.48</v>
      </c>
      <c r="D987" s="1" t="str">
        <f aca="false">Report!X1281</f>
        <v>NF 569335 ELLEN</v>
      </c>
    </row>
    <row r="988" customFormat="false" ht="12.75" hidden="false" customHeight="false" outlineLevel="0" collapsed="false">
      <c r="A988" s="23" t="n">
        <f aca="false">Report!C1282</f>
        <v>46262</v>
      </c>
      <c r="B988" s="1" t="str">
        <f aca="false">Report!E1282</f>
        <v>BRASIL NORTE BEBIDAS S/A</v>
      </c>
      <c r="C988" s="17" t="n">
        <f aca="false">Report!U1282</f>
        <v>50.85</v>
      </c>
      <c r="D988" s="1" t="str">
        <f aca="false">Report!X1282</f>
        <v>NF 1246872 ELLEN</v>
      </c>
    </row>
    <row r="989" customFormat="false" ht="12.75" hidden="false" customHeight="false" outlineLevel="0" collapsed="false">
      <c r="A989" s="23" t="n">
        <f aca="false">Report!C1283</f>
        <v>46262</v>
      </c>
      <c r="B989" s="1" t="str">
        <f aca="false">Report!E1283</f>
        <v>BRASIL NORTE BEBIDAS S/A</v>
      </c>
      <c r="C989" s="17" t="n">
        <f aca="false">Report!U1283</f>
        <v>620.26</v>
      </c>
      <c r="D989" s="1" t="str">
        <f aca="false">Report!X1283</f>
        <v>NF 1246873 ELLEN</v>
      </c>
    </row>
    <row r="990" customFormat="false" ht="12.75" hidden="false" customHeight="false" outlineLevel="0" collapsed="false">
      <c r="A990" s="23" t="n">
        <f aca="false">Report!C1284</f>
        <v>46262</v>
      </c>
      <c r="B990" s="1" t="str">
        <f aca="false">Report!E1284</f>
        <v>BRASIL NORTE BEBIDAS S/A</v>
      </c>
      <c r="C990" s="17" t="n">
        <f aca="false">Report!U1284</f>
        <v>2148.12</v>
      </c>
      <c r="D990" s="1" t="str">
        <f aca="false">Report!X1284</f>
        <v>NF 1986776 ELLEN</v>
      </c>
    </row>
    <row r="991" customFormat="false" ht="12.75" hidden="false" customHeight="false" outlineLevel="0" collapsed="false">
      <c r="A991" s="23" t="n">
        <f aca="false">Report!C1285</f>
        <v>46263</v>
      </c>
      <c r="B991" s="1" t="str">
        <f aca="false">Report!E1285</f>
        <v>DISTRIBUIDORA FARIAS LTDA.</v>
      </c>
      <c r="C991" s="17" t="n">
        <f aca="false">Report!U1285</f>
        <v>706.56</v>
      </c>
      <c r="D991" s="1" t="str">
        <f aca="false">Report!X1285</f>
        <v>NF 689222 ELLEN</v>
      </c>
    </row>
    <row r="992" customFormat="false" ht="12.75" hidden="false" customHeight="false" outlineLevel="0" collapsed="false">
      <c r="A992" s="23" t="n">
        <f aca="false">Report!C1286</f>
        <v>46263</v>
      </c>
      <c r="B992" s="1" t="str">
        <f aca="false">Report!E1286</f>
        <v>DISTRIBUIDORA FARIAS LTDA.</v>
      </c>
      <c r="C992" s="17" t="n">
        <f aca="false">Report!U1286</f>
        <v>1422.67</v>
      </c>
      <c r="D992" s="1" t="str">
        <f aca="false">Report!X1286</f>
        <v>NF 689224 ELLEN</v>
      </c>
    </row>
    <row r="993" customFormat="false" ht="12.75" hidden="false" customHeight="false" outlineLevel="0" collapsed="false">
      <c r="A993" s="23" t="n">
        <f aca="false">Report!C1288</f>
        <v>46264</v>
      </c>
      <c r="B993" s="1" t="str">
        <f aca="false">Report!E1288</f>
        <v>PRIME PET DISTRIBUIDORA LTDA</v>
      </c>
      <c r="C993" s="17" t="n">
        <f aca="false">Report!U1288</f>
        <v>446.28</v>
      </c>
      <c r="D993" s="1" t="str">
        <f aca="false">Report!X1288</f>
        <v>NF 11173 ELLEN</v>
      </c>
    </row>
    <row r="994" customFormat="false" ht="12.75" hidden="false" customHeight="false" outlineLevel="0" collapsed="false">
      <c r="A994" s="23" t="n">
        <f aca="false">Report!C1289</f>
        <v>46265</v>
      </c>
      <c r="B994" s="1" t="str">
        <f aca="false">Report!E1289</f>
        <v>ATACADAO S.A.</v>
      </c>
      <c r="C994" s="17" t="n">
        <f aca="false">Report!U1289</f>
        <v>1220.6</v>
      </c>
      <c r="D994" s="1" t="str">
        <f aca="false">Report!X1289</f>
        <v>NF 1915875 ELLEN</v>
      </c>
    </row>
    <row r="995" customFormat="false" ht="12.75" hidden="false" customHeight="false" outlineLevel="0" collapsed="false">
      <c r="A995" s="23" t="n">
        <f aca="false">Report!C1290</f>
        <v>46265</v>
      </c>
      <c r="B995" s="1" t="str">
        <f aca="false">Report!E1290</f>
        <v>EDSON AGUIAR DE SOUZA</v>
      </c>
      <c r="C995" s="17" t="n">
        <f aca="false">Report!U1290</f>
        <v>97.5</v>
      </c>
      <c r="D995" s="1" t="str">
        <f aca="false">Report!X1290</f>
        <v>COMPRAS - CHEIRO-VERDE - ELLEN</v>
      </c>
    </row>
    <row r="996" customFormat="false" ht="12.75" hidden="false" customHeight="false" outlineLevel="0" collapsed="false">
      <c r="A996" s="23" t="n">
        <f aca="false">Report!C1293</f>
        <v>46266</v>
      </c>
      <c r="B996" s="1" t="str">
        <f aca="false">Report!E1293</f>
        <v>A. CORREA JUNIOR</v>
      </c>
      <c r="C996" s="17" t="n">
        <f aca="false">Report!U1293</f>
        <v>1290.16</v>
      </c>
      <c r="D996" s="1" t="str">
        <f aca="false">Report!X1293</f>
        <v>NF 1829 CARTÃO DIA 1 PARC 3/3 - ELLEN</v>
      </c>
    </row>
    <row r="997" customFormat="false" ht="12.75" hidden="false" customHeight="false" outlineLevel="0" collapsed="false">
      <c r="A997" s="23" t="n">
        <f aca="false">Report!C1294</f>
        <v>46266</v>
      </c>
      <c r="B997" s="1" t="str">
        <f aca="false">Report!E1294</f>
        <v>FUNNY PET DISTRIBUIDORA DE ALIMENTOS PAR</v>
      </c>
      <c r="C997" s="17" t="n">
        <f aca="false">Report!U1294</f>
        <v>1501.38</v>
      </c>
      <c r="D997" s="1" t="str">
        <f aca="false">Report!X1294</f>
        <v>NF 21189 ELLEN</v>
      </c>
    </row>
    <row r="998" customFormat="false" ht="12.75" hidden="false" customHeight="false" outlineLevel="0" collapsed="false">
      <c r="A998" s="23" t="n">
        <f aca="false">Report!C1295</f>
        <v>46266</v>
      </c>
      <c r="B998" s="1" t="str">
        <f aca="false">Report!E1295</f>
        <v>OPPORTUNITY ALIMENTOS PARA ANIMAIS LTDA</v>
      </c>
      <c r="C998" s="17" t="n">
        <f aca="false">Report!U1295</f>
        <v>591.07</v>
      </c>
      <c r="D998" s="1" t="str">
        <f aca="false">Report!X1295</f>
        <v>NF 34738 ELLEN</v>
      </c>
    </row>
    <row r="999" customFormat="false" ht="12.75" hidden="false" customHeight="false" outlineLevel="0" collapsed="false">
      <c r="A999" s="23" t="n">
        <f aca="false">Report!C1297</f>
        <v>46266</v>
      </c>
      <c r="B999" s="1" t="str">
        <f aca="false">Report!E1297</f>
        <v>A. CORREA JUNIOR</v>
      </c>
      <c r="C999" s="17" t="n">
        <f aca="false">Report!U1297</f>
        <v>638.75</v>
      </c>
      <c r="D999" s="1" t="str">
        <f aca="false">Report!X1297</f>
        <v>NF 1898 CT DIA 1 - PARC 1/2 - ELLEN</v>
      </c>
    </row>
    <row r="1000" customFormat="false" ht="12.75" hidden="false" customHeight="false" outlineLevel="0" collapsed="false">
      <c r="A1000" s="23" t="n">
        <f aca="false">Report!C1298</f>
        <v>46266</v>
      </c>
      <c r="B1000" s="1" t="str">
        <f aca="false">Report!E1298</f>
        <v>PIARARA COMERCIO, IMPORTACAO E EXPORTACAO LTDA</v>
      </c>
      <c r="C1000" s="17" t="n">
        <f aca="false">Report!U1298</f>
        <v>599.85</v>
      </c>
      <c r="D1000" s="1" t="str">
        <f aca="false">Report!X1298</f>
        <v>NF 195597 ELLEN</v>
      </c>
    </row>
    <row r="1001" customFormat="false" ht="12.75" hidden="false" customHeight="false" outlineLevel="0" collapsed="false">
      <c r="A1001" s="23" t="n">
        <f aca="false">Report!C1299</f>
        <v>46267</v>
      </c>
      <c r="B1001" s="1" t="str">
        <f aca="false">Report!E1299</f>
        <v>DISTRIBUIDORA LOPES LTDA</v>
      </c>
      <c r="C1001" s="17" t="n">
        <f aca="false">Report!U1299</f>
        <v>1279.58</v>
      </c>
      <c r="D1001" s="1" t="str">
        <f aca="false">Report!X1299</f>
        <v>NF 1709601 ELLEN</v>
      </c>
    </row>
    <row r="1002" customFormat="false" ht="12.75" hidden="false" customHeight="false" outlineLevel="0" collapsed="false">
      <c r="A1002" s="23" t="n">
        <f aca="false">Report!C1300</f>
        <v>46267</v>
      </c>
      <c r="B1002" s="1" t="str">
        <f aca="false">Report!E1300</f>
        <v>FH DISTRIBUIDORA DE ALIM. E BEBIDAS LTDA</v>
      </c>
      <c r="C1002" s="17" t="n">
        <f aca="false">Report!U1300</f>
        <v>700.7</v>
      </c>
      <c r="D1002" s="1" t="str">
        <f aca="false">Report!X1300</f>
        <v>NF 330057 ELLEN</v>
      </c>
    </row>
    <row r="1003" customFormat="false" ht="12.75" hidden="false" customHeight="false" outlineLevel="0" collapsed="false">
      <c r="A1003" s="23" t="n">
        <f aca="false">Report!C1301</f>
        <v>46267</v>
      </c>
      <c r="B1003" s="1" t="str">
        <f aca="false">Report!E1301</f>
        <v>VIA CERTA INDUSTRIA E COMERCIO DE SANEANTES LTDA</v>
      </c>
      <c r="C1003" s="17" t="n">
        <f aca="false">Report!U1301</f>
        <v>205.44</v>
      </c>
      <c r="D1003" s="1" t="str">
        <f aca="false">Report!X1301</f>
        <v>NF 44054 ELLEN</v>
      </c>
    </row>
    <row r="1004" customFormat="false" ht="12.75" hidden="false" customHeight="false" outlineLevel="0" collapsed="false">
      <c r="A1004" s="23" t="n">
        <f aca="false">Report!C1302</f>
        <v>46267</v>
      </c>
      <c r="B1004" s="1" t="str">
        <f aca="false">Report!E1302</f>
        <v>RISADINHA LTDA</v>
      </c>
      <c r="C1004" s="17" t="n">
        <f aca="false">Report!U1302</f>
        <v>830.14</v>
      </c>
      <c r="D1004" s="1" t="str">
        <f aca="false">Report!X1302</f>
        <v>NF 668739 ELLEN</v>
      </c>
    </row>
    <row r="1005" customFormat="false" ht="12.75" hidden="false" customHeight="false" outlineLevel="0" collapsed="false">
      <c r="A1005" s="23" t="n">
        <f aca="false">Report!C1303</f>
        <v>46267</v>
      </c>
      <c r="B1005" s="1" t="str">
        <f aca="false">Report!E1303</f>
        <v>BRF S A</v>
      </c>
      <c r="C1005" s="17" t="n">
        <f aca="false">Report!U1303</f>
        <v>1164.76</v>
      </c>
      <c r="D1005" s="1" t="str">
        <f aca="false">Report!X1303</f>
        <v>NF 1619132 ELLEN</v>
      </c>
    </row>
    <row r="1006" customFormat="false" ht="12.75" hidden="false" customHeight="false" outlineLevel="0" collapsed="false">
      <c r="A1006" s="23" t="n">
        <f aca="false">Report!C1305</f>
        <v>46268</v>
      </c>
      <c r="B1006" s="1" t="str">
        <f aca="false">Report!E1305</f>
        <v>BRASIL NORTE BEBIDAS S/A</v>
      </c>
      <c r="C1006" s="17" t="n">
        <f aca="false">Report!U1305</f>
        <v>77.62</v>
      </c>
      <c r="D1006" s="1" t="str">
        <f aca="false">Report!X1305</f>
        <v>NF 1236492 ELLEN</v>
      </c>
    </row>
    <row r="1007" customFormat="false" ht="12.75" hidden="false" customHeight="false" outlineLevel="0" collapsed="false">
      <c r="A1007" s="23" t="n">
        <f aca="false">Report!C1306</f>
        <v>46268</v>
      </c>
      <c r="B1007" s="1" t="str">
        <f aca="false">Report!E1306</f>
        <v>DISTRIBUIDORA LOPES LTDA</v>
      </c>
      <c r="C1007" s="17" t="n">
        <f aca="false">Report!U1306</f>
        <v>692.26</v>
      </c>
      <c r="D1007" s="1" t="str">
        <f aca="false">Report!X1306</f>
        <v>NF 1710665 ELLEN</v>
      </c>
    </row>
    <row r="1008" customFormat="false" ht="12.75" hidden="false" customHeight="false" outlineLevel="0" collapsed="false">
      <c r="A1008" s="23" t="n">
        <f aca="false">Report!C1307</f>
        <v>46268</v>
      </c>
      <c r="B1008" s="1" t="str">
        <f aca="false">Report!E1307</f>
        <v>FENNIX BRASIL DISTRIBUIDORA DE PRODUTOS</v>
      </c>
      <c r="C1008" s="17" t="n">
        <f aca="false">Report!U1307</f>
        <v>668.78</v>
      </c>
      <c r="D1008" s="1" t="str">
        <f aca="false">Report!X1307</f>
        <v>NF 398227 ELLEN</v>
      </c>
    </row>
    <row r="1009" customFormat="false" ht="12.75" hidden="false" customHeight="false" outlineLevel="0" collapsed="false">
      <c r="A1009" s="23" t="n">
        <f aca="false">Report!C1308</f>
        <v>46268</v>
      </c>
      <c r="B1009" s="1" t="str">
        <f aca="false">Report!E1308</f>
        <v>AGM INDUSTRIA COMERCIO E REPRESENTACAO LTDA</v>
      </c>
      <c r="C1009" s="17" t="n">
        <f aca="false">Report!U1308</f>
        <v>1130.5</v>
      </c>
      <c r="D1009" s="1" t="str">
        <f aca="false">Report!X1308</f>
        <v>NF 48205 ELLEN</v>
      </c>
    </row>
    <row r="1010" customFormat="false" ht="12.75" hidden="false" customHeight="false" outlineLevel="0" collapsed="false">
      <c r="A1010" s="23" t="n">
        <f aca="false">Report!C1309</f>
        <v>46268</v>
      </c>
      <c r="B1010" s="1" t="str">
        <f aca="false">Report!E1309</f>
        <v>IRMÃOS LIMA  ATACADO  DE ALIMENTOS LTDA</v>
      </c>
      <c r="C1010" s="17" t="n">
        <f aca="false">Report!U1309</f>
        <v>1120.76</v>
      </c>
      <c r="D1010" s="1" t="str">
        <f aca="false">Report!X1309</f>
        <v>NF 297321 ELLEN</v>
      </c>
    </row>
    <row r="1011" customFormat="false" ht="12.75" hidden="false" customHeight="false" outlineLevel="0" collapsed="false">
      <c r="A1011" s="23" t="n">
        <f aca="false">Report!C1312</f>
        <v>46269</v>
      </c>
      <c r="B1011" s="1" t="str">
        <f aca="false">Report!E1312</f>
        <v>VIA CERTA IMPORTACAO E DISTRIBUICAO DE A</v>
      </c>
      <c r="C1011" s="17" t="n">
        <f aca="false">Report!U1312</f>
        <v>1393.49</v>
      </c>
      <c r="D1011" s="1" t="str">
        <f aca="false">Report!X1312</f>
        <v>NF 53859 ELLEN</v>
      </c>
    </row>
    <row r="1012" customFormat="false" ht="12.75" hidden="false" customHeight="false" outlineLevel="0" collapsed="false">
      <c r="A1012" s="23" t="n">
        <f aca="false">Report!C1313</f>
        <v>46269</v>
      </c>
      <c r="B1012" s="1" t="str">
        <f aca="false">Report!E1313</f>
        <v>DUNORTE DISTRIBUIDORA DE PRODUTOS DE CONSUMO LTDA</v>
      </c>
      <c r="C1012" s="17" t="n">
        <f aca="false">Report!U1313</f>
        <v>748.32</v>
      </c>
      <c r="D1012" s="1" t="str">
        <f aca="false">Report!X1313</f>
        <v>NF 3237036 ELLEN</v>
      </c>
    </row>
    <row r="1013" customFormat="false" ht="12.75" hidden="false" customHeight="false" outlineLevel="0" collapsed="false">
      <c r="A1013" s="23" t="n">
        <f aca="false">Report!C1315</f>
        <v>46270</v>
      </c>
      <c r="B1013" s="1" t="str">
        <f aca="false">Report!E1315</f>
        <v>DISTRIBUIDORA FARIAS LTDA.</v>
      </c>
      <c r="C1013" s="17" t="n">
        <f aca="false">Report!U1315</f>
        <v>706.56</v>
      </c>
      <c r="D1013" s="1" t="str">
        <f aca="false">Report!X1315</f>
        <v>NF 689222 ELLEN</v>
      </c>
    </row>
    <row r="1014" customFormat="false" ht="12.75" hidden="false" customHeight="false" outlineLevel="0" collapsed="false">
      <c r="A1014" s="23" t="n">
        <f aca="false">Report!C1316</f>
        <v>46270</v>
      </c>
      <c r="B1014" s="1" t="str">
        <f aca="false">Report!E1316</f>
        <v>DISTRIBUIDORA FARIAS LTDA.</v>
      </c>
      <c r="C1014" s="17" t="n">
        <f aca="false">Report!U1316</f>
        <v>1422.67</v>
      </c>
      <c r="D1014" s="1" t="str">
        <f aca="false">Report!X1316</f>
        <v>NF 689224 ELLEN</v>
      </c>
    </row>
    <row r="1015" customFormat="false" ht="12.75" hidden="false" customHeight="false" outlineLevel="0" collapsed="false">
      <c r="A1015" s="23" t="n">
        <f aca="false">Report!C1318</f>
        <v>46272</v>
      </c>
      <c r="B1015" s="1" t="str">
        <f aca="false">Report!E1318</f>
        <v>NATUREZA COMERCIO DE DESCARTAVEIS LTDA</v>
      </c>
      <c r="C1015" s="17" t="n">
        <f aca="false">Report!U1318</f>
        <v>509.85</v>
      </c>
      <c r="D1015" s="1" t="str">
        <f aca="false">Report!X1318</f>
        <v>NF 747704 ELLEN</v>
      </c>
    </row>
    <row r="1016" customFormat="false" ht="12.75" hidden="false" customHeight="false" outlineLevel="0" collapsed="false">
      <c r="A1016" s="23" t="n">
        <f aca="false">Report!C1319</f>
        <v>46272</v>
      </c>
      <c r="B1016" s="1" t="str">
        <f aca="false">Report!E1319</f>
        <v>TAPAJOS COM DE PERFUMARIA COSMETICOS E G</v>
      </c>
      <c r="C1016" s="17" t="n">
        <f aca="false">Report!U1319</f>
        <v>271.2</v>
      </c>
      <c r="D1016" s="1" t="str">
        <f aca="false">Report!X1319</f>
        <v>NF 586317 ELLEN</v>
      </c>
    </row>
    <row r="1017" customFormat="false" ht="12.75" hidden="false" customHeight="false" outlineLevel="0" collapsed="false">
      <c r="A1017" s="23" t="n">
        <f aca="false">Report!C1320</f>
        <v>46272</v>
      </c>
      <c r="B1017" s="1" t="str">
        <f aca="false">Report!E1320</f>
        <v>BF COMERCIO DE ALIMENTOS REPRESENTACAO L</v>
      </c>
      <c r="C1017" s="17" t="n">
        <f aca="false">Report!U1320</f>
        <v>691.91</v>
      </c>
      <c r="D1017" s="1" t="str">
        <f aca="false">Report!X1320</f>
        <v>NF 21279 ELLEN</v>
      </c>
    </row>
    <row r="1018" customFormat="false" ht="12.75" hidden="false" customHeight="false" outlineLevel="0" collapsed="false">
      <c r="A1018" s="23" t="n">
        <f aca="false">Report!C1321</f>
        <v>46272</v>
      </c>
      <c r="B1018" s="1" t="str">
        <f aca="false">Report!E1321</f>
        <v>DUNORTE DISTRIBUIDORA DE PRODUTOS DE CONSUMO LTDA</v>
      </c>
      <c r="C1018" s="17" t="n">
        <f aca="false">Report!U1321</f>
        <v>1352.12</v>
      </c>
      <c r="D1018" s="1" t="str">
        <f aca="false">Report!X1321</f>
        <v>NF 3237634 ELLEN</v>
      </c>
    </row>
    <row r="1019" customFormat="false" ht="12.75" hidden="false" customHeight="false" outlineLevel="0" collapsed="false">
      <c r="A1019" s="23" t="n">
        <f aca="false">Report!C1322</f>
        <v>46273</v>
      </c>
      <c r="B1019" s="1" t="str">
        <f aca="false">Report!E1322</f>
        <v>ATACADAO S.A.</v>
      </c>
      <c r="C1019" s="17" t="n">
        <f aca="false">Report!U1322</f>
        <v>1184.7</v>
      </c>
      <c r="D1019" s="1" t="str">
        <f aca="false">Report!X1322</f>
        <v>NF 1915876 ELLEN</v>
      </c>
    </row>
    <row r="1020" customFormat="false" ht="12.75" hidden="false" customHeight="false" outlineLevel="0" collapsed="false">
      <c r="A1020" s="23" t="n">
        <f aca="false">Report!C1323</f>
        <v>46273</v>
      </c>
      <c r="B1020" s="1" t="str">
        <f aca="false">Report!E1323</f>
        <v>PIARARA COMERCIO, IMPORTACAO E EXPORTACAO LTDA</v>
      </c>
      <c r="C1020" s="17" t="n">
        <f aca="false">Report!U1323</f>
        <v>599.85</v>
      </c>
      <c r="D1020" s="1" t="str">
        <f aca="false">Report!X1323</f>
        <v>NF 195597 ELLEN</v>
      </c>
    </row>
    <row r="1021" customFormat="false" ht="12.75" hidden="false" customHeight="false" outlineLevel="0" collapsed="false">
      <c r="A1021" s="23" t="n">
        <f aca="false">Report!C1324</f>
        <v>46274</v>
      </c>
      <c r="B1021" s="1" t="str">
        <f aca="false">Report!E1324</f>
        <v>DISTRIBUIDORA LOPES LTDA</v>
      </c>
      <c r="C1021" s="17" t="n">
        <f aca="false">Report!U1324</f>
        <v>1279.58</v>
      </c>
      <c r="D1021" s="1" t="str">
        <f aca="false">Report!X1324</f>
        <v>NF 1709601 ELLEN</v>
      </c>
    </row>
    <row r="1022" customFormat="false" ht="12.75" hidden="false" customHeight="false" outlineLevel="0" collapsed="false">
      <c r="A1022" s="23" t="n">
        <f aca="false">Report!C1325</f>
        <v>46274</v>
      </c>
      <c r="B1022" s="1" t="str">
        <f aca="false">Report!E1325</f>
        <v>RISADINHA LTDA</v>
      </c>
      <c r="C1022" s="17" t="n">
        <f aca="false">Report!U1325</f>
        <v>830.13</v>
      </c>
      <c r="D1022" s="1" t="str">
        <f aca="false">Report!X1325</f>
        <v>NF 668739 ELLEN</v>
      </c>
    </row>
    <row r="1023" customFormat="false" ht="12.75" hidden="false" customHeight="false" outlineLevel="0" collapsed="false">
      <c r="A1023" s="23" t="n">
        <f aca="false">Report!C1326</f>
        <v>46275</v>
      </c>
      <c r="B1023" s="1" t="str">
        <f aca="false">Report!E1326</f>
        <v>FUNNY PET DISTRIBUIDORA DE ALIMENTOS PAR</v>
      </c>
      <c r="C1023" s="17" t="n">
        <f aca="false">Report!U1326</f>
        <v>128.85</v>
      </c>
      <c r="D1023" s="1" t="str">
        <f aca="false">Report!X1326</f>
        <v>NF 20440 ELLEN</v>
      </c>
    </row>
    <row r="1024" customFormat="false" ht="12.75" hidden="false" customHeight="false" outlineLevel="0" collapsed="false">
      <c r="A1024" s="23" t="n">
        <f aca="false">Report!C1330</f>
        <v>46275</v>
      </c>
      <c r="B1024" s="1" t="str">
        <f aca="false">Report!E1330</f>
        <v>DISTRIBUIDORA LOPES LTDA</v>
      </c>
      <c r="C1024" s="17" t="n">
        <f aca="false">Report!U1330</f>
        <v>692.26</v>
      </c>
      <c r="D1024" s="1" t="str">
        <f aca="false">Report!X1330</f>
        <v>NF 1710665 ELLEN</v>
      </c>
    </row>
    <row r="1025" customFormat="false" ht="12.75" hidden="false" customHeight="false" outlineLevel="0" collapsed="false">
      <c r="A1025" s="23" t="n">
        <f aca="false">Report!C1331</f>
        <v>46275</v>
      </c>
      <c r="B1025" s="1" t="str">
        <f aca="false">Report!E1331</f>
        <v>AGM COMERCIO E DISTRIBUIDORA DE MATERIAS DE PERFUMARIA E LIMPEZA LTDA</v>
      </c>
      <c r="C1025" s="17" t="n">
        <f aca="false">Report!U1331</f>
        <v>2153.25</v>
      </c>
      <c r="D1025" s="1" t="str">
        <f aca="false">Report!X1331</f>
        <v>NF 163912 ELLEN</v>
      </c>
    </row>
    <row r="1026" customFormat="false" ht="12.75" hidden="false" customHeight="false" outlineLevel="0" collapsed="false">
      <c r="A1026" s="23" t="n">
        <f aca="false">Report!C1332</f>
        <v>46275</v>
      </c>
      <c r="B1026" s="1" t="str">
        <f aca="false">Report!E1332</f>
        <v>ATACADAO S.A.</v>
      </c>
      <c r="C1026" s="17" t="n">
        <f aca="false">Report!U1332</f>
        <v>561.84</v>
      </c>
      <c r="D1026" s="1" t="str">
        <f aca="false">Report!X1332</f>
        <v>NF 1919900 ELLEN</v>
      </c>
    </row>
    <row r="1027" customFormat="false" ht="12.75" hidden="false" customHeight="false" outlineLevel="0" collapsed="false">
      <c r="A1027" s="23" t="n">
        <f aca="false">Report!C1333</f>
        <v>46277</v>
      </c>
      <c r="B1027" s="1" t="str">
        <f aca="false">Report!E1333</f>
        <v>DISTRIBUIDORA FARIAS LTDA.</v>
      </c>
      <c r="C1027" s="17" t="n">
        <f aca="false">Report!U1333</f>
        <v>706.55</v>
      </c>
      <c r="D1027" s="1" t="str">
        <f aca="false">Report!X1333</f>
        <v>NF 689222 ELLEN</v>
      </c>
    </row>
    <row r="1028" customFormat="false" ht="12.75" hidden="false" customHeight="false" outlineLevel="0" collapsed="false">
      <c r="A1028" s="23" t="n">
        <f aca="false">Report!C1334</f>
        <v>46277</v>
      </c>
      <c r="B1028" s="1" t="str">
        <f aca="false">Report!E1334</f>
        <v>DISTRIBUIDORA FARIAS LTDA.</v>
      </c>
      <c r="C1028" s="17" t="n">
        <f aca="false">Report!U1334</f>
        <v>1422.68</v>
      </c>
      <c r="D1028" s="1" t="str">
        <f aca="false">Report!X1334</f>
        <v>NF 689224 ELLEN</v>
      </c>
    </row>
    <row r="1029" customFormat="false" ht="12.75" hidden="false" customHeight="false" outlineLevel="0" collapsed="false">
      <c r="A1029" s="23" t="n">
        <f aca="false">Report!C1337</f>
        <v>46281</v>
      </c>
      <c r="B1029" s="1" t="str">
        <f aca="false">Report!E1337</f>
        <v>FUNNY PET DISTRIBUIDORA DE ALIMENTOS PAR</v>
      </c>
      <c r="C1029" s="17" t="n">
        <f aca="false">Report!U1337</f>
        <v>1501.38</v>
      </c>
      <c r="D1029" s="1" t="str">
        <f aca="false">Report!X1337</f>
        <v>NF 21189 ELLEN</v>
      </c>
    </row>
    <row r="1030" customFormat="false" ht="12.75" hidden="false" customHeight="false" outlineLevel="0" collapsed="false">
      <c r="A1030" s="23" t="n">
        <f aca="false">Report!C1338</f>
        <v>46281</v>
      </c>
      <c r="B1030" s="1" t="str">
        <f aca="false">Report!E1338</f>
        <v>RISADINHA LTDA</v>
      </c>
      <c r="C1030" s="17" t="n">
        <f aca="false">Report!U1338</f>
        <v>830.13</v>
      </c>
      <c r="D1030" s="1" t="str">
        <f aca="false">Report!X1338</f>
        <v>NF 668739 ELLEN</v>
      </c>
    </row>
    <row r="1031" customFormat="false" ht="12.75" hidden="false" customHeight="false" outlineLevel="0" collapsed="false">
      <c r="A1031" s="23" t="n">
        <f aca="false">Report!C1339</f>
        <v>46282</v>
      </c>
      <c r="B1031" s="1" t="str">
        <f aca="false">Report!E1339</f>
        <v>OPPORTUNITY ALIMENTOS PARA ANIMAIS LTDA</v>
      </c>
      <c r="C1031" s="17" t="n">
        <f aca="false">Report!U1339</f>
        <v>685.15</v>
      </c>
      <c r="D1031" s="1" t="str">
        <f aca="false">Report!X1339</f>
        <v>NF 35161 ELLEN</v>
      </c>
    </row>
    <row r="1032" customFormat="false" ht="12.75" hidden="false" customHeight="false" outlineLevel="0" collapsed="false">
      <c r="A1032" s="23" t="n">
        <f aca="false">Report!C1349</f>
        <v>46296</v>
      </c>
      <c r="B1032" s="1" t="str">
        <f aca="false">Report!E1349</f>
        <v>A. CORREA JUNIOR</v>
      </c>
      <c r="C1032" s="17" t="n">
        <f aca="false">Report!U1349</f>
        <v>638.75</v>
      </c>
      <c r="D1032" s="1" t="str">
        <f aca="false">Report!X1349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1240</v>
      </c>
      <c r="B1" s="26" t="s">
        <v>1241</v>
      </c>
      <c r="C1" s="26" t="s">
        <v>1242</v>
      </c>
      <c r="D1" s="26" t="s">
        <v>1243</v>
      </c>
    </row>
    <row r="2" customFormat="false" ht="12.75" hidden="false" customHeight="true" outlineLevel="0" collapsed="false">
      <c r="A2" s="27" t="s">
        <v>1244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1245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1246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1247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1248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1249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1250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1251</v>
      </c>
      <c r="B9" s="17" t="n">
        <f aca="false">SUMIFS(Report!$U:$U,Report!$T:$T,"&lt;&gt;"&amp;"MERCADORIAS P/REVENDA",Report!$AA:$AA,"SIM",Report!$C:$C,"&gt;="&amp;DATE(2026,8,1),Report!$C:$C,"&lt;="&amp;DATE(2026,8,31))</f>
        <v>56915.86</v>
      </c>
      <c r="C9" s="17" t="n">
        <f aca="false">SUMIFS(Report!$U:$U,Report!$T:$T,"MERCADORIAS P/REVENDA",Report!$AA:$AA,"SIM",Report!$C:$C,"&gt;="&amp;DATE(2026,8,1),Report!$C:$C,"&lt;="&amp;DATE(2026,8,31))</f>
        <v>239193.15</v>
      </c>
      <c r="D9" s="17" t="n">
        <f aca="false">B9+C9</f>
        <v>296109.01</v>
      </c>
    </row>
    <row r="10" customFormat="false" ht="12.75" hidden="false" customHeight="true" outlineLevel="0" collapsed="false">
      <c r="A10" s="27" t="s">
        <v>1252</v>
      </c>
      <c r="B10" s="17" t="n">
        <f aca="false">SUMIFS(Report!$U:$U,Report!$T:$T,"&lt;&gt;"&amp;"MERCADORIAS P/REVENDA",Report!$AA:$AA,"SIM",Report!$C:$C,"&gt;="&amp;DATE(2026,9,1),Report!$C:$C,"&lt;="&amp;DATE(2026,9,30))</f>
        <v>29386.48</v>
      </c>
      <c r="C10" s="17" t="n">
        <f aca="false">SUMIFS(Report!$U:$U,Report!$T:$T,"MERCADORIAS P/REVENDA",Report!$AA:$AA,"SIM",Report!$C:$C,"&gt;="&amp;DATE(2026,9,1),Report!$C:$C,"&lt;="&amp;DATE(2026,9,30))</f>
        <v>32164.22</v>
      </c>
      <c r="D10" s="17" t="n">
        <f aca="false">B10+C10</f>
        <v>61550.7</v>
      </c>
    </row>
    <row r="11" customFormat="false" ht="12.75" hidden="false" customHeight="true" outlineLevel="0" collapsed="false">
      <c r="A11" s="27" t="s">
        <v>1253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7" t="s">
        <v>1254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1255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1256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1257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1258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1259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1260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1261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1262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1263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1264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1265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1266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1267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1268</v>
      </c>
      <c r="B26" s="30" t="n">
        <f aca="false">SUM(B2:B25)</f>
        <v>304242.05</v>
      </c>
      <c r="C26" s="30" t="n">
        <f aca="false">SUM(C2:C25)</f>
        <v>849944.93</v>
      </c>
      <c r="D26" s="30" t="n">
        <f aca="false">SUM(D2:D25)</f>
        <v>1154186.98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1269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1243</v>
      </c>
      <c r="AA2" s="32"/>
      <c r="AB2" s="33" t="s">
        <v>1270</v>
      </c>
      <c r="AC2" s="33" t="s">
        <v>1271</v>
      </c>
      <c r="AE2" s="33" t="s">
        <v>1272</v>
      </c>
    </row>
    <row r="3" customFormat="false" ht="12.75" hidden="false" customHeight="true" outlineLevel="0" collapsed="false">
      <c r="A3" s="34" t="s">
        <v>1273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296109.01</v>
      </c>
      <c r="J3" s="30" t="n">
        <f aca="false">SUMIFS(Report!$U:$U,Report!$AA:$AA,"SIM",Report!$C:$C,"&gt;="&amp;DATE(2026,9,1),Report!$C:$C,"&lt;="&amp;DATE(2026,9,30))</f>
        <v>61550.7</v>
      </c>
      <c r="K3" s="30" t="n">
        <f aca="false">SUMIFS(Report!$U:$U,Report!$AA:$AA,"SIM",Report!$C:$C,"&gt;="&amp;DATE(2026,10,1),Report!$C:$C,"&lt;="&amp;DATE(2026,10,31))</f>
        <v>13382.62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1154186.98</v>
      </c>
      <c r="AB3" s="1" t="s">
        <v>192</v>
      </c>
      <c r="AC3" s="1" t="s">
        <v>1274</v>
      </c>
      <c r="AE3" s="1" t="s">
        <v>1275</v>
      </c>
    </row>
    <row r="4" customFormat="false" ht="12.75" hidden="false" customHeight="true" outlineLevel="0" collapsed="false">
      <c r="A4" s="1" t="s">
        <v>1274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32715.59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160588.04</v>
      </c>
      <c r="AB4" s="1" t="s">
        <v>136</v>
      </c>
      <c r="AC4" s="1" t="s">
        <v>1274</v>
      </c>
    </row>
    <row r="5" customFormat="false" ht="12.75" hidden="false" customHeight="true" outlineLevel="0" collapsed="false">
      <c r="A5" s="1" t="s">
        <v>1276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1274</v>
      </c>
    </row>
    <row r="6" customFormat="false" ht="12.75" hidden="false" customHeight="true" outlineLevel="0" collapsed="false">
      <c r="A6" s="1" t="s">
        <v>1277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2106.02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14541.85</v>
      </c>
      <c r="AB6" s="1" t="s">
        <v>467</v>
      </c>
      <c r="AC6" s="1" t="s">
        <v>1274</v>
      </c>
    </row>
    <row r="7" customFormat="false" ht="12.75" hidden="false" customHeight="true" outlineLevel="0" collapsed="false">
      <c r="A7" s="1" t="s">
        <v>1278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239193.15</v>
      </c>
      <c r="J7" s="17" t="n">
        <f aca="false">SUMIFS(Report!$U:$U,Report!$Z:$Z,"Mercadoria",Report!$AA:$AA,"SIM",Report!$C:$C,"&gt;="&amp;DATE(2026,9,1),Report!$C:$C,"&lt;="&amp;DATE(2026,9,30))</f>
        <v>32164.22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849944.93</v>
      </c>
      <c r="AB7" s="1" t="s">
        <v>450</v>
      </c>
      <c r="AC7" s="1" t="s">
        <v>1279</v>
      </c>
    </row>
    <row r="8" customFormat="false" ht="12.75" hidden="false" customHeight="true" outlineLevel="0" collapsed="false">
      <c r="A8" s="1" t="s">
        <v>1280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1760.74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26240.81</v>
      </c>
      <c r="AB8" s="1" t="s">
        <v>850</v>
      </c>
      <c r="AC8" s="1" t="s">
        <v>1274</v>
      </c>
    </row>
    <row r="9" customFormat="false" ht="12.75" hidden="false" customHeight="true" outlineLevel="0" collapsed="false">
      <c r="A9" s="1" t="s">
        <v>1279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11468.41</v>
      </c>
      <c r="J9" s="17" t="n">
        <f aca="false">SUMIFS(Report!$U:$U,Report!$Z:$Z,"Salários",Report!$AA:$AA,"SIM",Report!$C:$C,"&gt;="&amp;DATE(2026,9,1),Report!$C:$C,"&lt;="&amp;DATE(2026,9,30))</f>
        <v>250.1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58000.63</v>
      </c>
      <c r="AB9" s="1" t="s">
        <v>535</v>
      </c>
      <c r="AC9" s="1" t="s">
        <v>1274</v>
      </c>
    </row>
    <row r="10" customFormat="false" ht="12.75" hidden="false" customHeight="true" outlineLevel="0" collapsed="false">
      <c r="A10" s="34" t="s">
        <v>1281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1274</v>
      </c>
    </row>
    <row r="11" customFormat="false" ht="12.75" hidden="false" customHeight="true" outlineLevel="0" collapsed="false">
      <c r="AB11" s="1" t="s">
        <v>444</v>
      </c>
      <c r="AC11" s="1" t="s">
        <v>1274</v>
      </c>
    </row>
    <row r="12" customFormat="false" ht="12.75" hidden="false" customHeight="true" outlineLevel="0" collapsed="false">
      <c r="A12" s="1" t="s">
        <v>1282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1274</v>
      </c>
    </row>
    <row r="13" customFormat="false" ht="12.75" hidden="false" customHeight="true" outlineLevel="0" collapsed="false">
      <c r="A13" s="1" t="s">
        <v>1283</v>
      </c>
      <c r="AB13" s="1" t="s">
        <v>944</v>
      </c>
      <c r="AC13" s="1" t="s">
        <v>1274</v>
      </c>
    </row>
    <row r="14" customFormat="false" ht="12.75" hidden="false" customHeight="true" outlineLevel="0" collapsed="false">
      <c r="AB14" s="1" t="s">
        <v>149</v>
      </c>
      <c r="AC14" s="1" t="s">
        <v>1274</v>
      </c>
    </row>
    <row r="15" customFormat="false" ht="12.75" hidden="false" customHeight="true" outlineLevel="0" collapsed="false">
      <c r="AB15" s="1" t="s">
        <v>63</v>
      </c>
      <c r="AC15" s="1" t="s">
        <v>1274</v>
      </c>
    </row>
    <row r="16" customFormat="false" ht="12.75" hidden="false" customHeight="true" outlineLevel="0" collapsed="false">
      <c r="AB16" s="1" t="s">
        <v>590</v>
      </c>
      <c r="AC16" s="1" t="s">
        <v>1279</v>
      </c>
    </row>
    <row r="17" customFormat="false" ht="12.75" hidden="false" customHeight="true" outlineLevel="0" collapsed="false">
      <c r="AB17" s="1" t="s">
        <v>296</v>
      </c>
      <c r="AC17" s="1" t="s">
        <v>1276</v>
      </c>
    </row>
    <row r="18" customFormat="false" ht="12.75" hidden="false" customHeight="true" outlineLevel="0" collapsed="false">
      <c r="AB18" s="1" t="s">
        <v>486</v>
      </c>
      <c r="AC18" s="1" t="s">
        <v>1274</v>
      </c>
    </row>
    <row r="19" customFormat="false" ht="12.75" hidden="false" customHeight="true" outlineLevel="0" collapsed="false">
      <c r="AB19" s="1" t="s">
        <v>748</v>
      </c>
      <c r="AC19" s="1" t="s">
        <v>1279</v>
      </c>
    </row>
    <row r="20" customFormat="false" ht="12.75" hidden="false" customHeight="true" outlineLevel="0" collapsed="false">
      <c r="AB20" s="1" t="s">
        <v>963</v>
      </c>
      <c r="AC20" s="1" t="s">
        <v>1279</v>
      </c>
    </row>
    <row r="21" customFormat="false" ht="12.75" hidden="false" customHeight="true" outlineLevel="0" collapsed="false">
      <c r="AB21" s="1" t="s">
        <v>429</v>
      </c>
      <c r="AC21" s="1" t="s">
        <v>1277</v>
      </c>
    </row>
    <row r="22" customFormat="false" ht="12.75" hidden="false" customHeight="true" outlineLevel="0" collapsed="false">
      <c r="AB22" s="1" t="s">
        <v>33</v>
      </c>
      <c r="AC22" s="1" t="s">
        <v>1274</v>
      </c>
    </row>
    <row r="23" customFormat="false" ht="12.75" hidden="false" customHeight="true" outlineLevel="0" collapsed="false">
      <c r="AB23" s="1" t="s">
        <v>347</v>
      </c>
      <c r="AC23" s="1" t="s">
        <v>1274</v>
      </c>
    </row>
    <row r="24" customFormat="false" ht="12.75" hidden="false" customHeight="true" outlineLevel="0" collapsed="false">
      <c r="AB24" s="1" t="s">
        <v>664</v>
      </c>
      <c r="AC24" s="1" t="s">
        <v>1274</v>
      </c>
    </row>
    <row r="25" customFormat="false" ht="12.75" hidden="false" customHeight="true" outlineLevel="0" collapsed="false">
      <c r="AB25" s="1" t="s">
        <v>1284</v>
      </c>
      <c r="AC25" s="1" t="s">
        <v>1277</v>
      </c>
    </row>
    <row r="26" customFormat="false" ht="12.75" hidden="false" customHeight="true" outlineLevel="0" collapsed="false">
      <c r="AB26" s="1" t="s">
        <v>682</v>
      </c>
      <c r="AC26" s="1" t="s">
        <v>1274</v>
      </c>
    </row>
    <row r="27" customFormat="false" ht="12.75" hidden="false" customHeight="true" outlineLevel="0" collapsed="false">
      <c r="AB27" s="1" t="s">
        <v>427</v>
      </c>
      <c r="AC27" s="1" t="s">
        <v>1277</v>
      </c>
    </row>
    <row r="28" customFormat="false" ht="12.75" hidden="false" customHeight="true" outlineLevel="0" collapsed="false">
      <c r="AB28" s="1" t="s">
        <v>257</v>
      </c>
      <c r="AC28" s="1" t="s">
        <v>1274</v>
      </c>
    </row>
    <row r="29" customFormat="false" ht="12.75" hidden="false" customHeight="true" outlineLevel="0" collapsed="false">
      <c r="AB29" s="1" t="s">
        <v>145</v>
      </c>
      <c r="AC29" s="1" t="s">
        <v>1274</v>
      </c>
    </row>
    <row r="30" customFormat="false" ht="12.75" hidden="false" customHeight="true" outlineLevel="0" collapsed="false">
      <c r="AB30" s="1" t="s">
        <v>361</v>
      </c>
      <c r="AC30" s="1" t="s">
        <v>1277</v>
      </c>
    </row>
    <row r="31" customFormat="false" ht="12.75" hidden="false" customHeight="true" outlineLevel="0" collapsed="false">
      <c r="AB31" s="1" t="s">
        <v>938</v>
      </c>
      <c r="AC31" s="1" t="s">
        <v>1274</v>
      </c>
    </row>
    <row r="32" customFormat="false" ht="12.75" hidden="false" customHeight="true" outlineLevel="0" collapsed="false">
      <c r="AB32" s="1" t="s">
        <v>243</v>
      </c>
      <c r="AC32" s="1" t="s">
        <v>1276</v>
      </c>
    </row>
    <row r="33" customFormat="false" ht="12.75" hidden="false" customHeight="true" outlineLevel="0" collapsed="false">
      <c r="AB33" s="1" t="s">
        <v>651</v>
      </c>
      <c r="AC33" s="1" t="s">
        <v>1274</v>
      </c>
    </row>
    <row r="34" customFormat="false" ht="12.75" hidden="false" customHeight="true" outlineLevel="0" collapsed="false">
      <c r="AB34" s="1" t="s">
        <v>286</v>
      </c>
      <c r="AC34" s="1" t="s">
        <v>1274</v>
      </c>
    </row>
    <row r="35" customFormat="false" ht="12.75" hidden="false" customHeight="true" outlineLevel="0" collapsed="false">
      <c r="AB35" s="1" t="s">
        <v>38</v>
      </c>
      <c r="AC35" s="1" t="s">
        <v>1274</v>
      </c>
    </row>
    <row r="36" customFormat="false" ht="12.75" hidden="false" customHeight="true" outlineLevel="0" collapsed="false">
      <c r="AB36" s="1" t="s">
        <v>57</v>
      </c>
      <c r="AC36" s="1" t="s">
        <v>1274</v>
      </c>
    </row>
    <row r="37" customFormat="false" ht="12.75" hidden="false" customHeight="true" outlineLevel="0" collapsed="false">
      <c r="AB37" s="1" t="s">
        <v>538</v>
      </c>
      <c r="AC37" s="1" t="s">
        <v>1274</v>
      </c>
    </row>
    <row r="38" customFormat="false" ht="12.75" hidden="false" customHeight="true" outlineLevel="0" collapsed="false">
      <c r="AB38" s="1" t="s">
        <v>186</v>
      </c>
      <c r="AC38" s="1" t="s">
        <v>1274</v>
      </c>
    </row>
    <row r="39" customFormat="false" ht="12.75" hidden="false" customHeight="true" outlineLevel="0" collapsed="false">
      <c r="AB39" s="1" t="s">
        <v>49</v>
      </c>
      <c r="AC39" s="1" t="s">
        <v>1278</v>
      </c>
    </row>
    <row r="40" customFormat="false" ht="12.75" hidden="false" customHeight="true" outlineLevel="0" collapsed="false">
      <c r="AB40" s="1" t="s">
        <v>434</v>
      </c>
      <c r="AC40" s="1" t="s">
        <v>1274</v>
      </c>
    </row>
    <row r="41" customFormat="false" ht="12.75" hidden="false" customHeight="true" outlineLevel="0" collapsed="false">
      <c r="AB41" s="1" t="s">
        <v>44</v>
      </c>
      <c r="AC41" s="1" t="s">
        <v>1280</v>
      </c>
    </row>
    <row r="42" customFormat="false" ht="12.75" hidden="false" customHeight="true" outlineLevel="0" collapsed="false">
      <c r="AB42" s="1" t="s">
        <v>940</v>
      </c>
      <c r="AC42" s="1" t="s">
        <v>1274</v>
      </c>
    </row>
    <row r="43" customFormat="false" ht="12.75" hidden="false" customHeight="true" outlineLevel="0" collapsed="false">
      <c r="AB43" s="1" t="s">
        <v>405</v>
      </c>
      <c r="AC43" s="1" t="s">
        <v>1279</v>
      </c>
    </row>
    <row r="44" customFormat="false" ht="12.75" hidden="false" customHeight="true" outlineLevel="0" collapsed="false">
      <c r="AB44" s="1" t="s">
        <v>441</v>
      </c>
      <c r="AC44" s="1" t="s">
        <v>1274</v>
      </c>
    </row>
    <row r="45" customFormat="false" ht="12.75" hidden="false" customHeight="true" outlineLevel="0" collapsed="false">
      <c r="AB45" s="1" t="s">
        <v>225</v>
      </c>
      <c r="AC45" s="1" t="s">
        <v>1279</v>
      </c>
    </row>
    <row r="46" customFormat="false" ht="12.75" hidden="false" customHeight="true" outlineLevel="0" collapsed="false">
      <c r="AB46" s="1" t="s">
        <v>230</v>
      </c>
      <c r="AC46" s="1" t="s">
        <v>1279</v>
      </c>
    </row>
    <row r="47" customFormat="false" ht="12.75" hidden="false" customHeight="true" outlineLevel="0" collapsed="false">
      <c r="AB47" s="1" t="s">
        <v>455</v>
      </c>
      <c r="AC47" s="1" t="s">
        <v>1277</v>
      </c>
    </row>
    <row r="48" customFormat="false" ht="12.75" hidden="false" customHeight="true" outlineLevel="0" collapsed="false">
      <c r="AB48" s="1" t="s">
        <v>110</v>
      </c>
      <c r="AC48" s="1" t="s">
        <v>1274</v>
      </c>
    </row>
    <row r="49" customFormat="false" ht="12.75" hidden="false" customHeight="true" outlineLevel="0" collapsed="false">
      <c r="AB49" s="1" t="s">
        <v>1059</v>
      </c>
      <c r="AC49" s="1" t="s">
        <v>1274</v>
      </c>
    </row>
    <row r="50" customFormat="false" ht="12.75" hidden="false" customHeight="true" outlineLevel="0" collapsed="false">
      <c r="AB50" s="1" t="s">
        <v>101</v>
      </c>
      <c r="AC50" s="1" t="s">
        <v>1279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1285</v>
      </c>
      <c r="B1" s="25" t="s">
        <v>1269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1243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596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5847.07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1284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2530.41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50.91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239193.15</v>
      </c>
      <c r="K38" s="17" t="n">
        <f aca="false">SUMIFS(Report!$U:$U,Report!$T:$T,$A38,Report!$C:$C,"&gt;="&amp;DATE(2026,9,1),Report!$C:$C,"&lt;="&amp;DATE(2026,9,30))</f>
        <v>32164.22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849944.93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1760.74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26240.81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138.3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695.51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10633.41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46195.03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2000.01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1268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296109.01</v>
      </c>
      <c r="K50" s="30" t="n">
        <f aca="false">SUM(K2:K49)</f>
        <v>61550.7</v>
      </c>
      <c r="L50" s="30" t="n">
        <f aca="false">SUM(L2:L49)</f>
        <v>13382.62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1154186.98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1286</v>
      </c>
      <c r="B1" s="37" t="n">
        <f aca="false">SUMIFS(Report!$U:$U,Report!$T:$T,"&lt;&gt;"&amp;"MERCADORIAS P/REVENDA",Report!$AA:$AA,"SIM",Report!$C:$C,"&gt;="&amp;DATE(2026,1,1),Report!$C:$C,"&lt;="&amp;DATE(2027,12,31))</f>
        <v>304242.05</v>
      </c>
      <c r="C1" s="37" t="n">
        <f aca="false">SUMIFS(Report!$U:$U,Report!$T:$T,"MERCADORIAS P/REVENDA",Report!$AA:$AA,"SIM",Report!$C:$C,"&gt;="&amp;DATE(2026,1,1),Report!$C:$C,"&lt;="&amp;DATE(2027,12,31))</f>
        <v>849944.93</v>
      </c>
      <c r="D1" s="38" t="s">
        <v>1287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1154186.98</v>
      </c>
      <c r="H1" s="1"/>
      <c r="I1" s="17"/>
    </row>
    <row r="2" customFormat="false" ht="12.75" hidden="false" customHeight="true" outlineLevel="0" collapsed="false">
      <c r="A2" s="24" t="s">
        <v>1288</v>
      </c>
      <c r="B2" s="26" t="s">
        <v>1241</v>
      </c>
      <c r="C2" s="26" t="s">
        <v>1242</v>
      </c>
      <c r="D2" s="38" t="s">
        <v>1289</v>
      </c>
      <c r="E2" s="37" t="n">
        <f aca="false">F1+E1</f>
        <v>1154186.98</v>
      </c>
      <c r="F2" s="26" t="s">
        <v>1290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1291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1292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1293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1294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1295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1296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1297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1298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1299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1300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1301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1302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1303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1304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1305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1306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1307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1308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1309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1310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1311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">
        <v>1312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">
        <v>1313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">
        <v>1314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">
        <v>1315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">
        <v>1316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">
        <v>1317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">
        <v>1318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">
        <v>1319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">
        <v>1320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">
        <v>1321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">
        <v>1322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11733.16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15115.96</v>
      </c>
      <c r="D261" s="41"/>
      <c r="E261" s="41"/>
      <c r="F261" s="40" t="n">
        <f aca="false">B261+C261</f>
        <v>21044.84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9435.11</v>
      </c>
      <c r="D263" s="41"/>
      <c r="E263" s="41"/>
      <c r="F263" s="40" t="n">
        <f aca="false">B263+C263</f>
        <v>9435.11</v>
      </c>
    </row>
    <row r="264" customFormat="false" ht="12.75" hidden="false" customHeight="true" outlineLevel="0" collapsed="false">
      <c r="A264" s="42" t="s">
        <v>1323</v>
      </c>
      <c r="B264" s="30" t="n">
        <f aca="false">SUM(B257:B263)</f>
        <v>6950.24</v>
      </c>
      <c r="C264" s="30" t="n">
        <f aca="false">SUM(C257:C263)</f>
        <v>84364.94</v>
      </c>
      <c r="D264" s="34"/>
      <c r="E264" s="34"/>
      <c r="F264" s="30" t="n">
        <f aca="false">B264+C264</f>
        <v>91315.18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828.91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5819.26</v>
      </c>
      <c r="F266" s="17" t="n">
        <f aca="false">B266+C266</f>
        <v>5819.26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3131.81</v>
      </c>
      <c r="C267" s="17" t="n">
        <f aca="false">SUMIFS(Report!$U:$U,Report!$T:$T,"MERCADORIAS P/REVENDA",Report!$AA:$AA,"SIM",Report!$C:$C,A267)</f>
        <v>2584.5</v>
      </c>
      <c r="F267" s="17" t="n">
        <f aca="false">B267+C267</f>
        <v>5716.31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14868.03</v>
      </c>
      <c r="F268" s="17" t="n">
        <f aca="false">B268+C268</f>
        <v>14868.03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5963.17</v>
      </c>
      <c r="D271" s="41"/>
      <c r="E271" s="41"/>
      <c r="F271" s="40" t="n">
        <f aca="false">B271+C271</f>
        <v>16718.96</v>
      </c>
    </row>
    <row r="272" customFormat="false" ht="12.75" hidden="false" customHeight="true" outlineLevel="0" collapsed="false">
      <c r="A272" s="42" t="s">
        <v>1324</v>
      </c>
      <c r="B272" s="30" t="n">
        <f aca="false">SUM(B265:B271)</f>
        <v>14236.87</v>
      </c>
      <c r="C272" s="30" t="n">
        <f aca="false">SUM(C265:C271)</f>
        <v>45028.16</v>
      </c>
      <c r="D272" s="34"/>
      <c r="E272" s="34"/>
      <c r="F272" s="30" t="n">
        <f aca="false">B272+C272</f>
        <v>59265.03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1912.63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6419.64</v>
      </c>
      <c r="F274" s="17" t="n">
        <f aca="false">B274+C274</f>
        <v>10588.05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3194.6</v>
      </c>
      <c r="F275" s="17" t="n">
        <f aca="false">B275+C275</f>
        <v>3715.07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7424.71</v>
      </c>
      <c r="F276" s="17" t="n">
        <f aca="false">B276+C276</f>
        <v>7424.71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446.28</v>
      </c>
      <c r="D278" s="41"/>
      <c r="E278" s="41"/>
      <c r="F278" s="40" t="n">
        <f aca="false">B278+C278</f>
        <v>866.28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1318.1</v>
      </c>
      <c r="D279" s="41"/>
      <c r="E279" s="41"/>
      <c r="F279" s="40" t="n">
        <f aca="false">B279+C279</f>
        <v>1318.1</v>
      </c>
    </row>
    <row r="280" customFormat="false" ht="12.75" hidden="false" customHeight="true" outlineLevel="0" collapsed="false">
      <c r="A280" s="42" t="s">
        <v>1325</v>
      </c>
      <c r="B280" s="30" t="n">
        <f aca="false">SUM(B273:B279)</f>
        <v>6202.96</v>
      </c>
      <c r="C280" s="30" t="n">
        <f aca="false">SUM(C273:C279)</f>
        <v>21751.11</v>
      </c>
      <c r="D280" s="34"/>
      <c r="E280" s="34"/>
      <c r="F280" s="30" t="n">
        <f aca="false">B280+C280</f>
        <v>27954.07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4621.21</v>
      </c>
      <c r="F281" s="17" t="n">
        <f aca="false">B281+C281</f>
        <v>7098.03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4180.62</v>
      </c>
      <c r="F282" s="17" t="n">
        <f aca="false">B282+C282</f>
        <v>4180.62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3689.92</v>
      </c>
      <c r="F283" s="17" t="n">
        <f aca="false">B283+C283</f>
        <v>4210.38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2141.81</v>
      </c>
      <c r="F284" s="17" t="n">
        <f aca="false">B284+C284</f>
        <v>4844.21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2825.08</v>
      </c>
      <c r="D287" s="41"/>
      <c r="E287" s="41"/>
      <c r="F287" s="40" t="n">
        <f aca="false">B287+C287</f>
        <v>2945.05</v>
      </c>
    </row>
    <row r="288" customFormat="false" ht="12.75" hidden="false" customHeight="true" outlineLevel="0" collapsed="false">
      <c r="A288" s="42" t="s">
        <v>1326</v>
      </c>
      <c r="B288" s="30" t="n">
        <f aca="false">SUM(B281:B287)</f>
        <v>6069.75</v>
      </c>
      <c r="C288" s="30" t="n">
        <f aca="false">SUM(C281:C287)</f>
        <v>19587.87</v>
      </c>
      <c r="D288" s="34"/>
      <c r="E288" s="34"/>
      <c r="F288" s="30" t="n">
        <f aca="false">B288+C288</f>
        <v>25657.62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1784.55</v>
      </c>
      <c r="F289" s="17" t="n">
        <f aca="false">B289+C289</f>
        <v>1784.55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2109.71</v>
      </c>
      <c r="F290" s="17" t="n">
        <f aca="false">B290+C290</f>
        <v>2109.71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3536.2</v>
      </c>
      <c r="F291" s="17" t="n">
        <f aca="false">B291+C291</f>
        <v>4629.55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0</v>
      </c>
      <c r="D295" s="41"/>
      <c r="E295" s="41"/>
      <c r="F295" s="40" t="n">
        <f aca="false">B295+C295</f>
        <v>0</v>
      </c>
    </row>
    <row r="296" customFormat="false" ht="12.75" hidden="false" customHeight="true" outlineLevel="0" collapsed="false">
      <c r="A296" s="42" t="s">
        <v>1327</v>
      </c>
      <c r="B296" s="30" t="n">
        <f aca="false">SUM(B289:B295)</f>
        <v>1093.35</v>
      </c>
      <c r="C296" s="30" t="n">
        <f aca="false">SUM(C289:C295)</f>
        <v>9559.69</v>
      </c>
      <c r="D296" s="34"/>
      <c r="E296" s="34"/>
      <c r="F296" s="30" t="n">
        <f aca="false">B296+C296</f>
        <v>10653.04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2331.51</v>
      </c>
      <c r="F298" s="17" t="n">
        <f aca="false">B298+C298</f>
        <v>2331.51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685.15</v>
      </c>
      <c r="F299" s="17" t="n">
        <f aca="false">B299+C299</f>
        <v>685.15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">
        <v>1328</v>
      </c>
      <c r="B304" s="30" t="n">
        <f aca="false">SUM(B297:B303)</f>
        <v>6910.35</v>
      </c>
      <c r="C304" s="30" t="n">
        <f aca="false">SUM(C297:C303)</f>
        <v>3016.66</v>
      </c>
      <c r="D304" s="34"/>
      <c r="E304" s="34"/>
      <c r="F304" s="30" t="n">
        <f aca="false">B304+C304</f>
        <v>9927.01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">
        <v>1329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">
        <v>1330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">
        <v>1331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1332</v>
      </c>
      <c r="B336" s="30" t="n">
        <f aca="false">SUM(B329:B335)</f>
        <v>6176.15</v>
      </c>
      <c r="C336" s="30" t="n">
        <f aca="false">SUM(C329:C335)</f>
        <v>0</v>
      </c>
      <c r="D336" s="34"/>
      <c r="E336" s="34"/>
      <c r="F336" s="30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">
        <v>1333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1334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1335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1336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1337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1338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1339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1340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1341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1342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1343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1344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1345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1346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1347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1348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1349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1350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1351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1352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1353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1354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1355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1356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1357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1358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1359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1360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1361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1362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1363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1364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1365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1366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1367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1368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1369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1370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1371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1372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1373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1374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1375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1376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1377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1378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1379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1380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1381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1382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1383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1384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1385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1386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1387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1388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1389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1390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1391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1392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1393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1394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1395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1396</v>
      </c>
      <c r="B1" s="43"/>
      <c r="C1" s="43"/>
      <c r="D1" s="43"/>
    </row>
    <row r="2" customFormat="false" ht="12.75" hidden="false" customHeight="true" outlineLevel="0" collapsed="false">
      <c r="A2" s="44" t="s">
        <v>1397</v>
      </c>
      <c r="B2" s="44"/>
      <c r="C2" s="44"/>
      <c r="D2" s="44"/>
    </row>
    <row r="4" customFormat="false" ht="24.75" hidden="false" customHeight="true" outlineLevel="0" collapsed="false">
      <c r="A4" s="45" t="s">
        <v>1240</v>
      </c>
      <c r="B4" s="45" t="s">
        <v>1398</v>
      </c>
      <c r="C4" s="45" t="s">
        <v>1399</v>
      </c>
    </row>
    <row r="5" customFormat="false" ht="12.75" hidden="false" customHeight="true" outlineLevel="0" collapsed="false">
      <c r="A5" s="46" t="s">
        <v>1244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1245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1246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1247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1248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1249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1250</v>
      </c>
      <c r="B11" s="46" t="n">
        <v>2026</v>
      </c>
      <c r="C11" s="47" t="n">
        <v>332480.59</v>
      </c>
    </row>
    <row r="12" customFormat="false" ht="13.5" hidden="false" customHeight="true" outlineLevel="0" collapsed="false">
      <c r="A12" s="46" t="s">
        <v>1251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1252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1253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1254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1255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1400</v>
      </c>
      <c r="B18" s="49"/>
      <c r="C18" s="50" t="n">
        <v>46230</v>
      </c>
    </row>
    <row r="20" customFormat="false" ht="12.75" hidden="false" customHeight="true" outlineLevel="0" collapsed="false">
      <c r="A20" s="44" t="s">
        <v>1401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1402</v>
      </c>
    </row>
    <row r="3" customFormat="false" ht="12.75" hidden="false" customHeight="true" outlineLevel="0" collapsed="false">
      <c r="A3" s="27" t="s">
        <v>1403</v>
      </c>
      <c r="E3" s="52" t="n">
        <v>0.8871</v>
      </c>
      <c r="F3" s="1" t="s">
        <v>1404</v>
      </c>
    </row>
    <row r="6" customFormat="false" ht="12.75" hidden="false" customHeight="true" outlineLevel="0" collapsed="false">
      <c r="A6" s="53" t="s">
        <v>1240</v>
      </c>
      <c r="B6" s="32" t="s">
        <v>1405</v>
      </c>
      <c r="C6" s="32" t="s">
        <v>1406</v>
      </c>
      <c r="D6" s="32" t="s">
        <v>1407</v>
      </c>
      <c r="E6" s="32" t="s">
        <v>1408</v>
      </c>
    </row>
    <row r="7" customFormat="false" ht="12.75" hidden="false" customHeight="true" outlineLevel="0" collapsed="false">
      <c r="A7" s="27" t="s">
        <v>1244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1245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1246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1247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1248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1249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</row>
    <row r="13" customFormat="false" ht="12.75" hidden="false" customHeight="true" outlineLevel="0" collapsed="false">
      <c r="A13" s="27" t="s">
        <v>1250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7" t="s">
        <v>1251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239193.15</v>
      </c>
      <c r="E14" s="17" t="n">
        <f aca="false">IF(AND(ISNUMBER(C14),D14&gt;0),D14-C14,"")</f>
        <v>-55750.381389</v>
      </c>
    </row>
    <row r="15" customFormat="false" ht="12.75" hidden="false" customHeight="true" outlineLevel="0" collapsed="false">
      <c r="A15" s="27" t="s">
        <v>1252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32164.22</v>
      </c>
      <c r="E15" s="17" t="n">
        <f aca="false">IF(AND(ISNUMBER(C15),D15&gt;0),D15-C15,"")</f>
        <v>32164.22</v>
      </c>
    </row>
    <row r="16" customFormat="false" ht="12.75" hidden="false" customHeight="true" outlineLevel="0" collapsed="false">
      <c r="A16" s="27" t="s">
        <v>1253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</row>
    <row r="17" customFormat="false" ht="12.75" hidden="false" customHeight="true" outlineLevel="0" collapsed="false">
      <c r="A17" s="27" t="s">
        <v>1254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1255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1268</v>
      </c>
      <c r="B19" s="35" t="n">
        <f aca="false">SUM(B7:B18)</f>
        <v>2332451.08</v>
      </c>
      <c r="C19" s="35" t="n">
        <f aca="false">SUM(C7:C18)</f>
        <v>2069117.353068</v>
      </c>
      <c r="D19" s="35" t="n">
        <f aca="false">SUM(D7:D18)</f>
        <v>849944.93</v>
      </c>
      <c r="E19" s="35" t="n">
        <f aca="false">IF(COUNT(E7:E18)=0,"sem dados comparaveis ainda",SUM(E7:E18))</f>
        <v>-80374.892485</v>
      </c>
    </row>
    <row r="21" customFormat="false" ht="12.75" hidden="false" customHeight="true" outlineLevel="0" collapsed="false">
      <c r="A21" s="27" t="s">
        <v>1409</v>
      </c>
    </row>
    <row r="23" customFormat="false" ht="12.75" hidden="false" customHeight="true" outlineLevel="0" collapsed="false">
      <c r="A23" s="27" t="s">
        <v>1410</v>
      </c>
    </row>
    <row r="25" customFormat="false" ht="12.75" hidden="false" customHeight="true" outlineLevel="0" collapsed="false">
      <c r="A25" s="27" t="s">
        <v>1411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1412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2026-08-18T16:33:09Z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