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<sst xmlns="http://schemas.openxmlformats.org/spreadsheetml/2006/main" count="45062" uniqueCount="4696">
  <si>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</si>
  <si>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</si>
  <si>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</si>
  <si>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</si>
  <si>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</si>
  <si>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</si>
  <si>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</si>
  <si>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</si>
  <si>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</si>
  <si>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</si>
  <si>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</si>
  <si>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</si>
  <si>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</si>
  <si>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</si>
  <si>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</si>
  <si>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</si>
  <si>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</si>
  <si>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</si>
  <si>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</si>
  <si>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</si>
  <si>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</si>
  <si>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</si>
  <si>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</si>
  <si>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</si>
  <si>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</si>
  <si>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</si>
  <si>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</si>
  <si>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</si>
  <si>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</si>
  <si>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</si>
  <si>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</si>
  <si>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</si>
  <si>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</si>
  <si>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</si>
  <si>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</si>
  <si>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</si>
  <si>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</si>
  <si>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</si>
  <si>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</si>
  <si>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</si>
  <si>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</si>
  <si>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</si>
  <si>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</si>
  <si>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</si>
  <si>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</si>
  <si>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</si>
  <si>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</si>
  <si>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</si>
  <si>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</si>
  <si>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</si>
  <si>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</si>
  <si>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</si>
  <si>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</si>
  <si>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</si>
  <si>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</si>
  <si>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</si>
  <si>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</si>
  <si>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</si>
  <si>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</si>
  <si>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</si>
  <si>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</si>
  <si>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</si>
  <si>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</si>
  <si>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</si>
  <si>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</si>
  <si>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</si>
  <si>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</si>
  <si>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</si>
  <si>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</si>
  <si>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</si>
  <si>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</si>
  <si>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</si>
  <si>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</si>
  <si>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</si>
  <si>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</si>
  <si>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</si>
  <si>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</si>
  <si>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</si>
  <si>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</si>
  <si>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</si>
  <si>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</si>
  <si>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</si>
  <si>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</si>
  <si>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</si>
  <si>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</si>
  <si>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</si>
  <si>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</si>
  <si>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</si>
  <si>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</si>
  <si>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</si>
  <si>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</si>
  <si>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</si>
  <si>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</si>
  <si>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</si>
  <si>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</si>
  <si>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</si>
  <si>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</si>
  <si>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</si>
  <si>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</si>
  <si>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</si>
  <si>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</si>
  <si>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</si>
  <si>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</si>
  <si>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</si>
  <si>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</si>
  <si>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</si>
  <si>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</si>
  <si>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</si>
  <si>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</si>
  <si>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</si>
  <si>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</si>
  <si>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</si>
  <si>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</si>
  <si>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</si>
  <si>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</si>
  <si>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</si>
  <si>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</si>
  <si>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</si>
  <si>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</si>
  <si>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</si>
  <si>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</si>
  <si>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</si>
  <si>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</si>
  <si>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</si>
  <si>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</si>
  <si>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</si>
  <si>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</si>
  <si>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</si>
  <si>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</si>
  <si>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</si>
  <si>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</si>
  <si>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</si>
  <si>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</si>
  <si>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</si>
  <si>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</si>
  <si>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</si>
  <si>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</si>
  <si>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</si>
  <si>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</si>
  <si>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</si>
  <si>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</si>
  <si>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</si>
  <si>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</si>
  <si>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</si>
  <si>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</si>
  <si>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</si>
  <si>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</si>
  <si>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</si>
  <si>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</si>
  <si>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</si>
  <si>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</si>
  <si>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</si>
  <si>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</si>
  <si>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</si>
  <si>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</si>
  <si>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</si>
  <si>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</si>
  <si>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</si>
  <si>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</si>
  <si>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</si>
  <si>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</si>
  <si>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</si>
  <si>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</si>
  <si>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</si>
  <si>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</si>
  <si>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</si>
  <si>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</si>
  <si>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</si>
  <si>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</si>
  <si>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</si>
  <si>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</si>
  <si>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</si>
  <si>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</si>
  <si>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</si>
  <si>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</si>
  <si>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</si>
  <si>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</si>
  <si>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</si>
  <si>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</si>
  <si>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</si>
  <si>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</si>
  <si>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</si>
  <si>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</si>
  <si>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</si>
  <si>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</si>
  <si>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</si>
  <si>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</si>
  <si>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</si>
  <si>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</si>
  <si>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</si>
  <si>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</si>
  <si>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</si>
  <si>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</si>
  <si>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</si>
  <si>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</si>
  <si>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</si>
  <si>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</si>
  <si>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</si>
  <si>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</si>
  <si>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</si>
  <si>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</si>
  <si>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</si>
  <si>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</si>
  <si>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</si>
  <si>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</si>
  <si>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</si>
  <si>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</si>
  <si>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</si>
  <si>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</si>
  <si>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</si>
  <si>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</si>
  <si>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</si>
  <si>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</si>
  <si>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</si>
  <si>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</si>
  <si>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</si>
  <si>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</si>
  <si>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</si>
  <si>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</si>
  <si>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</si>
  <si>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</si>
  <si>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</si>
  <si>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</si>
  <si>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</si>
  <si>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</si>
  <si>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</si>
  <si>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</si>
  <si>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</si>
  <si>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</si>
  <si>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</si>
  <si>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</si>
  <si>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</si>
  <si>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</si>
  <si>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</si>
  <si>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</si>
  <si>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</si>
  <si>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</si>
  <si>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</si>
  <si>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</si>
  <si>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</si>
  <si>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</si>
  <si>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</si>
  <si>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</si>
  <si>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</si>
  <si>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</si>
  <si>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</si>
  <si>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</si>
  <si>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</si>
  <si>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</si>
  <si>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</si>
  <si>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</si>
  <si>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</si>
  <si>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</si>
  <si>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</si>
  <si>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</si>
  <si>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</si>
  <si>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</si>
  <si>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</si>
  <si>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</si>
  <si>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</si>
  <si>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</si>
  <si>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</si>
  <si>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</si>
  <si>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</si>
  <si>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</si>
  <si>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</si>
  <si>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</si>
  <si>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</si>
  <si>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</si>
  <si>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</si>
  <si>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</si>
  <si>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</si>
  <si>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</si>
  <si>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</si>
  <si>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</si>
  <si>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</si>
  <si>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</si>
  <si>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</si>
  <si>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</si>
  <si>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</si>
  <si>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</si>
  <si>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</si>
  <si>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</si>
  <si>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</si>
  <si>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</si>
  <si>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</si>
  <si>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</si>
  <si>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</si>
  <si>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</si>
  <si>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</si>
  <si>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</si>
  <si>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</si>
  <si>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</si>
  <si>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</si>
  <si>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</si>
  <si>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</si>
  <si>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</si>
  <si>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</si>
  <si>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</si>
  <si>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</si>
  <si>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</si>
  <si>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</si>
  <si>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</si>
  <si>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</si>
  <si>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</si>
  <si>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</si>
  <si>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</si>
  <si>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</si>
  <si>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</si>
  <si>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</si>
  <si>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</si>
  <si>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</si>
  <si>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</si>
  <si>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</si>
  <si>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</si>
  <si>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</si>
  <si>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</si>
  <si>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</si>
  <si>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</si>
  <si>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</si>
  <si>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</si>
  <si>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</si>
  <si>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</si>
  <si>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</si>
  <si>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</si>
  <si>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</si>
  <si>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</si>
  <si>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</si>
  <si>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</si>
  <si>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</si>
  <si>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</si>
  <si>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</si>
  <si>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</si>
  <si>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</si>
  <si>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</si>
  <si>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</si>
  <si>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</si>
  <si>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</si>
  <si>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</si>
  <si>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</si>
  <si>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</si>
  <si>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</si>
  <si>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</si>
  <si>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</si>
  <si>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</si>
  <si>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</si>
  <si>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</si>
  <si>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</si>
  <si>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</si>
  <si>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</si>
  <si>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</si>
  <si>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</si>
  <si>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</si>
  <si>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</si>
  <si>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</si>
  <si>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</si>
  <si>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</si>
  <si>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</si>
  <si>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</si>
  <si>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</si>
  <si>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</si>
  <si>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</si>
  <si>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</si>
  <si>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</si>
  <si>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</si>
  <si>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</si>
  <si>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</si>
  <si>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</si>
  <si>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</si>
  <si>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</si>
  <si>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</si>
  <si>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</si>
  <si>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</si>
  <si>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</si>
  <si>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</si>
  <si>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</si>
  <si>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</si>
  <si>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</si>
  <si>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</si>
  <si>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</si>
  <si>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</si>
  <si>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</si>
  <si>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</si>
  <si>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</si>
  <si>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</si>
  <si>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</si>
  <si>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</si>
  <si>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</si>
  <si>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</si>
  <si>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</si>
  <si>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</si>
  <si>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</si>
  <si>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</si>
  <si>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</si>
  <si>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</si>
  <si>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</si>
  <si>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</si>
  <si>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</si>
  <si>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</si>
  <si>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</si>
  <si>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</si>
  <si>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</si>
  <si>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</si>
  <si>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</si>
  <si>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</si>
  <si>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</si>
  <si>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</si>
  <si>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</si>
  <si>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</si>
  <si>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</si>
  <si>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</si>
  <si>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</si>
  <si>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</si>
  <si>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</si>
  <si>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</si>
  <si>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</si>
  <si>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</si>
  <si>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</si>
  <si>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</si>
  <si>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</si>
  <si>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</si>
  <si>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</si>
  <si>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</si>
  <si>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</si>
  <si>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</si>
  <si>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</si>
  <si>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</si>
  <si>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</si>
  <si>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</si>
  <si>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</si>
  <si>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</si>
  <si>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</si>
  <si>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</si>
  <si>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</si>
  <si>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</si>
  <si>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</si>
  <si>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</si>
  <si>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</si>
  <si>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</si>
  <si>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</si>
  <si>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</si>
  <si>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</si>
  <si>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</si>
  <si>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</si>
  <si>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</si>
  <si>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</si>
  <si>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</si>
  <si>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</si>
  <si>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</si>
  <si>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</si>
  <si>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</si>
  <si>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</si>
  <si>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</si>
  <si>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</si>
  <si>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</si>
  <si>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</si>
  <si>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</si>
  <si>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</si>
  <si>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</si>
  <si>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</si>
  <si>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</si>
  <si>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</si>
  <si>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</si>
  <si>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</si>
  <si>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</si>
  <si>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</si>
  <si>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</si>
  <si>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</si>
  <si>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</si>
  <si>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</si>
  <si>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</si>
  <si>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</si>
  <si>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</si>
  <si>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</si>
  <si>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</si>
  <si>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</si>
  <si>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</si>
  <si>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</si>
  <si>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</si>
  <si>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</si>
  <si>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</si>
  <si>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</si>
  <si>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</si>
  <si>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</si>
  <si>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</si>
  <si>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</si>
  <si>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</si>
  <si>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</si>
  <si>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</si>
  <si>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</si>
  <si>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</si>
  <si>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</si>
  <si>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</si>
  <si>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</si>
  <si>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</si>
  <si>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</si>
  <si>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</si>
  <si>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</si>
  <si>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</si>
  <si>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</si>
  <si>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</si>
  <si>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</si>
  <si>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</si>
  <si>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</si>
  <si>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</si>
  <si>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</si>
  <si>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</si>
  <si>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</si>
  <si>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</si>
  <si>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</si>
  <si>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</si>
  <si>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</si>
  <si>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</si>
  <si>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</si>
  <si>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</si>
  <si>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</si>
  <si>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</si>
  <si>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</si>
  <si>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</si>
  <si>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</si>
  <si>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</si>
  <si>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</si>
  <si>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</si>
  <si>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</si>
  <si>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</si>
  <si>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</si>
  <si>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</si>
  <si>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</si>
  <si>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</si>
  <si>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</si>
  <si>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</si>
  <si>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</si>
  <si>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</si>
  <si>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</si>
  <si>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</si>
  <si>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</si>
  <si>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</si>
  <si>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</si>
  <si>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</si>
  <si>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</si>
  <si>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</si>
  <si>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</si>
  <si>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</si>
  <si>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</si>
  <si>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</si>
  <si>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</si>
  <si>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</si>
  <si>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</si>
  <si>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</si>
  <si>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</si>
  <si>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</si>
  <si>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</si>
  <si>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</si>
  <si>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</si>
  <si>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</si>
  <si>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</si>
  <si>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</si>
  <si>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</si>
  <si>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</si>
  <si>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</si>
  <si>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</si>
  <si>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</si>
  <si>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</si>
  <si>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</si>
  <si>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</si>
  <si>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</si>
  <si>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</si>
  <si>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</si>
  <si>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</si>
  <si>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</si>
  <si>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</si>
  <si>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</si>
  <si>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</si>
  <si>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</si>
  <si>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</si>
  <si>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</si>
  <si>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</si>
  <si>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</si>
  <si>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</si>
  <si>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</si>
  <si>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</si>
  <si>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</si>
  <si>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</si>
  <si>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</si>
  <si>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</si>
  <si>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</si>
  <si>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</si>
  <si>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</si>
  <si>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</si>
  <si>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</si>
  <si>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</si>
  <si>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</si>
  <si>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</si>
  <si>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</si>
  <si>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</si>
  <si>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</si>
  <si>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</si>
  <si>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</si>
  <si>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</si>
  <si>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</si>
  <si>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</si>
  <si>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</si>
  <si>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</si>
  <si>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</si>
  <si>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</si>
  <si>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</si>
  <si>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</si>
  <si>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</si>
  <si>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</si>
  <si>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</si>
  <si>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</si>
  <si>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</si>
  <si>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</si>
  <si>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</si>
  <si>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</si>
  <si>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</si>
  <si>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</si>
  <si>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</si>
  <si>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</si>
  <si>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</si>
  <si>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</si>
  <si>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</si>
  <si>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</si>
  <si>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</si>
  <si>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</si>
  <si>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</si>
  <si>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</si>
  <si>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</si>
  <si>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</si>
  <si>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</si>
  <si>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</si>
  <si>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</si>
  <si>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</si>
  <si>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</si>
  <si>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</si>
  <si>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</si>
  <si>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</si>
  <si>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</si>
  <si>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</si>
  <si>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</si>
  <si>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</si>
  <si>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</si>
  <si>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</si>
  <si>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</si>
  <si>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</si>
  <si>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</si>
  <si>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</si>
  <si>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</si>
  <si>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</si>
  <si>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</si>
  <si>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</si>
  <si>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</si>
  <si>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</si>
  <si>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</si>
  <si>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</si>
  <si>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</si>
  <si>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</si>
  <si>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</si>
  <si>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</si>
  <si>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</si>
  <si>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</si>
  <si>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</si>
  <si>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</si>
  <si>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</si>
  <si>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</si>
  <si>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</si>
  <si>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</si>
  <si>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</si>
  <si>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</si>
  <si>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</si>
  <si>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</si>
  <si>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</si>
  <si>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</si>
  <si>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</si>
  <si>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</si>
  <si>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</si>
  <si>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</si>
  <si>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</si>
  <si>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</si>
  <si>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</si>
  <si>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</si>
  <si>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</si>
  <si>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</si>
  <si>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</si>
  <si>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</si>
  <si>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</si>
  <si>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</si>
  <si>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</si>
  <si>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</si>
  <si>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</si>
  <si>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</si>
  <si>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</si>
  <si>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</si>
  <si>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</si>
  <si>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</si>
  <si>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</si>
  <si>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</si>
  <si>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</si>
  <si>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</si>
  <si>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</si>
  <si>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</si>
  <si>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</si>
  <si>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</si>
  <si>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</si>
  <si>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</si>
  <si>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</si>
  <si>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</si>
  <si>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</si>
  <si>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</si>
  <si>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</si>
  <si>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</si>
  <si>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</si>
  <si>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</si>
  <si>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</si>
  <si>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</si>
  <si>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</si>
  <si>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</si>
  <si>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</si>
  <si>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</si>
  <si>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</si>
  <si>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</si>
  <si>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</si>
  <si>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</si>
  <si>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</si>
  <si>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</si>
  <si>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</si>
  <si>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</si>
  <si>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</si>
  <si>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</si>
  <si>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</si>
  <si>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</si>
  <si>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</si>
  <si>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</si>
  <si>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</si>
  <si>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</si>
  <si>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</si>
  <si>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</si>
  <si>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</si>
  <si>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</si>
  <si>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</si>
  <si>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</si>
  <si>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</si>
  <si>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</si>
  <si>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</si>
  <si>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</si>
  <si>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</si>
  <si>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</si>
  <si>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</si>
  <si>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</si>
  <si>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</si>
  <si>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</si>
  <si>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</si>
  <si>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</si>
  <si>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</si>
  <si>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</si>
  <si>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</si>
  <si>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</si>
  <si>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</si>
  <si>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</si>
  <si>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</si>
  <si>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</si>
  <si>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</si>
  <si>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</si>
  <si>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</si>
  <si>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</si>
  <si>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</si>
  <si>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</si>
  <si>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</si>
  <si>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</si>
  <si>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</si>
  <si>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</si>
  <si>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</si>
  <si>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</si>
  <si>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</si>
  <si>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</si>
  <si>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</si>
  <si>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</si>
  <si>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</si>
  <si>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</si>
  <si>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</si>
  <si>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</si>
  <si>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</si>
  <si>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</si>
  <si>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</si>
  <si>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</si>
  <si>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</si>
  <si>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</si>
  <si>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</si>
  <si>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</si>
  <si>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</si>
  <si>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</si>
  <si>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</si>
  <si>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</si>
  <si>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</si>
  <si>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</si>
  <si>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</si>
  <si>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</si>
  <si>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</si>
  <si>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</si>
  <si>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</si>
  <si>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</si>
  <si>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</si>
  <si>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</si>
  <si>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</si>
  <si>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</si>
  <si>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</si>
  <si>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</si>
  <si>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</si>
  <si>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</si>
  <si>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</si>
  <si>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</si>
  <si>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</si>
  <si>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</si>
  <si>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</si>
  <si>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</si>
  <si>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</si>
  <si>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</si>
  <si>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</si>
  <si>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</si>
  <si>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</si>
  <si>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</si>
  <si>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</si>
  <si>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</si>
  <si>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</si>
  <si>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</si>
  <si>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</si>
  <si>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</si>
  <si>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</si>
  <si>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</si>
  <si>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</si>
  <si>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</si>
  <si>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</si>
  <si>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</si>
  <si>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</si>
  <si>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</si>
  <si>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</si>
  <si>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</si>
  <si>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</si>
  <si>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</si>
  <si>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</si>
  <si>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</si>
  <si>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</si>
  <si>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</si>
  <si>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</si>
  <si>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</si>
  <si>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</si>
  <si>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</si>
  <si>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</si>
  <si>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</si>
  <si>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</si>
  <si>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</si>
  <si>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</si>
  <si>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</si>
  <si>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</si>
  <si>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</si>
  <si>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</si>
  <si>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</si>
  <si>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</si>
  <si>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</si>
  <si>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</si>
  <si>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</si>
  <si>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</si>
  <si>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</si>
  <si>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</si>
  <si>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</si>
  <si>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</si>
  <si>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</si>
  <si>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</si>
  <si>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</si>
  <si>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</si>
  <si>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</si>
  <si>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</si>
  <si>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</si>
  <si>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</si>
  <si>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</si>
  <si>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</si>
  <si>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</si>
  <si>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</si>
  <si>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</si>
  <si>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</si>
  <si>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</si>
  <si>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</si>
  <si>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</si>
  <si>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</si>
  <si>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</si>
  <si>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</si>
  <si>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</si>
  <si>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</si>
  <si>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</si>
  <si>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</si>
  <si>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</si>
  <si>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</si>
  <si>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</si>
  <si>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</si>
  <si>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</si>
  <si>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</si>
  <si>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</si>
  <si>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</si>
  <si>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</si>
  <si>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</si>
  <si>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</si>
  <si>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</si>
  <si>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</si>
  <si>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</si>
  <si>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</si>
  <si>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</si>
  <si>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</si>
  <si>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</si>
  <si>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</si>
  <si>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</si>
  <si>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</si>
  <si>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</si>
  <si>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</si>
  <si>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</si>
  <si>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</si>
  <si>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</si>
  <si>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</si>
  <si>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</si>
  <si>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</si>
  <si>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</si>
  <si>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</si>
  <si>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</si>
  <si>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</si>
  <si>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</si>
  <si>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</si>
  <si>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</si>
  <si>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</si>
  <si>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</si>
  <si>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</si>
  <si>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</si>
  <si>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</si>
  <si>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</si>
  <si>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</si>
  <si>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</si>
  <si>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</si>
  <si>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</si>
  <si>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</si>
  <si>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</si>
  <si>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</si>
  <si>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</si>
  <si>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</si>
  <si>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</si>
  <si>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</si>
  <si>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</si>
  <si>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</si>
  <si>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</si>
  <si>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</si>
  <si>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</si>
  <si>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</si>
  <si>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</si>
  <si>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</si>
  <si>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</si>
  <si>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</si>
  <si>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</si>
  <si>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</si>
  <si>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</si>
  <si>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</si>
  <si>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</si>
  <si>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</si>
  <si>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</si>
  <si>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</si>
  <si>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</si>
  <si>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</si>
  <si>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</si>
  <si>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</si>
  <si>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</si>
  <si>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</si>
  <si>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</si>
  <si>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</si>
  <si>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</si>
  <si>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</si>
  <si>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</si>
  <si>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</si>
  <si>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</si>
  <si>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</si>
  <si>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</si>
  <si>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</si>
  <si>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</si>
  <si>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</si>
  <si>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</si>
  <si>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</si>
  <si>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</si>
  <si>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</si>
  <si>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</si>
  <si>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</si>
  <si>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</si>
  <si>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</si>
  <si>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</si>
  <si>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</si>
  <si>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</si>
  <si>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</si>
  <si>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</si>
  <si>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</si>
  <si>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</si>
  <si>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</si>
  <si>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</si>
  <si>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</si>
  <si>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</si>
  <si>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</si>
  <si>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</si>
  <si>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</si>
  <si>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</si>
  <si>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</si>
  <si>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</si>
  <si>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</si>
  <si>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</si>
  <si>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</si>
  <si>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</si>
  <si>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</si>
  <si>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</si>
  <si>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</si>
  <si>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</si>
  <si>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</si>
  <si>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</si>
  <si>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</si>
  <si>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</si>
  <si>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</si>
  <si>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</si>
  <si>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</si>
  <si>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</si>
  <si>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</si>
  <si>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</si>
  <si>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</si>
  <si>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</si>
  <si>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</si>
  <si>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</si>
  <si>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</si>
  <si>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</si>
  <si>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</si>
  <si>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</si>
  <si>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</si>
  <si>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</si>
  <si>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</si>
  <si>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</si>
  <si>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</si>
  <si>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</si>
  <si>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</si>
  <si>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</si>
  <si>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</si>
  <si>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</si>
  <si>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</si>
  <si>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</si>
  <si>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</si>
  <si>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</si>
  <si>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</si>
  <si>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</si>
  <si>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</si>
  <si>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</si>
  <si>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</si>
  <si>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</si>
  <si>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</si>
  <si>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</si>
  <si>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</si>
  <si>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</si>
  <si>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</si>
  <si>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</si>
  <si>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</si>
  <si>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</si>
  <si>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</si>
  <si>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</si>
  <si>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</si>
  <si>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</si>
  <si>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</si>
  <si>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</si>
  <si>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</si>
  <si>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</si>
  <si>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</si>
  <si>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</si>
  <si>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</si>
  <si>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</si>
  <si>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</si>
  <si>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</si>
  <si>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</si>
  <si>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</si>
  <si>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</si>
  <si>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</si>
  <si>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</si>
  <si>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</si>
  <si>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</si>
  <si>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</si>
  <si>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</si>
  <si>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</si>
  <si>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</si>
  <si>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</si>
  <si>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</si>
  <si>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</si>
  <si>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</si>
  <si>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</si>
  <si>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</si>
  <si>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</si>
  <si>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</si>
  <si>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</si>
  <si>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</si>
  <si>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</si>
  <si>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</si>
  <si>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</si>
  <si>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</si>
  <si>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</si>
  <si>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</si>
  <si>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</si>
  <si>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</si>
  <si>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</si>
  <si>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</si>
  <si>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</si>
  <si>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</si>
  <si>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</si>
  <si>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</si>
  <si>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</si>
  <si>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</si>
  <si>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</si>
  <si>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</si>
  <si>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</si>
  <si>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</si>
  <si>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</si>
  <si>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</si>
  <si>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</si>
  <si>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</si>
  <si>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</si>
  <si>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</si>
  <si>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</si>
  <si>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</si>
  <si>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</si>
  <si>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</si>
  <si>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</si>
  <si>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</si>
  <si>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</si>
  <si>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</si>
  <si>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</si>
  <si>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</si>
  <si>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</si>
  <si>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</si>
  <si>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</si>
  <si>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</si>
  <si>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</si>
  <si>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</si>
  <si>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</si>
  <si>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</si>
  <si>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</si>
  <si>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</si>
  <si>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</si>
  <si>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</si>
  <si>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</si>
  <si>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</si>
  <si>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</si>
  <si>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</si>
  <si>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</si>
  <si>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</si>
  <si>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</si>
  <si>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</si>
  <si>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</si>
  <si>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</si>
  <si>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</si>
  <si>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</si>
  <si>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</si>
  <si>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</si>
  <si>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</si>
  <si>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</si>
  <si>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</si>
  <si>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</si>
  <si>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</si>
  <si>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</si>
  <si>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</si>
  <si>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</si>
  <si>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</si>
  <si>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</si>
  <si>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</si>
  <si>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</si>
  <si>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</si>
  <si>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</si>
  <si>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</si>
  <si>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</si>
  <si>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</si>
  <si>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</si>
  <si>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</si>
  <si>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</si>
  <si>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</si>
  <si>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</si>
  <si>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</si>
  <si>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</si>
  <si>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</si>
  <si>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</si>
  <si>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</si>
  <si>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</si>
  <si>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</si>
  <si>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</si>
  <si>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</si>
  <si>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</si>
  <si>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</si>
  <si>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</si>
  <si>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</si>
  <si>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</si>
  <si>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</si>
  <si>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</si>
  <si>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</si>
  <si>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</si>
  <si>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</si>
  <si>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</si>
  <si>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</si>
  <si>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</si>
  <si>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</si>
  <si>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</si>
  <si>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</si>
  <si>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</si>
  <si>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</si>
  <si>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</si>
  <si>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</si>
  <si>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</si>
  <si>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</si>
  <si>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</si>
  <si>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</si>
  <si>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</si>
  <si>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</si>
  <si>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</si>
  <si>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</si>
  <si>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</si>
  <si>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</si>
  <si>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</si>
  <si>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</si>
  <si>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</si>
  <si>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</si>
  <si>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</si>
  <si>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</si>
  <si>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</si>
  <si>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</si>
  <si>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</si>
  <si>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</si>
  <si>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</si>
  <si>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</si>
  <si>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</si>
  <si>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</si>
  <si>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</si>
  <si>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</si>
  <si>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</si>
  <si>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</si>
  <si>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</si>
  <si>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</si>
  <si>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</si>
  <si>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</si>
  <si>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</si>
  <si>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</si>
  <si>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</si>
  <si>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</si>
  <si>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</si>
  <si>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</si>
  <si>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</si>
  <si>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</si>
  <si>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</si>
  <si>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</si>
  <si>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</si>
  <si>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</si>
  <si>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</si>
  <si>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</si>
  <si>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</si>
  <si>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</si>
  <si>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</si>
  <si>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</si>
  <si>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</si>
  <si>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</si>
  <si>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</si>
  <si>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</si>
  <si>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</si>
  <si>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</si>
  <si>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</si>
  <si>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</si>
  <si>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</si>
  <si>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</si>
  <si>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</si>
  <si>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</si>
  <si>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</si>
  <si>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</si>
  <si>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</si>
  <si>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</si>
  <si>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</si>
  <si>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</si>
  <si>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</si>
  <si>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</si>
  <si>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</si>
  <si>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</si>
  <si>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</si>
  <si>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</si>
  <si>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</si>
  <si>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</si>
  <si>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</si>
  <si>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</si>
  <si>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</si>
  <si>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</si>
  <si>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</si>
  <si>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</si>
  <si>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</si>
  <si>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</si>
  <si>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</si>
  <si>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</si>
  <si>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</si>
  <si>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</si>
  <si>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</si>
  <si>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</si>
  <si>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</si>
  <si>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</si>
  <si>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</si>
  <si>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</si>
  <si>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</si>
  <si>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</si>
  <si>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</si>
  <si>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</si>
  <si>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</si>
  <si>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</si>
  <si>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</si>
  <si>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</si>
  <si>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</si>
  <si>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</si>
  <si>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</si>
  <si>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</si>
  <si>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</si>
  <si>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</si>
  <si>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</si>
  <si>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</si>
  <si>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</si>
  <si>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</si>
  <si>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</si>
  <si>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</si>
  <si>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</si>
  <si>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</si>
  <si>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</si>
  <si>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</si>
  <si>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</si>
  <si>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</si>
  <si>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</si>
  <si>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</si>
  <si>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</si>
  <si>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</si>
  <si>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</si>
  <si>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</si>
  <si>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</si>
  <si>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</si>
  <si>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</si>
  <si>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</si>
  <si>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</si>
  <si>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</si>
  <si>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</si>
  <si>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</si>
  <si>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</si>
  <si>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</si>
  <si>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</si>
  <si>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</si>
  <si>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</si>
  <si>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</si>
  <si>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</si>
  <si>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</si>
  <si>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</si>
  <si>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</si>
  <si>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</si>
  <si>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</si>
  <si>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</si>
  <si>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</si>
  <si>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</si>
  <si>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</si>
  <si>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</si>
  <si>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</si>
  <si>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</si>
  <si>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</si>
  <si>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</si>
  <si>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</si>
  <si>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</si>
  <si>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</si>
  <si>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</si>
  <si>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</si>
  <si>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</si>
  <si>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</si>
  <si>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</si>
  <si>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</si>
  <si>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</si>
  <si>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</si>
  <si>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</si>
  <si>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</si>
  <si>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</si>
  <si>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</si>
  <si>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</si>
  <si>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</si>
  <si>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</si>
  <si>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</si>
  <si>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</si>
  <si>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</si>
  <si>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</si>
  <si>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</si>
  <si>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</si>
  <si>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</si>
  <si>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</si>
  <si>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</si>
  <si>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</si>
  <si>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</si>
  <si>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</si>
  <si>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</si>
  <si>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</si>
  <si>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</si>
  <si>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</si>
  <si>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</si>
  <si>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</si>
  <si>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</si>
  <si>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</si>
  <si>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</si>
  <si>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</si>
  <si>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</si>
  <si>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</si>
  <si>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</si>
  <si>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</si>
  <si>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</si>
  <si>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</si>
  <si>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</si>
  <si>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</si>
  <si>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</si>
  <si>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</si>
  <si>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</si>
  <si>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</si>
  <si>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</si>
  <si>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</si>
  <si>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</si>
  <si>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</si>
  <si>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</si>
  <si>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</si>
  <si>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</si>
  <si>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</si>
  <si>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</si>
  <si>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</si>
  <si>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</si>
  <si>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</si>
  <si>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</si>
  <si>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</si>
  <si>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</si>
  <si>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</si>
  <si>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</si>
  <si>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</si>
  <si>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</si>
  <si>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</si>
  <si>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</si>
  <si>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</si>
  <si>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</si>
  <si>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</si>
  <si>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</si>
  <si>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</si>
  <si>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</si>
  <si>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</si>
  <si>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</si>
  <si>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</si>
  <si>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</si>
  <si>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</si>
  <si>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</si>
  <si>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</si>
  <si>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</si>
  <si>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</si>
  <si>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</si>
  <si>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</si>
  <si>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</si>
  <si>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</si>
  <si>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</si>
  <si>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</si>
  <si>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</si>
  <si>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</si>
  <si>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</si>
  <si>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</si>
  <si>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</si>
  <si>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</si>
  <si>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</si>
  <si>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</si>
  <si>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</si>
  <si>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</si>
  <si>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</si>
  <si>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</si>
  <si>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</si>
  <si>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</si>
  <si>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</si>
  <si>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</si>
  <si>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</si>
  <si>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</si>
  <si>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</si>
  <si>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</si>
  <si>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</si>
  <si>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</si>
  <si>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</si>
  <si>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</si>
  <si>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</si>
  <si>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</si>
  <si>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</si>
  <si>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</si>
  <si>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</si>
  <si>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</si>
  <si>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</si>
  <si>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</si>
  <si>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</si>
  <si>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</si>
  <si>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</si>
  <si>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</si>
  <si>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</si>
  <si>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</si>
  <si>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</si>
  <si>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</si>
  <si>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</si>
  <si>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</si>
  <si>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</si>
  <si>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</si>
  <si>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</si>
  <si>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</si>
  <si>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</si>
  <si>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</si>
  <si>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</si>
  <si>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</si>
  <si>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</si>
  <si>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</si>
  <si>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</si>
  <si>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</si>
  <si>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</si>
  <si>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</si>
  <si>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</si>
  <si>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</si>
  <si>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</si>
  <si>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</si>
  <si>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</si>
  <si>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</si>
  <si>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</si>
  <si>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</si>
  <si>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</si>
  <si>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</si>
  <si>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</si>
  <si>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</si>
  <si>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</si>
  <si>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</si>
  <si>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</si>
  <si>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</si>
  <si>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</si>
  <si>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</si>
  <si>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</si>
  <si>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</si>
  <si>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</si>
  <si>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</si>
  <si>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</si>
  <si>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</si>
  <si>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</si>
  <si>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</si>
  <si>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</si>
  <si>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</si>
  <si>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</si>
  <si>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</si>
  <si>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</si>
  <si>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</si>
  <si>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</si>
  <si>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</si>
  <si>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</si>
  <si>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</si>
  <si>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</si>
  <si>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</si>
  <si>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</si>
  <si>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</si>
  <si>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</si>
  <si>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</si>
  <si>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</si>
  <si>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</si>
  <si>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</si>
  <si>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</si>
  <si>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</si>
  <si>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</si>
  <si>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</si>
  <si>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</si>
  <si>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</si>
  <si>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</si>
  <si>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</si>
  <si>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</si>
  <si>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</si>
  <si>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</si>
  <si>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</si>
  <si>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</si>
  <si>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</si>
  <si>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</si>
  <si>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</si>
  <si>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</si>
  <si>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</si>
  <si>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</si>
  <si>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</si>
  <si>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</si>
  <si>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</si>
  <si>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</si>
  <si>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</si>
  <si>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</si>
  <si>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</si>
  <si>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</si>
  <si>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</si>
  <si>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</si>
  <si>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</si>
  <si>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</si>
  <si>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</si>
  <si>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</si>
  <si>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</si>
  <si>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</si>
  <si>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</si>
  <si>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</si>
  <si>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</si>
  <si>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</si>
  <si>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</si>
  <si>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</si>
  <si>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</si>
  <si>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</si>
  <si>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</si>
  <si>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</si>
  <si>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</si>
  <si>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3867 ELLEN</t>
  </si>
  <si>
    <t xml:space="preserve">NF 378 ELLEN</t>
  </si>
  <si>
    <t xml:space="preserve">NF 15256 ELLEN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</si>
  <si>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</si>
  <si>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</si>
  <si>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</si>
  <si>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</si>
  <si>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</si>
  <si>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</si>
  <si>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</si>
  <si>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</si>
  <si>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</si>
  <si>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ICMS S/ VENDAS</t>
  </si>
  <si>
    <t xml:space="preserve">Título originado pela GIA</t>
  </si>
  <si>
    <t xml:space="preserve">NF 588254 ELLEN</t>
  </si>
  <si>
    <t xml:space="preserve">NF 894544 ELLEN</t>
  </si>
  <si>
    <t xml:space="preserve">NF 1442200 ELLEN</t>
  </si>
  <si>
    <t xml:space="preserve">NF 1442668 ELLEN</t>
  </si>
  <si>
    <t xml:space="preserve">NF 8802 - DESPESAS-SACOLAS - ELLEN</t>
  </si>
  <si>
    <t xml:space="preserve">NF'S 1796899/1796900 ELLEN</t>
  </si>
  <si>
    <t xml:space="preserve">NF 993555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</si>
  <si>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</si>
  <si>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</si>
  <si>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</si>
  <si>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</si>
  <si>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ASO MO2 FUNC 07/26 -   KEILA</t>
  </si>
  <si>
    <t xml:space="preserve">NF 4884 ELLEN</t>
  </si>
  <si>
    <t xml:space="preserve">NF 1627324 ELLEN</t>
  </si>
  <si>
    <t xml:space="preserve">NF 35161 ELLEN</t>
  </si>
  <si>
    <t xml:space="preserve">NF 572518 ELLEN</t>
  </si>
  <si>
    <t xml:space="preserve">NF 1724435 ELLEN</t>
  </si>
  <si>
    <t xml:space="preserve">PREVIA MENSALIDADE INSTAGRAM PARTE MO2 - KEILA</t>
  </si>
  <si>
    <t xml:space="preserve">NF NF 1441731 ELLEN</t>
  </si>
  <si>
    <t xml:space="preserve">NF 1925381 ELLEN</t>
  </si>
  <si>
    <t xml:space="preserve">NF 1440541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</si>
  <si>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</si>
  <si>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</si>
  <si>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</si>
  <si>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</si>
  <si>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</si>
  <si>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</si>
  <si>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</si>
  <si>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</si>
  <si>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</si>
  <si>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</si>
  <si>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</si>
  <si>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</si>
  <si>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</si>
  <si>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</si>
  <si>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</si>
  <si>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</si>
  <si>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</si>
  <si>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</si>
  <si>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</si>
  <si>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</si>
  <si>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</si>
  <si>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</si>
  <si>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</si>
  <si>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</si>
  <si>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</si>
  <si>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</si>
  <si>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</si>
  <si>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</si>
  <si>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</si>
  <si>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</si>
  <si>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</si>
  <si>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</si>
  <si>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</si>
  <si>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</si>
  <si>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</si>
  <si>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</si>
  <si>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</si>
  <si>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</si>
  <si>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</si>
  <si>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</si>
  <si>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</si>
  <si>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</si>
  <si>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</si>
  <si>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</si>
  <si>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</si>
  <si>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</si>
  <si>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</si>
  <si>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</si>
  <si>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</si>
  <si>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</si>
  <si>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</si>
  <si>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</si>
  <si>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</si>
  <si>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</si>
  <si>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</si>
  <si>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</si>
  <si>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</si>
  <si>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</si>
  <si>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</si>
  <si>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</si>
  <si>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</si>
  <si>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</si>
  <si>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</si>
  <si>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</si>
  <si>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</si>
  <si>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</si>
  <si>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</si>
  <si>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</si>
  <si>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</si>
  <si>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</si>
  <si>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</si>
  <si>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</si>
  <si>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</si>
  <si>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</si>
  <si>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</si>
  <si>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</si>
  <si>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</si>
  <si>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</si>
  <si>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</si>
  <si>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</si>
  <si>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</si>
  <si>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</si>
  <si>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</si>
  <si>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</si>
  <si>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</si>
  <si>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</si>
  <si>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</si>
  <si>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</si>
  <si>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</si>
  <si>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</si>
  <si>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</si>
  <si>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</si>
  <si>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</si>
  <si>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</si>
  <si>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</si>
  <si>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</si>
  <si>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</si>
  <si>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</si>
  <si>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</si>
  <si>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</si>
  <si>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</si>
  <si>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</si>
  <si>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</si>
  <si>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</si>
  <si>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</si>
  <si>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</si>
  <si>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</si>
  <si>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</si>
  <si>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</si>
  <si>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</si>
  <si>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</si>
  <si>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</si>
  <si>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</si>
  <si>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</si>
  <si>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</si>
  <si>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22957970000112</t>
  </si>
  <si>
    <t xml:space="preserve">AM</t>
  </si>
  <si>
    <t xml:space="preserve">34590315000158</t>
  </si>
  <si>
    <t xml:space="preserve">890</t>
  </si>
  <si>
    <t xml:space="preserve">02532915340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</si>
  <si>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</si>
  <si>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</si>
  <si>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</si>
  <si>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</si>
  <si>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</si>
  <si>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</si>
  <si>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</si>
  <si>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</si>
  <si>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</si>
  <si>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</si>
  <si>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</si>
  <si>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</si>
  <si>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</si>
  <si>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</si>
  <si>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</si>
  <si>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</si>
  <si>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</si>
  <si>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</si>
  <si>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</si>
  <si>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</si>
  <si>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</si>
  <si>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</si>
  <si>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</si>
  <si>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</si>
  <si>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</si>
  <si>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</si>
  <si>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</si>
  <si>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</si>
  <si>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</si>
  <si>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</si>
  <si>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11958002000104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</si>
  <si>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</si>
  <si>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</si>
  <si>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</si>
  <si>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</si>
  <si>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</si>
  <si>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</si>
  <si>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</si>
  <si>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14539474000463</t>
  </si>
  <si>
    <t xml:space="preserve">14189432000105</t>
  </si>
  <si>
    <t xml:space="preserve">84466424000136</t>
  </si>
  <si>
    <t xml:space="preserve">02805138000193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</si>
  <si>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</si>
  <si>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</si>
  <si>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</si>
  <si>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</si>
  <si>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</si>
  <si>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</si>
  <si>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</si>
  <si>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</si>
  <si>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</si>
  <si>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</si>
  <si>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</si>
  <si>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</si>
  <si>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</si>
  <si>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</si>
  <si>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</si>
  <si>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</si>
  <si>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</si>
  <si>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</si>
  <si>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</si>
  <si>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</si>
  <si>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</si>
  <si>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</si>
  <si>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</si>
  <si>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</si>
  <si>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</si>
  <si>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</si>
  <si>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</si>
  <si>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</si>
  <si>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</si>
  <si>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</si>
  <si>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</si>
  <si>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</si>
  <si>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</si>
  <si>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</si>
  <si>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</si>
  <si>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</si>
  <si>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</si>
  <si>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</si>
  <si>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</si>
  <si>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</si>
  <si>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</si>
  <si>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</si>
  <si>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</si>
  <si>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</si>
  <si>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</si>
  <si>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</si>
  <si>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</si>
  <si>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</si>
  <si>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</si>
  <si>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</si>
  <si>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</si>
  <si>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</si>
  <si>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</si>
  <si>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</si>
  <si>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</si>
  <si>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</si>
  <si>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</si>
  <si>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</si>
  <si>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</si>
  <si>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</si>
  <si>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</si>
  <si>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</si>
  <si>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</si>
  <si>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</si>
  <si>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</si>
  <si>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</si>
  <si>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</si>
  <si>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</si>
  <si>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</si>
  <si>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</si>
  <si>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</si>
  <si>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</si>
  <si>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</si>
  <si>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</si>
  <si>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</si>
  <si>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</si>
  <si>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</si>
  <si>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</si>
  <si>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</si>
  <si>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</si>
  <si>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</si>
  <si>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</si>
  <si>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</si>
  <si>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</si>
  <si>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</si>
  <si>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</si>
  <si>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</si>
  <si>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</si>
  <si>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</si>
  <si>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</si>
  <si>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</si>
  <si>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</si>
  <si>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</si>
  <si>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</si>
  <si>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</si>
  <si>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</si>
  <si>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</si>
  <si>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</si>
  <si>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</si>
  <si>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</si>
  <si>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</si>
  <si>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</si>
  <si>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</si>
  <si>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</si>
  <si>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</si>
  <si>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</si>
  <si>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</si>
  <si>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</si>
  <si>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</si>
  <si>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</si>
  <si>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</si>
  <si>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</si>
  <si>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</si>
  <si>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</si>
  <si>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</si>
  <si>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</si>
  <si>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</si>
  <si>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</si>
  <si>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</si>
  <si>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</si>
  <si>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</si>
  <si>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</si>
  <si>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</si>
  <si>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</si>
  <si>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</si>
  <si>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</si>
  <si>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</si>
  <si>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</si>
  <si>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</si>
  <si>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</si>
  <si>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</si>
  <si>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</si>
  <si>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</si>
  <si>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</si>
  <si>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</si>
  <si>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</si>
  <si>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</si>
  <si>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</si>
  <si>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</si>
  <si>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</si>
  <si>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</si>
  <si>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</si>
  <si>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</si>
  <si>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</si>
  <si>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</si>
  <si>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</si>
  <si>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</si>
  <si>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</si>
  <si>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</si>
  <si>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</si>
  <si>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</si>
  <si>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</si>
  <si>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</si>
  <si>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</si>
  <si>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</si>
  <si>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</si>
  <si>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</si>
  <si>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</si>
  <si>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</si>
  <si>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</si>
  <si>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</si>
  <si>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</si>
  <si>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</si>
  <si>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</si>
  <si>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</si>
  <si>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</si>
  <si>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</si>
  <si>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</si>
  <si>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</si>
  <si>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</si>
  <si>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</si>
  <si>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</si>
  <si>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</si>
  <si>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</si>
  <si>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</si>
  <si>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</si>
  <si>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</si>
  <si>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</si>
  <si>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</si>
  <si>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</si>
  <si>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</si>
  <si>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</si>
  <si>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</si>
  <si>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</si>
  <si>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</si>
  <si>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</si>
  <si>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</si>
  <si>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</si>
  <si>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</si>
  <si>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</si>
  <si>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</si>
  <si>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</si>
  <si>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</si>
  <si>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</si>
  <si>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</si>
  <si>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</si>
  <si>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</si>
  <si>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</si>
  <si>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</si>
  <si>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</si>
  <si>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</si>
  <si>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</si>
  <si>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</si>
  <si>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</si>
  <si>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</si>
  <si>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</si>
  <si>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</si>
  <si>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</si>
  <si>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</si>
  <si>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</si>
  <si>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</si>
  <si>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</si>
  <si>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</si>
  <si>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</si>
  <si>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</si>
  <si>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</si>
  <si>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</si>
  <si>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</si>
  <si>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</si>
  <si>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</si>
  <si>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</si>
  <si>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</si>
  <si>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</si>
  <si>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</si>
  <si>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</si>
  <si>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</si>
  <si>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</si>
  <si>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</si>
  <si>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</si>
  <si>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</si>
  <si>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</si>
  <si>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</si>
  <si>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</si>
  <si>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</si>
  <si>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</si>
  <si>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</si>
  <si>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</si>
  <si>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</si>
  <si>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</si>
  <si>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</si>
  <si>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</si>
  <si>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</si>
  <si>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</si>
  <si>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</si>
  <si>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</si>
  <si>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</si>
  <si>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</si>
  <si>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</si>
  <si>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</si>
  <si>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</si>
  <si>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</si>
  <si>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</si>
  <si>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</si>
  <si>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</si>
  <si>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</si>
  <si>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</si>
  <si>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</si>
  <si>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</si>
  <si>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</si>
  <si>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</si>
  <si>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</si>
  <si>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</si>
  <si>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</si>
  <si>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</si>
  <si>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</si>
  <si>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</si>
  <si>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</si>
  <si>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CITRICO DE 2L</t>
  </si>
  <si>
    <t xml:space="preserve">SUCO FAZENDINHA CITR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</si>
  <si>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</si>
  <si>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</si>
  <si>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</si>
  <si>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</si>
  <si>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</si>
  <si>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</si>
  <si>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</si>
  <si>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</si>
  <si>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</si>
  <si>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</si>
  <si>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</si>
  <si>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</si>
  <si>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</si>
  <si>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</si>
  <si>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</si>
  <si>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</si>
  <si>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</si>
  <si>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</si>
  <si>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</si>
  <si>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</si>
  <si>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</si>
  <si>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</si>
  <si>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</si>
  <si>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</si>
  <si>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</si>
  <si>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</si>
  <si>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</si>
  <si>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</si>
  <si>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</si>
  <si>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</si>
  <si>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</si>
  <si>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</si>
  <si>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</si>
  <si>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</si>
  <si>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</si>
  <si>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</si>
  <si>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</si>
  <si>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</si>
  <si>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</si>
  <si>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</si>
  <si>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</si>
  <si>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</si>
  <si>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</si>
  <si>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</si>
  <si>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</si>
  <si>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</si>
  <si>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</si>
  <si>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</si>
  <si>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</si>
  <si>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</si>
  <si>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</si>
  <si>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</si>
  <si>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</si>
  <si>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</si>
  <si>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</si>
  <si>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</si>
  <si>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</si>
  <si>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</si>
  <si>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</si>
  <si>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</si>
  <si>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</si>
  <si>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</si>
  <si>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</si>
  <si>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</si>
  <si>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</si>
  <si>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</si>
  <si>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</si>
  <si>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</si>
  <si>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</si>
  <si>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</si>
  <si>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</si>
  <si>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</si>
  <si>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</si>
  <si>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</si>
  <si>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</si>
  <si>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</si>
  <si>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</si>
  <si>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</si>
  <si>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</si>
  <si>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</si>
  <si>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</si>
  <si>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</si>
  <si>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</si>
  <si>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</si>
  <si>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</si>
  <si>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</si>
  <si>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</si>
  <si>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</si>
  <si>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</si>
  <si>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</si>
  <si>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</si>
  <si>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</si>
  <si>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</si>
  <si>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</si>
  <si>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</si>
  <si>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</si>
  <si>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</si>
  <si>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</si>
  <si>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</si>
  <si>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</si>
  <si>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</si>
  <si>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</si>
  <si>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</si>
  <si>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</si>
  <si>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</si>
  <si>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</si>
  <si>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</si>
  <si>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</si>
  <si>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</si>
  <si>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</si>
  <si>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</si>
  <si>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</si>
  <si>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</si>
  <si>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</si>
  <si>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</si>
  <si>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</si>
  <si>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</si>
  <si>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</si>
  <si>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</si>
  <si>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</si>
  <si>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</si>
  <si>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</si>
  <si>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</si>
  <si>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</si>
  <si>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</si>
  <si>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</si>
  <si>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</si>
  <si>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</si>
  <si>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</si>
  <si>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</si>
  <si>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</si>
  <si>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</si>
  <si>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</si>
  <si>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</si>
  <si>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</si>
  <si>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</si>
  <si>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</si>
  <si>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</si>
  <si>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</si>
  <si>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</si>
  <si>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</si>
  <si>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</si>
  <si>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</si>
  <si>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</si>
  <si>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</si>
  <si>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</si>
  <si>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</si>
  <si>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</si>
  <si>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</si>
  <si>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</si>
  <si>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</si>
  <si>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</si>
  <si>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</si>
  <si>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</si>
  <si>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</si>
  <si>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</si>
  <si>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</si>
  <si>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</si>
  <si>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</si>
  <si>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</si>
  <si>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</si>
  <si>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</si>
  <si>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</si>
  <si>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</si>
  <si>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</si>
  <si>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</si>
  <si>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</si>
  <si>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</si>
  <si>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</si>
  <si>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</si>
  <si>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</si>
  <si>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</si>
  <si>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</si>
  <si>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</si>
  <si>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</si>
  <si>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</si>
  <si>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</si>
  <si>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</si>
  <si>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</si>
  <si>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</si>
  <si>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</si>
  <si>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</si>
  <si>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</si>
  <si>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</si>
  <si>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</si>
  <si>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</si>
  <si>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</si>
  <si>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</si>
  <si>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</si>
  <si>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</si>
  <si>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</si>
  <si>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</si>
  <si>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</si>
  <si>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</si>
  <si>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</si>
  <si>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</si>
  <si>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</si>
  <si>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</si>
  <si>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</si>
  <si>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</si>
  <si>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</si>
  <si>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</si>
  <si>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</si>
  <si>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</si>
  <si>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</si>
  <si>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</si>
  <si>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</si>
  <si>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</si>
  <si>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</si>
  <si>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</si>
  <si>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</si>
  <si>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</si>
  <si>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</si>
  <si>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</si>
  <si>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</si>
  <si>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</si>
  <si>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</si>
  <si>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</si>
  <si>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</si>
  <si>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</si>
  <si>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</si>
  <si>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</si>
  <si>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</si>
  <si>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</si>
  <si>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</si>
  <si>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</si>
  <si>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</si>
  <si>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</si>
  <si>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</si>
  <si>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</si>
  <si>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</si>
  <si>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</si>
  <si>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</si>
  <si>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</si>
  <si>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</si>
  <si>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</si>
  <si>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</si>
  <si>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</si>
  <si>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</si>
  <si>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</si>
  <si>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</si>
  <si>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</si>
  <si>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</si>
  <si>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</si>
  <si>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</si>
  <si>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</si>
  <si>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</si>
  <si>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</si>
  <si>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</si>
  <si>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</si>
  <si>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</si>
  <si>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</si>
  <si>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</si>
  <si>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</si>
  <si>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</si>
  <si>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</si>
  <si>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</si>
  <si>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</si>
  <si>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</si>
  <si>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</si>
  <si>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</si>
  <si>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</si>
  <si>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</si>
  <si>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</si>
  <si>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</si>
  <si>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</si>
  <si>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</si>
  <si>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</si>
  <si>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</si>
  <si>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</si>
  <si>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</si>
  <si>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</si>
  <si>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</si>
  <si>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</si>
  <si>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</si>
  <si>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</si>
  <si>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</si>
  <si>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</si>
  <si>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</si>
  <si>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</si>
  <si>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</si>
  <si>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</si>
  <si>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</si>
  <si>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</si>
  <si>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</si>
  <si>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</si>
  <si>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</si>
  <si>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</si>
  <si>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</si>
  <si>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</si>
  <si>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</si>
  <si>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</si>
  <si>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</si>
  <si>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</si>
  <si>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</si>
  <si>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</si>
  <si>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</si>
  <si>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</si>
  <si>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</si>
  <si>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</si>
  <si>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</si>
  <si>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</si>
  <si>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</si>
  <si>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</si>
  <si>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</si>
  <si>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</si>
  <si>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</si>
  <si>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</si>
  <si>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</si>
  <si>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</si>
  <si>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</si>
  <si>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</si>
  <si>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</si>
  <si>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</si>
  <si>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</si>
  <si>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</si>
  <si>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</si>
  <si>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</si>
  <si>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</si>
  <si>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</si>
  <si>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</si>
  <si>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</si>
  <si>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</si>
  <si>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</si>
  <si>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</si>
  <si>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</si>
  <si>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</si>
  <si>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</si>
  <si>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</si>
  <si>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</si>
  <si>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</si>
  <si>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</si>
  <si>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</si>
  <si>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</si>
  <si>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</si>
  <si>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</si>
  <si>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</si>
  <si>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</si>
  <si>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</si>
  <si>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</si>
  <si>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</si>
  <si>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</si>
  <si>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</si>
  <si>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</si>
  <si>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</si>
  <si>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</si>
  <si>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</si>
  <si>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</si>
  <si>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</si>
  <si>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</si>
  <si>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</si>
  <si>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</si>
  <si>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</si>
  <si>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</si>
  <si>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</si>
  <si>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</si>
  <si>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</si>
  <si>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</si>
  <si>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</si>
  <si>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</si>
  <si>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</si>
  <si>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</si>
  <si>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</si>
  <si>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</si>
  <si>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</si>
  <si>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</si>
  <si>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</si>
  <si>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</si>
  <si>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</si>
  <si>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</si>
  <si>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</si>
  <si>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</si>
  <si>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</si>
  <si>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</si>
  <si>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</si>
  <si>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</si>
  <si>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</si>
  <si>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</si>
  <si>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</si>
  <si>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</si>
  <si>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</si>
  <si>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</si>
  <si>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</si>
  <si>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</si>
  <si>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</si>
  <si>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</si>
  <si>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</si>
  <si>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</si>
  <si>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</si>
  <si>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</si>
  <si>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</si>
  <si>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</si>
  <si>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</si>
  <si>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</si>
  <si>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</si>
  <si>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</si>
  <si>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</si>
  <si>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</si>
  <si>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</si>
  <si>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</si>
  <si>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</si>
  <si>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</si>
  <si>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</si>
  <si>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</si>
  <si>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</si>
  <si>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</si>
  <si>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</si>
  <si>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</si>
  <si>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</si>
  <si>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</si>
  <si>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</si>
  <si>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</si>
  <si>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</si>
  <si>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</si>
  <si>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</si>
  <si>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</si>
  <si>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</si>
  <si>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</si>
  <si>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</si>
  <si>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</si>
  <si>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</si>
  <si>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</si>
  <si>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</si>
  <si>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</si>
  <si>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</si>
  <si>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</si>
  <si>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</si>
  <si>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</si>
  <si>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</si>
  <si>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</si>
  <si>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</si>
  <si>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</si>
  <si>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</si>
  <si>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</si>
  <si>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</si>
  <si>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</si>
  <si>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</si>
  <si>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</si>
  <si>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</si>
  <si>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</si>
  <si>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</si>
  <si>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</si>
  <si>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</si>
  <si>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</si>
  <si>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</si>
  <si>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</si>
  <si>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</si>
  <si>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</si>
  <si>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</si>
  <si>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</si>
  <si>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</si>
  <si>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</si>
  <si>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</si>
  <si>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</si>
  <si>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</si>
  <si>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</si>
  <si>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</si>
  <si>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</si>
  <si>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</si>
  <si>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</si>
  <si>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</si>
  <si>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</si>
  <si>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</si>
  <si>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</si>
  <si>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</si>
  <si>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</si>
  <si>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</si>
  <si>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</si>
  <si>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</si>
  <si>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</si>
  <si>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</si>
  <si>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</si>
  <si>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</si>
  <si>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</si>
  <si>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</si>
  <si>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</si>
  <si>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</si>
  <si>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</si>
  <si>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</si>
  <si>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</si>
  <si>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</si>
  <si>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</si>
  <si>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</si>
  <si>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</si>
  <si>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</si>
  <si>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</si>
  <si>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</si>
  <si>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</si>
  <si>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</si>
  <si>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</si>
  <si>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</si>
  <si>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</si>
  <si>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</si>
  <si>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</si>
  <si>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</si>
  <si>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</si>
  <si>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</si>
  <si>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</si>
  <si>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</si>
  <si>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</si>
  <si>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</si>
  <si>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</si>
  <si>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</si>
  <si>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</si>
  <si>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</si>
  <si>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</si>
  <si>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</si>
  <si>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</si>
  <si>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</si>
  <si>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</si>
  <si>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</si>
  <si>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</si>
  <si>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</si>
  <si>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</si>
  <si>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</si>
  <si>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</si>
  <si>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</si>
  <si>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</si>
  <si>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</si>
  <si>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</si>
  <si>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</si>
  <si>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</si>
  <si>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</si>
  <si>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</si>
  <si>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</si>
  <si>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</si>
  <si>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</si>
  <si>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</si>
  <si>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</si>
  <si>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</si>
  <si>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</si>
  <si>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</si>
  <si>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</si>
  <si>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</si>
  <si>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</si>
  <si>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</si>
  <si>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</si>
  <si>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</si>
  <si>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</si>
  <si>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</si>
  <si>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</si>
  <si>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</si>
  <si>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MUCILON SNACKS LARAN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</si>
  <si>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</si>
  <si>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</si>
  <si>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</si>
  <si>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</si>
  <si>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</si>
  <si>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</si>
  <si>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</si>
  <si>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</si>
  <si>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</si>
  <si>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</si>
  <si>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</si>
  <si>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</si>
  <si>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</si>
  <si>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</si>
  <si>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</si>
  <si>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</si>
  <si>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</si>
  <si>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</si>
  <si>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</si>
  <si>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</si>
  <si>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</si>
  <si>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</si>
  <si>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</si>
  <si>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</si>
  <si>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</si>
  <si>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</si>
  <si>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</si>
  <si>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</si>
  <si>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</si>
  <si>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</si>
  <si>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</si>
  <si>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</si>
  <si>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</si>
  <si>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</si>
  <si>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</si>
  <si>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</si>
  <si>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</si>
  <si>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</si>
  <si>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</si>
  <si>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</si>
  <si>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</si>
  <si>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</si>
  <si>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</si>
  <si>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</si>
  <si>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</si>
  <si>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</si>
  <si>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TRAVESSA BRASIL COPA TECIDO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</si>
  <si>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</si>
  <si>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</si>
  <si>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</si>
  <si>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</si>
  <si>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</si>
  <si>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</si>
  <si>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</si>
  <si>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</si>
  <si>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</si>
  <si>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</si>
  <si>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</si>
  <si>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</si>
  <si>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</si>
  <si>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</si>
  <si>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</si>
  <si>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</si>
  <si>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</si>
  <si>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</si>
  <si>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</si>
  <si>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</si>
  <si>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</si>
  <si>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</si>
  <si>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</si>
  <si>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</si>
  <si>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</si>
  <si>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</si>
  <si>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</si>
  <si>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</si>
  <si>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</si>
  <si>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</si>
  <si>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</si>
  <si>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</si>
  <si>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</si>
  <si>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</si>
  <si>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</si>
  <si>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</si>
  <si>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</si>
  <si>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</si>
  <si>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</si>
  <si>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</si>
  <si>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</si>
  <si>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</si>
  <si>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</si>
  <si>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</si>
  <si>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</si>
  <si>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</si>
  <si>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</si>
  <si>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</si>
  <si>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</si>
  <si>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</si>
  <si>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</si>
  <si>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</si>
  <si>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</si>
  <si>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</si>
  <si>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</si>
  <si>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</si>
  <si>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</si>
  <si>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</si>
  <si>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</si>
  <si>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</si>
  <si>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</si>
  <si>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</si>
  <si>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</si>
  <si>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</si>
  <si>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</si>
  <si>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</si>
  <si>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</si>
  <si>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</si>
  <si>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</si>
  <si>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</si>
  <si>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</si>
  <si>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</si>
  <si>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</si>
  <si>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</si>
  <si>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</si>
  <si>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</si>
  <si>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</si>
  <si>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</si>
  <si>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</si>
  <si>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</si>
  <si>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</si>
  <si>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</si>
  <si>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</si>
  <si>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</si>
  <si>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</si>
  <si>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</si>
  <si>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</si>
  <si>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</si>
  <si>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</si>
  <si>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</si>
  <si>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</si>
  <si>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</si>
  <si>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</si>
  <si>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</si>
  <si>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</si>
  <si>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</si>
  <si>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</si>
  <si>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</si>
  <si>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</si>
  <si>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</si>
  <si>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</si>
  <si>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</si>
  <si>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</si>
  <si>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</si>
  <si>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</si>
  <si>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</si>
  <si>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</si>
  <si>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</si>
  <si>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</si>
  <si>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</si>
  <si>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</si>
  <si>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</si>
  <si>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</si>
  <si>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</si>
  <si>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</si>
  <si>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</si>
  <si>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</si>
  <si>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</si>
  <si>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</si>
  <si>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</si>
  <si>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</si>
  <si>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</si>
  <si>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</si>
  <si>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</si>
  <si>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</si>
  <si>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</si>
  <si>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</si>
  <si>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</si>
  <si>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</si>
  <si>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</si>
  <si>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</si>
  <si>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</si>
  <si>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</si>
  <si>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</si>
  <si>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</si>
  <si>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</si>
  <si>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</si>
  <si>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</si>
  <si>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</si>
  <si>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</si>
  <si>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</si>
  <si>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</si>
  <si>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</si>
  <si>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</si>
  <si>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</si>
  <si>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</si>
  <si>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</si>
  <si>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</si>
  <si>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</si>
  <si>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</si>
  <si>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</si>
  <si>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</si>
  <si>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</si>
  <si>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</si>
  <si>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</si>
  <si>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</si>
  <si>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</si>
  <si>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</si>
  <si>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</si>
  <si>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</si>
  <si>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</si>
  <si>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</si>
  <si>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</si>
  <si>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</si>
  <si>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</si>
  <si>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</si>
  <si>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</si>
  <si>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</si>
  <si>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</si>
  <si>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</si>
  <si>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</si>
  <si>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</si>
  <si>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</si>
  <si>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</si>
  <si>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</si>
  <si>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</si>
  <si>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</si>
  <si>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</si>
  <si>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</si>
  <si>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</si>
  <si>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</si>
  <si>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</si>
  <si>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</si>
  <si>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</si>
  <si>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</si>
  <si>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</si>
  <si>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</si>
  <si>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</si>
  <si>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</si>
  <si>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</si>
  <si>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</si>
  <si>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</si>
  <si>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</si>
  <si>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</si>
  <si>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</si>
  <si>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</si>
  <si>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</si>
  <si>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</si>
  <si>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</si>
  <si>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</si>
  <si>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</si>
  <si>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</si>
  <si>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</si>
  <si>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</si>
  <si>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</si>
  <si>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</si>
  <si>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</si>
  <si>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</si>
  <si>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</si>
  <si>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</si>
  <si>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</si>
  <si>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</si>
  <si>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</si>
  <si>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</si>
  <si>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</si>
  <si>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</si>
  <si>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</si>
  <si>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</si>
  <si>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</si>
  <si>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</si>
  <si>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</si>
  <si>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</si>
  <si>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</si>
  <si>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</si>
  <si>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</si>
  <si>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</si>
  <si>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</si>
  <si>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</si>
  <si>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</si>
  <si>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</si>
  <si>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</si>
  <si>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</si>
  <si>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</si>
  <si>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</si>
  <si>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</si>
  <si>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</si>
  <si>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</si>
  <si>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</si>
  <si>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</si>
  <si>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</si>
  <si>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</si>
  <si>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</si>
  <si>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</si>
  <si>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</si>
  <si>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</si>
  <si>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</si>
  <si>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</si>
  <si>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</si>
  <si>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</si>
  <si>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</si>
  <si>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</si>
  <si>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</si>
  <si>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</si>
  <si>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</si>
  <si>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</si>
  <si>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</si>
  <si>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</si>
  <si>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</si>
  <si>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</si>
  <si>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</si>
  <si>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</si>
  <si>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</si>
  <si>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</si>
  <si>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</si>
  <si>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</si>
  <si>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</si>
  <si>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</si>
  <si>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</si>
  <si>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</si>
  <si>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</si>
  <si>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</si>
  <si>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</si>
  <si>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</si>
  <si>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</si>
  <si>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</si>
  <si>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</si>
  <si>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</si>
  <si>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</si>
  <si>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</si>
  <si>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</si>
  <si>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</si>
  <si>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</si>
  <si>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</si>
  <si>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</si>
  <si>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</si>
  <si>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</si>
  <si>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</si>
  <si>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</si>
  <si>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</si>
  <si>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</si>
  <si>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</si>
  <si>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</si>
  <si>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</si>
  <si>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</si>
  <si>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</si>
  <si>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</si>
  <si>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</si>
  <si>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</si>
  <si>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</si>
  <si>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</si>
  <si>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</si>
  <si>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</si>
  <si>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</si>
  <si>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</si>
  <si>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</si>
  <si>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</si>
  <si>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</si>
  <si>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</si>
  <si>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</si>
  <si>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</si>
  <si>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</si>
  <si>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</si>
  <si>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</si>
  <si>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</si>
  <si>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</si>
  <si>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</si>
  <si>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</si>
  <si>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</si>
  <si>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</si>
  <si>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</si>
  <si>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</si>
  <si>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</si>
  <si>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</si>
  <si>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</si>
  <si>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</si>
  <si>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</si>
  <si>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</si>
  <si>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</si>
  <si>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</si>
  <si>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</si>
  <si>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</si>
  <si>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</si>
  <si>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</si>
  <si>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</si>
  <si>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</si>
  <si>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</si>
  <si>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</si>
  <si>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</si>
  <si>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</si>
  <si>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</si>
  <si>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</si>
  <si>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</si>
  <si>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</si>
  <si>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</si>
  <si>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</si>
  <si>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</si>
  <si>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</si>
  <si>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</si>
  <si>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</si>
  <si>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</si>
  <si>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</si>
  <si>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</si>
  <si>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</si>
  <si>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</si>
  <si>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</si>
  <si>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</si>
  <si>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</si>
  <si>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</si>
  <si>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</si>
  <si>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</si>
  <si>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</si>
  <si>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</si>
  <si>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</si>
  <si>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</si>
  <si>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</si>
  <si>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</si>
  <si>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</si>
  <si>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</si>
  <si>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</si>
  <si>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</si>
  <si>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</si>
  <si>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</si>
  <si>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</si>
  <si>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</si>
  <si>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</si>
  <si>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</si>
  <si>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</si>
  <si>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</si>
  <si>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</si>
  <si>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</si>
  <si>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</si>
  <si>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</si>
  <si>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</si>
  <si>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</si>
  <si>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</si>
  <si>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</si>
  <si>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</si>
  <si>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</si>
  <si>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</si>
  <si>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</si>
  <si>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</si>
  <si>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</si>
  <si>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</si>
  <si>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</si>
  <si>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</si>
  <si>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</si>
  <si>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</si>
  <si>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</si>
  <si>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</si>
  <si>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</si>
  <si>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</si>
  <si>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</si>
  <si>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</si>
  <si>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</si>
  <si>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</si>
  <si>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</si>
  <si>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</si>
  <si>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</si>
  <si>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</si>
  <si>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</si>
  <si>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</si>
  <si>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</si>
  <si>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</si>
  <si>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</si>
  <si>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</si>
  <si>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</si>
  <si>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</si>
  <si>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</si>
  <si>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</si>
  <si>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</si>
  <si>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</si>
  <si>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</si>
  <si>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</si>
  <si>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</si>
  <si>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</si>
  <si>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</si>
  <si>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</si>
  <si>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</si>
  <si>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</si>
  <si>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</si>
  <si>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</si>
  <si>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</si>
  <si>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</si>
  <si>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</si>
  <si>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</si>
  <si>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</si>
  <si>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</si>
  <si>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</si>
  <si>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</si>
  <si>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</si>
  <si>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</si>
  <si>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</si>
  <si>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</si>
  <si>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</si>
  <si>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</si>
  <si>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</si>
  <si>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</si>
  <si>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</si>
  <si>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</si>
  <si>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</si>
  <si>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</si>
  <si>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</si>
  <si>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</si>
  <si>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</si>
  <si>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</si>
  <si>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</si>
  <si>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</si>
  <si>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</si>
  <si>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</si>
  <si>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</si>
  <si>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</si>
  <si>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</si>
  <si>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</si>
  <si>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</si>
  <si>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</si>
  <si>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</si>
  <si>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</si>
  <si>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</si>
  <si>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</si>
  <si>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</si>
  <si>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</si>
  <si>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</si>
  <si>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</si>
  <si>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</si>
  <si>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</si>
  <si>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</si>
  <si>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</si>
  <si>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</si>
  <si>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</si>
  <si>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</si>
  <si>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</si>
  <si>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</si>
  <si>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</si>
  <si>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</si>
  <si>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</si>
  <si>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</si>
  <si>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</si>
  <si>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</si>
  <si>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</si>
  <si>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</si>
  <si>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</si>
  <si>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</si>
  <si>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</si>
  <si>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</si>
  <si>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</si>
  <si>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</si>
  <si>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</si>
  <si>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</si>
  <si>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</si>
  <si>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</si>
  <si>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</si>
  <si>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</si>
  <si>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</si>
  <si>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</si>
  <si>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</si>
  <si>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</si>
  <si>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</si>
  <si>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</si>
  <si>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</si>
  <si>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</si>
  <si>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</si>
  <si>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</si>
  <si>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</si>
  <si>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</si>
  <si>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</si>
  <si>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</si>
  <si>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</si>
  <si>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</si>
  <si>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</si>
  <si>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</si>
  <si>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</si>
  <si>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</si>
  <si>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</si>
  <si>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</si>
  <si>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</si>
  <si>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</si>
  <si>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</si>
  <si>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</si>
  <si>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</si>
  <si>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</si>
  <si>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</si>
  <si>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</si>
  <si>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</si>
  <si>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</si>
  <si>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</si>
  <si>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</si>
  <si>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</si>
  <si>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</si>
  <si>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</si>
  <si>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</si>
  <si>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</si>
  <si>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</si>
  <si>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</si>
  <si>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</si>
  <si>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</si>
  <si>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</si>
  <si>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</si>
  <si>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</si>
  <si>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</si>
  <si>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</si>
  <si>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</si>
  <si>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</si>
  <si>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</si>
  <si>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</si>
  <si>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</si>
  <si>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</si>
  <si>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</si>
  <si>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</si>
  <si>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</si>
  <si>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</si>
  <si>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</si>
  <si>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</si>
  <si>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</si>
  <si>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</si>
  <si>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</si>
  <si>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</si>
  <si>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</si>
  <si>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</si>
  <si>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</si>
  <si>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</si>
  <si>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</si>
  <si>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</si>
  <si>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</si>
  <si>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</si>
  <si>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</si>
  <si>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</si>
  <si>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</si>
  <si>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</si>
  <si>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</si>
  <si>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</si>
  <si>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</si>
  <si>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</si>
  <si>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</si>
  <si>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</si>
  <si>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</si>
  <si>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</si>
  <si>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</si>
  <si>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</si>
  <si>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</si>
  <si>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</si>
  <si>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</si>
  <si>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</si>
  <si>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</si>
  <si>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</si>
  <si>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</si>
  <si>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</si>
  <si>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</si>
  <si>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</si>
  <si>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</si>
  <si>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</si>
  <si>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</si>
  <si>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</si>
  <si>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</si>
  <si>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</si>
  <si>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</si>
  <si>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</si>
  <si>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</si>
  <si>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</si>
  <si>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</si>
  <si>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</si>
  <si>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</si>
  <si>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</si>
  <si>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</si>
  <si>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</si>
  <si>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</si>
  <si>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</si>
  <si>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</si>
  <si>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</si>
  <si>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</si>
  <si>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</si>
  <si>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</si>
  <si>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</si>
  <si>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</si>
  <si>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</si>
  <si>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</si>
  <si>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</si>
  <si>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</si>
  <si>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</si>
  <si>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</si>
  <si>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</si>
  <si>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</si>
  <si>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</si>
  <si>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</si>
  <si>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</si>
  <si>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</si>
  <si>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</si>
  <si>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</si>
  <si>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</si>
  <si>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</si>
  <si>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</si>
  <si>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</si>
  <si>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</si>
  <si>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</si>
  <si>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</si>
  <si>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</si>
  <si>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</si>
  <si>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</si>
  <si>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</si>
  <si>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</si>
  <si>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</si>
  <si>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</si>
  <si>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</si>
  <si>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</si>
  <si>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</si>
  <si>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</si>
  <si>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</si>
  <si>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</si>
  <si>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</si>
  <si>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</si>
  <si>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</si>
  <si>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</si>
  <si>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</si>
  <si>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</si>
  <si>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</si>
  <si>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</si>
  <si>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</si>
  <si>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</si>
  <si>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</si>
  <si>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</si>
  <si>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</si>
  <si>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</si>
  <si>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</si>
  <si>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</si>
  <si>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</si>
  <si>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</si>
  <si>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</si>
  <si>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</si>
  <si>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</si>
  <si>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</si>
  <si>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</si>
  <si>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</si>
  <si>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</si>
  <si>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</si>
  <si>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</si>
  <si>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</si>
  <si>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</si>
  <si>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</si>
  <si>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</si>
  <si>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</si>
  <si>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</si>
  <si>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</si>
  <si>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</si>
  <si>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</si>
  <si>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</si>
  <si>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</si>
  <si>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</si>
  <si>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</si>
  <si>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</si>
  <si>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</si>
  <si>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</si>
  <si>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</si>
  <si>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</si>
  <si>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</si>
  <si>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</si>
  <si>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</si>
  <si>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</si>
  <si>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</si>
  <si>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</si>
  <si>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</si>
  <si>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</si>
  <si>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</si>
  <si>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</si>
  <si>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</si>
  <si>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</si>
  <si>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</si>
  <si>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</si>
  <si>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</si>
  <si>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</si>
  <si>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</si>
  <si>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</si>
  <si>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</si>
  <si>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</si>
  <si>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</si>
  <si>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</si>
  <si>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</si>
  <si>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</si>
  <si>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</si>
  <si>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</si>
  <si>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</si>
  <si>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</si>
  <si>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</si>
  <si>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</si>
  <si>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</si>
  <si>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</si>
  <si>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</si>
  <si>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</si>
  <si>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</si>
  <si>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</si>
  <si>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</si>
  <si>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</si>
  <si>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</si>
  <si>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</si>
  <si>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</si>
  <si>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</si>
  <si>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</si>
  <si>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</si>
  <si>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</si>
  <si>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</si>
  <si>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</si>
  <si>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</si>
  <si>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</si>
  <si>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</si>
  <si>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</si>
  <si>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</si>
  <si>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</si>
  <si>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</si>
  <si>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</si>
  <si>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</si>
  <si>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</si>
  <si>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</si>
  <si>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</si>
  <si>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</si>
  <si>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</si>
  <si>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</si>
  <si>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</si>
  <si>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</si>
  <si>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</si>
  <si>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</si>
  <si>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</si>
  <si>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</si>
  <si>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</si>
  <si>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</si>
  <si>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</si>
  <si>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</si>
  <si>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</si>
  <si>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</si>
  <si>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</si>
  <si>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</si>
  <si>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</si>
  <si>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</si>
  <si>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</si>
  <si>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</si>
  <si>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</si>
  <si>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</si>
  <si>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</si>
  <si>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</si>
  <si>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</si>
  <si>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</si>
  <si>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</si>
  <si>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</si>
  <si>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</si>
  <si>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</si>
  <si>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</si>
  <si>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</si>
  <si>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</si>
  <si>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</si>
  <si>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</si>
  <si>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</si>
  <si>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</si>
  <si>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</si>
  <si>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</si>
  <si>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</si>
  <si>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</si>
  <si>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</si>
  <si>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</si>
  <si>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</si>
  <si>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</si>
  <si>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</si>
  <si>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</si>
  <si>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</si>
  <si>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</si>
  <si>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</si>
  <si>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</si>
  <si>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</si>
  <si>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</si>
  <si>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</si>
  <si>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</si>
  <si>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</si>
  <si>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</si>
  <si>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</si>
  <si>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</si>
  <si>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</si>
  <si>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</si>
  <si>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</si>
  <si>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</si>
  <si>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</si>
  <si>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GELATINA DROETKER20G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</si>
  <si>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</si>
  <si>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</si>
  <si>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</si>
  <si>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</si>
  <si>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</si>
  <si>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</si>
  <si>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</si>
  <si>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</si>
  <si>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</si>
  <si>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</si>
  <si>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</si>
  <si>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</si>
  <si>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</si>
  <si>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</si>
  <si>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</si>
  <si>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</si>
  <si>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</si>
  <si>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</si>
  <si>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</si>
  <si>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</si>
  <si>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</si>
  <si>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</si>
  <si>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</si>
  <si>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</si>
  <si>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</si>
  <si>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</si>
  <si>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</si>
  <si>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</si>
  <si>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</si>
  <si>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</si>
  <si>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</si>
  <si>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</si>
  <si>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</si>
  <si>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</si>
  <si>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</si>
  <si>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</si>
  <si>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</si>
  <si>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</si>
  <si>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</si>
  <si>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</si>
  <si>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</si>
  <si>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</si>
  <si>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</si>
  <si>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</si>
  <si>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</si>
  <si>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</si>
  <si>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</si>
  <si>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</si>
  <si>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</si>
  <si>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</si>
  <si>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</si>
  <si>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</si>
  <si>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</si>
  <si>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</si>
  <si>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</si>
  <si>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</si>
  <si>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</si>
  <si>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</si>
  <si>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</si>
  <si>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</si>
  <si>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</si>
  <si>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</si>
  <si>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</si>
  <si>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</si>
  <si>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</si>
  <si>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</si>
  <si>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</si>
  <si>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</si>
  <si>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</si>
  <si>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</si>
  <si>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</si>
  <si>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</si>
  <si>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</si>
  <si>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</si>
  <si>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</si>
  <si>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</si>
  <si>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</si>
  <si>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</si>
  <si>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</si>
  <si>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</si>
  <si>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</si>
  <si>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</si>
  <si>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</si>
  <si>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</si>
  <si>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</si>
  <si>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</si>
  <si>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</si>
  <si>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</si>
  <si>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</si>
  <si>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</si>
  <si>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</si>
  <si>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</si>
  <si>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</si>
  <si>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</si>
  <si>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</si>
  <si>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</si>
  <si>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</si>
  <si>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</si>
  <si>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</si>
  <si>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</si>
  <si>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</si>
  <si>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</si>
  <si>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</si>
  <si>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</si>
  <si>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</si>
  <si>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</si>
  <si>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</si>
  <si>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</si>
  <si>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</si>
  <si>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</si>
  <si>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</si>
  <si>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</si>
  <si>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</si>
  <si>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</si>
  <si>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</si>
  <si>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</si>
  <si>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</si>
  <si>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</si>
  <si>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</si>
  <si>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</si>
  <si>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</si>
  <si>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</si>
  <si>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</si>
  <si>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</si>
  <si>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</si>
  <si>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</si>
  <si>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</si>
  <si>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</si>
  <si>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</si>
  <si>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</si>
  <si>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</si>
  <si>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</si>
  <si>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</si>
  <si>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</si>
  <si>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</si>
  <si>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</si>
  <si>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</si>
  <si>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</si>
  <si>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</si>
  <si>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</si>
  <si>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</si>
  <si>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</si>
  <si>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</si>
  <si>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</si>
  <si>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</si>
  <si>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</si>
  <si>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</si>
  <si>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</si>
  <si>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</si>
  <si>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</si>
  <si>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</si>
  <si>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</si>
  <si>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</si>
  <si>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</si>
  <si>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</si>
  <si>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</si>
  <si>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</si>
  <si>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</si>
  <si>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</si>
  <si>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</si>
  <si>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</si>
  <si>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</si>
  <si>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</si>
  <si>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</si>
  <si>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</si>
  <si>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</si>
  <si>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</si>
  <si>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</si>
  <si>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</si>
  <si>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</si>
  <si>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</si>
  <si>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</si>
  <si>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</si>
  <si>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</si>
  <si>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</si>
  <si>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</si>
  <si>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</si>
  <si>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</si>
  <si>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</si>
  <si>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</si>
  <si>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</si>
  <si>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</si>
  <si>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</si>
  <si>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</si>
  <si>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</si>
  <si>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</si>
  <si>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</si>
  <si>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</si>
  <si>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</si>
  <si>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</si>
  <si>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</si>
  <si>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</si>
  <si>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</si>
  <si>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</si>
  <si>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</si>
  <si>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</si>
  <si>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</si>
  <si>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</si>
  <si>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</si>
  <si>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</si>
  <si>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</si>
  <si>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</si>
  <si>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</si>
  <si>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</si>
  <si>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</si>
  <si>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</si>
  <si>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</si>
  <si>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</si>
  <si>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</si>
  <si>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</si>
  <si>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</si>
  <si>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</si>
  <si>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</si>
  <si>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</si>
  <si>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</si>
  <si>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</si>
  <si>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</si>
  <si>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</si>
  <si>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</si>
  <si>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</si>
  <si>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</si>
  <si>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</si>
  <si>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</si>
  <si>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</si>
  <si>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</si>
  <si>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</si>
  <si>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</si>
  <si>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</si>
  <si>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</si>
  <si>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</si>
  <si>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</si>
  <si>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</si>
  <si>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</si>
  <si>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</si>
  <si>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</si>
  <si>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</si>
  <si>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</si>
  <si>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</si>
  <si>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</si>
  <si>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</si>
  <si>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</si>
  <si>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</si>
  <si>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</si>
  <si>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</si>
  <si>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</si>
  <si>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</si>
  <si>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</si>
  <si>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</si>
  <si>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</si>
  <si>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</si>
  <si>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</si>
  <si>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</si>
  <si>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</si>
  <si>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</si>
  <si>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</si>
  <si>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</si>
  <si>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</si>
  <si>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</si>
  <si>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</si>
  <si>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</si>
  <si>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</si>
  <si>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</si>
  <si>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</si>
  <si>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</si>
  <si>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</si>
  <si>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</si>
  <si>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</si>
  <si>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</si>
  <si>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</si>
  <si>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</si>
  <si>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</si>
  <si>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</si>
  <si>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</si>
  <si>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</si>
  <si>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</si>
  <si>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</si>
  <si>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</si>
  <si>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</si>
  <si>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</si>
  <si>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</si>
  <si>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</si>
  <si>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</si>
  <si>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</si>
  <si>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</si>
  <si>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</si>
  <si>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</si>
  <si>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</si>
  <si>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</si>
  <si>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</si>
  <si>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</si>
  <si>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</si>
  <si>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</si>
  <si>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</si>
  <si>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</si>
  <si>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</si>
  <si>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</si>
  <si>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</si>
  <si>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</si>
  <si>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</si>
  <si>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</si>
  <si>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</si>
  <si>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</si>
  <si>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</si>
  <si>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</si>
  <si>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</si>
  <si>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</si>
  <si>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</si>
  <si>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</si>
  <si>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</si>
  <si>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</si>
  <si>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</si>
  <si>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</si>
  <si>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</si>
  <si>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</si>
  <si>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</si>
  <si>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</si>
  <si>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</si>
  <si>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</si>
  <si>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</si>
  <si>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</si>
  <si>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</si>
  <si>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</si>
  <si>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</si>
  <si>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</si>
  <si>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</si>
  <si>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</si>
  <si>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</si>
  <si>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</si>
  <si>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</si>
  <si>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</si>
  <si>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</si>
  <si>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</si>
  <si>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</si>
  <si>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</si>
  <si>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</si>
  <si>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</si>
  <si>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</si>
  <si>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</si>
  <si>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</si>
  <si>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</si>
  <si>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</si>
  <si>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</si>
  <si>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</si>
  <si>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</si>
  <si>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</si>
  <si>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</si>
  <si>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</si>
  <si>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</si>
  <si>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</si>
  <si>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</si>
  <si>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</si>
  <si>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</si>
  <si>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</si>
  <si>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</si>
  <si>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</si>
  <si>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</si>
  <si>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</si>
  <si>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</si>
  <si>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</si>
  <si>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</si>
  <si>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</si>
  <si>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</si>
  <si>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</si>
  <si>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</si>
  <si>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</si>
  <si>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</si>
  <si>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</si>
  <si>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</si>
  <si>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</si>
  <si>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</si>
  <si>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</si>
  <si>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</si>
  <si>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</si>
  <si>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</si>
  <si>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</si>
  <si>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</si>
  <si>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</si>
  <si>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</si>
  <si>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</si>
  <si>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</si>
  <si>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</si>
  <si>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</si>
  <si>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</si>
  <si>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</si>
  <si>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</si>
  <si>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</si>
  <si>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</si>
  <si>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</si>
  <si>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</si>
  <si>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</si>
  <si>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</si>
  <si>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</si>
  <si>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</si>
  <si>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</si>
  <si>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</si>
  <si>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</si>
  <si>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</si>
  <si>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</si>
  <si>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</si>
  <si>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</si>
  <si>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</si>
  <si>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</si>
  <si>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</si>
  <si>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</si>
  <si>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</si>
  <si>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</si>
  <si>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</si>
  <si>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</si>
  <si>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</si>
  <si>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</si>
  <si>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</si>
  <si>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</si>
  <si>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</si>
  <si>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</si>
  <si>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</si>
  <si>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</si>
  <si>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</si>
  <si>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</si>
  <si>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</si>
  <si>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</si>
  <si>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</si>
  <si>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</si>
  <si>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</si>
  <si>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</si>
  <si>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</si>
  <si>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</si>
  <si>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</si>
  <si>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</si>
  <si>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</si>
  <si>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</si>
  <si>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</si>
  <si>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</si>
  <si>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</si>
  <si>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</si>
  <si>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</si>
  <si>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</si>
  <si>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</si>
  <si>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</si>
  <si>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</si>
  <si>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</si>
  <si>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</si>
  <si>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</si>
  <si>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</si>
  <si>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</si>
  <si>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</si>
  <si>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</si>
  <si>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</si>
  <si>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</si>
  <si>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</si>
  <si>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</si>
  <si>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</si>
  <si>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</si>
  <si>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</si>
  <si>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</si>
  <si>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</si>
  <si>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</si>
  <si>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</si>
  <si>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</si>
  <si>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</si>
  <si>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</si>
  <si>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</si>
  <si>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</si>
  <si>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</si>
  <si>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</si>
  <si>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</si>
  <si>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</si>
  <si>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</si>
  <si>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</si>
  <si>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</si>
  <si>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</si>
  <si>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</si>
  <si>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</si>
  <si>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</si>
  <si>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</si>
  <si>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</si>
  <si>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</si>
  <si>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</si>
  <si>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</si>
  <si>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</si>
  <si>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</si>
  <si>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</si>
  <si>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</si>
  <si>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</si>
  <si>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</si>
  <si>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</si>
  <si>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</si>
  <si>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</si>
  <si>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</si>
  <si>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</si>
  <si>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</si>
  <si>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</si>
  <si>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</si>
  <si>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</si>
  <si>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</si>
  <si>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</si>
  <si>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</si>
  <si>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</si>
  <si>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</si>
  <si>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</si>
  <si>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</si>
  <si>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</si>
  <si>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</si>
  <si>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</si>
  <si>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</si>
  <si>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</si>
  <si>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</si>
  <si>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</si>
  <si>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</si>
  <si>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</si>
  <si>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</si>
  <si>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</si>
  <si>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</si>
  <si>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</si>
  <si>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</si>
  <si>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</si>
  <si>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</si>
  <si>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</si>
  <si>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</si>
  <si>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</si>
  <si>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</si>
  <si>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</si>
  <si>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</si>
  <si>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</si>
  <si>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</si>
  <si>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</si>
  <si>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</si>
  <si>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</si>
  <si>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</si>
  <si>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</si>
  <si>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</si>
  <si>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</si>
  <si>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</si>
  <si>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</si>
  <si>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</si>
  <si>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</si>
  <si>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</si>
  <si>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</si>
  <si>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</si>
  <si>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</si>
  <si>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</si>
  <si>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</si>
  <si>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</si>
  <si>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</si>
  <si>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</si>
  <si>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</si>
  <si>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</si>
  <si>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</si>
  <si>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</si>
  <si>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</si>
  <si>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</si>
  <si>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</si>
  <si>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</si>
  <si>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</si>
  <si>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</si>
  <si>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</si>
  <si>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</si>
  <si>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</si>
  <si>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</si>
  <si>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</si>
  <si>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</si>
  <si>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</si>
  <si>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</si>
  <si>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</si>
  <si>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</si>
  <si>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</si>
  <si>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</si>
  <si>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</si>
  <si>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</si>
  <si>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</si>
  <si>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</si>
  <si>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</si>
  <si>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</si>
  <si>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</si>
  <si>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</si>
  <si>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</si>
  <si>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</si>
  <si>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</si>
  <si>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</si>
  <si>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</si>
  <si>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</si>
  <si>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</si>
  <si>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</si>
  <si>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</si>
  <si>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</si>
  <si>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</si>
  <si>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</si>
  <si>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</si>
  <si>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</si>
  <si>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</si>
  <si>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</si>
  <si>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</si>
  <si>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</si>
  <si>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</si>
  <si>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</si>
  <si>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</si>
  <si>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</si>
  <si>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</si>
  <si>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</si>
  <si>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</si>
  <si>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</si>
  <si>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</si>
  <si>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</si>
  <si>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</si>
  <si>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</si>
  <si>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</si>
  <si>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</si>
  <si>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</si>
  <si>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</si>
  <si>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</si>
  <si>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</si>
  <si>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</si>
  <si>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</si>
  <si>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</si>
  <si>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</si>
  <si>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</si>
  <si>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</si>
  <si>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</si>
  <si>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</si>
  <si>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</si>
  <si>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</si>
  <si>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</si>
  <si>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</si>
  <si>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</si>
  <si>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</si>
  <si>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</si>
  <si>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</si>
  <si>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</si>
  <si>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</si>
  <si>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</si>
  <si>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</si>
  <si>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</si>
  <si>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</si>
  <si>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</si>
  <si>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</si>
  <si>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</si>
  <si>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</si>
  <si>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</si>
  <si>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</si>
  <si>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</si>
  <si>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</si>
  <si>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</si>
  <si>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</si>
  <si>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</si>
  <si>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</si>
  <si>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</si>
  <si>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</si>
  <si>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</si>
  <si>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</si>
  <si>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</si>
  <si>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</si>
  <si>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</si>
  <si>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</si>
  <si>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</si>
  <si>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</si>
  <si>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</si>
  <si>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</si>
  <si>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</si>
  <si>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</si>
  <si>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</si>
  <si>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</si>
  <si>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</si>
  <si>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</si>
  <si>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</si>
  <si>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</si>
  <si>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</si>
  <si>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</si>
  <si>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</si>
  <si>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</si>
  <si>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</si>
  <si>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</si>
  <si>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</si>
  <si>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</si>
  <si>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</si>
  <si>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</si>
  <si>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</si>
  <si>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</si>
  <si>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</si>
  <si>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</si>
  <si>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</si>
  <si>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</si>
  <si>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</si>
  <si>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</si>
  <si>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</si>
  <si>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</si>
  <si>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</si>
  <si>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</si>
  <si>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</si>
  <si>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</si>
  <si>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</si>
  <si>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</si>
  <si>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</si>
  <si>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</si>
  <si>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</si>
  <si>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</si>
  <si>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</si>
  <si>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</si>
  <si>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</si>
  <si>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</si>
  <si>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</si>
  <si>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</si>
  <si>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</si>
  <si>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</si>
  <si>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</si>
  <si>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</si>
  <si>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</si>
  <si>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</si>
  <si>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</si>
  <si>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</si>
  <si>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</si>
  <si>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</si>
  <si>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</si>
  <si>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</si>
  <si>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</si>
  <si>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</si>
  <si>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</si>
  <si>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</si>
  <si>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</si>
  <si>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</si>
  <si>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</si>
  <si>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</si>
  <si>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</si>
  <si>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</si>
  <si>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</si>
  <si>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</si>
  <si>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</si>
  <si>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</si>
  <si>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</si>
  <si>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</si>
  <si>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</si>
  <si>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</si>
  <si>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</si>
  <si>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</si>
  <si>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</si>
  <si>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</si>
  <si>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</si>
  <si>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</si>
  <si>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</si>
  <si>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</si>
  <si>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</si>
  <si>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</si>
  <si>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</si>
  <si>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</si>
  <si>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</si>
  <si>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</si>
  <si>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</si>
  <si>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</si>
  <si>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</si>
  <si>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</si>
  <si>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</si>
  <si>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</si>
  <si>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</si>
  <si>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</si>
  <si>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</si>
  <si>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</si>
  <si>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</si>
  <si>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</si>
  <si>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</si>
  <si>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</si>
  <si>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</si>
  <si>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</si>
  <si>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</si>
  <si>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</si>
  <si>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</si>
  <si>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</si>
  <si>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</si>
  <si>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</si>
  <si>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</si>
  <si>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</si>
  <si>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</si>
  <si>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</si>
  <si>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</si>
  <si>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</si>
  <si>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</si>
  <si>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</si>
  <si>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</si>
  <si>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</si>
  <si>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</si>
  <si>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</si>
  <si>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</si>
  <si>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</si>
  <si>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</si>
  <si>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</si>
  <si>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</si>
  <si>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</si>
  <si>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</si>
  <si>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</si>
  <si>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</si>
  <si>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</si>
  <si>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</si>
  <si>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</si>
  <si>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</si>
  <si>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</si>
  <si>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</si>
  <si>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</si>
  <si>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</si>
  <si>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</si>
  <si>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</si>
  <si>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</si>
  <si>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</si>
  <si>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</si>
  <si>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</si>
  <si>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</si>
  <si>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</si>
  <si>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</si>
  <si>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</si>
  <si>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</si>
  <si>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</si>
  <si>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</si>
  <si>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</si>
  <si>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</si>
  <si>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</si>
  <si>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</si>
  <si>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</si>
  <si>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</si>
  <si>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</si>
  <si>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</si>
  <si>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</si>
  <si>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</si>
  <si>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</si>
  <si>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</si>
  <si>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</si>
  <si>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</si>
  <si>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</si>
  <si>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</si>
  <si>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</si>
  <si>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</si>
  <si>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</si>
  <si>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</si>
  <si>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</si>
  <si>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</si>
  <si>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</si>
  <si>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</si>
  <si>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</si>
  <si>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</si>
  <si>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</si>
  <si>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</si>
  <si>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</si>
  <si>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</si>
  <si>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</si>
  <si>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</si>
  <si>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</si>
  <si>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</si>
  <si>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</si>
  <si>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</si>
  <si>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</si>
  <si>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</si>
  <si>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</si>
  <si>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</si>
  <si>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</si>
  <si>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</si>
  <si>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</si>
  <si>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</si>
  <si>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</si>
  <si>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</si>
  <si>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</si>
  <si>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</si>
  <si>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</si>
  <si>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</si>
  <si>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</si>
  <si>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</si>
  <si>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</si>
  <si>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</si>
  <si>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</si>
  <si>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</si>
  <si>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</si>
  <si>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</si>
  <si>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</si>
  <si>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</si>
  <si>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</si>
  <si>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</si>
  <si>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</si>
  <si>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</si>
  <si>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</si>
  <si>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</si>
  <si>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</si>
  <si>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</si>
  <si>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</si>
  <si>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</si>
  <si>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</si>
  <si>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</si>
  <si>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</si>
  <si>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</si>
  <si>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</si>
  <si>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</si>
  <si>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</si>
  <si>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</si>
  <si>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</si>
  <si>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</si>
  <si>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</si>
  <si>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</si>
  <si>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</si>
  <si>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</si>
  <si>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</si>
  <si>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</si>
  <si>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</si>
  <si>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</si>
  <si>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</si>
  <si>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</si>
  <si>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</si>
  <si>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</si>
  <si>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</si>
  <si>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</si>
  <si>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</si>
  <si>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</si>
  <si>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</si>
  <si>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</si>
  <si>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</si>
  <si>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</si>
  <si>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</si>
  <si>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</si>
  <si>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</si>
  <si>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</si>
  <si>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</si>
  <si>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</si>
  <si>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</si>
  <si>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</si>
  <si>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</si>
  <si>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</si>
  <si>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</si>
  <si>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</si>
  <si>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</si>
  <si>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</si>
  <si>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</si>
  <si>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</si>
  <si>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</si>
  <si>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</si>
  <si>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</si>
  <si>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</si>
  <si>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</si>
  <si>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</si>
  <si>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</si>
  <si>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</si>
  <si>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</si>
  <si>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</si>
  <si>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</si>
  <si>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</si>
  <si>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</si>
  <si>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</si>
  <si>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</si>
  <si>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</si>
  <si>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</si>
  <si>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</si>
  <si>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</si>
  <si>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</si>
  <si>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</si>
  <si>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</si>
  <si>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</si>
  <si>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</si>
  <si>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</si>
  <si>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</si>
  <si>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</si>
  <si>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</si>
  <si>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</si>
  <si>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</si>
  <si>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</si>
  <si>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</si>
  <si>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</si>
  <si>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</si>
  <si>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</si>
  <si>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</si>
  <si>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</si>
  <si>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</si>
  <si>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</si>
  <si>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</si>
  <si>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</si>
  <si>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</si>
  <si>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</si>
  <si>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</si>
  <si>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</si>
  <si>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</si>
  <si>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</si>
  <si>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</si>
  <si>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</si>
  <si>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</si>
  <si>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</si>
  <si>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</si>
  <si>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</si>
  <si>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</si>
  <si>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</si>
  <si>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</si>
  <si>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</si>
  <si>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</si>
  <si>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</si>
  <si>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</si>
  <si>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</si>
  <si>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</si>
  <si>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</si>
  <si>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</si>
  <si>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</si>
  <si>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</si>
  <si>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</si>
  <si>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</si>
  <si>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</si>
  <si>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</si>
  <si>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</si>
  <si>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</si>
  <si>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</si>
  <si>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</si>
  <si>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</si>
  <si>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</si>
  <si>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</si>
  <si>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</si>
  <si>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</si>
  <si>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</si>
  <si>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</si>
  <si>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</si>
  <si>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</si>
  <si>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</si>
  <si>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</si>
  <si>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</si>
  <si>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</si>
  <si>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</si>
  <si>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</si>
  <si>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</si>
  <si>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</si>
  <si>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</si>
  <si>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</si>
  <si>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</si>
  <si>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</si>
  <si>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</si>
  <si>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</si>
  <si>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</si>
  <si>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</si>
  <si>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</si>
  <si>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</si>
  <si>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</si>
  <si>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</si>
  <si>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</si>
  <si>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</si>
  <si>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</si>
  <si>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</si>
  <si>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</si>
  <si>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</si>
  <si>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</si>
  <si>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</si>
  <si>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</si>
  <si>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</si>
  <si>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</si>
  <si>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</si>
  <si>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</si>
  <si>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</si>
  <si>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</si>
  <si>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</si>
  <si>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</si>
  <si>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</si>
  <si>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</si>
  <si>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</si>
  <si>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</si>
  <si>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</si>
  <si>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</si>
  <si>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</si>
  <si>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</si>
  <si>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</si>
  <si>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</si>
  <si>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</si>
  <si>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</si>
  <si>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</si>
  <si>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</si>
  <si>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</si>
  <si>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</si>
  <si>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</si>
  <si>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</si>
  <si>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</si>
  <si>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</si>
  <si>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</si>
  <si>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</si>
  <si>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</si>
  <si>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</si>
  <si>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</si>
  <si>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</si>
  <si>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</si>
  <si>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</si>
  <si>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</si>
  <si>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</si>
  <si>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</si>
  <si>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</si>
  <si>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</si>
  <si>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</si>
  <si>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</si>
  <si>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</si>
  <si>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</si>
  <si>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</si>
  <si>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</si>
  <si>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</si>
  <si>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</si>
  <si>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</si>
  <si>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VASS MADRID CONDOR C/CABO</t>
  </si>
  <si>
    <t xml:space="preserve">RODO M 30CM CONDOR</t>
  </si>
  <si>
    <t xml:space="preserve">RODO G 40CM CONDOR</t>
  </si>
  <si>
    <t xml:space="preserve">VASSOURA MULT V35 CONDOR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</si>
  <si>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</si>
  <si>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</si>
  <si>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</si>
  <si>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</si>
  <si>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</si>
  <si>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</si>
  <si>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</si>
  <si>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</si>
  <si>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</si>
  <si>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</si>
  <si>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</si>
  <si>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</si>
  <si>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</si>
  <si>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</si>
  <si>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</si>
  <si>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</si>
  <si>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</si>
  <si>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</si>
  <si>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</si>
  <si>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</si>
  <si>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</si>
  <si>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</si>
  <si>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</si>
  <si>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</si>
  <si>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</si>
  <si>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</si>
  <si>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</si>
  <si>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</si>
  <si>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</si>
  <si>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</si>
  <si>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</si>
  <si>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</si>
  <si>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</si>
  <si>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</si>
  <si>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</si>
  <si>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</si>
  <si>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</si>
  <si>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</si>
  <si>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</si>
  <si>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</si>
  <si>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</si>
  <si>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</si>
  <si>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</si>
  <si>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</si>
  <si>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</si>
  <si>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</si>
  <si>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</si>
  <si>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</si>
  <si>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</si>
  <si>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</si>
  <si>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</si>
  <si>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</si>
  <si>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</si>
  <si>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</si>
  <si>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</si>
  <si>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</si>
  <si>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</si>
  <si>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</si>
  <si>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</si>
  <si>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</si>
  <si>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</si>
  <si>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</si>
  <si>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</si>
  <si>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</si>
  <si>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</si>
  <si>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</si>
  <si>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</si>
  <si>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</si>
  <si>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</si>
  <si>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</si>
  <si>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</si>
  <si>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</si>
  <si>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</si>
  <si>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</si>
  <si>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</si>
  <si>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</si>
  <si>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</si>
  <si>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</si>
  <si>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</si>
  <si>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</si>
  <si>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</si>
  <si>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</si>
  <si>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</si>
  <si>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</si>
  <si>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</si>
  <si>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</si>
  <si>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</si>
  <si>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</si>
  <si>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</si>
  <si>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</si>
  <si>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</si>
  <si>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</si>
  <si>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</si>
  <si>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</si>
  <si>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</si>
  <si>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</si>
  <si>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</si>
  <si>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</si>
  <si>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</si>
  <si>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</si>
  <si>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</si>
  <si>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</si>
  <si>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</si>
  <si>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</si>
  <si>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</si>
  <si>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</si>
  <si>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</si>
  <si>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</si>
  <si>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</si>
  <si>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</si>
  <si>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PT 2,5KG PERDIGAO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</si>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</sst>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6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CITRICO DE 2L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SCLAUDIA C/G 350ML P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TRAVESSA BRASIL COPA TECIDO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BRA. FACCIO 1K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SCLAUDIA C/G 350ML P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SUCO FAZENDINHA CITRICO DE 2L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 TRIGOLAR SF 1K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CITRICO DE 2L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SUCO FAZENDINHA CITRICO DE 2L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BRA. FACCIO 1K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CITRICO DE 2L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" t="n">
        <v>2</v>
      </c>
      <c r="B1568" s="17" t="n">
        <v>46259</v>
      </c>
      <c r="C1568" s="17" t="n">
        <v>46259</v>
      </c>
      <c r="D1568" s="1" t="n">
        <v>0</v>
      </c>
      <c r="E1568" s="1" t="s">
        <v>33</v>
      </c>
      <c r="F1568" s="1" t="n">
        <v>17</v>
      </c>
      <c r="G1568" s="1" t="s">
        <v>34</v>
      </c>
      <c r="H1568" s="1" t="n">
        <v>1110101</v>
      </c>
      <c r="I1568" s="1" t="s">
        <v>35</v>
      </c>
      <c r="J1568" s="1" t="n">
        <v>1603649</v>
      </c>
      <c r="L1568" s="1" t="n">
        <v>1603649</v>
      </c>
      <c r="M1568" s="1" t="s">
        <v>36</v>
      </c>
      <c r="N1568" s="1" t="s">
        <v>37</v>
      </c>
      <c r="P1568" s="1" t="n">
        <v>113</v>
      </c>
      <c r="Q1568" s="1" t="s">
        <v>38</v>
      </c>
      <c r="R1568" s="1" t="s">
        <v>39</v>
      </c>
      <c r="S1568" s="1" t="n">
        <v>4210314</v>
      </c>
      <c r="T1568" s="1" t="s">
        <v>40</v>
      </c>
      <c r="U1568" s="1" t="n">
        <v>70</v>
      </c>
      <c r="W1568" s="1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2</v>
      </c>
      <c r="B1569" s="17" t="n">
        <v>46259</v>
      </c>
      <c r="C1569" s="17" t="n">
        <v>46259</v>
      </c>
      <c r="D1569" s="1" t="n">
        <v>0</v>
      </c>
      <c r="E1569" s="1" t="s">
        <v>33</v>
      </c>
      <c r="F1569" s="1" t="n">
        <v>17</v>
      </c>
      <c r="G1569" s="1" t="s">
        <v>34</v>
      </c>
      <c r="H1569" s="1" t="n">
        <v>1110101</v>
      </c>
      <c r="I1569" s="1" t="s">
        <v>35</v>
      </c>
      <c r="J1569" s="1" t="n">
        <v>1603651</v>
      </c>
      <c r="L1569" s="1" t="n">
        <v>1603651</v>
      </c>
      <c r="M1569" s="1" t="s">
        <v>36</v>
      </c>
      <c r="N1569" s="1" t="s">
        <v>37</v>
      </c>
      <c r="P1569" s="1" t="n">
        <v>113</v>
      </c>
      <c r="Q1569" s="1" t="s">
        <v>38</v>
      </c>
      <c r="R1569" s="1" t="s">
        <v>39</v>
      </c>
      <c r="S1569" s="1" t="n">
        <v>4210314</v>
      </c>
      <c r="T1569" s="1" t="s">
        <v>40</v>
      </c>
      <c r="U1569" s="1" t="n">
        <v>70</v>
      </c>
      <c r="W1569" s="1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2</v>
      </c>
      <c r="B1570" s="17" t="n">
        <v>46013</v>
      </c>
      <c r="C1570" s="17" t="n">
        <v>46259</v>
      </c>
      <c r="D1570" s="1" t="n">
        <v>17</v>
      </c>
      <c r="E1570" s="1" t="s">
        <v>490</v>
      </c>
      <c r="F1570" s="1" t="n">
        <v>48</v>
      </c>
      <c r="G1570" s="1" t="s">
        <v>569</v>
      </c>
      <c r="H1570" s="1" t="n">
        <v>2110405</v>
      </c>
      <c r="I1570" s="1" t="s">
        <v>55</v>
      </c>
      <c r="J1570" s="1" t="n">
        <v>660421</v>
      </c>
      <c r="L1570" s="1" t="n">
        <v>86128</v>
      </c>
      <c r="M1570" s="1" t="s">
        <v>678</v>
      </c>
      <c r="N1570" s="1" t="s">
        <v>50</v>
      </c>
      <c r="P1570" s="1" t="n">
        <v>101</v>
      </c>
      <c r="Q1570" s="1" t="s">
        <v>56</v>
      </c>
      <c r="R1570" s="1" t="s">
        <v>57</v>
      </c>
      <c r="S1570" s="1" t="n">
        <v>4220199</v>
      </c>
      <c r="T1570" s="1" t="s">
        <v>58</v>
      </c>
      <c r="U1570" s="1" t="n">
        <v>362.14</v>
      </c>
      <c r="W1570" s="1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2</v>
      </c>
      <c r="B1571" s="17" t="n">
        <v>46029</v>
      </c>
      <c r="C1571" s="17" t="n">
        <v>46259</v>
      </c>
      <c r="D1571" s="1" t="n">
        <v>17</v>
      </c>
      <c r="E1571" s="1" t="s">
        <v>490</v>
      </c>
      <c r="F1571" s="1" t="n">
        <v>48</v>
      </c>
      <c r="G1571" s="1" t="s">
        <v>569</v>
      </c>
      <c r="H1571" s="1" t="n">
        <v>2110405</v>
      </c>
      <c r="I1571" s="1" t="s">
        <v>55</v>
      </c>
      <c r="J1571" s="1" t="n">
        <v>660305</v>
      </c>
      <c r="L1571" s="1" t="n">
        <v>86116</v>
      </c>
      <c r="M1571" s="1" t="s">
        <v>678</v>
      </c>
      <c r="N1571" s="1" t="s">
        <v>50</v>
      </c>
      <c r="P1571" s="1" t="n">
        <v>101</v>
      </c>
      <c r="Q1571" s="1" t="s">
        <v>56</v>
      </c>
      <c r="R1571" s="1" t="s">
        <v>57</v>
      </c>
      <c r="S1571" s="1" t="n">
        <v>4220199</v>
      </c>
      <c r="T1571" s="1" t="s">
        <v>58</v>
      </c>
      <c r="U1571" s="1" t="n">
        <v>84.03</v>
      </c>
      <c r="W1571" s="1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2</v>
      </c>
      <c r="B1572" s="17" t="n">
        <v>46205</v>
      </c>
      <c r="C1572" s="17" t="n">
        <v>46259</v>
      </c>
      <c r="D1572" s="1" t="n">
        <v>1217</v>
      </c>
      <c r="E1572" s="1" t="s">
        <v>781</v>
      </c>
      <c r="F1572" s="1" t="n">
        <v>24</v>
      </c>
      <c r="G1572" s="1" t="s">
        <v>91</v>
      </c>
      <c r="H1572" s="1" t="n">
        <v>2110101</v>
      </c>
      <c r="I1572" s="1" t="s">
        <v>48</v>
      </c>
      <c r="J1572" s="1" t="n">
        <v>1339965</v>
      </c>
      <c r="L1572" s="1" t="n">
        <v>4467</v>
      </c>
      <c r="M1572" s="1" t="s">
        <v>61</v>
      </c>
      <c r="N1572" s="1" t="s">
        <v>68</v>
      </c>
      <c r="P1572" s="1" t="n">
        <v>113</v>
      </c>
      <c r="Q1572" s="1" t="s">
        <v>38</v>
      </c>
      <c r="R1572" s="1" t="s">
        <v>62</v>
      </c>
      <c r="S1572" s="1" t="n">
        <v>1130101</v>
      </c>
      <c r="T1572" s="1" t="s">
        <v>63</v>
      </c>
      <c r="U1572" s="1" t="n">
        <v>818.55</v>
      </c>
      <c r="W1572" s="1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" t="n">
        <v>2</v>
      </c>
      <c r="B1573" s="17" t="n">
        <v>46243</v>
      </c>
      <c r="C1573" s="17" t="n">
        <v>46259</v>
      </c>
      <c r="D1573" s="1" t="n">
        <v>17</v>
      </c>
      <c r="E1573" s="1" t="s">
        <v>490</v>
      </c>
      <c r="F1573" s="1" t="n">
        <v>48</v>
      </c>
      <c r="G1573" s="1" t="s">
        <v>569</v>
      </c>
      <c r="H1573" s="1" t="n">
        <v>2110405</v>
      </c>
      <c r="I1573" s="1" t="s">
        <v>55</v>
      </c>
      <c r="J1573" s="1" t="n">
        <v>1551938</v>
      </c>
      <c r="L1573" s="1" t="n">
        <v>211786</v>
      </c>
      <c r="M1573" s="1" t="s">
        <v>36</v>
      </c>
      <c r="N1573" s="1" t="s">
        <v>50</v>
      </c>
      <c r="P1573" s="1" t="n">
        <v>101</v>
      </c>
      <c r="Q1573" s="1" t="s">
        <v>56</v>
      </c>
      <c r="R1573" s="1" t="s">
        <v>57</v>
      </c>
      <c r="S1573" s="1" t="n">
        <v>4220199</v>
      </c>
      <c r="T1573" s="1" t="s">
        <v>58</v>
      </c>
      <c r="U1573" s="1" t="n">
        <v>52.52</v>
      </c>
      <c r="W1573" s="1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2</v>
      </c>
      <c r="B1574" s="17" t="n">
        <v>46249</v>
      </c>
      <c r="C1574" s="17" t="n">
        <v>46259</v>
      </c>
      <c r="D1574" s="1" t="n">
        <v>17</v>
      </c>
      <c r="E1574" s="1" t="s">
        <v>490</v>
      </c>
      <c r="F1574" s="1" t="n">
        <v>48</v>
      </c>
      <c r="G1574" s="1" t="s">
        <v>569</v>
      </c>
      <c r="H1574" s="1" t="n">
        <v>2110405</v>
      </c>
      <c r="I1574" s="1" t="s">
        <v>55</v>
      </c>
      <c r="J1574" s="1" t="n">
        <v>1551945</v>
      </c>
      <c r="L1574" s="1" t="n">
        <v>211789</v>
      </c>
      <c r="M1574" s="1" t="s">
        <v>36</v>
      </c>
      <c r="N1574" s="1" t="s">
        <v>50</v>
      </c>
      <c r="P1574" s="1" t="n">
        <v>101</v>
      </c>
      <c r="Q1574" s="1" t="s">
        <v>56</v>
      </c>
      <c r="R1574" s="1" t="s">
        <v>57</v>
      </c>
      <c r="S1574" s="1" t="n">
        <v>4220199</v>
      </c>
      <c r="T1574" s="1" t="s">
        <v>58</v>
      </c>
      <c r="U1574" s="1" t="n">
        <v>595.39</v>
      </c>
      <c r="W1574" s="1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2</v>
      </c>
      <c r="B1575" s="17" t="n">
        <v>46252</v>
      </c>
      <c r="C1575" s="17" t="n">
        <v>46259</v>
      </c>
      <c r="D1575" s="1" t="n">
        <v>1642</v>
      </c>
      <c r="E1575" s="1" t="s">
        <v>233</v>
      </c>
      <c r="F1575" s="1" t="n">
        <v>24</v>
      </c>
      <c r="G1575" s="1" t="s">
        <v>91</v>
      </c>
      <c r="H1575" s="1" t="n">
        <v>2110405</v>
      </c>
      <c r="I1575" s="1" t="s">
        <v>55</v>
      </c>
      <c r="J1575" s="1" t="n">
        <v>1566648</v>
      </c>
      <c r="L1575" s="1" t="n">
        <v>213853</v>
      </c>
      <c r="M1575" s="1" t="s">
        <v>36</v>
      </c>
      <c r="N1575" s="1" t="s">
        <v>50</v>
      </c>
      <c r="P1575" s="1" t="n">
        <v>113</v>
      </c>
      <c r="Q1575" s="1" t="s">
        <v>38</v>
      </c>
      <c r="R1575" s="1" t="s">
        <v>62</v>
      </c>
      <c r="S1575" s="1" t="n">
        <v>1130101</v>
      </c>
      <c r="T1575" s="1" t="s">
        <v>63</v>
      </c>
      <c r="U1575" s="1" t="n">
        <v>512.38</v>
      </c>
      <c r="W1575" s="1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" t="n">
        <v>2</v>
      </c>
      <c r="B1576" s="17" t="n">
        <v>46255</v>
      </c>
      <c r="C1576" s="17" t="n">
        <v>46259</v>
      </c>
      <c r="D1576" s="1" t="n">
        <v>10035</v>
      </c>
      <c r="E1576" s="1" t="s">
        <v>109</v>
      </c>
      <c r="F1576" s="1" t="n">
        <v>34</v>
      </c>
      <c r="G1576" s="1" t="s">
        <v>110</v>
      </c>
      <c r="H1576" s="1" t="n">
        <v>2110405</v>
      </c>
      <c r="I1576" s="1" t="s">
        <v>55</v>
      </c>
      <c r="J1576" s="1" t="n">
        <v>1580974</v>
      </c>
      <c r="L1576" s="1" t="n">
        <v>216250</v>
      </c>
      <c r="M1576" s="1" t="s">
        <v>36</v>
      </c>
      <c r="N1576" s="1" t="s">
        <v>50</v>
      </c>
      <c r="P1576" s="1" t="n">
        <v>113</v>
      </c>
      <c r="Q1576" s="1" t="s">
        <v>38</v>
      </c>
      <c r="R1576" s="1" t="s">
        <v>62</v>
      </c>
      <c r="S1576" s="1" t="n">
        <v>1130101</v>
      </c>
      <c r="T1576" s="1" t="s">
        <v>63</v>
      </c>
      <c r="U1576" s="1" t="n">
        <v>183</v>
      </c>
      <c r="W1576" s="1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" t="n">
        <v>2</v>
      </c>
      <c r="B1577" s="17" t="n">
        <v>46256</v>
      </c>
      <c r="C1577" s="17" t="n">
        <v>46259</v>
      </c>
      <c r="D1577" s="1" t="n">
        <v>642</v>
      </c>
      <c r="E1577" s="1" t="s">
        <v>144</v>
      </c>
      <c r="F1577" s="1" t="n">
        <v>24</v>
      </c>
      <c r="G1577" s="1" t="s">
        <v>91</v>
      </c>
      <c r="H1577" s="1" t="n">
        <v>2110405</v>
      </c>
      <c r="I1577" s="1" t="s">
        <v>55</v>
      </c>
      <c r="J1577" s="1" t="n">
        <v>1585340</v>
      </c>
      <c r="L1577" s="1" t="n">
        <v>216896</v>
      </c>
      <c r="M1577" s="1" t="s">
        <v>36</v>
      </c>
      <c r="N1577" s="1" t="s">
        <v>50</v>
      </c>
      <c r="P1577" s="1" t="n">
        <v>113</v>
      </c>
      <c r="Q1577" s="1" t="s">
        <v>38</v>
      </c>
      <c r="R1577" s="1" t="s">
        <v>62</v>
      </c>
      <c r="S1577" s="1" t="n">
        <v>1130101</v>
      </c>
      <c r="T1577" s="1" t="s">
        <v>63</v>
      </c>
      <c r="U1577" s="1" t="n">
        <v>240</v>
      </c>
      <c r="W1577" s="1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" t="n">
        <v>2</v>
      </c>
      <c r="B1578" s="17" t="n">
        <v>46259</v>
      </c>
      <c r="C1578" s="17" t="n">
        <v>46259</v>
      </c>
      <c r="D1578" s="1" t="n">
        <v>48</v>
      </c>
      <c r="E1578" s="1" t="s">
        <v>146</v>
      </c>
      <c r="F1578" s="1" t="n">
        <v>34</v>
      </c>
      <c r="G1578" s="1" t="s">
        <v>110</v>
      </c>
      <c r="H1578" s="1" t="n">
        <v>2110101</v>
      </c>
      <c r="I1578" s="1" t="s">
        <v>48</v>
      </c>
      <c r="J1578" s="1" t="n">
        <v>1599496</v>
      </c>
      <c r="L1578" s="1" t="n">
        <v>2628</v>
      </c>
      <c r="M1578" s="1" t="s">
        <v>36</v>
      </c>
      <c r="N1578" s="1" t="s">
        <v>68</v>
      </c>
      <c r="P1578" s="1" t="n">
        <v>113</v>
      </c>
      <c r="Q1578" s="1" t="s">
        <v>38</v>
      </c>
      <c r="R1578" s="1" t="s">
        <v>62</v>
      </c>
      <c r="S1578" s="1" t="n">
        <v>1130101</v>
      </c>
      <c r="T1578" s="1" t="s">
        <v>63</v>
      </c>
      <c r="U1578" s="1" t="n">
        <v>200</v>
      </c>
      <c r="W1578" s="1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2</v>
      </c>
      <c r="B1579" s="17" t="n">
        <v>46259</v>
      </c>
      <c r="C1579" s="17" t="n">
        <v>46259</v>
      </c>
      <c r="D1579" s="1" t="n">
        <v>1758</v>
      </c>
      <c r="E1579" s="1" t="s">
        <v>486</v>
      </c>
      <c r="F1579" s="1" t="n">
        <v>34</v>
      </c>
      <c r="G1579" s="1" t="s">
        <v>110</v>
      </c>
      <c r="H1579" s="1" t="n">
        <v>2110405</v>
      </c>
      <c r="I1579" s="1" t="s">
        <v>55</v>
      </c>
      <c r="J1579" s="1" t="n">
        <v>1600461</v>
      </c>
      <c r="L1579" s="1" t="n">
        <v>219154</v>
      </c>
      <c r="M1579" s="1" t="s">
        <v>36</v>
      </c>
      <c r="N1579" s="1" t="s">
        <v>50</v>
      </c>
      <c r="P1579" s="1" t="n">
        <v>101</v>
      </c>
      <c r="Q1579" s="1" t="s">
        <v>56</v>
      </c>
      <c r="R1579" s="1" t="s">
        <v>70</v>
      </c>
      <c r="S1579" s="1" t="n">
        <v>4210227</v>
      </c>
      <c r="T1579" s="1" t="s">
        <v>77</v>
      </c>
      <c r="U1579" s="1" t="n">
        <v>1800</v>
      </c>
      <c r="W1579" s="1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2</v>
      </c>
      <c r="B1580" s="17" t="n">
        <v>46259</v>
      </c>
      <c r="C1580" s="17" t="n">
        <v>46259</v>
      </c>
      <c r="D1580" s="1" t="n">
        <v>48</v>
      </c>
      <c r="E1580" s="1" t="s">
        <v>146</v>
      </c>
      <c r="F1580" s="1" t="n">
        <v>34</v>
      </c>
      <c r="G1580" s="1" t="s">
        <v>110</v>
      </c>
      <c r="H1580" s="1" t="n">
        <v>2110101</v>
      </c>
      <c r="I1580" s="1" t="s">
        <v>48</v>
      </c>
      <c r="J1580" s="1" t="n">
        <v>1600582</v>
      </c>
      <c r="L1580" s="1" t="n">
        <v>2629</v>
      </c>
      <c r="M1580" s="1" t="s">
        <v>36</v>
      </c>
      <c r="N1580" s="1" t="s">
        <v>68</v>
      </c>
      <c r="P1580" s="1" t="n">
        <v>113</v>
      </c>
      <c r="Q1580" s="1" t="s">
        <v>38</v>
      </c>
      <c r="R1580" s="1" t="s">
        <v>62</v>
      </c>
      <c r="S1580" s="1" t="n">
        <v>1130101</v>
      </c>
      <c r="T1580" s="1" t="s">
        <v>63</v>
      </c>
      <c r="U1580" s="1" t="n">
        <v>1352</v>
      </c>
      <c r="W1580" s="1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2</v>
      </c>
      <c r="B1581" s="17" t="n">
        <v>46259</v>
      </c>
      <c r="C1581" s="17" t="n">
        <v>46259</v>
      </c>
      <c r="D1581" s="1" t="n">
        <v>1037</v>
      </c>
      <c r="E1581" s="1" t="s">
        <v>153</v>
      </c>
      <c r="F1581" s="1" t="n">
        <v>34</v>
      </c>
      <c r="G1581" s="1" t="s">
        <v>110</v>
      </c>
      <c r="H1581" s="1" t="n">
        <v>2110405</v>
      </c>
      <c r="I1581" s="1" t="s">
        <v>55</v>
      </c>
      <c r="J1581" s="1" t="n">
        <v>1600602</v>
      </c>
      <c r="L1581" s="1" t="n">
        <v>219164</v>
      </c>
      <c r="M1581" s="1" t="s">
        <v>36</v>
      </c>
      <c r="N1581" s="1" t="s">
        <v>50</v>
      </c>
      <c r="P1581" s="1" t="n">
        <v>113</v>
      </c>
      <c r="Q1581" s="1" t="s">
        <v>38</v>
      </c>
      <c r="R1581" s="1" t="s">
        <v>62</v>
      </c>
      <c r="S1581" s="1" t="n">
        <v>1130101</v>
      </c>
      <c r="T1581" s="1" t="s">
        <v>63</v>
      </c>
      <c r="U1581" s="1" t="n">
        <v>290</v>
      </c>
      <c r="W1581" s="1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" t="n">
        <v>2</v>
      </c>
      <c r="B1582" s="17" t="n">
        <v>46259</v>
      </c>
      <c r="C1582" s="17" t="n">
        <v>46259</v>
      </c>
      <c r="D1582" s="1" t="n">
        <v>515</v>
      </c>
      <c r="E1582" s="1" t="s">
        <v>157</v>
      </c>
      <c r="F1582" s="1" t="n">
        <v>34</v>
      </c>
      <c r="G1582" s="1" t="s">
        <v>110</v>
      </c>
      <c r="H1582" s="1" t="n">
        <v>2110405</v>
      </c>
      <c r="I1582" s="1" t="s">
        <v>55</v>
      </c>
      <c r="J1582" s="1" t="n">
        <v>1604224</v>
      </c>
      <c r="L1582" s="1" t="n">
        <v>219734</v>
      </c>
      <c r="M1582" s="1" t="s">
        <v>36</v>
      </c>
      <c r="N1582" s="1" t="s">
        <v>50</v>
      </c>
      <c r="P1582" s="1" t="n">
        <v>101</v>
      </c>
      <c r="Q1582" s="1" t="s">
        <v>56</v>
      </c>
      <c r="R1582" s="1" t="s">
        <v>158</v>
      </c>
      <c r="S1582" s="1" t="n">
        <v>4210504</v>
      </c>
      <c r="T1582" s="1" t="s">
        <v>163</v>
      </c>
      <c r="U1582" s="1" t="n">
        <v>1603.6</v>
      </c>
      <c r="W1582" s="1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2</v>
      </c>
      <c r="B1583" s="17" t="n">
        <v>46260</v>
      </c>
      <c r="C1583" s="17" t="n">
        <v>46260</v>
      </c>
      <c r="D1583" s="1" t="n">
        <v>0</v>
      </c>
      <c r="E1583" s="1" t="s">
        <v>33</v>
      </c>
      <c r="F1583" s="1" t="n">
        <v>17</v>
      </c>
      <c r="G1583" s="1" t="s">
        <v>34</v>
      </c>
      <c r="H1583" s="1" t="n">
        <v>1110101</v>
      </c>
      <c r="I1583" s="1" t="s">
        <v>35</v>
      </c>
      <c r="J1583" s="1" t="n">
        <v>1608865</v>
      </c>
      <c r="L1583" s="1" t="n">
        <v>1608865</v>
      </c>
      <c r="M1583" s="1" t="s">
        <v>36</v>
      </c>
      <c r="N1583" s="1" t="s">
        <v>37</v>
      </c>
      <c r="P1583" s="1" t="n">
        <v>113</v>
      </c>
      <c r="Q1583" s="1" t="s">
        <v>38</v>
      </c>
      <c r="R1583" s="1" t="s">
        <v>214</v>
      </c>
      <c r="S1583" s="1" t="n">
        <v>2110101</v>
      </c>
      <c r="T1583" s="1" t="s">
        <v>48</v>
      </c>
      <c r="U1583" s="1" t="n">
        <v>225</v>
      </c>
      <c r="W1583" s="1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2</v>
      </c>
      <c r="B1584" s="17" t="n">
        <v>46260</v>
      </c>
      <c r="C1584" s="17" t="n">
        <v>46260</v>
      </c>
      <c r="D1584" s="1" t="n">
        <v>0</v>
      </c>
      <c r="E1584" s="1" t="s">
        <v>33</v>
      </c>
      <c r="F1584" s="1" t="n">
        <v>17</v>
      </c>
      <c r="G1584" s="1" t="s">
        <v>34</v>
      </c>
      <c r="H1584" s="1" t="n">
        <v>1110101</v>
      </c>
      <c r="I1584" s="1" t="s">
        <v>35</v>
      </c>
      <c r="J1584" s="1" t="n">
        <v>1608868</v>
      </c>
      <c r="L1584" s="1" t="n">
        <v>1608868</v>
      </c>
      <c r="M1584" s="1" t="s">
        <v>36</v>
      </c>
      <c r="N1584" s="1" t="s">
        <v>37</v>
      </c>
      <c r="P1584" s="1" t="n">
        <v>113</v>
      </c>
      <c r="Q1584" s="1" t="s">
        <v>38</v>
      </c>
      <c r="R1584" s="1" t="s">
        <v>39</v>
      </c>
      <c r="S1584" s="1" t="n">
        <v>4210314</v>
      </c>
      <c r="T1584" s="1" t="s">
        <v>40</v>
      </c>
      <c r="U1584" s="1" t="n">
        <v>70</v>
      </c>
      <c r="W1584" s="1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2</v>
      </c>
      <c r="B1585" s="17" t="n">
        <v>46023</v>
      </c>
      <c r="C1585" s="17" t="n">
        <v>46260</v>
      </c>
      <c r="D1585" s="1" t="n">
        <v>515</v>
      </c>
      <c r="E1585" s="1" t="s">
        <v>157</v>
      </c>
      <c r="F1585" s="1" t="n">
        <v>34</v>
      </c>
      <c r="G1585" s="1" t="s">
        <v>110</v>
      </c>
      <c r="H1585" s="1" t="n">
        <v>2110405</v>
      </c>
      <c r="I1585" s="1" t="s">
        <v>55</v>
      </c>
      <c r="J1585" s="1" t="n">
        <v>1012266</v>
      </c>
      <c r="L1585" s="1" t="n">
        <v>133812</v>
      </c>
      <c r="M1585" s="1" t="s">
        <v>678</v>
      </c>
      <c r="N1585" s="1" t="s">
        <v>50</v>
      </c>
      <c r="P1585" s="1" t="n">
        <v>101</v>
      </c>
      <c r="Q1585" s="1" t="s">
        <v>56</v>
      </c>
      <c r="R1585" s="1" t="s">
        <v>333</v>
      </c>
      <c r="S1585" s="1" t="n">
        <v>2110901</v>
      </c>
      <c r="T1585" s="1" t="s">
        <v>334</v>
      </c>
      <c r="U1585" s="1" t="n">
        <v>4168.41</v>
      </c>
      <c r="W1585" s="1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2</v>
      </c>
      <c r="B1586" s="17" t="n">
        <v>46241</v>
      </c>
      <c r="C1586" s="17" t="n">
        <v>46260</v>
      </c>
      <c r="D1586" s="1" t="n">
        <v>1613</v>
      </c>
      <c r="E1586" s="1" t="s">
        <v>107</v>
      </c>
      <c r="F1586" s="1" t="n">
        <v>24</v>
      </c>
      <c r="G1586" s="1" t="s">
        <v>91</v>
      </c>
      <c r="H1586" s="1" t="n">
        <v>2110405</v>
      </c>
      <c r="I1586" s="1" t="s">
        <v>55</v>
      </c>
      <c r="J1586" s="1" t="n">
        <v>1513496</v>
      </c>
      <c r="L1586" s="1" t="n">
        <v>205790</v>
      </c>
      <c r="M1586" s="1" t="s">
        <v>36</v>
      </c>
      <c r="N1586" s="1" t="s">
        <v>50</v>
      </c>
      <c r="P1586" s="1" t="n">
        <v>113</v>
      </c>
      <c r="Q1586" s="1" t="s">
        <v>38</v>
      </c>
      <c r="R1586" s="1" t="s">
        <v>62</v>
      </c>
      <c r="S1586" s="1" t="n">
        <v>1130101</v>
      </c>
      <c r="T1586" s="1" t="s">
        <v>63</v>
      </c>
      <c r="U1586" s="1" t="n">
        <v>1275.53</v>
      </c>
      <c r="W1586" s="1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" t="n">
        <v>2</v>
      </c>
      <c r="B1587" s="17" t="n">
        <v>46244</v>
      </c>
      <c r="C1587" s="17" t="n">
        <v>46260</v>
      </c>
      <c r="D1587" s="1" t="n">
        <v>1659</v>
      </c>
      <c r="E1587" s="1" t="s">
        <v>220</v>
      </c>
      <c r="F1587" s="1" t="n">
        <v>24</v>
      </c>
      <c r="G1587" s="1" t="s">
        <v>91</v>
      </c>
      <c r="H1587" s="1" t="n">
        <v>2110405</v>
      </c>
      <c r="I1587" s="1" t="s">
        <v>55</v>
      </c>
      <c r="J1587" s="1" t="n">
        <v>1529145</v>
      </c>
      <c r="L1587" s="1" t="n">
        <v>207965</v>
      </c>
      <c r="M1587" s="1" t="s">
        <v>36</v>
      </c>
      <c r="N1587" s="1" t="s">
        <v>50</v>
      </c>
      <c r="P1587" s="1" t="n">
        <v>113</v>
      </c>
      <c r="Q1587" s="1" t="s">
        <v>38</v>
      </c>
      <c r="R1587" s="1" t="s">
        <v>62</v>
      </c>
      <c r="S1587" s="1" t="n">
        <v>1130101</v>
      </c>
      <c r="T1587" s="1" t="s">
        <v>63</v>
      </c>
      <c r="U1587" s="1" t="n">
        <v>349</v>
      </c>
      <c r="W1587" s="1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" t="n">
        <v>2</v>
      </c>
      <c r="B1588" s="17" t="n">
        <v>46246</v>
      </c>
      <c r="C1588" s="17" t="n">
        <v>46260</v>
      </c>
      <c r="D1588" s="1" t="n">
        <v>1608</v>
      </c>
      <c r="E1588" s="1" t="s">
        <v>224</v>
      </c>
      <c r="F1588" s="1" t="n">
        <v>24</v>
      </c>
      <c r="G1588" s="1" t="s">
        <v>91</v>
      </c>
      <c r="H1588" s="1" t="n">
        <v>2110405</v>
      </c>
      <c r="I1588" s="1" t="s">
        <v>55</v>
      </c>
      <c r="J1588" s="1" t="n">
        <v>1534791</v>
      </c>
      <c r="L1588" s="1" t="n">
        <v>209426</v>
      </c>
      <c r="M1588" s="1" t="s">
        <v>36</v>
      </c>
      <c r="N1588" s="1" t="s">
        <v>50</v>
      </c>
      <c r="P1588" s="1" t="n">
        <v>113</v>
      </c>
      <c r="Q1588" s="1" t="s">
        <v>38</v>
      </c>
      <c r="R1588" s="1" t="s">
        <v>62</v>
      </c>
      <c r="S1588" s="1" t="n">
        <v>1130101</v>
      </c>
      <c r="T1588" s="1" t="s">
        <v>63</v>
      </c>
      <c r="U1588" s="1" t="n">
        <v>1279.58</v>
      </c>
      <c r="W1588" s="1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" t="n">
        <v>2</v>
      </c>
      <c r="B1589" s="17" t="n">
        <v>46246</v>
      </c>
      <c r="C1589" s="17" t="n">
        <v>46260</v>
      </c>
      <c r="D1589" s="1" t="n">
        <v>1634</v>
      </c>
      <c r="E1589" s="1" t="s">
        <v>291</v>
      </c>
      <c r="F1589" s="1" t="n">
        <v>24</v>
      </c>
      <c r="G1589" s="1" t="s">
        <v>91</v>
      </c>
      <c r="H1589" s="1" t="n">
        <v>2110405</v>
      </c>
      <c r="I1589" s="1" t="s">
        <v>55</v>
      </c>
      <c r="J1589" s="1" t="n">
        <v>1535480</v>
      </c>
      <c r="L1589" s="1" t="n">
        <v>209568</v>
      </c>
      <c r="M1589" s="1" t="s">
        <v>36</v>
      </c>
      <c r="N1589" s="1" t="s">
        <v>50</v>
      </c>
      <c r="P1589" s="1" t="n">
        <v>113</v>
      </c>
      <c r="Q1589" s="1" t="s">
        <v>38</v>
      </c>
      <c r="R1589" s="1" t="s">
        <v>62</v>
      </c>
      <c r="S1589" s="1" t="n">
        <v>1130101</v>
      </c>
      <c r="T1589" s="1" t="s">
        <v>63</v>
      </c>
      <c r="U1589" s="1" t="n">
        <v>700.7</v>
      </c>
      <c r="W1589" s="1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" t="n">
        <v>2</v>
      </c>
      <c r="B1590" s="17" t="n">
        <v>46247</v>
      </c>
      <c r="C1590" s="17" t="n">
        <v>46260</v>
      </c>
      <c r="D1590" s="1" t="n">
        <v>1635</v>
      </c>
      <c r="E1590" s="1" t="s">
        <v>129</v>
      </c>
      <c r="F1590" s="1" t="n">
        <v>24</v>
      </c>
      <c r="G1590" s="1" t="s">
        <v>91</v>
      </c>
      <c r="H1590" s="1" t="n">
        <v>2110405</v>
      </c>
      <c r="I1590" s="1" t="s">
        <v>55</v>
      </c>
      <c r="J1590" s="1" t="n">
        <v>1541010</v>
      </c>
      <c r="L1590" s="1" t="n">
        <v>210258</v>
      </c>
      <c r="M1590" s="1" t="s">
        <v>36</v>
      </c>
      <c r="N1590" s="1" t="s">
        <v>50</v>
      </c>
      <c r="P1590" s="1" t="n">
        <v>113</v>
      </c>
      <c r="Q1590" s="1" t="s">
        <v>38</v>
      </c>
      <c r="R1590" s="1" t="s">
        <v>62</v>
      </c>
      <c r="S1590" s="1" t="n">
        <v>1130101</v>
      </c>
      <c r="T1590" s="1" t="s">
        <v>63</v>
      </c>
      <c r="U1590" s="1" t="n">
        <v>600</v>
      </c>
      <c r="W1590" s="1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" t="n">
        <v>2</v>
      </c>
      <c r="B1591" s="17" t="n">
        <v>46247</v>
      </c>
      <c r="C1591" s="17" t="n">
        <v>46260</v>
      </c>
      <c r="D1591" s="1" t="n">
        <v>1734</v>
      </c>
      <c r="E1591" s="1" t="s">
        <v>553</v>
      </c>
      <c r="F1591" s="1" t="n">
        <v>24</v>
      </c>
      <c r="G1591" s="1" t="s">
        <v>91</v>
      </c>
      <c r="H1591" s="1" t="n">
        <v>2110405</v>
      </c>
      <c r="I1591" s="1" t="s">
        <v>55</v>
      </c>
      <c r="J1591" s="1" t="n">
        <v>1542967</v>
      </c>
      <c r="L1591" s="1" t="n">
        <v>210465</v>
      </c>
      <c r="M1591" s="1" t="s">
        <v>36</v>
      </c>
      <c r="N1591" s="1" t="s">
        <v>50</v>
      </c>
      <c r="P1591" s="1" t="n">
        <v>113</v>
      </c>
      <c r="Q1591" s="1" t="s">
        <v>38</v>
      </c>
      <c r="R1591" s="1" t="s">
        <v>62</v>
      </c>
      <c r="S1591" s="1" t="n">
        <v>1130101</v>
      </c>
      <c r="T1591" s="1" t="s">
        <v>63</v>
      </c>
      <c r="U1591" s="1" t="n">
        <v>1050.07</v>
      </c>
      <c r="W1591" s="1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" t="n">
        <v>2</v>
      </c>
      <c r="B1592" s="17" t="n">
        <v>46248</v>
      </c>
      <c r="C1592" s="17" t="n">
        <v>46260</v>
      </c>
      <c r="D1592" s="1" t="n">
        <v>1613</v>
      </c>
      <c r="E1592" s="1" t="s">
        <v>107</v>
      </c>
      <c r="F1592" s="1" t="n">
        <v>24</v>
      </c>
      <c r="G1592" s="1" t="s">
        <v>91</v>
      </c>
      <c r="H1592" s="1" t="n">
        <v>2110405</v>
      </c>
      <c r="I1592" s="1" t="s">
        <v>55</v>
      </c>
      <c r="J1592" s="1" t="n">
        <v>1547477</v>
      </c>
      <c r="L1592" s="1" t="n">
        <v>211362</v>
      </c>
      <c r="M1592" s="1" t="s">
        <v>36</v>
      </c>
      <c r="N1592" s="1" t="s">
        <v>50</v>
      </c>
      <c r="P1592" s="1" t="n">
        <v>113</v>
      </c>
      <c r="Q1592" s="1" t="s">
        <v>38</v>
      </c>
      <c r="R1592" s="1" t="s">
        <v>62</v>
      </c>
      <c r="S1592" s="1" t="n">
        <v>1130101</v>
      </c>
      <c r="T1592" s="1" t="s">
        <v>63</v>
      </c>
      <c r="U1592" s="1" t="n">
        <v>1164.76</v>
      </c>
      <c r="W1592" s="1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" t="n">
        <v>2</v>
      </c>
      <c r="B1593" s="17" t="n">
        <v>46254</v>
      </c>
      <c r="C1593" s="17" t="n">
        <v>46260</v>
      </c>
      <c r="D1593" s="1" t="n">
        <v>754</v>
      </c>
      <c r="E1593" s="1" t="s">
        <v>142</v>
      </c>
      <c r="F1593" s="1" t="n">
        <v>24</v>
      </c>
      <c r="G1593" s="1" t="s">
        <v>91</v>
      </c>
      <c r="H1593" s="1" t="n">
        <v>2110405</v>
      </c>
      <c r="I1593" s="1" t="s">
        <v>55</v>
      </c>
      <c r="J1593" s="1" t="n">
        <v>1576251</v>
      </c>
      <c r="L1593" s="1" t="n">
        <v>215402</v>
      </c>
      <c r="M1593" s="1" t="s">
        <v>36</v>
      </c>
      <c r="N1593" s="1" t="s">
        <v>50</v>
      </c>
      <c r="P1593" s="1" t="n">
        <v>113</v>
      </c>
      <c r="Q1593" s="1" t="s">
        <v>38</v>
      </c>
      <c r="R1593" s="1" t="s">
        <v>62</v>
      </c>
      <c r="S1593" s="1" t="n">
        <v>1130101</v>
      </c>
      <c r="T1593" s="1" t="s">
        <v>63</v>
      </c>
      <c r="U1593" s="1" t="n">
        <v>1293.6</v>
      </c>
      <c r="W1593" s="1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" t="n">
        <v>2</v>
      </c>
      <c r="B1594" s="17" t="n">
        <v>46254</v>
      </c>
      <c r="C1594" s="17" t="n">
        <v>46260</v>
      </c>
      <c r="D1594" s="1" t="n">
        <v>48</v>
      </c>
      <c r="E1594" s="1" t="s">
        <v>146</v>
      </c>
      <c r="F1594" s="1" t="n">
        <v>24</v>
      </c>
      <c r="G1594" s="1" t="s">
        <v>91</v>
      </c>
      <c r="H1594" s="1" t="n">
        <v>2110101</v>
      </c>
      <c r="I1594" s="1" t="s">
        <v>48</v>
      </c>
      <c r="J1594" s="1" t="n">
        <v>1576425</v>
      </c>
      <c r="L1594" s="1" t="n">
        <v>2617</v>
      </c>
      <c r="M1594" s="1" t="s">
        <v>36</v>
      </c>
      <c r="N1594" s="1" t="s">
        <v>68</v>
      </c>
      <c r="P1594" s="1" t="n">
        <v>113</v>
      </c>
      <c r="Q1594" s="1" t="s">
        <v>38</v>
      </c>
      <c r="R1594" s="1" t="s">
        <v>62</v>
      </c>
      <c r="S1594" s="1" t="n">
        <v>1130101</v>
      </c>
      <c r="T1594" s="1" t="s">
        <v>63</v>
      </c>
      <c r="U1594" s="1" t="n">
        <v>300</v>
      </c>
      <c r="W1594" s="1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2</v>
      </c>
      <c r="B1595" s="17" t="n">
        <v>46258</v>
      </c>
      <c r="C1595" s="17" t="n">
        <v>46260</v>
      </c>
      <c r="D1595" s="1" t="n">
        <v>1899</v>
      </c>
      <c r="E1595" s="1" t="s">
        <v>211</v>
      </c>
      <c r="F1595" s="1" t="n">
        <v>24</v>
      </c>
      <c r="G1595" s="1" t="s">
        <v>91</v>
      </c>
      <c r="H1595" s="1" t="n">
        <v>2110405</v>
      </c>
      <c r="I1595" s="1" t="s">
        <v>55</v>
      </c>
      <c r="J1595" s="1" t="n">
        <v>1594459</v>
      </c>
      <c r="L1595" s="1" t="n">
        <v>218092</v>
      </c>
      <c r="M1595" s="1" t="s">
        <v>36</v>
      </c>
      <c r="N1595" s="1" t="s">
        <v>50</v>
      </c>
      <c r="P1595" s="1" t="n">
        <v>113</v>
      </c>
      <c r="Q1595" s="1" t="s">
        <v>38</v>
      </c>
      <c r="R1595" s="1" t="s">
        <v>62</v>
      </c>
      <c r="S1595" s="1" t="n">
        <v>1130101</v>
      </c>
      <c r="T1595" s="1" t="s">
        <v>63</v>
      </c>
      <c r="U1595" s="1" t="n">
        <v>265.81</v>
      </c>
      <c r="W1595" s="1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" t="n">
        <v>2</v>
      </c>
      <c r="B1596" s="17" t="n">
        <v>46260</v>
      </c>
      <c r="C1596" s="17" t="n">
        <v>46260</v>
      </c>
      <c r="D1596" s="1" t="n">
        <v>48</v>
      </c>
      <c r="E1596" s="1" t="s">
        <v>146</v>
      </c>
      <c r="F1596" s="1" t="n">
        <v>13</v>
      </c>
      <c r="G1596" s="1" t="s">
        <v>147</v>
      </c>
      <c r="H1596" s="1" t="n">
        <v>2110101</v>
      </c>
      <c r="I1596" s="1" t="s">
        <v>48</v>
      </c>
      <c r="J1596" s="1" t="n">
        <v>1604345</v>
      </c>
      <c r="L1596" s="1" t="n">
        <v>2630</v>
      </c>
      <c r="M1596" s="1" t="s">
        <v>36</v>
      </c>
      <c r="N1596" s="1" t="s">
        <v>68</v>
      </c>
      <c r="P1596" s="1" t="n">
        <v>113</v>
      </c>
      <c r="Q1596" s="1" t="s">
        <v>38</v>
      </c>
      <c r="R1596" s="1" t="s">
        <v>62</v>
      </c>
      <c r="S1596" s="1" t="n">
        <v>1130101</v>
      </c>
      <c r="T1596" s="1" t="s">
        <v>63</v>
      </c>
      <c r="U1596" s="1" t="n">
        <v>225</v>
      </c>
      <c r="W1596" s="1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2</v>
      </c>
      <c r="B1597" s="17" t="n">
        <v>46260</v>
      </c>
      <c r="C1597" s="17" t="n">
        <v>46260</v>
      </c>
      <c r="D1597" s="1" t="n">
        <v>515</v>
      </c>
      <c r="E1597" s="1" t="s">
        <v>157</v>
      </c>
      <c r="F1597" s="1" t="n">
        <v>34</v>
      </c>
      <c r="G1597" s="1" t="s">
        <v>110</v>
      </c>
      <c r="H1597" s="1" t="n">
        <v>2110405</v>
      </c>
      <c r="I1597" s="1" t="s">
        <v>55</v>
      </c>
      <c r="J1597" s="1" t="n">
        <v>1610214</v>
      </c>
      <c r="L1597" s="1" t="n">
        <v>220718</v>
      </c>
      <c r="M1597" s="1" t="s">
        <v>36</v>
      </c>
      <c r="N1597" s="1" t="s">
        <v>50</v>
      </c>
      <c r="P1597" s="1" t="n">
        <v>102</v>
      </c>
      <c r="Q1597" s="1" t="s">
        <v>315</v>
      </c>
      <c r="R1597" s="1" t="s">
        <v>158</v>
      </c>
      <c r="S1597" s="1" t="n">
        <v>4210504</v>
      </c>
      <c r="T1597" s="1" t="s">
        <v>163</v>
      </c>
      <c r="U1597" s="1" t="n">
        <v>165</v>
      </c>
      <c r="W1597" s="1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2</v>
      </c>
      <c r="B1598" s="17" t="n">
        <v>46261</v>
      </c>
      <c r="C1598" s="17" t="n">
        <v>46261</v>
      </c>
      <c r="D1598" s="1" t="n">
        <v>0</v>
      </c>
      <c r="E1598" s="1" t="s">
        <v>33</v>
      </c>
      <c r="F1598" s="1" t="n">
        <v>17</v>
      </c>
      <c r="G1598" s="1" t="s">
        <v>34</v>
      </c>
      <c r="H1598" s="1" t="n">
        <v>1110101</v>
      </c>
      <c r="I1598" s="1" t="s">
        <v>35</v>
      </c>
      <c r="J1598" s="1" t="n">
        <v>1613690</v>
      </c>
      <c r="L1598" s="1" t="n">
        <v>1613690</v>
      </c>
      <c r="M1598" s="1" t="s">
        <v>36</v>
      </c>
      <c r="N1598" s="1" t="s">
        <v>37</v>
      </c>
      <c r="P1598" s="1" t="n">
        <v>113</v>
      </c>
      <c r="Q1598" s="1" t="s">
        <v>38</v>
      </c>
      <c r="R1598" s="1" t="s">
        <v>55</v>
      </c>
      <c r="S1598" s="1" t="n">
        <v>2110405</v>
      </c>
      <c r="T1598" s="1" t="s">
        <v>55</v>
      </c>
      <c r="U1598" s="1" t="n">
        <v>140</v>
      </c>
      <c r="W1598" s="1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2</v>
      </c>
      <c r="B1599" s="17" t="n">
        <v>46261</v>
      </c>
      <c r="C1599" s="17" t="n">
        <v>46261</v>
      </c>
      <c r="D1599" s="1" t="n">
        <v>0</v>
      </c>
      <c r="E1599" s="1" t="s">
        <v>33</v>
      </c>
      <c r="F1599" s="1" t="n">
        <v>17</v>
      </c>
      <c r="G1599" s="1" t="s">
        <v>34</v>
      </c>
      <c r="H1599" s="1" t="n">
        <v>1110101</v>
      </c>
      <c r="I1599" s="1" t="s">
        <v>35</v>
      </c>
      <c r="J1599" s="1" t="n">
        <v>1613695</v>
      </c>
      <c r="L1599" s="1" t="n">
        <v>1613695</v>
      </c>
      <c r="M1599" s="1" t="s">
        <v>36</v>
      </c>
      <c r="N1599" s="1" t="s">
        <v>37</v>
      </c>
      <c r="P1599" s="1" t="n">
        <v>113</v>
      </c>
      <c r="Q1599" s="1" t="s">
        <v>38</v>
      </c>
      <c r="R1599" s="1" t="s">
        <v>214</v>
      </c>
      <c r="S1599" s="1" t="n">
        <v>2110101</v>
      </c>
      <c r="T1599" s="1" t="s">
        <v>48</v>
      </c>
      <c r="U1599" s="1" t="n">
        <v>225</v>
      </c>
      <c r="W1599" s="1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2</v>
      </c>
      <c r="B1600" s="17" t="n">
        <v>46261</v>
      </c>
      <c r="C1600" s="17" t="n">
        <v>46261</v>
      </c>
      <c r="D1600" s="1" t="n">
        <v>0</v>
      </c>
      <c r="E1600" s="1" t="s">
        <v>33</v>
      </c>
      <c r="F1600" s="1" t="n">
        <v>17</v>
      </c>
      <c r="G1600" s="1" t="s">
        <v>34</v>
      </c>
      <c r="H1600" s="1" t="n">
        <v>1110101</v>
      </c>
      <c r="I1600" s="1" t="s">
        <v>35</v>
      </c>
      <c r="J1600" s="1" t="n">
        <v>1613699</v>
      </c>
      <c r="L1600" s="1" t="n">
        <v>1613699</v>
      </c>
      <c r="M1600" s="1" t="s">
        <v>36</v>
      </c>
      <c r="N1600" s="1" t="s">
        <v>37</v>
      </c>
      <c r="P1600" s="1" t="n">
        <v>113</v>
      </c>
      <c r="Q1600" s="1" t="s">
        <v>38</v>
      </c>
      <c r="R1600" s="1" t="s">
        <v>39</v>
      </c>
      <c r="S1600" s="1" t="n">
        <v>4210314</v>
      </c>
      <c r="T1600" s="1" t="s">
        <v>40</v>
      </c>
      <c r="U1600" s="1" t="n">
        <v>50</v>
      </c>
      <c r="W1600" s="1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2</v>
      </c>
      <c r="B1601" s="17" t="n">
        <v>46261</v>
      </c>
      <c r="C1601" s="17" t="n">
        <v>46261</v>
      </c>
      <c r="D1601" s="1" t="n">
        <v>0</v>
      </c>
      <c r="E1601" s="1" t="s">
        <v>33</v>
      </c>
      <c r="F1601" s="1" t="n">
        <v>17</v>
      </c>
      <c r="G1601" s="1" t="s">
        <v>34</v>
      </c>
      <c r="H1601" s="1" t="n">
        <v>1110101</v>
      </c>
      <c r="I1601" s="1" t="s">
        <v>35</v>
      </c>
      <c r="J1601" s="1" t="n">
        <v>1613702</v>
      </c>
      <c r="L1601" s="1" t="n">
        <v>1613702</v>
      </c>
      <c r="M1601" s="1" t="s">
        <v>36</v>
      </c>
      <c r="N1601" s="1" t="s">
        <v>37</v>
      </c>
      <c r="P1601" s="1" t="n">
        <v>113</v>
      </c>
      <c r="Q1601" s="1" t="s">
        <v>38</v>
      </c>
      <c r="R1601" s="1" t="s">
        <v>39</v>
      </c>
      <c r="S1601" s="1" t="n">
        <v>4210314</v>
      </c>
      <c r="T1601" s="1" t="s">
        <v>40</v>
      </c>
      <c r="U1601" s="1" t="n">
        <v>70</v>
      </c>
      <c r="W1601" s="1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2</v>
      </c>
      <c r="B1602" s="17" t="n">
        <v>46240</v>
      </c>
      <c r="C1602" s="17" t="n">
        <v>46261</v>
      </c>
      <c r="D1602" s="1" t="n">
        <v>1815</v>
      </c>
      <c r="E1602" s="1" t="s">
        <v>180</v>
      </c>
      <c r="F1602" s="1" t="n">
        <v>24</v>
      </c>
      <c r="G1602" s="1" t="s">
        <v>91</v>
      </c>
      <c r="H1602" s="1" t="n">
        <v>2110405</v>
      </c>
      <c r="I1602" s="1" t="s">
        <v>55</v>
      </c>
      <c r="J1602" s="1" t="n">
        <v>1508981</v>
      </c>
      <c r="L1602" s="1" t="n">
        <v>205093</v>
      </c>
      <c r="M1602" s="1" t="s">
        <v>36</v>
      </c>
      <c r="N1602" s="1" t="s">
        <v>50</v>
      </c>
      <c r="P1602" s="1" t="n">
        <v>113</v>
      </c>
      <c r="Q1602" s="1" t="s">
        <v>38</v>
      </c>
      <c r="R1602" s="1" t="s">
        <v>62</v>
      </c>
      <c r="S1602" s="1" t="n">
        <v>1130101</v>
      </c>
      <c r="T1602" s="1" t="s">
        <v>63</v>
      </c>
      <c r="U1602" s="1" t="n">
        <v>628.19</v>
      </c>
      <c r="W1602" s="1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" t="n">
        <v>2</v>
      </c>
      <c r="B1603" s="17" t="n">
        <v>46241</v>
      </c>
      <c r="C1603" s="17" t="n">
        <v>46261</v>
      </c>
      <c r="D1603" s="1" t="n">
        <v>794</v>
      </c>
      <c r="E1603" s="1" t="s">
        <v>343</v>
      </c>
      <c r="F1603" s="1" t="n">
        <v>24</v>
      </c>
      <c r="G1603" s="1" t="s">
        <v>91</v>
      </c>
      <c r="H1603" s="1" t="n">
        <v>2110405</v>
      </c>
      <c r="I1603" s="1" t="s">
        <v>55</v>
      </c>
      <c r="J1603" s="1" t="n">
        <v>1514359</v>
      </c>
      <c r="L1603" s="1" t="n">
        <v>205999</v>
      </c>
      <c r="M1603" s="1" t="s">
        <v>36</v>
      </c>
      <c r="N1603" s="1" t="s">
        <v>50</v>
      </c>
      <c r="P1603" s="1" t="n">
        <v>113</v>
      </c>
      <c r="Q1603" s="1" t="s">
        <v>38</v>
      </c>
      <c r="R1603" s="1" t="s">
        <v>62</v>
      </c>
      <c r="S1603" s="1" t="n">
        <v>1130101</v>
      </c>
      <c r="T1603" s="1" t="s">
        <v>63</v>
      </c>
      <c r="U1603" s="1" t="n">
        <v>382.62</v>
      </c>
      <c r="W1603" s="1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" t="n">
        <v>2</v>
      </c>
      <c r="B1604" s="17" t="n">
        <v>46241</v>
      </c>
      <c r="C1604" s="17" t="n">
        <v>46261</v>
      </c>
      <c r="D1604" s="1" t="n">
        <v>794</v>
      </c>
      <c r="E1604" s="1" t="s">
        <v>343</v>
      </c>
      <c r="F1604" s="1" t="n">
        <v>24</v>
      </c>
      <c r="G1604" s="1" t="s">
        <v>91</v>
      </c>
      <c r="H1604" s="1" t="n">
        <v>2110405</v>
      </c>
      <c r="I1604" s="1" t="s">
        <v>55</v>
      </c>
      <c r="J1604" s="1" t="n">
        <v>1514438</v>
      </c>
      <c r="L1604" s="1" t="n">
        <v>206013</v>
      </c>
      <c r="M1604" s="1" t="s">
        <v>36</v>
      </c>
      <c r="N1604" s="1" t="s">
        <v>50</v>
      </c>
      <c r="P1604" s="1" t="n">
        <v>113</v>
      </c>
      <c r="Q1604" s="1" t="s">
        <v>38</v>
      </c>
      <c r="R1604" s="1" t="s">
        <v>70</v>
      </c>
      <c r="S1604" s="1" t="n">
        <v>4210299</v>
      </c>
      <c r="T1604" s="1" t="s">
        <v>127</v>
      </c>
      <c r="U1604" s="1" t="n">
        <v>520.47</v>
      </c>
      <c r="W1604" s="1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" t="n">
        <v>2</v>
      </c>
      <c r="B1605" s="17" t="n">
        <v>46247</v>
      </c>
      <c r="C1605" s="17" t="n">
        <v>46261</v>
      </c>
      <c r="D1605" s="1" t="n">
        <v>1608</v>
      </c>
      <c r="E1605" s="1" t="s">
        <v>224</v>
      </c>
      <c r="F1605" s="1" t="n">
        <v>24</v>
      </c>
      <c r="G1605" s="1" t="s">
        <v>91</v>
      </c>
      <c r="H1605" s="1" t="n">
        <v>2110405</v>
      </c>
      <c r="I1605" s="1" t="s">
        <v>55</v>
      </c>
      <c r="J1605" s="1" t="n">
        <v>1540761</v>
      </c>
      <c r="L1605" s="1" t="n">
        <v>210177</v>
      </c>
      <c r="M1605" s="1" t="s">
        <v>36</v>
      </c>
      <c r="N1605" s="1" t="s">
        <v>50</v>
      </c>
      <c r="P1605" s="1" t="n">
        <v>113</v>
      </c>
      <c r="Q1605" s="1" t="s">
        <v>38</v>
      </c>
      <c r="R1605" s="1" t="s">
        <v>62</v>
      </c>
      <c r="S1605" s="1" t="n">
        <v>1130101</v>
      </c>
      <c r="T1605" s="1" t="s">
        <v>63</v>
      </c>
      <c r="U1605" s="1" t="n">
        <v>692.26</v>
      </c>
      <c r="W1605" s="1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" t="n">
        <v>2</v>
      </c>
      <c r="B1606" s="17" t="n">
        <v>46247</v>
      </c>
      <c r="C1606" s="17" t="n">
        <v>46261</v>
      </c>
      <c r="D1606" s="1" t="n">
        <v>1667</v>
      </c>
      <c r="E1606" s="1" t="s">
        <v>96</v>
      </c>
      <c r="F1606" s="1" t="n">
        <v>24</v>
      </c>
      <c r="G1606" s="1" t="s">
        <v>91</v>
      </c>
      <c r="H1606" s="1" t="n">
        <v>2110405</v>
      </c>
      <c r="I1606" s="1" t="s">
        <v>55</v>
      </c>
      <c r="J1606" s="1" t="n">
        <v>1540922</v>
      </c>
      <c r="L1606" s="1" t="n">
        <v>210242</v>
      </c>
      <c r="M1606" s="1" t="s">
        <v>36</v>
      </c>
      <c r="N1606" s="1" t="s">
        <v>50</v>
      </c>
      <c r="P1606" s="1" t="n">
        <v>113</v>
      </c>
      <c r="Q1606" s="1" t="s">
        <v>38</v>
      </c>
      <c r="R1606" s="1" t="s">
        <v>62</v>
      </c>
      <c r="S1606" s="1" t="n">
        <v>1130101</v>
      </c>
      <c r="T1606" s="1" t="s">
        <v>63</v>
      </c>
      <c r="U1606" s="1" t="n">
        <v>668.77</v>
      </c>
      <c r="W1606" s="1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" t="n">
        <v>2</v>
      </c>
      <c r="B1607" s="17" t="n">
        <v>46247</v>
      </c>
      <c r="C1607" s="17" t="n">
        <v>46261</v>
      </c>
      <c r="D1607" s="1" t="n">
        <v>1740</v>
      </c>
      <c r="E1607" s="1" t="s">
        <v>462</v>
      </c>
      <c r="F1607" s="1" t="n">
        <v>24</v>
      </c>
      <c r="G1607" s="1" t="s">
        <v>91</v>
      </c>
      <c r="H1607" s="1" t="n">
        <v>2110405</v>
      </c>
      <c r="I1607" s="1" t="s">
        <v>55</v>
      </c>
      <c r="J1607" s="1" t="n">
        <v>1541224</v>
      </c>
      <c r="L1607" s="1" t="n">
        <v>210282</v>
      </c>
      <c r="M1607" s="1" t="s">
        <v>36</v>
      </c>
      <c r="N1607" s="1" t="s">
        <v>50</v>
      </c>
      <c r="P1607" s="1" t="n">
        <v>113</v>
      </c>
      <c r="Q1607" s="1" t="s">
        <v>38</v>
      </c>
      <c r="R1607" s="1" t="s">
        <v>62</v>
      </c>
      <c r="S1607" s="1" t="n">
        <v>1130101</v>
      </c>
      <c r="T1607" s="1" t="s">
        <v>63</v>
      </c>
      <c r="U1607" s="1" t="n">
        <v>386.74</v>
      </c>
      <c r="W1607" s="1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" t="n">
        <v>2</v>
      </c>
      <c r="B1608" s="17" t="n">
        <v>46247</v>
      </c>
      <c r="C1608" s="17" t="n">
        <v>46261</v>
      </c>
      <c r="D1608" s="1" t="n">
        <v>1601</v>
      </c>
      <c r="E1608" s="1" t="s">
        <v>192</v>
      </c>
      <c r="F1608" s="1" t="n">
        <v>24</v>
      </c>
      <c r="G1608" s="1" t="s">
        <v>91</v>
      </c>
      <c r="H1608" s="1" t="n">
        <v>2110405</v>
      </c>
      <c r="I1608" s="1" t="s">
        <v>55</v>
      </c>
      <c r="J1608" s="1" t="n">
        <v>1543874</v>
      </c>
      <c r="L1608" s="1" t="n">
        <v>210525</v>
      </c>
      <c r="M1608" s="1" t="s">
        <v>36</v>
      </c>
      <c r="N1608" s="1" t="s">
        <v>50</v>
      </c>
      <c r="P1608" s="1" t="n">
        <v>113</v>
      </c>
      <c r="Q1608" s="1" t="s">
        <v>38</v>
      </c>
      <c r="R1608" s="1" t="s">
        <v>62</v>
      </c>
      <c r="S1608" s="1" t="n">
        <v>1130101</v>
      </c>
      <c r="T1608" s="1" t="s">
        <v>63</v>
      </c>
      <c r="U1608" s="1" t="n">
        <v>436.02</v>
      </c>
      <c r="W1608" s="1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 TRIGOLAR C/F1K</v>
      </c>
      <c r="AC1608" s="1" t="n">
        <v>862791</v>
      </c>
    </row>
    <row r="1609" customFormat="false" ht="12.75" hidden="false" customHeight="true" outlineLevel="0" collapsed="false">
      <c r="A1609" s="1" t="n">
        <v>2</v>
      </c>
      <c r="B1609" s="17" t="n">
        <v>46252</v>
      </c>
      <c r="C1609" s="17" t="n">
        <v>46261</v>
      </c>
      <c r="D1609" s="1" t="n">
        <v>1196</v>
      </c>
      <c r="E1609" s="1" t="s">
        <v>1423</v>
      </c>
      <c r="F1609" s="1" t="n">
        <v>24</v>
      </c>
      <c r="G1609" s="1" t="s">
        <v>91</v>
      </c>
      <c r="H1609" s="1" t="n">
        <v>2110405</v>
      </c>
      <c r="I1609" s="1" t="s">
        <v>55</v>
      </c>
      <c r="J1609" s="1" t="n">
        <v>1566579</v>
      </c>
      <c r="L1609" s="1" t="n">
        <v>213841</v>
      </c>
      <c r="M1609" s="1" t="s">
        <v>36</v>
      </c>
      <c r="N1609" s="1" t="s">
        <v>50</v>
      </c>
      <c r="P1609" s="1" t="n">
        <v>113</v>
      </c>
      <c r="Q1609" s="1" t="s">
        <v>38</v>
      </c>
      <c r="R1609" s="1" t="s">
        <v>62</v>
      </c>
      <c r="S1609" s="1" t="n">
        <v>1130101</v>
      </c>
      <c r="T1609" s="1" t="s">
        <v>63</v>
      </c>
      <c r="U1609" s="1" t="n">
        <v>855.99</v>
      </c>
      <c r="W1609" s="1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" t="n">
        <v>2</v>
      </c>
      <c r="B1610" s="17" t="n">
        <v>46252</v>
      </c>
      <c r="C1610" s="17" t="n">
        <v>46261</v>
      </c>
      <c r="D1610" s="1" t="n">
        <v>1671</v>
      </c>
      <c r="E1610" s="1" t="s">
        <v>101</v>
      </c>
      <c r="F1610" s="1" t="n">
        <v>24</v>
      </c>
      <c r="G1610" s="1" t="s">
        <v>91</v>
      </c>
      <c r="H1610" s="1" t="n">
        <v>2110405</v>
      </c>
      <c r="I1610" s="1" t="s">
        <v>55</v>
      </c>
      <c r="J1610" s="1" t="n">
        <v>1567127</v>
      </c>
      <c r="L1610" s="1" t="n">
        <v>213978</v>
      </c>
      <c r="M1610" s="1" t="s">
        <v>36</v>
      </c>
      <c r="N1610" s="1" t="s">
        <v>50</v>
      </c>
      <c r="P1610" s="1" t="n">
        <v>113</v>
      </c>
      <c r="Q1610" s="1" t="s">
        <v>38</v>
      </c>
      <c r="R1610" s="1" t="s">
        <v>62</v>
      </c>
      <c r="S1610" s="1" t="n">
        <v>1130101</v>
      </c>
      <c r="T1610" s="1" t="s">
        <v>63</v>
      </c>
      <c r="U1610" s="1" t="n">
        <v>793.82</v>
      </c>
      <c r="W1610" s="1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" t="n">
        <v>2</v>
      </c>
      <c r="B1611" s="17" t="n">
        <v>46254</v>
      </c>
      <c r="C1611" s="17" t="n">
        <v>46261</v>
      </c>
      <c r="D1611" s="1" t="n">
        <v>10018</v>
      </c>
      <c r="E1611" s="1" t="s">
        <v>243</v>
      </c>
      <c r="F1611" s="1" t="n">
        <v>34</v>
      </c>
      <c r="G1611" s="1" t="s">
        <v>110</v>
      </c>
      <c r="H1611" s="1" t="n">
        <v>2110405</v>
      </c>
      <c r="I1611" s="1" t="s">
        <v>55</v>
      </c>
      <c r="J1611" s="1" t="n">
        <v>1577576</v>
      </c>
      <c r="L1611" s="1" t="n">
        <v>215690</v>
      </c>
      <c r="M1611" s="1" t="s">
        <v>36</v>
      </c>
      <c r="N1611" s="1" t="s">
        <v>50</v>
      </c>
      <c r="P1611" s="1" t="n">
        <v>113</v>
      </c>
      <c r="Q1611" s="1" t="s">
        <v>38</v>
      </c>
      <c r="R1611" s="1" t="s">
        <v>62</v>
      </c>
      <c r="S1611" s="1" t="n">
        <v>1130101</v>
      </c>
      <c r="T1611" s="1" t="s">
        <v>63</v>
      </c>
      <c r="U1611" s="1" t="n">
        <v>1734.8</v>
      </c>
      <c r="W1611" s="1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" t="n">
        <v>2</v>
      </c>
      <c r="B1612" s="17" t="n">
        <v>46259</v>
      </c>
      <c r="C1612" s="17" t="n">
        <v>46261</v>
      </c>
      <c r="D1612" s="1" t="n">
        <v>642</v>
      </c>
      <c r="E1612" s="1" t="s">
        <v>144</v>
      </c>
      <c r="F1612" s="1" t="n">
        <v>24</v>
      </c>
      <c r="G1612" s="1" t="s">
        <v>91</v>
      </c>
      <c r="H1612" s="1" t="n">
        <v>2110405</v>
      </c>
      <c r="I1612" s="1" t="s">
        <v>55</v>
      </c>
      <c r="J1612" s="1" t="n">
        <v>1599474</v>
      </c>
      <c r="L1612" s="1" t="n">
        <v>218956</v>
      </c>
      <c r="M1612" s="1" t="s">
        <v>36</v>
      </c>
      <c r="N1612" s="1" t="s">
        <v>50</v>
      </c>
      <c r="P1612" s="1" t="n">
        <v>113</v>
      </c>
      <c r="Q1612" s="1" t="s">
        <v>38</v>
      </c>
      <c r="R1612" s="1" t="s">
        <v>62</v>
      </c>
      <c r="S1612" s="1" t="n">
        <v>1130101</v>
      </c>
      <c r="T1612" s="1" t="s">
        <v>63</v>
      </c>
      <c r="U1612" s="1" t="n">
        <v>240</v>
      </c>
      <c r="W1612" s="1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" t="n">
        <v>2</v>
      </c>
      <c r="B1613" s="17" t="n">
        <v>46261</v>
      </c>
      <c r="C1613" s="17" t="n">
        <v>46261</v>
      </c>
      <c r="D1613" s="1" t="n">
        <v>48</v>
      </c>
      <c r="E1613" s="1" t="s">
        <v>146</v>
      </c>
      <c r="F1613" s="1" t="n">
        <v>13</v>
      </c>
      <c r="G1613" s="1" t="s">
        <v>147</v>
      </c>
      <c r="H1613" s="1" t="n">
        <v>2110101</v>
      </c>
      <c r="I1613" s="1" t="s">
        <v>48</v>
      </c>
      <c r="J1613" s="1" t="n">
        <v>1609212</v>
      </c>
      <c r="L1613" s="1" t="n">
        <v>2635</v>
      </c>
      <c r="M1613" s="1" t="s">
        <v>36</v>
      </c>
      <c r="N1613" s="1" t="s">
        <v>68</v>
      </c>
      <c r="P1613" s="1" t="n">
        <v>113</v>
      </c>
      <c r="Q1613" s="1" t="s">
        <v>38</v>
      </c>
      <c r="R1613" s="1" t="s">
        <v>62</v>
      </c>
      <c r="S1613" s="1" t="n">
        <v>1130101</v>
      </c>
      <c r="T1613" s="1" t="s">
        <v>63</v>
      </c>
      <c r="U1613" s="1" t="n">
        <v>225</v>
      </c>
      <c r="W1613" s="1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2</v>
      </c>
      <c r="B1614" s="17" t="n">
        <v>46261</v>
      </c>
      <c r="C1614" s="17" t="n">
        <v>46261</v>
      </c>
      <c r="D1614" s="1" t="n">
        <v>1695</v>
      </c>
      <c r="E1614" s="1" t="s">
        <v>392</v>
      </c>
      <c r="F1614" s="1" t="n">
        <v>34</v>
      </c>
      <c r="G1614" s="1" t="s">
        <v>110</v>
      </c>
      <c r="H1614" s="1" t="n">
        <v>2110405</v>
      </c>
      <c r="I1614" s="1" t="s">
        <v>55</v>
      </c>
      <c r="J1614" s="1" t="n">
        <v>1609832</v>
      </c>
      <c r="L1614" s="1" t="n">
        <v>220669</v>
      </c>
      <c r="M1614" s="1" t="s">
        <v>36</v>
      </c>
      <c r="N1614" s="1" t="s">
        <v>50</v>
      </c>
      <c r="P1614" s="1" t="n">
        <v>113</v>
      </c>
      <c r="Q1614" s="1" t="s">
        <v>38</v>
      </c>
      <c r="R1614" s="1" t="s">
        <v>62</v>
      </c>
      <c r="S1614" s="1" t="n">
        <v>1130101</v>
      </c>
      <c r="T1614" s="1" t="s">
        <v>63</v>
      </c>
      <c r="U1614" s="1" t="n">
        <v>610.06</v>
      </c>
      <c r="W1614" s="1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2</v>
      </c>
      <c r="B1615" s="17" t="n">
        <v>46261</v>
      </c>
      <c r="C1615" s="17" t="n">
        <v>46261</v>
      </c>
      <c r="D1615" s="1" t="n">
        <v>10096</v>
      </c>
      <c r="E1615" s="1" t="s">
        <v>624</v>
      </c>
      <c r="F1615" s="1" t="n">
        <v>13</v>
      </c>
      <c r="G1615" s="1" t="s">
        <v>147</v>
      </c>
      <c r="H1615" s="1" t="n">
        <v>2110405</v>
      </c>
      <c r="I1615" s="1" t="s">
        <v>55</v>
      </c>
      <c r="J1615" s="1" t="n">
        <v>1613667</v>
      </c>
      <c r="L1615" s="1" t="n">
        <v>221241</v>
      </c>
      <c r="M1615" s="1" t="s">
        <v>36</v>
      </c>
      <c r="N1615" s="1" t="s">
        <v>50</v>
      </c>
      <c r="P1615" s="1" t="n">
        <v>113</v>
      </c>
      <c r="Q1615" s="1" t="s">
        <v>38</v>
      </c>
      <c r="R1615" s="1" t="s">
        <v>62</v>
      </c>
      <c r="S1615" s="1" t="n">
        <v>1130101</v>
      </c>
      <c r="T1615" s="1" t="s">
        <v>63</v>
      </c>
      <c r="U1615" s="1" t="n">
        <v>140</v>
      </c>
      <c r="W1615" s="1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" t="n">
        <v>2</v>
      </c>
      <c r="B1616" s="17" t="n">
        <v>46262</v>
      </c>
      <c r="C1616" s="17" t="n">
        <v>46262</v>
      </c>
      <c r="D1616" s="1" t="n">
        <v>0</v>
      </c>
      <c r="E1616" s="1" t="s">
        <v>33</v>
      </c>
      <c r="F1616" s="1" t="n">
        <v>17</v>
      </c>
      <c r="G1616" s="1" t="s">
        <v>34</v>
      </c>
      <c r="H1616" s="1" t="n">
        <v>1110101</v>
      </c>
      <c r="I1616" s="1" t="s">
        <v>35</v>
      </c>
      <c r="J1616" s="1" t="n">
        <v>1629952</v>
      </c>
      <c r="L1616" s="1" t="n">
        <v>1629952</v>
      </c>
      <c r="M1616" s="1" t="s">
        <v>36</v>
      </c>
      <c r="N1616" s="1" t="s">
        <v>37</v>
      </c>
      <c r="P1616" s="1" t="n">
        <v>113</v>
      </c>
      <c r="Q1616" s="1" t="s">
        <v>38</v>
      </c>
      <c r="R1616" s="1" t="s">
        <v>39</v>
      </c>
      <c r="S1616" s="1" t="n">
        <v>4210314</v>
      </c>
      <c r="T1616" s="1" t="s">
        <v>40</v>
      </c>
      <c r="U1616" s="1" t="n">
        <v>50</v>
      </c>
      <c r="W1616" s="1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2</v>
      </c>
      <c r="B1617" s="17" t="n">
        <v>46262</v>
      </c>
      <c r="C1617" s="17" t="n">
        <v>46262</v>
      </c>
      <c r="D1617" s="1" t="n">
        <v>0</v>
      </c>
      <c r="E1617" s="1" t="s">
        <v>33</v>
      </c>
      <c r="F1617" s="1" t="n">
        <v>17</v>
      </c>
      <c r="G1617" s="1" t="s">
        <v>34</v>
      </c>
      <c r="H1617" s="1" t="n">
        <v>1110101</v>
      </c>
      <c r="I1617" s="1" t="s">
        <v>35</v>
      </c>
      <c r="J1617" s="1" t="n">
        <v>1629953</v>
      </c>
      <c r="L1617" s="1" t="n">
        <v>1629953</v>
      </c>
      <c r="M1617" s="1" t="s">
        <v>36</v>
      </c>
      <c r="N1617" s="1" t="s">
        <v>37</v>
      </c>
      <c r="P1617" s="1" t="n">
        <v>113</v>
      </c>
      <c r="Q1617" s="1" t="s">
        <v>38</v>
      </c>
      <c r="R1617" s="1" t="s">
        <v>39</v>
      </c>
      <c r="S1617" s="1" t="n">
        <v>4210314</v>
      </c>
      <c r="T1617" s="1" t="s">
        <v>40</v>
      </c>
      <c r="U1617" s="1" t="n">
        <v>70</v>
      </c>
      <c r="W1617" s="1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2</v>
      </c>
      <c r="B1618" s="17" t="n">
        <v>46262</v>
      </c>
      <c r="C1618" s="17" t="n">
        <v>46262</v>
      </c>
      <c r="D1618" s="1" t="n">
        <v>0</v>
      </c>
      <c r="E1618" s="1" t="s">
        <v>33</v>
      </c>
      <c r="F1618" s="1" t="n">
        <v>17</v>
      </c>
      <c r="G1618" s="1" t="s">
        <v>34</v>
      </c>
      <c r="H1618" s="1" t="n">
        <v>1110101</v>
      </c>
      <c r="I1618" s="1" t="s">
        <v>35</v>
      </c>
      <c r="J1618" s="1" t="n">
        <v>1629954</v>
      </c>
      <c r="L1618" s="1" t="n">
        <v>1629954</v>
      </c>
      <c r="M1618" s="1" t="s">
        <v>36</v>
      </c>
      <c r="N1618" s="1" t="s">
        <v>37</v>
      </c>
      <c r="P1618" s="1" t="n">
        <v>113</v>
      </c>
      <c r="Q1618" s="1" t="s">
        <v>38</v>
      </c>
      <c r="R1618" s="1" t="s">
        <v>55</v>
      </c>
      <c r="S1618" s="1" t="n">
        <v>2110405</v>
      </c>
      <c r="T1618" s="1" t="s">
        <v>55</v>
      </c>
      <c r="U1618" s="1" t="n">
        <v>160.32</v>
      </c>
      <c r="W1618" s="1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2</v>
      </c>
      <c r="B1619" s="17" t="n">
        <v>46262</v>
      </c>
      <c r="C1619" s="17" t="n">
        <v>46262</v>
      </c>
      <c r="D1619" s="1" t="n">
        <v>0</v>
      </c>
      <c r="E1619" s="1" t="s">
        <v>33</v>
      </c>
      <c r="F1619" s="1" t="n">
        <v>17</v>
      </c>
      <c r="G1619" s="1" t="s">
        <v>34</v>
      </c>
      <c r="H1619" s="1" t="n">
        <v>1110101</v>
      </c>
      <c r="I1619" s="1" t="s">
        <v>35</v>
      </c>
      <c r="J1619" s="1" t="n">
        <v>1646145</v>
      </c>
      <c r="L1619" s="1" t="n">
        <v>1646145</v>
      </c>
      <c r="M1619" s="1" t="s">
        <v>36</v>
      </c>
      <c r="N1619" s="1" t="s">
        <v>37</v>
      </c>
      <c r="P1619" s="1" t="n">
        <v>113</v>
      </c>
      <c r="Q1619" s="1" t="s">
        <v>38</v>
      </c>
      <c r="R1619" s="1" t="s">
        <v>70</v>
      </c>
      <c r="S1619" s="1" t="n">
        <v>4210227</v>
      </c>
      <c r="T1619" s="1" t="s">
        <v>77</v>
      </c>
      <c r="U1619" s="1" t="n">
        <v>300</v>
      </c>
      <c r="W1619" s="1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2</v>
      </c>
      <c r="B1620" s="17" t="n">
        <v>46244</v>
      </c>
      <c r="C1620" s="17" t="n">
        <v>46262</v>
      </c>
      <c r="D1620" s="1" t="n">
        <v>1666</v>
      </c>
      <c r="E1620" s="1" t="s">
        <v>229</v>
      </c>
      <c r="F1620" s="1" t="n">
        <v>24</v>
      </c>
      <c r="G1620" s="1" t="s">
        <v>91</v>
      </c>
      <c r="H1620" s="1" t="n">
        <v>2110405</v>
      </c>
      <c r="I1620" s="1" t="s">
        <v>55</v>
      </c>
      <c r="J1620" s="1" t="n">
        <v>1529119</v>
      </c>
      <c r="L1620" s="1" t="n">
        <v>207951</v>
      </c>
      <c r="M1620" s="1" t="s">
        <v>36</v>
      </c>
      <c r="N1620" s="1" t="s">
        <v>50</v>
      </c>
      <c r="P1620" s="1" t="n">
        <v>113</v>
      </c>
      <c r="Q1620" s="1" t="s">
        <v>38</v>
      </c>
      <c r="R1620" s="1" t="s">
        <v>62</v>
      </c>
      <c r="S1620" s="1" t="n">
        <v>1130101</v>
      </c>
      <c r="T1620" s="1" t="s">
        <v>63</v>
      </c>
      <c r="U1620" s="1" t="n">
        <v>4605.48</v>
      </c>
      <c r="W1620" s="1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" t="n">
        <v>2</v>
      </c>
      <c r="B1621" s="17" t="n">
        <v>46248</v>
      </c>
      <c r="C1621" s="17" t="n">
        <v>46262</v>
      </c>
      <c r="D1621" s="1" t="n">
        <v>1705</v>
      </c>
      <c r="E1621" s="1" t="s">
        <v>131</v>
      </c>
      <c r="F1621" s="1" t="n">
        <v>24</v>
      </c>
      <c r="G1621" s="1" t="s">
        <v>91</v>
      </c>
      <c r="H1621" s="1" t="n">
        <v>2110405</v>
      </c>
      <c r="I1621" s="1" t="s">
        <v>55</v>
      </c>
      <c r="J1621" s="1" t="n">
        <v>1546022</v>
      </c>
      <c r="L1621" s="1" t="n">
        <v>211208</v>
      </c>
      <c r="M1621" s="1" t="s">
        <v>36</v>
      </c>
      <c r="N1621" s="1" t="s">
        <v>50</v>
      </c>
      <c r="P1621" s="1" t="n">
        <v>113</v>
      </c>
      <c r="Q1621" s="1" t="s">
        <v>38</v>
      </c>
      <c r="R1621" s="1" t="s">
        <v>62</v>
      </c>
      <c r="S1621" s="1" t="n">
        <v>1130101</v>
      </c>
      <c r="T1621" s="1" t="s">
        <v>63</v>
      </c>
      <c r="U1621" s="1" t="n">
        <v>50.85</v>
      </c>
      <c r="W1621" s="1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" t="n">
        <v>2</v>
      </c>
      <c r="B1622" s="17" t="n">
        <v>46248</v>
      </c>
      <c r="C1622" s="17" t="n">
        <v>46262</v>
      </c>
      <c r="D1622" s="1" t="n">
        <v>1705</v>
      </c>
      <c r="E1622" s="1" t="s">
        <v>131</v>
      </c>
      <c r="F1622" s="1" t="n">
        <v>24</v>
      </c>
      <c r="G1622" s="1" t="s">
        <v>91</v>
      </c>
      <c r="H1622" s="1" t="n">
        <v>2110405</v>
      </c>
      <c r="I1622" s="1" t="s">
        <v>55</v>
      </c>
      <c r="J1622" s="1" t="n">
        <v>1546035</v>
      </c>
      <c r="L1622" s="1" t="n">
        <v>211216</v>
      </c>
      <c r="M1622" s="1" t="s">
        <v>36</v>
      </c>
      <c r="N1622" s="1" t="s">
        <v>50</v>
      </c>
      <c r="P1622" s="1" t="n">
        <v>113</v>
      </c>
      <c r="Q1622" s="1" t="s">
        <v>38</v>
      </c>
      <c r="R1622" s="1" t="s">
        <v>62</v>
      </c>
      <c r="S1622" s="1" t="n">
        <v>1130101</v>
      </c>
      <c r="T1622" s="1" t="s">
        <v>63</v>
      </c>
      <c r="U1622" s="1" t="n">
        <v>620.26</v>
      </c>
      <c r="W1622" s="1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" t="n">
        <v>2</v>
      </c>
      <c r="B1623" s="17" t="n">
        <v>46248</v>
      </c>
      <c r="C1623" s="17" t="n">
        <v>46262</v>
      </c>
      <c r="D1623" s="1" t="n">
        <v>1705</v>
      </c>
      <c r="E1623" s="1" t="s">
        <v>131</v>
      </c>
      <c r="F1623" s="1" t="n">
        <v>24</v>
      </c>
      <c r="G1623" s="1" t="s">
        <v>91</v>
      </c>
      <c r="H1623" s="1" t="n">
        <v>2110405</v>
      </c>
      <c r="I1623" s="1" t="s">
        <v>55</v>
      </c>
      <c r="J1623" s="1" t="n">
        <v>1546067</v>
      </c>
      <c r="L1623" s="1" t="n">
        <v>211225</v>
      </c>
      <c r="M1623" s="1" t="s">
        <v>36</v>
      </c>
      <c r="N1623" s="1" t="s">
        <v>50</v>
      </c>
      <c r="P1623" s="1" t="n">
        <v>113</v>
      </c>
      <c r="Q1623" s="1" t="s">
        <v>38</v>
      </c>
      <c r="R1623" s="1" t="s">
        <v>62</v>
      </c>
      <c r="S1623" s="1" t="n">
        <v>1130101</v>
      </c>
      <c r="T1623" s="1" t="s">
        <v>63</v>
      </c>
      <c r="U1623" s="1" t="n">
        <v>2148.12</v>
      </c>
      <c r="W1623" s="1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" t="n">
        <v>2</v>
      </c>
      <c r="B1624" s="17" t="n">
        <v>46252</v>
      </c>
      <c r="C1624" s="17" t="n">
        <v>46262</v>
      </c>
      <c r="D1624" s="1" t="n">
        <v>1699</v>
      </c>
      <c r="E1624" s="1" t="s">
        <v>231</v>
      </c>
      <c r="F1624" s="1" t="n">
        <v>24</v>
      </c>
      <c r="G1624" s="1" t="s">
        <v>91</v>
      </c>
      <c r="H1624" s="1" t="n">
        <v>2110405</v>
      </c>
      <c r="I1624" s="1" t="s">
        <v>55</v>
      </c>
      <c r="J1624" s="1" t="n">
        <v>1568208</v>
      </c>
      <c r="L1624" s="1" t="n">
        <v>214137</v>
      </c>
      <c r="M1624" s="1" t="s">
        <v>36</v>
      </c>
      <c r="N1624" s="1" t="s">
        <v>50</v>
      </c>
      <c r="P1624" s="1" t="n">
        <v>113</v>
      </c>
      <c r="Q1624" s="1" t="s">
        <v>38</v>
      </c>
      <c r="R1624" s="1" t="s">
        <v>62</v>
      </c>
      <c r="S1624" s="1" t="n">
        <v>1130101</v>
      </c>
      <c r="T1624" s="1" t="s">
        <v>63</v>
      </c>
      <c r="U1624" s="1" t="n">
        <v>474.75</v>
      </c>
      <c r="W1624" s="1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" t="n">
        <v>2</v>
      </c>
      <c r="B1625" s="17" t="n">
        <v>46253</v>
      </c>
      <c r="C1625" s="17" t="n">
        <v>46262</v>
      </c>
      <c r="D1625" s="1" t="n">
        <v>1723</v>
      </c>
      <c r="E1625" s="1" t="s">
        <v>373</v>
      </c>
      <c r="F1625" s="1" t="n">
        <v>24</v>
      </c>
      <c r="G1625" s="1" t="s">
        <v>91</v>
      </c>
      <c r="H1625" s="1" t="n">
        <v>2110405</v>
      </c>
      <c r="I1625" s="1" t="s">
        <v>55</v>
      </c>
      <c r="J1625" s="1" t="n">
        <v>1572402</v>
      </c>
      <c r="L1625" s="1" t="n">
        <v>214810</v>
      </c>
      <c r="M1625" s="1" t="s">
        <v>36</v>
      </c>
      <c r="N1625" s="1" t="s">
        <v>50</v>
      </c>
      <c r="P1625" s="1" t="n">
        <v>113</v>
      </c>
      <c r="Q1625" s="1" t="s">
        <v>38</v>
      </c>
      <c r="R1625" s="1" t="s">
        <v>62</v>
      </c>
      <c r="S1625" s="1" t="n">
        <v>1130101</v>
      </c>
      <c r="T1625" s="1" t="s">
        <v>63</v>
      </c>
      <c r="U1625" s="1" t="n">
        <v>2334.75</v>
      </c>
      <c r="W1625" s="1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" t="n">
        <v>2</v>
      </c>
      <c r="B1626" s="17" t="n">
        <v>46255</v>
      </c>
      <c r="C1626" s="17" t="n">
        <v>46262</v>
      </c>
      <c r="D1626" s="1" t="n">
        <v>1292</v>
      </c>
      <c r="E1626" s="1" t="s">
        <v>205</v>
      </c>
      <c r="F1626" s="1" t="n">
        <v>24</v>
      </c>
      <c r="G1626" s="1" t="s">
        <v>91</v>
      </c>
      <c r="H1626" s="1" t="n">
        <v>2110405</v>
      </c>
      <c r="I1626" s="1" t="s">
        <v>55</v>
      </c>
      <c r="J1626" s="1" t="n">
        <v>1580953</v>
      </c>
      <c r="L1626" s="1" t="n">
        <v>216244</v>
      </c>
      <c r="M1626" s="1" t="s">
        <v>36</v>
      </c>
      <c r="N1626" s="1" t="s">
        <v>50</v>
      </c>
      <c r="P1626" s="1" t="n">
        <v>113</v>
      </c>
      <c r="Q1626" s="1" t="s">
        <v>38</v>
      </c>
      <c r="R1626" s="1" t="s">
        <v>62</v>
      </c>
      <c r="S1626" s="1" t="n">
        <v>1130101</v>
      </c>
      <c r="T1626" s="1" t="s">
        <v>63</v>
      </c>
      <c r="U1626" s="1" t="n">
        <v>814.25</v>
      </c>
      <c r="W1626" s="1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" t="n">
        <v>2</v>
      </c>
      <c r="B1627" s="17" t="n">
        <v>46255</v>
      </c>
      <c r="C1627" s="17" t="n">
        <v>46262</v>
      </c>
      <c r="D1627" s="1" t="n">
        <v>48</v>
      </c>
      <c r="E1627" s="1" t="s">
        <v>146</v>
      </c>
      <c r="F1627" s="1" t="n">
        <v>34</v>
      </c>
      <c r="G1627" s="1" t="s">
        <v>110</v>
      </c>
      <c r="H1627" s="1" t="n">
        <v>2110101</v>
      </c>
      <c r="I1627" s="1" t="s">
        <v>48</v>
      </c>
      <c r="J1627" s="1" t="n">
        <v>1582083</v>
      </c>
      <c r="L1627" s="1" t="n">
        <v>2624</v>
      </c>
      <c r="M1627" s="1" t="s">
        <v>36</v>
      </c>
      <c r="N1627" s="1" t="s">
        <v>68</v>
      </c>
      <c r="P1627" s="1" t="n">
        <v>113</v>
      </c>
      <c r="Q1627" s="1" t="s">
        <v>38</v>
      </c>
      <c r="R1627" s="1" t="s">
        <v>62</v>
      </c>
      <c r="S1627" s="1" t="n">
        <v>1130101</v>
      </c>
      <c r="T1627" s="1" t="s">
        <v>63</v>
      </c>
      <c r="U1627" s="1" t="n">
        <v>1383</v>
      </c>
      <c r="W1627" s="1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2</v>
      </c>
      <c r="B1628" s="17" t="n">
        <v>46256</v>
      </c>
      <c r="C1628" s="17" t="n">
        <v>46262</v>
      </c>
      <c r="D1628" s="1" t="n">
        <v>1666</v>
      </c>
      <c r="E1628" s="1" t="s">
        <v>229</v>
      </c>
      <c r="F1628" s="1" t="n">
        <v>24</v>
      </c>
      <c r="G1628" s="1" t="s">
        <v>91</v>
      </c>
      <c r="H1628" s="1" t="n">
        <v>2110405</v>
      </c>
      <c r="I1628" s="1" t="s">
        <v>55</v>
      </c>
      <c r="J1628" s="1" t="n">
        <v>1585290</v>
      </c>
      <c r="L1628" s="1" t="n">
        <v>216888</v>
      </c>
      <c r="M1628" s="1" t="s">
        <v>36</v>
      </c>
      <c r="N1628" s="1" t="s">
        <v>50</v>
      </c>
      <c r="P1628" s="1" t="n">
        <v>113</v>
      </c>
      <c r="Q1628" s="1" t="s">
        <v>38</v>
      </c>
      <c r="R1628" s="1" t="s">
        <v>62</v>
      </c>
      <c r="S1628" s="1" t="n">
        <v>1130101</v>
      </c>
      <c r="T1628" s="1" t="s">
        <v>63</v>
      </c>
      <c r="U1628" s="1" t="n">
        <v>5860.74</v>
      </c>
      <c r="W1628" s="1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" t="n">
        <v>2</v>
      </c>
      <c r="B1629" s="17" t="n">
        <v>46262</v>
      </c>
      <c r="C1629" s="17" t="n">
        <v>46262</v>
      </c>
      <c r="D1629" s="1" t="n">
        <v>12</v>
      </c>
      <c r="E1629" s="1" t="s">
        <v>54</v>
      </c>
      <c r="F1629" s="1" t="n">
        <v>34</v>
      </c>
      <c r="G1629" s="1" t="s">
        <v>110</v>
      </c>
      <c r="H1629" s="1" t="n">
        <v>2110405</v>
      </c>
      <c r="I1629" s="1" t="s">
        <v>55</v>
      </c>
      <c r="J1629" s="1" t="n">
        <v>1613912</v>
      </c>
      <c r="L1629" s="1" t="n">
        <v>221306</v>
      </c>
      <c r="M1629" s="1" t="s">
        <v>36</v>
      </c>
      <c r="N1629" s="1" t="s">
        <v>50</v>
      </c>
      <c r="P1629" s="1" t="n">
        <v>101</v>
      </c>
      <c r="Q1629" s="1" t="s">
        <v>56</v>
      </c>
      <c r="R1629" s="1" t="s">
        <v>39</v>
      </c>
      <c r="S1629" s="1" t="n">
        <v>4210314</v>
      </c>
      <c r="T1629" s="1" t="s">
        <v>40</v>
      </c>
      <c r="U1629" s="1" t="n">
        <v>970</v>
      </c>
      <c r="W1629" s="1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2</v>
      </c>
      <c r="B1630" s="17" t="n">
        <v>46262</v>
      </c>
      <c r="C1630" s="17" t="n">
        <v>46262</v>
      </c>
      <c r="D1630" s="1" t="n">
        <v>48</v>
      </c>
      <c r="E1630" s="1" t="s">
        <v>146</v>
      </c>
      <c r="F1630" s="1" t="n">
        <v>34</v>
      </c>
      <c r="G1630" s="1" t="s">
        <v>110</v>
      </c>
      <c r="H1630" s="1" t="n">
        <v>2110101</v>
      </c>
      <c r="I1630" s="1" t="s">
        <v>48</v>
      </c>
      <c r="J1630" s="1" t="n">
        <v>1614644</v>
      </c>
      <c r="L1630" s="1" t="n">
        <v>2636</v>
      </c>
      <c r="M1630" s="1" t="s">
        <v>36</v>
      </c>
      <c r="N1630" s="1" t="s">
        <v>68</v>
      </c>
      <c r="P1630" s="1" t="n">
        <v>113</v>
      </c>
      <c r="Q1630" s="1" t="s">
        <v>38</v>
      </c>
      <c r="R1630" s="1" t="s">
        <v>62</v>
      </c>
      <c r="S1630" s="1" t="n">
        <v>1130101</v>
      </c>
      <c r="T1630" s="1" t="s">
        <v>63</v>
      </c>
      <c r="U1630" s="1" t="n">
        <v>200</v>
      </c>
      <c r="W1630" s="1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2</v>
      </c>
      <c r="B1631" s="17" t="n">
        <v>46262</v>
      </c>
      <c r="C1631" s="17" t="n">
        <v>46262</v>
      </c>
      <c r="D1631" s="1" t="n">
        <v>1783</v>
      </c>
      <c r="E1631" s="1" t="s">
        <v>356</v>
      </c>
      <c r="F1631" s="1" t="n">
        <v>13</v>
      </c>
      <c r="G1631" s="1" t="s">
        <v>147</v>
      </c>
      <c r="H1631" s="1" t="n">
        <v>2110405</v>
      </c>
      <c r="I1631" s="1" t="s">
        <v>55</v>
      </c>
      <c r="J1631" s="1" t="n">
        <v>1614652</v>
      </c>
      <c r="L1631" s="1" t="n">
        <v>221475</v>
      </c>
      <c r="M1631" s="1" t="s">
        <v>36</v>
      </c>
      <c r="N1631" s="1" t="s">
        <v>50</v>
      </c>
      <c r="P1631" s="1" t="n">
        <v>113</v>
      </c>
      <c r="Q1631" s="1" t="s">
        <v>38</v>
      </c>
      <c r="R1631" s="1" t="s">
        <v>62</v>
      </c>
      <c r="S1631" s="1" t="n">
        <v>1130101</v>
      </c>
      <c r="T1631" s="1" t="s">
        <v>63</v>
      </c>
      <c r="U1631" s="1" t="n">
        <v>160.32</v>
      </c>
      <c r="W1631" s="1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" t="n">
        <v>2</v>
      </c>
      <c r="B1632" s="17" t="n">
        <v>46262</v>
      </c>
      <c r="C1632" s="17" t="n">
        <v>46262</v>
      </c>
      <c r="D1632" s="1" t="n">
        <v>48</v>
      </c>
      <c r="E1632" s="1" t="s">
        <v>146</v>
      </c>
      <c r="F1632" s="1" t="n">
        <v>34</v>
      </c>
      <c r="G1632" s="1" t="s">
        <v>110</v>
      </c>
      <c r="H1632" s="1" t="n">
        <v>2110101</v>
      </c>
      <c r="I1632" s="1" t="s">
        <v>48</v>
      </c>
      <c r="J1632" s="1" t="n">
        <v>1614784</v>
      </c>
      <c r="L1632" s="1" t="n">
        <v>2637</v>
      </c>
      <c r="M1632" s="1" t="s">
        <v>36</v>
      </c>
      <c r="N1632" s="1" t="s">
        <v>68</v>
      </c>
      <c r="P1632" s="1" t="n">
        <v>113</v>
      </c>
      <c r="Q1632" s="1" t="s">
        <v>38</v>
      </c>
      <c r="R1632" s="1" t="s">
        <v>62</v>
      </c>
      <c r="S1632" s="1" t="n">
        <v>1130101</v>
      </c>
      <c r="T1632" s="1" t="s">
        <v>63</v>
      </c>
      <c r="U1632" s="1" t="n">
        <v>1457.5</v>
      </c>
      <c r="W1632" s="1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2</v>
      </c>
      <c r="B1633" s="17" t="n">
        <v>46262</v>
      </c>
      <c r="C1633" s="17" t="n">
        <v>46262</v>
      </c>
      <c r="D1633" s="1" t="n">
        <v>1037</v>
      </c>
      <c r="E1633" s="1" t="s">
        <v>153</v>
      </c>
      <c r="F1633" s="1" t="n">
        <v>34</v>
      </c>
      <c r="G1633" s="1" t="s">
        <v>110</v>
      </c>
      <c r="H1633" s="1" t="n">
        <v>2110405</v>
      </c>
      <c r="I1633" s="1" t="s">
        <v>55</v>
      </c>
      <c r="J1633" s="1" t="n">
        <v>1614809</v>
      </c>
      <c r="L1633" s="1" t="n">
        <v>221504</v>
      </c>
      <c r="M1633" s="1" t="s">
        <v>36</v>
      </c>
      <c r="N1633" s="1" t="s">
        <v>50</v>
      </c>
      <c r="P1633" s="1" t="n">
        <v>113</v>
      </c>
      <c r="Q1633" s="1" t="s">
        <v>38</v>
      </c>
      <c r="R1633" s="1" t="s">
        <v>62</v>
      </c>
      <c r="S1633" s="1" t="n">
        <v>1130101</v>
      </c>
      <c r="T1633" s="1" t="s">
        <v>63</v>
      </c>
      <c r="U1633" s="1" t="n">
        <v>380</v>
      </c>
      <c r="W1633" s="1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2</v>
      </c>
      <c r="B1634" s="17" t="n">
        <v>46263</v>
      </c>
      <c r="C1634" s="17" t="n">
        <v>46263</v>
      </c>
      <c r="D1634" s="1" t="n">
        <v>0</v>
      </c>
      <c r="E1634" s="1" t="s">
        <v>33</v>
      </c>
      <c r="F1634" s="1" t="n">
        <v>17</v>
      </c>
      <c r="G1634" s="1" t="s">
        <v>34</v>
      </c>
      <c r="H1634" s="1" t="n">
        <v>1110101</v>
      </c>
      <c r="I1634" s="1" t="s">
        <v>35</v>
      </c>
      <c r="J1634" s="1" t="n">
        <v>1629984</v>
      </c>
      <c r="L1634" s="1" t="n">
        <v>1629984</v>
      </c>
      <c r="M1634" s="1" t="s">
        <v>36</v>
      </c>
      <c r="N1634" s="1" t="s">
        <v>37</v>
      </c>
      <c r="P1634" s="1" t="n">
        <v>113</v>
      </c>
      <c r="Q1634" s="1" t="s">
        <v>38</v>
      </c>
      <c r="R1634" s="1" t="s">
        <v>55</v>
      </c>
      <c r="S1634" s="1" t="n">
        <v>2110405</v>
      </c>
      <c r="T1634" s="1" t="s">
        <v>55</v>
      </c>
      <c r="U1634" s="1" t="n">
        <v>140</v>
      </c>
      <c r="W1634" s="1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2</v>
      </c>
      <c r="B1635" s="17" t="n">
        <v>46263</v>
      </c>
      <c r="C1635" s="17" t="n">
        <v>46263</v>
      </c>
      <c r="D1635" s="1" t="n">
        <v>0</v>
      </c>
      <c r="E1635" s="1" t="s">
        <v>33</v>
      </c>
      <c r="F1635" s="1" t="n">
        <v>17</v>
      </c>
      <c r="G1635" s="1" t="s">
        <v>34</v>
      </c>
      <c r="H1635" s="1" t="n">
        <v>1110101</v>
      </c>
      <c r="I1635" s="1" t="s">
        <v>35</v>
      </c>
      <c r="J1635" s="1" t="n">
        <v>1629987</v>
      </c>
      <c r="L1635" s="1" t="n">
        <v>1629987</v>
      </c>
      <c r="M1635" s="1" t="s">
        <v>36</v>
      </c>
      <c r="N1635" s="1" t="s">
        <v>37</v>
      </c>
      <c r="P1635" s="1" t="n">
        <v>113</v>
      </c>
      <c r="Q1635" s="1" t="s">
        <v>38</v>
      </c>
      <c r="R1635" s="1" t="s">
        <v>214</v>
      </c>
      <c r="S1635" s="1" t="n">
        <v>2110101</v>
      </c>
      <c r="T1635" s="1" t="s">
        <v>48</v>
      </c>
      <c r="U1635" s="1" t="n">
        <v>300</v>
      </c>
      <c r="W1635" s="1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2</v>
      </c>
      <c r="B1636" s="17" t="n">
        <v>46263</v>
      </c>
      <c r="C1636" s="17" t="n">
        <v>46263</v>
      </c>
      <c r="D1636" s="1" t="n">
        <v>0</v>
      </c>
      <c r="E1636" s="1" t="s">
        <v>33</v>
      </c>
      <c r="F1636" s="1" t="n">
        <v>17</v>
      </c>
      <c r="G1636" s="1" t="s">
        <v>34</v>
      </c>
      <c r="H1636" s="1" t="n">
        <v>1110101</v>
      </c>
      <c r="I1636" s="1" t="s">
        <v>35</v>
      </c>
      <c r="J1636" s="1" t="n">
        <v>1629989</v>
      </c>
      <c r="L1636" s="1" t="n">
        <v>1629989</v>
      </c>
      <c r="M1636" s="1" t="s">
        <v>36</v>
      </c>
      <c r="N1636" s="1" t="s">
        <v>37</v>
      </c>
      <c r="P1636" s="1" t="n">
        <v>113</v>
      </c>
      <c r="Q1636" s="1" t="s">
        <v>38</v>
      </c>
      <c r="R1636" s="1" t="s">
        <v>39</v>
      </c>
      <c r="S1636" s="1" t="n">
        <v>4210314</v>
      </c>
      <c r="T1636" s="1" t="s">
        <v>40</v>
      </c>
      <c r="U1636" s="1" t="n">
        <v>50</v>
      </c>
      <c r="W1636" s="1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2</v>
      </c>
      <c r="B1637" s="17" t="n">
        <v>46263</v>
      </c>
      <c r="C1637" s="17" t="n">
        <v>46263</v>
      </c>
      <c r="D1637" s="1" t="n">
        <v>0</v>
      </c>
      <c r="E1637" s="1" t="s">
        <v>33</v>
      </c>
      <c r="F1637" s="1" t="n">
        <v>17</v>
      </c>
      <c r="G1637" s="1" t="s">
        <v>34</v>
      </c>
      <c r="H1637" s="1" t="n">
        <v>1110101</v>
      </c>
      <c r="I1637" s="1" t="s">
        <v>35</v>
      </c>
      <c r="J1637" s="1" t="n">
        <v>1629993</v>
      </c>
      <c r="L1637" s="1" t="n">
        <v>1629993</v>
      </c>
      <c r="M1637" s="1" t="s">
        <v>36</v>
      </c>
      <c r="N1637" s="1" t="s">
        <v>37</v>
      </c>
      <c r="P1637" s="1" t="n">
        <v>113</v>
      </c>
      <c r="Q1637" s="1" t="s">
        <v>38</v>
      </c>
      <c r="R1637" s="1" t="s">
        <v>62</v>
      </c>
      <c r="S1637" s="1" t="n">
        <v>1130101</v>
      </c>
      <c r="T1637" s="1" t="s">
        <v>63</v>
      </c>
      <c r="U1637" s="1" t="n">
        <v>200</v>
      </c>
      <c r="W1637" s="1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2</v>
      </c>
      <c r="B1638" s="17" t="n">
        <v>46263</v>
      </c>
      <c r="C1638" s="17" t="n">
        <v>46263</v>
      </c>
      <c r="D1638" s="1" t="n">
        <v>0</v>
      </c>
      <c r="E1638" s="1" t="s">
        <v>33</v>
      </c>
      <c r="F1638" s="1" t="n">
        <v>17</v>
      </c>
      <c r="G1638" s="1" t="s">
        <v>34</v>
      </c>
      <c r="H1638" s="1" t="n">
        <v>1110101</v>
      </c>
      <c r="I1638" s="1" t="s">
        <v>35</v>
      </c>
      <c r="J1638" s="1" t="n">
        <v>1629998</v>
      </c>
      <c r="L1638" s="1" t="n">
        <v>1629998</v>
      </c>
      <c r="M1638" s="1" t="s">
        <v>36</v>
      </c>
      <c r="N1638" s="1" t="s">
        <v>37</v>
      </c>
      <c r="P1638" s="1" t="n">
        <v>113</v>
      </c>
      <c r="Q1638" s="1" t="s">
        <v>38</v>
      </c>
      <c r="R1638" s="1" t="s">
        <v>62</v>
      </c>
      <c r="S1638" s="1" t="n">
        <v>1130101</v>
      </c>
      <c r="T1638" s="1" t="s">
        <v>63</v>
      </c>
      <c r="U1638" s="1" t="n">
        <v>72</v>
      </c>
      <c r="W1638" s="1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2</v>
      </c>
      <c r="B1639" s="17" t="n">
        <v>46263</v>
      </c>
      <c r="C1639" s="17" t="n">
        <v>46263</v>
      </c>
      <c r="D1639" s="1" t="n">
        <v>0</v>
      </c>
      <c r="E1639" s="1" t="s">
        <v>33</v>
      </c>
      <c r="F1639" s="1" t="n">
        <v>17</v>
      </c>
      <c r="G1639" s="1" t="s">
        <v>34</v>
      </c>
      <c r="H1639" s="1" t="n">
        <v>1110101</v>
      </c>
      <c r="I1639" s="1" t="s">
        <v>35</v>
      </c>
      <c r="J1639" s="1" t="n">
        <v>1646147</v>
      </c>
      <c r="L1639" s="1" t="n">
        <v>1646147</v>
      </c>
      <c r="M1639" s="1" t="s">
        <v>36</v>
      </c>
      <c r="N1639" s="1" t="s">
        <v>37</v>
      </c>
      <c r="P1639" s="1" t="n">
        <v>113</v>
      </c>
      <c r="Q1639" s="1" t="s">
        <v>38</v>
      </c>
      <c r="R1639" s="1" t="s">
        <v>70</v>
      </c>
      <c r="S1639" s="1" t="n">
        <v>4210227</v>
      </c>
      <c r="T1639" s="1" t="s">
        <v>77</v>
      </c>
      <c r="U1639" s="1" t="n">
        <v>200</v>
      </c>
      <c r="W1639" s="1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2</v>
      </c>
      <c r="B1640" s="17" t="n">
        <v>46263</v>
      </c>
      <c r="C1640" s="17" t="n">
        <v>46263</v>
      </c>
      <c r="D1640" s="1" t="n">
        <v>0</v>
      </c>
      <c r="E1640" s="1" t="s">
        <v>33</v>
      </c>
      <c r="F1640" s="1" t="n">
        <v>17</v>
      </c>
      <c r="G1640" s="1" t="s">
        <v>34</v>
      </c>
      <c r="H1640" s="1" t="n">
        <v>1110101</v>
      </c>
      <c r="I1640" s="1" t="s">
        <v>35</v>
      </c>
      <c r="J1640" s="1" t="n">
        <v>1646148</v>
      </c>
      <c r="L1640" s="1" t="n">
        <v>1646148</v>
      </c>
      <c r="M1640" s="1" t="s">
        <v>36</v>
      </c>
      <c r="N1640" s="1" t="s">
        <v>37</v>
      </c>
      <c r="P1640" s="1" t="n">
        <v>113</v>
      </c>
      <c r="Q1640" s="1" t="s">
        <v>38</v>
      </c>
      <c r="R1640" s="1" t="s">
        <v>70</v>
      </c>
      <c r="S1640" s="1" t="n">
        <v>4210227</v>
      </c>
      <c r="T1640" s="1" t="s">
        <v>77</v>
      </c>
      <c r="U1640" s="1" t="n">
        <v>100</v>
      </c>
      <c r="W1640" s="1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2</v>
      </c>
      <c r="B1641" s="17" t="n">
        <v>46248</v>
      </c>
      <c r="C1641" s="17" t="n">
        <v>46263</v>
      </c>
      <c r="D1641" s="1" t="n">
        <v>1718</v>
      </c>
      <c r="E1641" s="1" t="s">
        <v>222</v>
      </c>
      <c r="F1641" s="1" t="n">
        <v>24</v>
      </c>
      <c r="G1641" s="1" t="s">
        <v>91</v>
      </c>
      <c r="H1641" s="1" t="n">
        <v>2110405</v>
      </c>
      <c r="I1641" s="1" t="s">
        <v>55</v>
      </c>
      <c r="J1641" s="1" t="n">
        <v>1547746</v>
      </c>
      <c r="L1641" s="1" t="n">
        <v>211393</v>
      </c>
      <c r="M1641" s="1" t="s">
        <v>36</v>
      </c>
      <c r="N1641" s="1" t="s">
        <v>50</v>
      </c>
      <c r="P1641" s="1" t="n">
        <v>113</v>
      </c>
      <c r="Q1641" s="1" t="s">
        <v>38</v>
      </c>
      <c r="R1641" s="1" t="s">
        <v>62</v>
      </c>
      <c r="S1641" s="1" t="n">
        <v>1130101</v>
      </c>
      <c r="T1641" s="1" t="s">
        <v>63</v>
      </c>
      <c r="U1641" s="1" t="n">
        <v>706.56</v>
      </c>
      <c r="W1641" s="1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" t="n">
        <v>2</v>
      </c>
      <c r="B1642" s="17" t="n">
        <v>46249</v>
      </c>
      <c r="C1642" s="17" t="n">
        <v>46263</v>
      </c>
      <c r="D1642" s="1" t="n">
        <v>1718</v>
      </c>
      <c r="E1642" s="1" t="s">
        <v>222</v>
      </c>
      <c r="F1642" s="1" t="n">
        <v>24</v>
      </c>
      <c r="G1642" s="1" t="s">
        <v>91</v>
      </c>
      <c r="H1642" s="1" t="n">
        <v>2110405</v>
      </c>
      <c r="I1642" s="1" t="s">
        <v>55</v>
      </c>
      <c r="J1642" s="1" t="n">
        <v>1551482</v>
      </c>
      <c r="L1642" s="1" t="n">
        <v>211716</v>
      </c>
      <c r="M1642" s="1" t="s">
        <v>36</v>
      </c>
      <c r="N1642" s="1" t="s">
        <v>50</v>
      </c>
      <c r="P1642" s="1" t="n">
        <v>113</v>
      </c>
      <c r="Q1642" s="1" t="s">
        <v>38</v>
      </c>
      <c r="R1642" s="1" t="s">
        <v>62</v>
      </c>
      <c r="S1642" s="1" t="n">
        <v>1130101</v>
      </c>
      <c r="T1642" s="1" t="s">
        <v>63</v>
      </c>
      <c r="U1642" s="1" t="n">
        <v>1422.67</v>
      </c>
      <c r="W1642" s="1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" t="n">
        <v>2</v>
      </c>
      <c r="B1643" s="17" t="n">
        <v>46258</v>
      </c>
      <c r="C1643" s="17" t="n">
        <v>46263</v>
      </c>
      <c r="D1643" s="1" t="n">
        <v>1625</v>
      </c>
      <c r="E1643" s="1" t="s">
        <v>272</v>
      </c>
      <c r="F1643" s="1" t="n">
        <v>24</v>
      </c>
      <c r="G1643" s="1" t="s">
        <v>91</v>
      </c>
      <c r="H1643" s="1" t="n">
        <v>2110405</v>
      </c>
      <c r="I1643" s="1" t="s">
        <v>55</v>
      </c>
      <c r="J1643" s="1" t="n">
        <v>1595567</v>
      </c>
      <c r="L1643" s="1" t="n">
        <v>218336</v>
      </c>
      <c r="M1643" s="1" t="s">
        <v>36</v>
      </c>
      <c r="N1643" s="1" t="s">
        <v>50</v>
      </c>
      <c r="P1643" s="1" t="n">
        <v>113</v>
      </c>
      <c r="Q1643" s="1" t="s">
        <v>38</v>
      </c>
      <c r="R1643" s="1" t="s">
        <v>62</v>
      </c>
      <c r="S1643" s="1" t="n">
        <v>1130101</v>
      </c>
      <c r="T1643" s="1" t="s">
        <v>63</v>
      </c>
      <c r="U1643" s="1" t="n">
        <v>4164.18</v>
      </c>
      <c r="W1643" s="1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" t="n">
        <v>2</v>
      </c>
      <c r="B1644" s="17" t="n">
        <v>46263</v>
      </c>
      <c r="C1644" s="17" t="n">
        <v>46263</v>
      </c>
      <c r="D1644" s="1" t="n">
        <v>48</v>
      </c>
      <c r="E1644" s="1" t="s">
        <v>146</v>
      </c>
      <c r="F1644" s="1" t="n">
        <v>13</v>
      </c>
      <c r="G1644" s="1" t="s">
        <v>147</v>
      </c>
      <c r="H1644" s="1" t="n">
        <v>2110101</v>
      </c>
      <c r="I1644" s="1" t="s">
        <v>48</v>
      </c>
      <c r="J1644" s="1" t="n">
        <v>1619409</v>
      </c>
      <c r="L1644" s="1" t="n">
        <v>2640</v>
      </c>
      <c r="M1644" s="1" t="s">
        <v>36</v>
      </c>
      <c r="N1644" s="1" t="s">
        <v>68</v>
      </c>
      <c r="P1644" s="1" t="n">
        <v>113</v>
      </c>
      <c r="Q1644" s="1" t="s">
        <v>38</v>
      </c>
      <c r="R1644" s="1" t="s">
        <v>62</v>
      </c>
      <c r="S1644" s="1" t="n">
        <v>1130101</v>
      </c>
      <c r="T1644" s="1" t="s">
        <v>63</v>
      </c>
      <c r="U1644" s="1" t="n">
        <v>300</v>
      </c>
      <c r="W1644" s="1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2</v>
      </c>
      <c r="B1645" s="17" t="n">
        <v>46263</v>
      </c>
      <c r="C1645" s="17" t="n">
        <v>46263</v>
      </c>
      <c r="D1645" s="1" t="n">
        <v>10096</v>
      </c>
      <c r="E1645" s="1" t="s">
        <v>624</v>
      </c>
      <c r="F1645" s="1" t="n">
        <v>13</v>
      </c>
      <c r="G1645" s="1" t="s">
        <v>147</v>
      </c>
      <c r="H1645" s="1" t="n">
        <v>2110405</v>
      </c>
      <c r="I1645" s="1" t="s">
        <v>55</v>
      </c>
      <c r="J1645" s="1" t="n">
        <v>1628841</v>
      </c>
      <c r="L1645" s="1" t="n">
        <v>223365</v>
      </c>
      <c r="M1645" s="1" t="s">
        <v>36</v>
      </c>
      <c r="N1645" s="1" t="s">
        <v>50</v>
      </c>
      <c r="P1645" s="1" t="n">
        <v>113</v>
      </c>
      <c r="Q1645" s="1" t="s">
        <v>38</v>
      </c>
      <c r="R1645" s="1" t="s">
        <v>62</v>
      </c>
      <c r="S1645" s="1" t="n">
        <v>1130101</v>
      </c>
      <c r="T1645" s="1" t="s">
        <v>63</v>
      </c>
      <c r="U1645" s="1" t="n">
        <v>140</v>
      </c>
      <c r="W1645" s="1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" t="n">
        <v>2</v>
      </c>
      <c r="B1646" s="17" t="n">
        <v>46264</v>
      </c>
      <c r="C1646" s="17" t="n">
        <v>46264</v>
      </c>
      <c r="D1646" s="1" t="n">
        <v>0</v>
      </c>
      <c r="E1646" s="1" t="s">
        <v>33</v>
      </c>
      <c r="F1646" s="1" t="n">
        <v>17</v>
      </c>
      <c r="G1646" s="1" t="s">
        <v>34</v>
      </c>
      <c r="H1646" s="1" t="n">
        <v>1110101</v>
      </c>
      <c r="I1646" s="1" t="s">
        <v>35</v>
      </c>
      <c r="J1646" s="1" t="n">
        <v>1630014</v>
      </c>
      <c r="L1646" s="1" t="n">
        <v>1630014</v>
      </c>
      <c r="M1646" s="1" t="s">
        <v>36</v>
      </c>
      <c r="N1646" s="1" t="s">
        <v>37</v>
      </c>
      <c r="P1646" s="1" t="n">
        <v>113</v>
      </c>
      <c r="Q1646" s="1" t="s">
        <v>38</v>
      </c>
      <c r="R1646" s="1" t="s">
        <v>39</v>
      </c>
      <c r="S1646" s="1" t="n">
        <v>4210310</v>
      </c>
      <c r="T1646" s="1" t="s">
        <v>150</v>
      </c>
      <c r="U1646" s="1" t="n">
        <v>96</v>
      </c>
      <c r="W1646" s="1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2</v>
      </c>
      <c r="B1647" s="17" t="n">
        <v>46264</v>
      </c>
      <c r="C1647" s="17" t="n">
        <v>46264</v>
      </c>
      <c r="D1647" s="1" t="n">
        <v>0</v>
      </c>
      <c r="E1647" s="1" t="s">
        <v>33</v>
      </c>
      <c r="F1647" s="1" t="n">
        <v>17</v>
      </c>
      <c r="G1647" s="1" t="s">
        <v>34</v>
      </c>
      <c r="H1647" s="1" t="n">
        <v>1110101</v>
      </c>
      <c r="I1647" s="1" t="s">
        <v>35</v>
      </c>
      <c r="J1647" s="1" t="n">
        <v>1630017</v>
      </c>
      <c r="L1647" s="1" t="n">
        <v>1630017</v>
      </c>
      <c r="M1647" s="1" t="s">
        <v>36</v>
      </c>
      <c r="N1647" s="1" t="s">
        <v>37</v>
      </c>
      <c r="P1647" s="1" t="n">
        <v>113</v>
      </c>
      <c r="Q1647" s="1" t="s">
        <v>38</v>
      </c>
      <c r="R1647" s="1" t="s">
        <v>39</v>
      </c>
      <c r="S1647" s="1" t="n">
        <v>4210310</v>
      </c>
      <c r="T1647" s="1" t="s">
        <v>150</v>
      </c>
      <c r="U1647" s="1" t="n">
        <v>40</v>
      </c>
      <c r="W1647" s="1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2</v>
      </c>
      <c r="B1648" s="17" t="n">
        <v>46264</v>
      </c>
      <c r="C1648" s="17" t="n">
        <v>46264</v>
      </c>
      <c r="D1648" s="1" t="n">
        <v>0</v>
      </c>
      <c r="E1648" s="1" t="s">
        <v>33</v>
      </c>
      <c r="F1648" s="1" t="n">
        <v>17</v>
      </c>
      <c r="G1648" s="1" t="s">
        <v>34</v>
      </c>
      <c r="H1648" s="1" t="n">
        <v>1110101</v>
      </c>
      <c r="I1648" s="1" t="s">
        <v>35</v>
      </c>
      <c r="J1648" s="1" t="n">
        <v>1646150</v>
      </c>
      <c r="L1648" s="1" t="n">
        <v>1646150</v>
      </c>
      <c r="M1648" s="1" t="s">
        <v>36</v>
      </c>
      <c r="N1648" s="1" t="s">
        <v>37</v>
      </c>
      <c r="P1648" s="1" t="n">
        <v>113</v>
      </c>
      <c r="Q1648" s="1" t="s">
        <v>38</v>
      </c>
      <c r="R1648" s="1" t="s">
        <v>70</v>
      </c>
      <c r="S1648" s="1" t="n">
        <v>4210227</v>
      </c>
      <c r="T1648" s="1" t="s">
        <v>77</v>
      </c>
      <c r="U1648" s="1" t="n">
        <v>15</v>
      </c>
      <c r="W1648" s="1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2</v>
      </c>
      <c r="B1649" s="17" t="n">
        <v>46165</v>
      </c>
      <c r="C1649" s="17" t="n">
        <v>46264</v>
      </c>
      <c r="D1649" s="1" t="n">
        <v>639</v>
      </c>
      <c r="E1649" s="1" t="s">
        <v>501</v>
      </c>
      <c r="F1649" s="1" t="n">
        <v>24</v>
      </c>
      <c r="G1649" s="1" t="s">
        <v>91</v>
      </c>
      <c r="H1649" s="1" t="n">
        <v>2110405</v>
      </c>
      <c r="I1649" s="1" t="s">
        <v>55</v>
      </c>
      <c r="J1649" s="1" t="n">
        <v>1141287</v>
      </c>
      <c r="L1649" s="1" t="n">
        <v>151507</v>
      </c>
      <c r="M1649" s="1" t="s">
        <v>88</v>
      </c>
      <c r="N1649" s="1" t="s">
        <v>50</v>
      </c>
      <c r="P1649" s="1" t="n">
        <v>101</v>
      </c>
      <c r="Q1649" s="1" t="s">
        <v>56</v>
      </c>
      <c r="R1649" s="1" t="s">
        <v>70</v>
      </c>
      <c r="S1649" s="1" t="n">
        <v>4210216</v>
      </c>
      <c r="T1649" s="1" t="s">
        <v>502</v>
      </c>
      <c r="U1649" s="1" t="n">
        <v>420</v>
      </c>
      <c r="W1649" s="1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2</v>
      </c>
      <c r="B1650" s="17" t="n">
        <v>46223</v>
      </c>
      <c r="C1650" s="17" t="n">
        <v>46264</v>
      </c>
      <c r="D1650" s="1" t="n">
        <v>607</v>
      </c>
      <c r="E1650" s="1" t="s">
        <v>280</v>
      </c>
      <c r="F1650" s="1" t="n">
        <v>24</v>
      </c>
      <c r="G1650" s="1" t="s">
        <v>91</v>
      </c>
      <c r="H1650" s="1" t="n">
        <v>2110405</v>
      </c>
      <c r="I1650" s="1" t="s">
        <v>55</v>
      </c>
      <c r="J1650" s="1" t="n">
        <v>1424650</v>
      </c>
      <c r="L1650" s="1" t="n">
        <v>190911</v>
      </c>
      <c r="M1650" s="1" t="s">
        <v>36</v>
      </c>
      <c r="N1650" s="1" t="s">
        <v>50</v>
      </c>
      <c r="P1650" s="1" t="n">
        <v>113</v>
      </c>
      <c r="Q1650" s="1" t="s">
        <v>38</v>
      </c>
      <c r="R1650" s="1" t="s">
        <v>62</v>
      </c>
      <c r="S1650" s="1" t="n">
        <v>1130101</v>
      </c>
      <c r="T1650" s="1" t="s">
        <v>63</v>
      </c>
      <c r="U1650" s="1" t="n">
        <v>446.28</v>
      </c>
      <c r="W1650" s="1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" t="n">
        <v>2</v>
      </c>
      <c r="B1651" s="17" t="n">
        <v>46255</v>
      </c>
      <c r="C1651" s="17" t="n">
        <v>46264</v>
      </c>
      <c r="D1651" s="1" t="n">
        <v>1723</v>
      </c>
      <c r="E1651" s="1" t="s">
        <v>373</v>
      </c>
      <c r="F1651" s="1" t="n">
        <v>24</v>
      </c>
      <c r="G1651" s="1" t="s">
        <v>91</v>
      </c>
      <c r="H1651" s="1" t="n">
        <v>2110405</v>
      </c>
      <c r="I1651" s="1" t="s">
        <v>55</v>
      </c>
      <c r="J1651" s="1" t="n">
        <v>1581816</v>
      </c>
      <c r="L1651" s="1" t="n">
        <v>216453</v>
      </c>
      <c r="M1651" s="1" t="s">
        <v>36</v>
      </c>
      <c r="N1651" s="1" t="s">
        <v>50</v>
      </c>
      <c r="P1651" s="1" t="n">
        <v>113</v>
      </c>
      <c r="Q1651" s="1" t="s">
        <v>38</v>
      </c>
      <c r="R1651" s="1" t="s">
        <v>62</v>
      </c>
      <c r="S1651" s="1" t="n">
        <v>1130101</v>
      </c>
      <c r="T1651" s="1" t="s">
        <v>63</v>
      </c>
      <c r="U1651" s="1" t="n">
        <v>3809.5</v>
      </c>
      <c r="W1651" s="1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" t="n">
        <v>2</v>
      </c>
      <c r="B1652" s="17" t="n">
        <v>46258</v>
      </c>
      <c r="C1652" s="17" t="n">
        <v>46264</v>
      </c>
      <c r="D1652" s="1" t="n">
        <v>1628</v>
      </c>
      <c r="E1652" s="1" t="s">
        <v>239</v>
      </c>
      <c r="F1652" s="1" t="n">
        <v>24</v>
      </c>
      <c r="G1652" s="1" t="s">
        <v>91</v>
      </c>
      <c r="H1652" s="1" t="n">
        <v>2110405</v>
      </c>
      <c r="I1652" s="1" t="s">
        <v>55</v>
      </c>
      <c r="J1652" s="1" t="n">
        <v>1594346</v>
      </c>
      <c r="L1652" s="1" t="n">
        <v>218071</v>
      </c>
      <c r="M1652" s="1" t="s">
        <v>36</v>
      </c>
      <c r="N1652" s="1" t="s">
        <v>50</v>
      </c>
      <c r="P1652" s="1" t="n">
        <v>113</v>
      </c>
      <c r="Q1652" s="1" t="s">
        <v>38</v>
      </c>
      <c r="R1652" s="1" t="s">
        <v>62</v>
      </c>
      <c r="S1652" s="1" t="n">
        <v>1130101</v>
      </c>
      <c r="T1652" s="1" t="s">
        <v>63</v>
      </c>
      <c r="U1652" s="1" t="n">
        <v>618.65</v>
      </c>
      <c r="W1652" s="1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" t="n">
        <v>2</v>
      </c>
      <c r="B1653" s="17" t="n">
        <v>46265</v>
      </c>
      <c r="C1653" s="17" t="n">
        <v>46265</v>
      </c>
      <c r="D1653" s="1" t="n">
        <v>0</v>
      </c>
      <c r="E1653" s="1" t="s">
        <v>33</v>
      </c>
      <c r="F1653" s="1" t="n">
        <v>17</v>
      </c>
      <c r="G1653" s="1" t="s">
        <v>34</v>
      </c>
      <c r="H1653" s="1" t="n">
        <v>1110101</v>
      </c>
      <c r="I1653" s="1" t="s">
        <v>35</v>
      </c>
      <c r="J1653" s="1" t="n">
        <v>1633714</v>
      </c>
      <c r="L1653" s="1" t="n">
        <v>1633714</v>
      </c>
      <c r="M1653" s="1" t="s">
        <v>36</v>
      </c>
      <c r="N1653" s="1" t="s">
        <v>37</v>
      </c>
      <c r="P1653" s="1" t="n">
        <v>113</v>
      </c>
      <c r="Q1653" s="1" t="s">
        <v>38</v>
      </c>
      <c r="R1653" s="1" t="s">
        <v>214</v>
      </c>
      <c r="S1653" s="1" t="n">
        <v>2110101</v>
      </c>
      <c r="T1653" s="1" t="s">
        <v>48</v>
      </c>
      <c r="U1653" s="1" t="n">
        <v>300</v>
      </c>
      <c r="W1653" s="1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2</v>
      </c>
      <c r="B1654" s="17" t="n">
        <v>46265</v>
      </c>
      <c r="C1654" s="17" t="n">
        <v>46265</v>
      </c>
      <c r="D1654" s="1" t="n">
        <v>0</v>
      </c>
      <c r="E1654" s="1" t="s">
        <v>33</v>
      </c>
      <c r="F1654" s="1" t="n">
        <v>17</v>
      </c>
      <c r="G1654" s="1" t="s">
        <v>34</v>
      </c>
      <c r="H1654" s="1" t="n">
        <v>1110101</v>
      </c>
      <c r="I1654" s="1" t="s">
        <v>35</v>
      </c>
      <c r="J1654" s="1" t="n">
        <v>1633722</v>
      </c>
      <c r="L1654" s="1" t="n">
        <v>1633722</v>
      </c>
      <c r="M1654" s="1" t="s">
        <v>36</v>
      </c>
      <c r="N1654" s="1" t="s">
        <v>37</v>
      </c>
      <c r="P1654" s="1" t="n">
        <v>113</v>
      </c>
      <c r="Q1654" s="1" t="s">
        <v>38</v>
      </c>
      <c r="R1654" s="1" t="s">
        <v>39</v>
      </c>
      <c r="S1654" s="1" t="n">
        <v>4210314</v>
      </c>
      <c r="T1654" s="1" t="s">
        <v>40</v>
      </c>
      <c r="U1654" s="1" t="n">
        <v>70</v>
      </c>
      <c r="W1654" s="1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2</v>
      </c>
      <c r="B1655" s="17" t="n">
        <v>46265</v>
      </c>
      <c r="C1655" s="17" t="n">
        <v>46265</v>
      </c>
      <c r="D1655" s="1" t="n">
        <v>0</v>
      </c>
      <c r="E1655" s="1" t="s">
        <v>33</v>
      </c>
      <c r="F1655" s="1" t="n">
        <v>17</v>
      </c>
      <c r="G1655" s="1" t="s">
        <v>34</v>
      </c>
      <c r="H1655" s="1" t="n">
        <v>1110101</v>
      </c>
      <c r="I1655" s="1" t="s">
        <v>35</v>
      </c>
      <c r="J1655" s="1" t="n">
        <v>1646152</v>
      </c>
      <c r="L1655" s="1" t="n">
        <v>1646152</v>
      </c>
      <c r="M1655" s="1" t="s">
        <v>36</v>
      </c>
      <c r="N1655" s="1" t="s">
        <v>37</v>
      </c>
      <c r="P1655" s="1" t="n">
        <v>113</v>
      </c>
      <c r="Q1655" s="1" t="s">
        <v>38</v>
      </c>
      <c r="R1655" s="1" t="s">
        <v>70</v>
      </c>
      <c r="S1655" s="1" t="n">
        <v>4210227</v>
      </c>
      <c r="T1655" s="1" t="s">
        <v>77</v>
      </c>
      <c r="U1655" s="1" t="n">
        <v>200</v>
      </c>
      <c r="W1655" s="1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2</v>
      </c>
      <c r="B1656" s="17" t="n">
        <v>46265</v>
      </c>
      <c r="C1656" s="17" t="n">
        <v>46265</v>
      </c>
      <c r="D1656" s="1" t="n">
        <v>0</v>
      </c>
      <c r="E1656" s="1" t="s">
        <v>33</v>
      </c>
      <c r="F1656" s="1" t="n">
        <v>17</v>
      </c>
      <c r="G1656" s="1" t="s">
        <v>34</v>
      </c>
      <c r="H1656" s="1" t="n">
        <v>1110101</v>
      </c>
      <c r="I1656" s="1" t="s">
        <v>35</v>
      </c>
      <c r="J1656" s="1" t="n">
        <v>1646156</v>
      </c>
      <c r="L1656" s="1" t="n">
        <v>1646156</v>
      </c>
      <c r="M1656" s="1" t="s">
        <v>36</v>
      </c>
      <c r="N1656" s="1" t="s">
        <v>37</v>
      </c>
      <c r="P1656" s="1" t="n">
        <v>113</v>
      </c>
      <c r="Q1656" s="1" t="s">
        <v>38</v>
      </c>
      <c r="R1656" s="1" t="s">
        <v>70</v>
      </c>
      <c r="S1656" s="1" t="n">
        <v>4210227</v>
      </c>
      <c r="T1656" s="1" t="s">
        <v>77</v>
      </c>
      <c r="U1656" s="1" t="n">
        <v>23</v>
      </c>
      <c r="W1656" s="1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2</v>
      </c>
      <c r="B1657" s="17" t="n">
        <v>46239</v>
      </c>
      <c r="C1657" s="17" t="n">
        <v>46265</v>
      </c>
      <c r="D1657" s="1" t="n">
        <v>1637</v>
      </c>
      <c r="E1657" s="1" t="s">
        <v>870</v>
      </c>
      <c r="F1657" s="1" t="n">
        <v>24</v>
      </c>
      <c r="G1657" s="1" t="s">
        <v>91</v>
      </c>
      <c r="H1657" s="1" t="n">
        <v>2110405</v>
      </c>
      <c r="I1657" s="1" t="s">
        <v>55</v>
      </c>
      <c r="J1657" s="1" t="n">
        <v>1503906</v>
      </c>
      <c r="L1657" s="1" t="n">
        <v>204194</v>
      </c>
      <c r="M1657" s="1" t="s">
        <v>36</v>
      </c>
      <c r="N1657" s="1" t="s">
        <v>50</v>
      </c>
      <c r="P1657" s="1" t="n">
        <v>113</v>
      </c>
      <c r="Q1657" s="1" t="s">
        <v>38</v>
      </c>
      <c r="R1657" s="1" t="s">
        <v>62</v>
      </c>
      <c r="S1657" s="1" t="n">
        <v>1130101</v>
      </c>
      <c r="T1657" s="1" t="s">
        <v>63</v>
      </c>
      <c r="U1657" s="1" t="n">
        <v>1220.6</v>
      </c>
      <c r="W1657" s="1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" t="n">
        <v>2</v>
      </c>
      <c r="B1658" s="17" t="n">
        <v>46251</v>
      </c>
      <c r="C1658" s="17" t="n">
        <v>46265</v>
      </c>
      <c r="D1658" s="1" t="n">
        <v>1683</v>
      </c>
      <c r="E1658" s="1" t="s">
        <v>416</v>
      </c>
      <c r="F1658" s="1" t="n">
        <v>34</v>
      </c>
      <c r="G1658" s="1" t="s">
        <v>110</v>
      </c>
      <c r="H1658" s="1" t="n">
        <v>2110405</v>
      </c>
      <c r="I1658" s="1" t="s">
        <v>55</v>
      </c>
      <c r="J1658" s="1" t="n">
        <v>1560849</v>
      </c>
      <c r="L1658" s="1" t="n">
        <v>212901</v>
      </c>
      <c r="M1658" s="1" t="s">
        <v>36</v>
      </c>
      <c r="N1658" s="1" t="s">
        <v>50</v>
      </c>
      <c r="P1658" s="1" t="n">
        <v>113</v>
      </c>
      <c r="Q1658" s="1" t="s">
        <v>38</v>
      </c>
      <c r="R1658" s="1" t="s">
        <v>62</v>
      </c>
      <c r="S1658" s="1" t="n">
        <v>1130101</v>
      </c>
      <c r="T1658" s="1" t="s">
        <v>63</v>
      </c>
      <c r="U1658" s="1" t="n">
        <v>97.5</v>
      </c>
      <c r="W1658" s="1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2</v>
      </c>
      <c r="B1659" s="17" t="n">
        <v>46252</v>
      </c>
      <c r="C1659" s="17" t="n">
        <v>46265</v>
      </c>
      <c r="D1659" s="1" t="n">
        <v>1683</v>
      </c>
      <c r="E1659" s="1" t="s">
        <v>416</v>
      </c>
      <c r="F1659" s="1" t="n">
        <v>34</v>
      </c>
      <c r="G1659" s="1" t="s">
        <v>110</v>
      </c>
      <c r="H1659" s="1" t="n">
        <v>2110405</v>
      </c>
      <c r="I1659" s="1" t="s">
        <v>55</v>
      </c>
      <c r="J1659" s="1" t="n">
        <v>1566494</v>
      </c>
      <c r="L1659" s="1" t="n">
        <v>213829</v>
      </c>
      <c r="M1659" s="1" t="s">
        <v>36</v>
      </c>
      <c r="N1659" s="1" t="s">
        <v>50</v>
      </c>
      <c r="P1659" s="1" t="n">
        <v>113</v>
      </c>
      <c r="Q1659" s="1" t="s">
        <v>38</v>
      </c>
      <c r="R1659" s="1" t="s">
        <v>62</v>
      </c>
      <c r="S1659" s="1" t="n">
        <v>1130101</v>
      </c>
      <c r="T1659" s="1" t="s">
        <v>63</v>
      </c>
      <c r="U1659" s="1" t="n">
        <v>151</v>
      </c>
      <c r="W1659" s="1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2</v>
      </c>
      <c r="B1660" s="17" t="n">
        <v>46260</v>
      </c>
      <c r="C1660" s="17" t="n">
        <v>46265</v>
      </c>
      <c r="D1660" s="1" t="n">
        <v>1683</v>
      </c>
      <c r="E1660" s="1" t="s">
        <v>416</v>
      </c>
      <c r="F1660" s="1" t="n">
        <v>34</v>
      </c>
      <c r="G1660" s="1" t="s">
        <v>110</v>
      </c>
      <c r="H1660" s="1" t="n">
        <v>2110405</v>
      </c>
      <c r="I1660" s="1" t="s">
        <v>55</v>
      </c>
      <c r="J1660" s="1" t="n">
        <v>1605242</v>
      </c>
      <c r="L1660" s="1" t="n">
        <v>219919</v>
      </c>
      <c r="M1660" s="1" t="s">
        <v>36</v>
      </c>
      <c r="N1660" s="1" t="s">
        <v>50</v>
      </c>
      <c r="P1660" s="1" t="n">
        <v>113</v>
      </c>
      <c r="Q1660" s="1" t="s">
        <v>38</v>
      </c>
      <c r="R1660" s="1" t="s">
        <v>62</v>
      </c>
      <c r="S1660" s="1" t="n">
        <v>1130101</v>
      </c>
      <c r="T1660" s="1" t="s">
        <v>63</v>
      </c>
      <c r="U1660" s="1" t="n">
        <v>137</v>
      </c>
      <c r="W1660" s="1" t="n">
        <v>137</v>
      </c>
      <c r="X1660" s="1" t="s">
        <v>418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2</v>
      </c>
      <c r="B1661" s="17" t="n">
        <v>46252</v>
      </c>
      <c r="C1661" s="17" t="n">
        <v>46265</v>
      </c>
      <c r="D1661" s="1" t="n">
        <v>1675</v>
      </c>
      <c r="E1661" s="1" t="s">
        <v>293</v>
      </c>
      <c r="F1661" s="1" t="n">
        <v>24</v>
      </c>
      <c r="G1661" s="1" t="s">
        <v>91</v>
      </c>
      <c r="H1661" s="1" t="n">
        <v>2110405</v>
      </c>
      <c r="I1661" s="1" t="s">
        <v>55</v>
      </c>
      <c r="J1661" s="1" t="n">
        <v>1566792</v>
      </c>
      <c r="L1661" s="1" t="n">
        <v>213876</v>
      </c>
      <c r="M1661" s="1" t="s">
        <v>36</v>
      </c>
      <c r="N1661" s="1" t="s">
        <v>50</v>
      </c>
      <c r="P1661" s="1" t="n">
        <v>113</v>
      </c>
      <c r="Q1661" s="1" t="s">
        <v>38</v>
      </c>
      <c r="R1661" s="1" t="s">
        <v>62</v>
      </c>
      <c r="S1661" s="1" t="n">
        <v>1130101</v>
      </c>
      <c r="T1661" s="1" t="s">
        <v>63</v>
      </c>
      <c r="U1661" s="1" t="n">
        <v>470.34</v>
      </c>
      <c r="W1661" s="1" t="n">
        <v>470.34</v>
      </c>
      <c r="X1661" s="1" t="s">
        <v>1463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BOLO D BENTA SACH CO</v>
      </c>
      <c r="AC1661" s="1" t="n">
        <v>508442</v>
      </c>
    </row>
    <row r="1662" customFormat="false" ht="12.75" hidden="false" customHeight="true" outlineLevel="0" collapsed="false">
      <c r="A1662" s="1" t="n">
        <v>2</v>
      </c>
      <c r="B1662" s="17" t="n">
        <v>46253</v>
      </c>
      <c r="C1662" s="17" t="n">
        <v>46265</v>
      </c>
      <c r="D1662" s="1" t="n">
        <v>1616</v>
      </c>
      <c r="E1662" s="1" t="s">
        <v>94</v>
      </c>
      <c r="F1662" s="1" t="n">
        <v>24</v>
      </c>
      <c r="G1662" s="1" t="s">
        <v>91</v>
      </c>
      <c r="H1662" s="1" t="n">
        <v>2110405</v>
      </c>
      <c r="I1662" s="1" t="s">
        <v>55</v>
      </c>
      <c r="J1662" s="1" t="n">
        <v>1570894</v>
      </c>
      <c r="L1662" s="1" t="n">
        <v>214483</v>
      </c>
      <c r="M1662" s="1" t="s">
        <v>36</v>
      </c>
      <c r="N1662" s="1" t="s">
        <v>50</v>
      </c>
      <c r="P1662" s="1" t="n">
        <v>113</v>
      </c>
      <c r="Q1662" s="1" t="s">
        <v>38</v>
      </c>
      <c r="R1662" s="1" t="s">
        <v>62</v>
      </c>
      <c r="S1662" s="1" t="n">
        <v>1130101</v>
      </c>
      <c r="T1662" s="1" t="s">
        <v>63</v>
      </c>
      <c r="U1662" s="1" t="n">
        <v>431.3</v>
      </c>
      <c r="W1662" s="1" t="n">
        <v>431.3</v>
      </c>
      <c r="X1662" s="1" t="s">
        <v>1464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MAC COMUM GALO PARAFUSO 400G</v>
      </c>
      <c r="AC1662" s="1" t="n">
        <v>654908</v>
      </c>
    </row>
    <row r="1663" customFormat="false" ht="12.75" hidden="false" customHeight="true" outlineLevel="0" collapsed="false">
      <c r="A1663" s="1" t="n">
        <v>2</v>
      </c>
      <c r="B1663" s="17" t="n">
        <v>46253</v>
      </c>
      <c r="C1663" s="17" t="n">
        <v>46265</v>
      </c>
      <c r="D1663" s="1" t="n">
        <v>1616</v>
      </c>
      <c r="E1663" s="1" t="s">
        <v>94</v>
      </c>
      <c r="F1663" s="1" t="n">
        <v>24</v>
      </c>
      <c r="G1663" s="1" t="s">
        <v>91</v>
      </c>
      <c r="H1663" s="1" t="n">
        <v>2110405</v>
      </c>
      <c r="I1663" s="1" t="s">
        <v>55</v>
      </c>
      <c r="J1663" s="1" t="n">
        <v>1570971</v>
      </c>
      <c r="L1663" s="1" t="n">
        <v>214491</v>
      </c>
      <c r="M1663" s="1" t="s">
        <v>36</v>
      </c>
      <c r="N1663" s="1" t="s">
        <v>50</v>
      </c>
      <c r="P1663" s="1" t="n">
        <v>113</v>
      </c>
      <c r="Q1663" s="1" t="s">
        <v>38</v>
      </c>
      <c r="R1663" s="1" t="s">
        <v>62</v>
      </c>
      <c r="S1663" s="1" t="n">
        <v>1130101</v>
      </c>
      <c r="T1663" s="1" t="s">
        <v>63</v>
      </c>
      <c r="U1663" s="1" t="n">
        <v>606.55</v>
      </c>
      <c r="W1663" s="1" t="n">
        <v>606.55</v>
      </c>
      <c r="X1663" s="1" t="s">
        <v>1465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DETER LIMPOL MACA 500ML</v>
      </c>
      <c r="AC1663" s="1" t="n">
        <v>654907</v>
      </c>
    </row>
    <row r="1664" customFormat="false" ht="12.75" hidden="false" customHeight="true" outlineLevel="0" collapsed="false">
      <c r="A1664" s="1" t="n">
        <v>2</v>
      </c>
      <c r="B1664" s="17" t="n">
        <v>46254</v>
      </c>
      <c r="C1664" s="17" t="n">
        <v>46265</v>
      </c>
      <c r="D1664" s="1" t="n">
        <v>1683</v>
      </c>
      <c r="E1664" s="1" t="s">
        <v>416</v>
      </c>
      <c r="F1664" s="1" t="n">
        <v>34</v>
      </c>
      <c r="G1664" s="1" t="s">
        <v>110</v>
      </c>
      <c r="H1664" s="1" t="n">
        <v>2110405</v>
      </c>
      <c r="I1664" s="1" t="s">
        <v>55</v>
      </c>
      <c r="J1664" s="1" t="n">
        <v>1576184</v>
      </c>
      <c r="L1664" s="1" t="n">
        <v>215382</v>
      </c>
      <c r="M1664" s="1" t="s">
        <v>36</v>
      </c>
      <c r="N1664" s="1" t="s">
        <v>50</v>
      </c>
      <c r="P1664" s="1" t="n">
        <v>113</v>
      </c>
      <c r="Q1664" s="1" t="s">
        <v>38</v>
      </c>
      <c r="R1664" s="1" t="s">
        <v>62</v>
      </c>
      <c r="S1664" s="1" t="n">
        <v>1130101</v>
      </c>
      <c r="T1664" s="1" t="s">
        <v>63</v>
      </c>
      <c r="U1664" s="1" t="n">
        <v>156</v>
      </c>
      <c r="W1664" s="1" t="n">
        <v>156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2</v>
      </c>
      <c r="B1665" s="17" t="n">
        <v>46255</v>
      </c>
      <c r="C1665" s="17" t="n">
        <v>46265</v>
      </c>
      <c r="D1665" s="1" t="n">
        <v>1683</v>
      </c>
      <c r="E1665" s="1" t="s">
        <v>416</v>
      </c>
      <c r="F1665" s="1" t="n">
        <v>34</v>
      </c>
      <c r="G1665" s="1" t="s">
        <v>110</v>
      </c>
      <c r="H1665" s="1" t="n">
        <v>2110405</v>
      </c>
      <c r="I1665" s="1" t="s">
        <v>55</v>
      </c>
      <c r="J1665" s="1" t="n">
        <v>1582006</v>
      </c>
      <c r="L1665" s="1" t="n">
        <v>216486</v>
      </c>
      <c r="M1665" s="1" t="s">
        <v>36</v>
      </c>
      <c r="N1665" s="1" t="s">
        <v>50</v>
      </c>
      <c r="P1665" s="1" t="n">
        <v>113</v>
      </c>
      <c r="Q1665" s="1" t="s">
        <v>38</v>
      </c>
      <c r="R1665" s="1" t="s">
        <v>62</v>
      </c>
      <c r="S1665" s="1" t="n">
        <v>1130101</v>
      </c>
      <c r="T1665" s="1" t="s">
        <v>63</v>
      </c>
      <c r="U1665" s="1" t="n">
        <v>100.5</v>
      </c>
      <c r="W1665" s="1" t="n">
        <v>100.5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2</v>
      </c>
      <c r="B1666" s="17" t="n">
        <v>46258</v>
      </c>
      <c r="C1666" s="17" t="n">
        <v>46265</v>
      </c>
      <c r="D1666" s="1" t="n">
        <v>1683</v>
      </c>
      <c r="E1666" s="1" t="s">
        <v>416</v>
      </c>
      <c r="F1666" s="1" t="n">
        <v>34</v>
      </c>
      <c r="G1666" s="1" t="s">
        <v>110</v>
      </c>
      <c r="H1666" s="1" t="n">
        <v>2110405</v>
      </c>
      <c r="I1666" s="1" t="s">
        <v>55</v>
      </c>
      <c r="J1666" s="1" t="n">
        <v>1594276</v>
      </c>
      <c r="L1666" s="1" t="n">
        <v>218060</v>
      </c>
      <c r="M1666" s="1" t="s">
        <v>36</v>
      </c>
      <c r="N1666" s="1" t="s">
        <v>50</v>
      </c>
      <c r="P1666" s="1" t="n">
        <v>113</v>
      </c>
      <c r="Q1666" s="1" t="s">
        <v>38</v>
      </c>
      <c r="R1666" s="1" t="s">
        <v>62</v>
      </c>
      <c r="S1666" s="1" t="n">
        <v>1130101</v>
      </c>
      <c r="T1666" s="1" t="s">
        <v>63</v>
      </c>
      <c r="U1666" s="1" t="n">
        <v>140</v>
      </c>
      <c r="W1666" s="1" t="n">
        <v>140</v>
      </c>
      <c r="X1666" s="1" t="s">
        <v>418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2</v>
      </c>
      <c r="B1667" s="17" t="n">
        <v>46258</v>
      </c>
      <c r="C1667" s="17" t="n">
        <v>46265</v>
      </c>
      <c r="D1667" s="1" t="n">
        <v>1123</v>
      </c>
      <c r="E1667" s="1" t="s">
        <v>437</v>
      </c>
      <c r="F1667" s="1" t="n">
        <v>24</v>
      </c>
      <c r="G1667" s="1" t="s">
        <v>91</v>
      </c>
      <c r="H1667" s="1" t="n">
        <v>2110405</v>
      </c>
      <c r="I1667" s="1" t="s">
        <v>55</v>
      </c>
      <c r="J1667" s="1" t="n">
        <v>1595743</v>
      </c>
      <c r="L1667" s="1" t="n">
        <v>218365</v>
      </c>
      <c r="M1667" s="1" t="s">
        <v>36</v>
      </c>
      <c r="N1667" s="1" t="s">
        <v>50</v>
      </c>
      <c r="P1667" s="1" t="n">
        <v>113</v>
      </c>
      <c r="Q1667" s="1" t="s">
        <v>38</v>
      </c>
      <c r="R1667" s="1" t="s">
        <v>62</v>
      </c>
      <c r="S1667" s="1" t="n">
        <v>1130101</v>
      </c>
      <c r="T1667" s="1" t="s">
        <v>63</v>
      </c>
      <c r="U1667" s="1" t="n">
        <v>460</v>
      </c>
      <c r="W1667" s="1" t="n">
        <v>460</v>
      </c>
      <c r="X1667" s="1" t="s">
        <v>1466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INT</v>
      </c>
      <c r="AC1667" s="1" t="n">
        <v>46622</v>
      </c>
    </row>
    <row r="1668" customFormat="false" ht="12.75" hidden="false" customHeight="true" outlineLevel="0" collapsed="false">
      <c r="A1668" s="1" t="n">
        <v>2</v>
      </c>
      <c r="B1668" s="17" t="n">
        <v>46259</v>
      </c>
      <c r="C1668" s="17" t="n">
        <v>46265</v>
      </c>
      <c r="D1668" s="1" t="n">
        <v>1328</v>
      </c>
      <c r="E1668" s="1" t="s">
        <v>105</v>
      </c>
      <c r="F1668" s="1" t="n">
        <v>24</v>
      </c>
      <c r="G1668" s="1" t="s">
        <v>91</v>
      </c>
      <c r="H1668" s="1" t="n">
        <v>2110405</v>
      </c>
      <c r="I1668" s="1" t="s">
        <v>55</v>
      </c>
      <c r="J1668" s="1" t="n">
        <v>1598929</v>
      </c>
      <c r="L1668" s="1" t="n">
        <v>218839</v>
      </c>
      <c r="M1668" s="1" t="s">
        <v>36</v>
      </c>
      <c r="N1668" s="1" t="s">
        <v>50</v>
      </c>
      <c r="P1668" s="1" t="n">
        <v>113</v>
      </c>
      <c r="Q1668" s="1" t="s">
        <v>38</v>
      </c>
      <c r="R1668" s="1" t="s">
        <v>62</v>
      </c>
      <c r="S1668" s="1" t="n">
        <v>1130101</v>
      </c>
      <c r="T1668" s="1" t="s">
        <v>63</v>
      </c>
      <c r="U1668" s="1" t="n">
        <v>215.9</v>
      </c>
      <c r="W1668" s="1" t="n">
        <v>215.9</v>
      </c>
      <c r="X1668" s="1" t="s">
        <v>1467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PAO BISNAGUIN</v>
      </c>
      <c r="AC1668" s="1" t="n">
        <v>4446</v>
      </c>
    </row>
    <row r="1669" customFormat="false" ht="12.75" hidden="false" customHeight="true" outlineLevel="0" collapsed="false">
      <c r="A1669" s="1" t="n">
        <v>2</v>
      </c>
      <c r="B1669" s="17" t="n">
        <v>46259</v>
      </c>
      <c r="C1669" s="17" t="n">
        <v>46265</v>
      </c>
      <c r="D1669" s="1" t="n">
        <v>1683</v>
      </c>
      <c r="E1669" s="1" t="s">
        <v>416</v>
      </c>
      <c r="F1669" s="1" t="n">
        <v>34</v>
      </c>
      <c r="G1669" s="1" t="s">
        <v>110</v>
      </c>
      <c r="H1669" s="1" t="n">
        <v>2110405</v>
      </c>
      <c r="I1669" s="1" t="s">
        <v>55</v>
      </c>
      <c r="J1669" s="1" t="n">
        <v>1598937</v>
      </c>
      <c r="L1669" s="1" t="n">
        <v>218842</v>
      </c>
      <c r="M1669" s="1" t="s">
        <v>36</v>
      </c>
      <c r="N1669" s="1" t="s">
        <v>50</v>
      </c>
      <c r="P1669" s="1" t="n">
        <v>113</v>
      </c>
      <c r="Q1669" s="1" t="s">
        <v>38</v>
      </c>
      <c r="R1669" s="1" t="s">
        <v>62</v>
      </c>
      <c r="S1669" s="1" t="n">
        <v>1130101</v>
      </c>
      <c r="T1669" s="1" t="s">
        <v>63</v>
      </c>
      <c r="U1669" s="1" t="n">
        <v>126</v>
      </c>
      <c r="W1669" s="1" t="n">
        <v>126</v>
      </c>
      <c r="X1669" s="1" t="s">
        <v>418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2</v>
      </c>
      <c r="B1670" s="17" t="n">
        <v>46259</v>
      </c>
      <c r="C1670" s="17" t="n">
        <v>46265</v>
      </c>
      <c r="D1670" s="1" t="n">
        <v>1807</v>
      </c>
      <c r="E1670" s="1" t="s">
        <v>1083</v>
      </c>
      <c r="F1670" s="1" t="n">
        <v>24</v>
      </c>
      <c r="G1670" s="1" t="s">
        <v>91</v>
      </c>
      <c r="H1670" s="1" t="n">
        <v>2110405</v>
      </c>
      <c r="I1670" s="1" t="s">
        <v>55</v>
      </c>
      <c r="J1670" s="1" t="n">
        <v>1600838</v>
      </c>
      <c r="L1670" s="1" t="n">
        <v>219216</v>
      </c>
      <c r="M1670" s="1" t="s">
        <v>36</v>
      </c>
      <c r="N1670" s="1" t="s">
        <v>50</v>
      </c>
      <c r="P1670" s="1" t="n">
        <v>101</v>
      </c>
      <c r="Q1670" s="1" t="s">
        <v>56</v>
      </c>
      <c r="R1670" s="1" t="s">
        <v>512</v>
      </c>
      <c r="S1670" s="1" t="n">
        <v>2110704</v>
      </c>
      <c r="T1670" s="1" t="s">
        <v>1084</v>
      </c>
      <c r="U1670" s="1" t="n">
        <v>586.1</v>
      </c>
      <c r="W1670" s="1" t="n">
        <v>586.1</v>
      </c>
      <c r="X1670" s="1" t="s">
        <v>1468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2</v>
      </c>
      <c r="B1671" s="17" t="n">
        <v>46259</v>
      </c>
      <c r="C1671" s="17" t="n">
        <v>46265</v>
      </c>
      <c r="D1671" s="1" t="n">
        <v>1807</v>
      </c>
      <c r="E1671" s="1" t="s">
        <v>1083</v>
      </c>
      <c r="F1671" s="1" t="n">
        <v>24</v>
      </c>
      <c r="G1671" s="1" t="s">
        <v>91</v>
      </c>
      <c r="H1671" s="1" t="n">
        <v>2110405</v>
      </c>
      <c r="I1671" s="1" t="s">
        <v>55</v>
      </c>
      <c r="J1671" s="1" t="n">
        <v>1600852</v>
      </c>
      <c r="L1671" s="1" t="n">
        <v>219219</v>
      </c>
      <c r="M1671" s="1" t="s">
        <v>36</v>
      </c>
      <c r="N1671" s="1" t="s">
        <v>50</v>
      </c>
      <c r="P1671" s="1" t="n">
        <v>101</v>
      </c>
      <c r="Q1671" s="1" t="s">
        <v>56</v>
      </c>
      <c r="R1671" s="1" t="s">
        <v>512</v>
      </c>
      <c r="S1671" s="1" t="n">
        <v>2110712</v>
      </c>
      <c r="T1671" s="1" t="s">
        <v>1086</v>
      </c>
      <c r="U1671" s="1" t="n">
        <v>351.66</v>
      </c>
      <c r="W1671" s="1" t="n">
        <v>351.66</v>
      </c>
      <c r="X1671" s="1" t="s">
        <v>1469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2</v>
      </c>
      <c r="B1672" s="17" t="n">
        <v>46262</v>
      </c>
      <c r="C1672" s="17" t="n">
        <v>46265</v>
      </c>
      <c r="D1672" s="1" t="n">
        <v>10035</v>
      </c>
      <c r="E1672" s="1" t="s">
        <v>109</v>
      </c>
      <c r="F1672" s="1" t="n">
        <v>34</v>
      </c>
      <c r="G1672" s="1" t="s">
        <v>110</v>
      </c>
      <c r="H1672" s="1" t="n">
        <v>2110405</v>
      </c>
      <c r="I1672" s="1" t="s">
        <v>55</v>
      </c>
      <c r="J1672" s="1" t="n">
        <v>1614664</v>
      </c>
      <c r="L1672" s="1" t="n">
        <v>221477</v>
      </c>
      <c r="M1672" s="1" t="s">
        <v>36</v>
      </c>
      <c r="N1672" s="1" t="s">
        <v>50</v>
      </c>
      <c r="P1672" s="1" t="n">
        <v>113</v>
      </c>
      <c r="Q1672" s="1" t="s">
        <v>38</v>
      </c>
      <c r="R1672" s="1" t="s">
        <v>62</v>
      </c>
      <c r="S1672" s="1" t="n">
        <v>1130101</v>
      </c>
      <c r="T1672" s="1" t="s">
        <v>63</v>
      </c>
      <c r="U1672" s="1" t="n">
        <v>214.5</v>
      </c>
      <c r="W1672" s="1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" t="n">
        <v>2</v>
      </c>
      <c r="B1673" s="17" t="n">
        <v>46262</v>
      </c>
      <c r="C1673" s="17" t="n">
        <v>46265</v>
      </c>
      <c r="D1673" s="1" t="n">
        <v>1683</v>
      </c>
      <c r="E1673" s="1" t="s">
        <v>416</v>
      </c>
      <c r="F1673" s="1" t="n">
        <v>34</v>
      </c>
      <c r="G1673" s="1" t="s">
        <v>110</v>
      </c>
      <c r="H1673" s="1" t="n">
        <v>2110405</v>
      </c>
      <c r="I1673" s="1" t="s">
        <v>55</v>
      </c>
      <c r="J1673" s="1" t="n">
        <v>1614840</v>
      </c>
      <c r="L1673" s="1" t="n">
        <v>221511</v>
      </c>
      <c r="M1673" s="1" t="s">
        <v>36</v>
      </c>
      <c r="N1673" s="1" t="s">
        <v>50</v>
      </c>
      <c r="P1673" s="1" t="n">
        <v>113</v>
      </c>
      <c r="Q1673" s="1" t="s">
        <v>38</v>
      </c>
      <c r="R1673" s="1" t="s">
        <v>62</v>
      </c>
      <c r="S1673" s="1" t="n">
        <v>1130101</v>
      </c>
      <c r="T1673" s="1" t="s">
        <v>63</v>
      </c>
      <c r="U1673" s="1" t="n">
        <v>192</v>
      </c>
      <c r="W1673" s="1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2</v>
      </c>
      <c r="B1674" s="17" t="n">
        <v>46265</v>
      </c>
      <c r="C1674" s="17" t="n">
        <v>46265</v>
      </c>
      <c r="D1674" s="1" t="n">
        <v>1699</v>
      </c>
      <c r="E1674" s="1" t="s">
        <v>231</v>
      </c>
      <c r="F1674" s="1" t="n">
        <v>24</v>
      </c>
      <c r="G1674" s="1" t="s">
        <v>91</v>
      </c>
      <c r="H1674" s="1" t="n">
        <v>2110405</v>
      </c>
      <c r="I1674" s="1" t="s">
        <v>55</v>
      </c>
      <c r="J1674" s="1" t="n">
        <v>1628756</v>
      </c>
      <c r="L1674" s="1" t="n">
        <v>223347</v>
      </c>
      <c r="M1674" s="1" t="s">
        <v>36</v>
      </c>
      <c r="N1674" s="1" t="s">
        <v>50</v>
      </c>
      <c r="P1674" s="1" t="n">
        <v>113</v>
      </c>
      <c r="Q1674" s="1" t="s">
        <v>38</v>
      </c>
      <c r="R1674" s="1" t="s">
        <v>62</v>
      </c>
      <c r="S1674" s="1" t="n">
        <v>1130101</v>
      </c>
      <c r="T1674" s="1" t="s">
        <v>63</v>
      </c>
      <c r="U1674" s="1" t="n">
        <v>658.8</v>
      </c>
      <c r="W1674" s="1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" t="n">
        <v>2</v>
      </c>
      <c r="B1675" s="17" t="n">
        <v>46265</v>
      </c>
      <c r="C1675" s="17" t="n">
        <v>46265</v>
      </c>
      <c r="D1675" s="1" t="n">
        <v>48</v>
      </c>
      <c r="E1675" s="1" t="s">
        <v>146</v>
      </c>
      <c r="F1675" s="1" t="n">
        <v>13</v>
      </c>
      <c r="G1675" s="1" t="s">
        <v>147</v>
      </c>
      <c r="H1675" s="1" t="n">
        <v>2110101</v>
      </c>
      <c r="I1675" s="1" t="s">
        <v>48</v>
      </c>
      <c r="J1675" s="1" t="n">
        <v>1630071</v>
      </c>
      <c r="L1675" s="1" t="n">
        <v>2643</v>
      </c>
      <c r="M1675" s="1" t="s">
        <v>36</v>
      </c>
      <c r="N1675" s="1" t="s">
        <v>68</v>
      </c>
      <c r="P1675" s="1" t="n">
        <v>113</v>
      </c>
      <c r="Q1675" s="1" t="s">
        <v>38</v>
      </c>
      <c r="R1675" s="1" t="s">
        <v>62</v>
      </c>
      <c r="S1675" s="1" t="n">
        <v>1130101</v>
      </c>
      <c r="T1675" s="1" t="s">
        <v>63</v>
      </c>
      <c r="U1675" s="1" t="n">
        <v>300</v>
      </c>
      <c r="W1675" s="1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2</v>
      </c>
      <c r="B1676" s="17" t="n">
        <v>46265</v>
      </c>
      <c r="C1676" s="17" t="n">
        <v>46265</v>
      </c>
      <c r="D1676" s="1" t="n">
        <v>1683</v>
      </c>
      <c r="E1676" s="1" t="s">
        <v>416</v>
      </c>
      <c r="F1676" s="1" t="n">
        <v>34</v>
      </c>
      <c r="G1676" s="1" t="s">
        <v>110</v>
      </c>
      <c r="H1676" s="1" t="n">
        <v>2110405</v>
      </c>
      <c r="I1676" s="1" t="s">
        <v>55</v>
      </c>
      <c r="J1676" s="1" t="n">
        <v>1630580</v>
      </c>
      <c r="L1676" s="1" t="n">
        <v>223771</v>
      </c>
      <c r="M1676" s="1" t="s">
        <v>36</v>
      </c>
      <c r="N1676" s="1" t="s">
        <v>50</v>
      </c>
      <c r="P1676" s="1" t="n">
        <v>113</v>
      </c>
      <c r="Q1676" s="1" t="s">
        <v>38</v>
      </c>
      <c r="R1676" s="1" t="s">
        <v>62</v>
      </c>
      <c r="S1676" s="1" t="n">
        <v>1130101</v>
      </c>
      <c r="T1676" s="1" t="s">
        <v>63</v>
      </c>
      <c r="U1676" s="1" t="n">
        <v>148.5</v>
      </c>
      <c r="W1676" s="1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2</v>
      </c>
      <c r="B1677" s="17" t="n">
        <v>46265</v>
      </c>
      <c r="C1677" s="17" t="n">
        <v>46265</v>
      </c>
      <c r="D1677" s="1" t="n">
        <v>1683</v>
      </c>
      <c r="E1677" s="1" t="s">
        <v>416</v>
      </c>
      <c r="F1677" s="1" t="n">
        <v>34</v>
      </c>
      <c r="G1677" s="1" t="s">
        <v>110</v>
      </c>
      <c r="H1677" s="1" t="n">
        <v>2110405</v>
      </c>
      <c r="I1677" s="1" t="s">
        <v>55</v>
      </c>
      <c r="J1677" s="1" t="n">
        <v>1630627</v>
      </c>
      <c r="L1677" s="1" t="n">
        <v>223780</v>
      </c>
      <c r="M1677" s="1" t="s">
        <v>36</v>
      </c>
      <c r="N1677" s="1" t="s">
        <v>50</v>
      </c>
      <c r="P1677" s="1" t="n">
        <v>113</v>
      </c>
      <c r="Q1677" s="1" t="s">
        <v>38</v>
      </c>
      <c r="R1677" s="1" t="s">
        <v>62</v>
      </c>
      <c r="S1677" s="1" t="n">
        <v>1130101</v>
      </c>
      <c r="T1677" s="1" t="s">
        <v>63</v>
      </c>
      <c r="U1677" s="1" t="n">
        <v>150</v>
      </c>
      <c r="W1677" s="1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2</v>
      </c>
      <c r="B1678" s="17" t="n">
        <v>46265</v>
      </c>
      <c r="C1678" s="17" t="n">
        <v>46265</v>
      </c>
      <c r="D1678" s="1" t="n">
        <v>675</v>
      </c>
      <c r="E1678" s="1" t="s">
        <v>1474</v>
      </c>
      <c r="F1678" s="1" t="n">
        <v>11</v>
      </c>
      <c r="G1678" s="1" t="s">
        <v>565</v>
      </c>
      <c r="H1678" s="1" t="n">
        <v>2110405</v>
      </c>
      <c r="I1678" s="1" t="s">
        <v>55</v>
      </c>
      <c r="J1678" s="1" t="n">
        <v>1630801</v>
      </c>
      <c r="L1678" s="1" t="n">
        <v>223816</v>
      </c>
      <c r="M1678" s="1" t="s">
        <v>36</v>
      </c>
      <c r="N1678" s="1" t="s">
        <v>50</v>
      </c>
      <c r="P1678" s="1" t="n">
        <v>113</v>
      </c>
      <c r="Q1678" s="1" t="s">
        <v>38</v>
      </c>
      <c r="R1678" s="1" t="s">
        <v>70</v>
      </c>
      <c r="S1678" s="1" t="n">
        <v>4210227</v>
      </c>
      <c r="T1678" s="1" t="s">
        <v>77</v>
      </c>
      <c r="U1678" s="1" t="n">
        <v>620</v>
      </c>
      <c r="W1678" s="1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2</v>
      </c>
      <c r="B1679" s="17" t="n">
        <v>46265</v>
      </c>
      <c r="C1679" s="17" t="n">
        <v>46265</v>
      </c>
      <c r="D1679" s="1" t="n">
        <v>1961</v>
      </c>
      <c r="E1679" s="1" t="s">
        <v>149</v>
      </c>
      <c r="F1679" s="1" t="n">
        <v>34</v>
      </c>
      <c r="G1679" s="1" t="s">
        <v>110</v>
      </c>
      <c r="H1679" s="1" t="n">
        <v>2110405</v>
      </c>
      <c r="I1679" s="1" t="s">
        <v>55</v>
      </c>
      <c r="J1679" s="1" t="n">
        <v>1639533</v>
      </c>
      <c r="L1679" s="1" t="n">
        <v>225322</v>
      </c>
      <c r="M1679" s="1" t="s">
        <v>36</v>
      </c>
      <c r="N1679" s="1" t="s">
        <v>50</v>
      </c>
      <c r="P1679" s="1" t="n">
        <v>102</v>
      </c>
      <c r="Q1679" s="1" t="s">
        <v>315</v>
      </c>
      <c r="R1679" s="1" t="s">
        <v>39</v>
      </c>
      <c r="S1679" s="1" t="n">
        <v>4210310</v>
      </c>
      <c r="T1679" s="1" t="s">
        <v>150</v>
      </c>
      <c r="U1679" s="1" t="n">
        <v>450</v>
      </c>
      <c r="W1679" s="1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2</v>
      </c>
      <c r="B1680" s="17" t="n">
        <v>46265</v>
      </c>
      <c r="C1680" s="17" t="n">
        <v>46265</v>
      </c>
      <c r="D1680" s="1" t="n">
        <v>12</v>
      </c>
      <c r="E1680" s="1" t="s">
        <v>54</v>
      </c>
      <c r="F1680" s="1" t="n">
        <v>34</v>
      </c>
      <c r="G1680" s="1" t="s">
        <v>110</v>
      </c>
      <c r="H1680" s="1" t="n">
        <v>2110405</v>
      </c>
      <c r="I1680" s="1" t="s">
        <v>55</v>
      </c>
      <c r="J1680" s="1" t="n">
        <v>1643276</v>
      </c>
      <c r="L1680" s="1" t="n">
        <v>225468</v>
      </c>
      <c r="M1680" s="1" t="s">
        <v>36</v>
      </c>
      <c r="N1680" s="1" t="s">
        <v>50</v>
      </c>
      <c r="P1680" s="1" t="n">
        <v>113</v>
      </c>
      <c r="Q1680" s="1" t="s">
        <v>38</v>
      </c>
      <c r="R1680" s="1" t="s">
        <v>39</v>
      </c>
      <c r="S1680" s="1" t="n">
        <v>4210301</v>
      </c>
      <c r="T1680" s="1" t="s">
        <v>253</v>
      </c>
      <c r="U1680" s="1" t="n">
        <v>600</v>
      </c>
      <c r="W1680" s="1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2</v>
      </c>
      <c r="B1681" s="17" t="n">
        <v>46265</v>
      </c>
      <c r="C1681" s="17" t="n">
        <v>46265</v>
      </c>
      <c r="D1681" s="1" t="n">
        <v>1699</v>
      </c>
      <c r="E1681" s="1" t="s">
        <v>231</v>
      </c>
      <c r="F1681" s="1" t="n">
        <v>24</v>
      </c>
      <c r="G1681" s="1" t="s">
        <v>91</v>
      </c>
      <c r="H1681" s="1" t="n">
        <v>2110101</v>
      </c>
      <c r="I1681" s="1" t="s">
        <v>48</v>
      </c>
      <c r="J1681" s="1" t="n">
        <v>1652879</v>
      </c>
      <c r="L1681" s="1" t="n">
        <v>227079</v>
      </c>
      <c r="M1681" s="1" t="s">
        <v>36</v>
      </c>
      <c r="N1681" s="1" t="s">
        <v>50</v>
      </c>
      <c r="P1681" s="1" t="n">
        <v>102</v>
      </c>
      <c r="Q1681" s="1" t="s">
        <v>315</v>
      </c>
      <c r="R1681" s="1" t="s">
        <v>62</v>
      </c>
      <c r="S1681" s="1" t="n">
        <v>1130101</v>
      </c>
      <c r="T1681" s="1" t="s">
        <v>63</v>
      </c>
      <c r="U1681" s="1" t="n">
        <v>658.8</v>
      </c>
      <c r="W1681" s="1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" t="n">
        <v>2</v>
      </c>
      <c r="B1682" s="17" t="n">
        <v>46266</v>
      </c>
      <c r="C1682" s="17" t="n">
        <v>46266</v>
      </c>
      <c r="D1682" s="1" t="n">
        <v>0</v>
      </c>
      <c r="E1682" s="1" t="s">
        <v>33</v>
      </c>
      <c r="F1682" s="1" t="n">
        <v>17</v>
      </c>
      <c r="G1682" s="1" t="s">
        <v>34</v>
      </c>
      <c r="H1682" s="1" t="n">
        <v>1110101</v>
      </c>
      <c r="I1682" s="1" t="s">
        <v>35</v>
      </c>
      <c r="J1682" s="1" t="n">
        <v>1638259</v>
      </c>
      <c r="L1682" s="1" t="n">
        <v>1638259</v>
      </c>
      <c r="M1682" s="1" t="s">
        <v>36</v>
      </c>
      <c r="N1682" s="1" t="s">
        <v>37</v>
      </c>
      <c r="P1682" s="1" t="n">
        <v>113</v>
      </c>
      <c r="Q1682" s="1" t="s">
        <v>38</v>
      </c>
      <c r="R1682" s="1" t="s">
        <v>70</v>
      </c>
      <c r="S1682" s="1" t="n">
        <v>4210227</v>
      </c>
      <c r="T1682" s="1" t="s">
        <v>77</v>
      </c>
      <c r="U1682" s="1" t="n">
        <v>50</v>
      </c>
      <c r="W1682" s="1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2</v>
      </c>
      <c r="B1683" s="17" t="n">
        <v>46266</v>
      </c>
      <c r="C1683" s="17" t="n">
        <v>46266</v>
      </c>
      <c r="D1683" s="1" t="n">
        <v>0</v>
      </c>
      <c r="E1683" s="1" t="s">
        <v>33</v>
      </c>
      <c r="F1683" s="1" t="n">
        <v>17</v>
      </c>
      <c r="G1683" s="1" t="s">
        <v>34</v>
      </c>
      <c r="H1683" s="1" t="n">
        <v>1110101</v>
      </c>
      <c r="I1683" s="1" t="s">
        <v>35</v>
      </c>
      <c r="J1683" s="1" t="n">
        <v>1638260</v>
      </c>
      <c r="L1683" s="1" t="n">
        <v>1638260</v>
      </c>
      <c r="M1683" s="1" t="s">
        <v>36</v>
      </c>
      <c r="N1683" s="1" t="s">
        <v>37</v>
      </c>
      <c r="P1683" s="1" t="n">
        <v>113</v>
      </c>
      <c r="Q1683" s="1" t="s">
        <v>38</v>
      </c>
      <c r="R1683" s="1" t="s">
        <v>39</v>
      </c>
      <c r="S1683" s="1" t="n">
        <v>4210309</v>
      </c>
      <c r="T1683" s="1" t="s">
        <v>113</v>
      </c>
      <c r="U1683" s="1" t="n">
        <v>10</v>
      </c>
      <c r="W1683" s="1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2</v>
      </c>
      <c r="B1684" s="17" t="n">
        <v>46266</v>
      </c>
      <c r="C1684" s="17" t="n">
        <v>46266</v>
      </c>
      <c r="D1684" s="1" t="n">
        <v>0</v>
      </c>
      <c r="E1684" s="1" t="s">
        <v>33</v>
      </c>
      <c r="F1684" s="1" t="n">
        <v>17</v>
      </c>
      <c r="G1684" s="1" t="s">
        <v>34</v>
      </c>
      <c r="H1684" s="1" t="n">
        <v>1110101</v>
      </c>
      <c r="I1684" s="1" t="s">
        <v>35</v>
      </c>
      <c r="J1684" s="1" t="n">
        <v>1638266</v>
      </c>
      <c r="L1684" s="1" t="n">
        <v>1638266</v>
      </c>
      <c r="M1684" s="1" t="s">
        <v>36</v>
      </c>
      <c r="N1684" s="1" t="s">
        <v>37</v>
      </c>
      <c r="P1684" s="1" t="n">
        <v>113</v>
      </c>
      <c r="Q1684" s="1" t="s">
        <v>38</v>
      </c>
      <c r="R1684" s="1" t="s">
        <v>39</v>
      </c>
      <c r="S1684" s="1" t="n">
        <v>4210314</v>
      </c>
      <c r="T1684" s="1" t="s">
        <v>40</v>
      </c>
      <c r="U1684" s="1" t="n">
        <v>50</v>
      </c>
      <c r="W1684" s="1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2</v>
      </c>
      <c r="B1685" s="17" t="n">
        <v>46266</v>
      </c>
      <c r="C1685" s="17" t="n">
        <v>46266</v>
      </c>
      <c r="D1685" s="1" t="n">
        <v>0</v>
      </c>
      <c r="E1685" s="1" t="s">
        <v>33</v>
      </c>
      <c r="F1685" s="1" t="n">
        <v>17</v>
      </c>
      <c r="G1685" s="1" t="s">
        <v>34</v>
      </c>
      <c r="H1685" s="1" t="n">
        <v>1110101</v>
      </c>
      <c r="I1685" s="1" t="s">
        <v>35</v>
      </c>
      <c r="J1685" s="1" t="n">
        <v>1638269</v>
      </c>
      <c r="L1685" s="1" t="n">
        <v>1638269</v>
      </c>
      <c r="M1685" s="1" t="s">
        <v>36</v>
      </c>
      <c r="N1685" s="1" t="s">
        <v>37</v>
      </c>
      <c r="P1685" s="1" t="n">
        <v>113</v>
      </c>
      <c r="Q1685" s="1" t="s">
        <v>38</v>
      </c>
      <c r="R1685" s="1" t="s">
        <v>39</v>
      </c>
      <c r="S1685" s="1" t="n">
        <v>4210314</v>
      </c>
      <c r="T1685" s="1" t="s">
        <v>40</v>
      </c>
      <c r="U1685" s="1" t="n">
        <v>70</v>
      </c>
      <c r="W1685" s="1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" t="n">
        <v>2</v>
      </c>
      <c r="B1686" s="17" t="n">
        <v>45992</v>
      </c>
      <c r="C1686" s="17" t="n">
        <v>46266</v>
      </c>
      <c r="D1686" s="1" t="n">
        <v>983</v>
      </c>
      <c r="E1686" s="1" t="s">
        <v>46</v>
      </c>
      <c r="F1686" s="1" t="n">
        <v>47</v>
      </c>
      <c r="G1686" s="1" t="s">
        <v>47</v>
      </c>
      <c r="H1686" s="1" t="n">
        <v>2110101</v>
      </c>
      <c r="I1686" s="1" t="s">
        <v>48</v>
      </c>
      <c r="J1686" s="1" t="n">
        <v>361903</v>
      </c>
      <c r="L1686" s="1" t="n">
        <v>47174</v>
      </c>
      <c r="M1686" s="1" t="s">
        <v>1481</v>
      </c>
      <c r="N1686" s="1" t="s">
        <v>50</v>
      </c>
      <c r="P1686" s="1" t="n">
        <v>113</v>
      </c>
      <c r="Q1686" s="1" t="s">
        <v>38</v>
      </c>
      <c r="R1686" s="1" t="s">
        <v>51</v>
      </c>
      <c r="S1686" s="1" t="n">
        <v>1240103</v>
      </c>
      <c r="T1686" s="1" t="s">
        <v>52</v>
      </c>
      <c r="U1686" s="1" t="n">
        <v>1898</v>
      </c>
      <c r="W1686" s="1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" t="n">
        <v>2</v>
      </c>
      <c r="B1687" s="17" t="n">
        <v>46055</v>
      </c>
      <c r="C1687" s="17" t="n">
        <v>46266</v>
      </c>
      <c r="D1687" s="1" t="n">
        <v>10039</v>
      </c>
      <c r="E1687" s="1" t="s">
        <v>84</v>
      </c>
      <c r="F1687" s="1" t="n">
        <v>47</v>
      </c>
      <c r="G1687" s="1" t="s">
        <v>47</v>
      </c>
      <c r="H1687" s="1" t="n">
        <v>2110405</v>
      </c>
      <c r="I1687" s="1" t="s">
        <v>55</v>
      </c>
      <c r="J1687" s="1" t="n">
        <v>846832</v>
      </c>
      <c r="L1687" s="1" t="n">
        <v>111506</v>
      </c>
      <c r="M1687" s="1" t="s">
        <v>49</v>
      </c>
      <c r="N1687" s="1" t="s">
        <v>50</v>
      </c>
      <c r="P1687" s="1" t="n">
        <v>113</v>
      </c>
      <c r="Q1687" s="1" t="s">
        <v>38</v>
      </c>
      <c r="R1687" s="1" t="s">
        <v>70</v>
      </c>
      <c r="S1687" s="1" t="n">
        <v>4210227</v>
      </c>
      <c r="T1687" s="1" t="s">
        <v>77</v>
      </c>
      <c r="U1687" s="1" t="n">
        <v>378.82</v>
      </c>
      <c r="W1687" s="1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" t="n">
        <v>2</v>
      </c>
      <c r="B1688" s="17" t="n">
        <v>46196</v>
      </c>
      <c r="C1688" s="17" t="n">
        <v>46266</v>
      </c>
      <c r="D1688" s="1" t="n">
        <v>875</v>
      </c>
      <c r="E1688" s="1" t="s">
        <v>87</v>
      </c>
      <c r="F1688" s="1" t="n">
        <v>47</v>
      </c>
      <c r="G1688" s="1" t="s">
        <v>47</v>
      </c>
      <c r="H1688" s="1" t="n">
        <v>2110101</v>
      </c>
      <c r="I1688" s="1" t="s">
        <v>48</v>
      </c>
      <c r="J1688" s="1" t="n">
        <v>1295066</v>
      </c>
      <c r="L1688" s="1" t="n">
        <v>173322</v>
      </c>
      <c r="M1688" s="1" t="s">
        <v>76</v>
      </c>
      <c r="N1688" s="1" t="s">
        <v>50</v>
      </c>
      <c r="P1688" s="1" t="n">
        <v>113</v>
      </c>
      <c r="Q1688" s="1" t="s">
        <v>38</v>
      </c>
      <c r="R1688" s="1" t="s">
        <v>62</v>
      </c>
      <c r="S1688" s="1" t="n">
        <v>1130101</v>
      </c>
      <c r="T1688" s="1" t="s">
        <v>63</v>
      </c>
      <c r="U1688" s="1" t="n">
        <v>1290.16</v>
      </c>
      <c r="W1688" s="1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" t="n">
        <v>2</v>
      </c>
      <c r="B1689" s="17" t="n">
        <v>46226</v>
      </c>
      <c r="C1689" s="17" t="n">
        <v>46266</v>
      </c>
      <c r="D1689" s="1" t="n">
        <v>957</v>
      </c>
      <c r="E1689" s="1" t="s">
        <v>628</v>
      </c>
      <c r="F1689" s="1" t="n">
        <v>24</v>
      </c>
      <c r="G1689" s="1" t="s">
        <v>91</v>
      </c>
      <c r="H1689" s="1" t="n">
        <v>2110405</v>
      </c>
      <c r="I1689" s="1" t="s">
        <v>55</v>
      </c>
      <c r="J1689" s="1" t="n">
        <v>1438932</v>
      </c>
      <c r="L1689" s="1" t="n">
        <v>194431</v>
      </c>
      <c r="M1689" s="1" t="s">
        <v>36</v>
      </c>
      <c r="N1689" s="1" t="s">
        <v>50</v>
      </c>
      <c r="P1689" s="1" t="n">
        <v>113</v>
      </c>
      <c r="Q1689" s="1" t="s">
        <v>38</v>
      </c>
      <c r="R1689" s="1" t="s">
        <v>62</v>
      </c>
      <c r="S1689" s="1" t="n">
        <v>1130101</v>
      </c>
      <c r="T1689" s="1" t="s">
        <v>63</v>
      </c>
      <c r="U1689" s="1" t="n">
        <v>1501.38</v>
      </c>
      <c r="W1689" s="1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" t="n">
        <v>2</v>
      </c>
      <c r="B1690" s="17" t="n">
        <v>46226</v>
      </c>
      <c r="C1690" s="17" t="n">
        <v>46266</v>
      </c>
      <c r="D1690" s="1" t="n">
        <v>10011</v>
      </c>
      <c r="E1690" s="1" t="s">
        <v>330</v>
      </c>
      <c r="F1690" s="1" t="n">
        <v>24</v>
      </c>
      <c r="G1690" s="1" t="s">
        <v>91</v>
      </c>
      <c r="H1690" s="1" t="n">
        <v>2110405</v>
      </c>
      <c r="I1690" s="1" t="s">
        <v>55</v>
      </c>
      <c r="J1690" s="1" t="n">
        <v>1438962</v>
      </c>
      <c r="L1690" s="1" t="n">
        <v>194443</v>
      </c>
      <c r="M1690" s="1" t="s">
        <v>36</v>
      </c>
      <c r="N1690" s="1" t="s">
        <v>50</v>
      </c>
      <c r="P1690" s="1" t="n">
        <v>113</v>
      </c>
      <c r="Q1690" s="1" t="s">
        <v>38</v>
      </c>
      <c r="R1690" s="1" t="s">
        <v>62</v>
      </c>
      <c r="S1690" s="1" t="n">
        <v>1130101</v>
      </c>
      <c r="T1690" s="1" t="s">
        <v>63</v>
      </c>
      <c r="U1690" s="1" t="n">
        <v>591.07</v>
      </c>
      <c r="W1690" s="1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" t="n">
        <v>2</v>
      </c>
      <c r="B1691" s="17" t="n">
        <v>46245</v>
      </c>
      <c r="C1691" s="17" t="n">
        <v>46266</v>
      </c>
      <c r="D1691" s="1" t="n">
        <v>1259</v>
      </c>
      <c r="E1691" s="1" t="s">
        <v>1485</v>
      </c>
      <c r="F1691" s="1" t="n">
        <v>47</v>
      </c>
      <c r="G1691" s="1" t="s">
        <v>47</v>
      </c>
      <c r="H1691" s="1" t="n">
        <v>2110405</v>
      </c>
      <c r="I1691" s="1" t="s">
        <v>55</v>
      </c>
      <c r="J1691" s="1" t="n">
        <v>1532317</v>
      </c>
      <c r="L1691" s="1" t="n">
        <v>208731</v>
      </c>
      <c r="M1691" s="1" t="s">
        <v>36</v>
      </c>
      <c r="N1691" s="1" t="s">
        <v>50</v>
      </c>
      <c r="P1691" s="1" t="n">
        <v>113</v>
      </c>
      <c r="Q1691" s="1" t="s">
        <v>38</v>
      </c>
      <c r="R1691" s="1" t="s">
        <v>70</v>
      </c>
      <c r="S1691" s="1" t="n">
        <v>4210209</v>
      </c>
      <c r="T1691" s="1" t="s">
        <v>687</v>
      </c>
      <c r="U1691" s="1" t="n">
        <v>200</v>
      </c>
      <c r="W1691" s="1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" t="n">
        <v>2</v>
      </c>
      <c r="B1692" s="17" t="n">
        <v>46246</v>
      </c>
      <c r="C1692" s="17" t="n">
        <v>46266</v>
      </c>
      <c r="D1692" s="1" t="n">
        <v>875</v>
      </c>
      <c r="E1692" s="1" t="s">
        <v>87</v>
      </c>
      <c r="F1692" s="1" t="n">
        <v>47</v>
      </c>
      <c r="G1692" s="1" t="s">
        <v>47</v>
      </c>
      <c r="H1692" s="1" t="n">
        <v>2110405</v>
      </c>
      <c r="I1692" s="1" t="s">
        <v>55</v>
      </c>
      <c r="J1692" s="1" t="n">
        <v>1534947</v>
      </c>
      <c r="L1692" s="1" t="n">
        <v>209452</v>
      </c>
      <c r="M1692" s="1" t="s">
        <v>36</v>
      </c>
      <c r="N1692" s="1" t="s">
        <v>50</v>
      </c>
      <c r="P1692" s="1" t="n">
        <v>113</v>
      </c>
      <c r="Q1692" s="1" t="s">
        <v>38</v>
      </c>
      <c r="R1692" s="1" t="s">
        <v>62</v>
      </c>
      <c r="S1692" s="1" t="n">
        <v>1130101</v>
      </c>
      <c r="T1692" s="1" t="s">
        <v>63</v>
      </c>
      <c r="U1692" s="1" t="n">
        <v>638.75</v>
      </c>
      <c r="W1692" s="1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" t="n">
        <v>2</v>
      </c>
      <c r="B1693" s="17" t="n">
        <v>46251</v>
      </c>
      <c r="C1693" s="17" t="n">
        <v>46266</v>
      </c>
      <c r="D1693" s="1" t="n">
        <v>10017</v>
      </c>
      <c r="E1693" s="1" t="s">
        <v>184</v>
      </c>
      <c r="F1693" s="1" t="n">
        <v>24</v>
      </c>
      <c r="G1693" s="1" t="s">
        <v>91</v>
      </c>
      <c r="H1693" s="1" t="n">
        <v>2110405</v>
      </c>
      <c r="I1693" s="1" t="s">
        <v>55</v>
      </c>
      <c r="J1693" s="1" t="n">
        <v>1561240</v>
      </c>
      <c r="L1693" s="1" t="n">
        <v>212990</v>
      </c>
      <c r="M1693" s="1" t="s">
        <v>36</v>
      </c>
      <c r="N1693" s="1" t="s">
        <v>50</v>
      </c>
      <c r="P1693" s="1" t="n">
        <v>113</v>
      </c>
      <c r="Q1693" s="1" t="s">
        <v>38</v>
      </c>
      <c r="R1693" s="1" t="s">
        <v>62</v>
      </c>
      <c r="S1693" s="1" t="n">
        <v>1130101</v>
      </c>
      <c r="T1693" s="1" t="s">
        <v>63</v>
      </c>
      <c r="U1693" s="1" t="n">
        <v>599.85</v>
      </c>
      <c r="W1693" s="1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" t="n">
        <v>2</v>
      </c>
      <c r="B1694" s="17" t="n">
        <v>46252</v>
      </c>
      <c r="C1694" s="17" t="n">
        <v>46266</v>
      </c>
      <c r="D1694" s="1" t="n">
        <v>1697</v>
      </c>
      <c r="E1694" s="1" t="s">
        <v>775</v>
      </c>
      <c r="F1694" s="1" t="n">
        <v>24</v>
      </c>
      <c r="G1694" s="1" t="s">
        <v>91</v>
      </c>
      <c r="H1694" s="1" t="n">
        <v>2110405</v>
      </c>
      <c r="I1694" s="1" t="s">
        <v>55</v>
      </c>
      <c r="J1694" s="1" t="n">
        <v>1566723</v>
      </c>
      <c r="L1694" s="1" t="n">
        <v>213866</v>
      </c>
      <c r="M1694" s="1" t="s">
        <v>36</v>
      </c>
      <c r="N1694" s="1" t="s">
        <v>50</v>
      </c>
      <c r="P1694" s="1" t="n">
        <v>113</v>
      </c>
      <c r="Q1694" s="1" t="s">
        <v>38</v>
      </c>
      <c r="R1694" s="1" t="s">
        <v>62</v>
      </c>
      <c r="S1694" s="1" t="n">
        <v>1130101</v>
      </c>
      <c r="T1694" s="1" t="s">
        <v>63</v>
      </c>
      <c r="U1694" s="1" t="n">
        <v>584.64</v>
      </c>
      <c r="W1694" s="1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" t="n">
        <v>2</v>
      </c>
      <c r="B1695" s="17" t="n">
        <v>46252</v>
      </c>
      <c r="C1695" s="17" t="n">
        <v>46266</v>
      </c>
      <c r="D1695" s="1" t="n">
        <v>1705</v>
      </c>
      <c r="E1695" s="1" t="s">
        <v>131</v>
      </c>
      <c r="F1695" s="1" t="n">
        <v>24</v>
      </c>
      <c r="G1695" s="1" t="s">
        <v>91</v>
      </c>
      <c r="H1695" s="1" t="n">
        <v>2110405</v>
      </c>
      <c r="I1695" s="1" t="s">
        <v>55</v>
      </c>
      <c r="J1695" s="1" t="n">
        <v>1567586</v>
      </c>
      <c r="L1695" s="1" t="n">
        <v>214037</v>
      </c>
      <c r="M1695" s="1" t="s">
        <v>36</v>
      </c>
      <c r="N1695" s="1" t="s">
        <v>50</v>
      </c>
      <c r="P1695" s="1" t="n">
        <v>113</v>
      </c>
      <c r="Q1695" s="1" t="s">
        <v>38</v>
      </c>
      <c r="R1695" s="1" t="s">
        <v>62</v>
      </c>
      <c r="S1695" s="1" t="n">
        <v>1130101</v>
      </c>
      <c r="T1695" s="1" t="s">
        <v>63</v>
      </c>
      <c r="U1695" s="1" t="n">
        <v>2351.65</v>
      </c>
      <c r="W1695" s="1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" t="n">
        <v>2</v>
      </c>
      <c r="B1696" s="17" t="n">
        <v>46252</v>
      </c>
      <c r="C1696" s="17" t="n">
        <v>46266</v>
      </c>
      <c r="D1696" s="1" t="n">
        <v>1711</v>
      </c>
      <c r="E1696" s="1" t="s">
        <v>1491</v>
      </c>
      <c r="F1696" s="1" t="n">
        <v>24</v>
      </c>
      <c r="G1696" s="1" t="s">
        <v>91</v>
      </c>
      <c r="H1696" s="1" t="n">
        <v>2110405</v>
      </c>
      <c r="I1696" s="1" t="s">
        <v>55</v>
      </c>
      <c r="J1696" s="1" t="n">
        <v>1568088</v>
      </c>
      <c r="L1696" s="1" t="n">
        <v>214108</v>
      </c>
      <c r="M1696" s="1" t="s">
        <v>36</v>
      </c>
      <c r="N1696" s="1" t="s">
        <v>50</v>
      </c>
      <c r="P1696" s="1" t="n">
        <v>113</v>
      </c>
      <c r="Q1696" s="1" t="s">
        <v>38</v>
      </c>
      <c r="R1696" s="1" t="s">
        <v>62</v>
      </c>
      <c r="S1696" s="1" t="n">
        <v>1130101</v>
      </c>
      <c r="T1696" s="1" t="s">
        <v>63</v>
      </c>
      <c r="U1696" s="1" t="n">
        <v>645.72</v>
      </c>
      <c r="W1696" s="1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" t="n">
        <v>2</v>
      </c>
      <c r="B1697" s="17" t="n">
        <v>46253</v>
      </c>
      <c r="C1697" s="17" t="n">
        <v>46266</v>
      </c>
      <c r="D1697" s="1" t="n">
        <v>1635</v>
      </c>
      <c r="E1697" s="1" t="s">
        <v>129</v>
      </c>
      <c r="F1697" s="1" t="n">
        <v>24</v>
      </c>
      <c r="G1697" s="1" t="s">
        <v>91</v>
      </c>
      <c r="H1697" s="1" t="n">
        <v>2110405</v>
      </c>
      <c r="I1697" s="1" t="s">
        <v>55</v>
      </c>
      <c r="J1697" s="1" t="n">
        <v>1570872</v>
      </c>
      <c r="L1697" s="1" t="n">
        <v>214482</v>
      </c>
      <c r="M1697" s="1" t="s">
        <v>36</v>
      </c>
      <c r="N1697" s="1" t="s">
        <v>50</v>
      </c>
      <c r="P1697" s="1" t="n">
        <v>113</v>
      </c>
      <c r="Q1697" s="1" t="s">
        <v>38</v>
      </c>
      <c r="R1697" s="1" t="s">
        <v>62</v>
      </c>
      <c r="S1697" s="1" t="n">
        <v>1130101</v>
      </c>
      <c r="T1697" s="1" t="s">
        <v>63</v>
      </c>
      <c r="U1697" s="1" t="n">
        <v>1276.2</v>
      </c>
      <c r="W1697" s="1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" t="n">
        <v>2</v>
      </c>
      <c r="B1698" s="17" t="n">
        <v>46253</v>
      </c>
      <c r="C1698" s="17" t="n">
        <v>46266</v>
      </c>
      <c r="D1698" s="1" t="n">
        <v>1708</v>
      </c>
      <c r="E1698" s="1" t="s">
        <v>269</v>
      </c>
      <c r="F1698" s="1" t="n">
        <v>24</v>
      </c>
      <c r="G1698" s="1" t="s">
        <v>91</v>
      </c>
      <c r="H1698" s="1" t="n">
        <v>2110405</v>
      </c>
      <c r="I1698" s="1" t="s">
        <v>55</v>
      </c>
      <c r="J1698" s="1" t="n">
        <v>1572967</v>
      </c>
      <c r="L1698" s="1" t="n">
        <v>214926</v>
      </c>
      <c r="M1698" s="1" t="s">
        <v>36</v>
      </c>
      <c r="N1698" s="1" t="s">
        <v>50</v>
      </c>
      <c r="P1698" s="1" t="n">
        <v>113</v>
      </c>
      <c r="Q1698" s="1" t="s">
        <v>38</v>
      </c>
      <c r="R1698" s="1" t="s">
        <v>62</v>
      </c>
      <c r="S1698" s="1" t="n">
        <v>1130101</v>
      </c>
      <c r="T1698" s="1" t="s">
        <v>63</v>
      </c>
      <c r="U1698" s="1" t="n">
        <v>548.18</v>
      </c>
      <c r="W1698" s="1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" t="n">
        <v>2</v>
      </c>
      <c r="B1699" s="17" t="n">
        <v>46254</v>
      </c>
      <c r="C1699" s="17" t="n">
        <v>46266</v>
      </c>
      <c r="D1699" s="1" t="n">
        <v>967</v>
      </c>
      <c r="E1699" s="1" t="s">
        <v>1495</v>
      </c>
      <c r="F1699" s="1" t="n">
        <v>24</v>
      </c>
      <c r="G1699" s="1" t="s">
        <v>91</v>
      </c>
      <c r="H1699" s="1" t="n">
        <v>2110405</v>
      </c>
      <c r="I1699" s="1" t="s">
        <v>55</v>
      </c>
      <c r="J1699" s="1" t="n">
        <v>1576159</v>
      </c>
      <c r="L1699" s="1" t="n">
        <v>215377</v>
      </c>
      <c r="M1699" s="1" t="s">
        <v>36</v>
      </c>
      <c r="N1699" s="1" t="s">
        <v>50</v>
      </c>
      <c r="P1699" s="1" t="n">
        <v>113</v>
      </c>
      <c r="Q1699" s="1" t="s">
        <v>38</v>
      </c>
      <c r="R1699" s="1" t="s">
        <v>62</v>
      </c>
      <c r="S1699" s="1" t="n">
        <v>1130101</v>
      </c>
      <c r="T1699" s="1" t="s">
        <v>63</v>
      </c>
      <c r="U1699" s="1" t="n">
        <v>424</v>
      </c>
      <c r="W1699" s="1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" t="n">
        <v>2</v>
      </c>
      <c r="B1700" s="17" t="n">
        <v>46247</v>
      </c>
      <c r="C1700" s="17" t="n">
        <v>46266</v>
      </c>
      <c r="D1700" s="1" t="n">
        <v>1974</v>
      </c>
      <c r="E1700" s="1" t="s">
        <v>686</v>
      </c>
      <c r="F1700" s="1" t="n">
        <v>47</v>
      </c>
      <c r="G1700" s="1" t="s">
        <v>47</v>
      </c>
      <c r="H1700" s="1" t="n">
        <v>2110405</v>
      </c>
      <c r="I1700" s="1" t="s">
        <v>55</v>
      </c>
      <c r="J1700" s="1" t="n">
        <v>1577528</v>
      </c>
      <c r="L1700" s="1" t="n">
        <v>215681</v>
      </c>
      <c r="M1700" s="1" t="s">
        <v>36</v>
      </c>
      <c r="N1700" s="1" t="s">
        <v>50</v>
      </c>
      <c r="P1700" s="1" t="n">
        <v>101</v>
      </c>
      <c r="Q1700" s="1" t="s">
        <v>56</v>
      </c>
      <c r="R1700" s="1" t="s">
        <v>70</v>
      </c>
      <c r="S1700" s="1" t="n">
        <v>4210209</v>
      </c>
      <c r="T1700" s="1" t="s">
        <v>687</v>
      </c>
      <c r="U1700" s="1" t="n">
        <v>489.15</v>
      </c>
      <c r="W1700" s="1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" t="n">
        <v>2</v>
      </c>
      <c r="B1701" s="17" t="n">
        <v>46259</v>
      </c>
      <c r="C1701" s="17" t="n">
        <v>46266</v>
      </c>
      <c r="D1701" s="1" t="n">
        <v>1642</v>
      </c>
      <c r="E1701" s="1" t="s">
        <v>233</v>
      </c>
      <c r="F1701" s="1" t="n">
        <v>24</v>
      </c>
      <c r="G1701" s="1" t="s">
        <v>91</v>
      </c>
      <c r="H1701" s="1" t="n">
        <v>2110405</v>
      </c>
      <c r="I1701" s="1" t="s">
        <v>55</v>
      </c>
      <c r="J1701" s="1" t="n">
        <v>1598921</v>
      </c>
      <c r="L1701" s="1" t="n">
        <v>218837</v>
      </c>
      <c r="M1701" s="1" t="s">
        <v>36</v>
      </c>
      <c r="N1701" s="1" t="s">
        <v>50</v>
      </c>
      <c r="P1701" s="1" t="n">
        <v>113</v>
      </c>
      <c r="Q1701" s="1" t="s">
        <v>38</v>
      </c>
      <c r="R1701" s="1" t="s">
        <v>62</v>
      </c>
      <c r="S1701" s="1" t="n">
        <v>1130101</v>
      </c>
      <c r="T1701" s="1" t="s">
        <v>63</v>
      </c>
      <c r="U1701" s="1" t="n">
        <v>437.2</v>
      </c>
      <c r="W1701" s="1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" t="n">
        <v>2</v>
      </c>
      <c r="B1702" s="17" t="n">
        <v>46259</v>
      </c>
      <c r="C1702" s="17" t="n">
        <v>46266</v>
      </c>
      <c r="D1702" s="1" t="n">
        <v>1740</v>
      </c>
      <c r="E1702" s="1" t="s">
        <v>462</v>
      </c>
      <c r="F1702" s="1" t="n">
        <v>24</v>
      </c>
      <c r="G1702" s="1" t="s">
        <v>91</v>
      </c>
      <c r="H1702" s="1" t="n">
        <v>2110405</v>
      </c>
      <c r="I1702" s="1" t="s">
        <v>55</v>
      </c>
      <c r="J1702" s="1" t="n">
        <v>1599326</v>
      </c>
      <c r="L1702" s="1" t="n">
        <v>218927</v>
      </c>
      <c r="M1702" s="1" t="s">
        <v>36</v>
      </c>
      <c r="N1702" s="1" t="s">
        <v>50</v>
      </c>
      <c r="P1702" s="1" t="n">
        <v>113</v>
      </c>
      <c r="Q1702" s="1" t="s">
        <v>38</v>
      </c>
      <c r="R1702" s="1" t="s">
        <v>62</v>
      </c>
      <c r="S1702" s="1" t="n">
        <v>1130101</v>
      </c>
      <c r="T1702" s="1" t="s">
        <v>63</v>
      </c>
      <c r="U1702" s="1" t="n">
        <v>2372.5</v>
      </c>
      <c r="W1702" s="1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" t="n">
        <v>2</v>
      </c>
      <c r="B1703" s="17" t="n">
        <v>46259</v>
      </c>
      <c r="C1703" s="17" t="n">
        <v>46266</v>
      </c>
      <c r="D1703" s="1" t="n">
        <v>1650</v>
      </c>
      <c r="E1703" s="1" t="s">
        <v>439</v>
      </c>
      <c r="F1703" s="1" t="n">
        <v>24</v>
      </c>
      <c r="G1703" s="1" t="s">
        <v>91</v>
      </c>
      <c r="H1703" s="1" t="n">
        <v>2110405</v>
      </c>
      <c r="I1703" s="1" t="s">
        <v>55</v>
      </c>
      <c r="J1703" s="1" t="n">
        <v>1600439</v>
      </c>
      <c r="L1703" s="1" t="n">
        <v>219150</v>
      </c>
      <c r="M1703" s="1" t="s">
        <v>36</v>
      </c>
      <c r="N1703" s="1" t="s">
        <v>50</v>
      </c>
      <c r="P1703" s="1" t="n">
        <v>113</v>
      </c>
      <c r="Q1703" s="1" t="s">
        <v>38</v>
      </c>
      <c r="R1703" s="1" t="s">
        <v>62</v>
      </c>
      <c r="S1703" s="1" t="n">
        <v>1130101</v>
      </c>
      <c r="T1703" s="1" t="s">
        <v>63</v>
      </c>
      <c r="U1703" s="1" t="n">
        <v>363.97</v>
      </c>
      <c r="W1703" s="1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" t="n">
        <v>2</v>
      </c>
      <c r="B1704" s="17" t="n">
        <v>46260</v>
      </c>
      <c r="C1704" s="17" t="n">
        <v>46266</v>
      </c>
      <c r="D1704" s="1" t="n">
        <v>1625</v>
      </c>
      <c r="E1704" s="1" t="s">
        <v>272</v>
      </c>
      <c r="F1704" s="1" t="n">
        <v>24</v>
      </c>
      <c r="G1704" s="1" t="s">
        <v>91</v>
      </c>
      <c r="H1704" s="1" t="n">
        <v>2110405</v>
      </c>
      <c r="I1704" s="1" t="s">
        <v>55</v>
      </c>
      <c r="J1704" s="1" t="n">
        <v>1604525</v>
      </c>
      <c r="L1704" s="1" t="n">
        <v>219806</v>
      </c>
      <c r="M1704" s="1" t="s">
        <v>36</v>
      </c>
      <c r="N1704" s="1" t="s">
        <v>50</v>
      </c>
      <c r="P1704" s="1" t="n">
        <v>113</v>
      </c>
      <c r="Q1704" s="1" t="s">
        <v>38</v>
      </c>
      <c r="R1704" s="1" t="s">
        <v>62</v>
      </c>
      <c r="S1704" s="1" t="n">
        <v>1130101</v>
      </c>
      <c r="T1704" s="1" t="s">
        <v>63</v>
      </c>
      <c r="U1704" s="1" t="n">
        <v>3363.75</v>
      </c>
      <c r="W1704" s="1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" t="n">
        <v>2</v>
      </c>
      <c r="B1705" s="17" t="n">
        <v>46263</v>
      </c>
      <c r="C1705" s="17" t="n">
        <v>46266</v>
      </c>
      <c r="D1705" s="1" t="n">
        <v>642</v>
      </c>
      <c r="E1705" s="1" t="s">
        <v>144</v>
      </c>
      <c r="F1705" s="1" t="n">
        <v>24</v>
      </c>
      <c r="G1705" s="1" t="s">
        <v>91</v>
      </c>
      <c r="H1705" s="1" t="n">
        <v>2110405</v>
      </c>
      <c r="I1705" s="1" t="s">
        <v>55</v>
      </c>
      <c r="J1705" s="1" t="n">
        <v>1618518</v>
      </c>
      <c r="L1705" s="1" t="n">
        <v>221953</v>
      </c>
      <c r="M1705" s="1" t="s">
        <v>36</v>
      </c>
      <c r="N1705" s="1" t="s">
        <v>50</v>
      </c>
      <c r="P1705" s="1" t="n">
        <v>113</v>
      </c>
      <c r="Q1705" s="1" t="s">
        <v>38</v>
      </c>
      <c r="R1705" s="1" t="s">
        <v>62</v>
      </c>
      <c r="S1705" s="1" t="n">
        <v>1130101</v>
      </c>
      <c r="T1705" s="1" t="s">
        <v>63</v>
      </c>
      <c r="U1705" s="1" t="n">
        <v>240</v>
      </c>
      <c r="W1705" s="1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" t="n">
        <v>2</v>
      </c>
      <c r="B1706" s="17" t="n">
        <v>46266</v>
      </c>
      <c r="C1706" s="17" t="n">
        <v>46266</v>
      </c>
      <c r="D1706" s="1" t="n">
        <v>73</v>
      </c>
      <c r="E1706" s="1" t="s">
        <v>112</v>
      </c>
      <c r="F1706" s="1" t="n">
        <v>34</v>
      </c>
      <c r="G1706" s="1" t="s">
        <v>110</v>
      </c>
      <c r="H1706" s="1" t="n">
        <v>2110405</v>
      </c>
      <c r="I1706" s="1" t="s">
        <v>55</v>
      </c>
      <c r="J1706" s="1" t="n">
        <v>1634963</v>
      </c>
      <c r="L1706" s="1" t="n">
        <v>224539</v>
      </c>
      <c r="M1706" s="1" t="s">
        <v>36</v>
      </c>
      <c r="N1706" s="1" t="s">
        <v>50</v>
      </c>
      <c r="P1706" s="1" t="n">
        <v>113</v>
      </c>
      <c r="Q1706" s="1" t="s">
        <v>38</v>
      </c>
      <c r="R1706" s="1" t="s">
        <v>39</v>
      </c>
      <c r="S1706" s="1" t="n">
        <v>4210309</v>
      </c>
      <c r="T1706" s="1" t="s">
        <v>113</v>
      </c>
      <c r="U1706" s="1" t="n">
        <v>250</v>
      </c>
      <c r="W1706" s="1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2</v>
      </c>
      <c r="B1707" s="17" t="n">
        <v>46266</v>
      </c>
      <c r="C1707" s="17" t="n">
        <v>46266</v>
      </c>
      <c r="D1707" s="1" t="n">
        <v>18</v>
      </c>
      <c r="E1707" s="1" t="s">
        <v>117</v>
      </c>
      <c r="F1707" s="1" t="n">
        <v>34</v>
      </c>
      <c r="G1707" s="1" t="s">
        <v>110</v>
      </c>
      <c r="H1707" s="1" t="n">
        <v>2110405</v>
      </c>
      <c r="I1707" s="1" t="s">
        <v>55</v>
      </c>
      <c r="J1707" s="1" t="n">
        <v>1634966</v>
      </c>
      <c r="L1707" s="1" t="n">
        <v>224543</v>
      </c>
      <c r="M1707" s="1" t="s">
        <v>36</v>
      </c>
      <c r="N1707" s="1" t="s">
        <v>50</v>
      </c>
      <c r="P1707" s="1" t="n">
        <v>113</v>
      </c>
      <c r="Q1707" s="1" t="s">
        <v>38</v>
      </c>
      <c r="R1707" s="1" t="s">
        <v>39</v>
      </c>
      <c r="S1707" s="1" t="n">
        <v>4210309</v>
      </c>
      <c r="T1707" s="1" t="s">
        <v>113</v>
      </c>
      <c r="U1707" s="1" t="n">
        <v>260</v>
      </c>
      <c r="W1707" s="1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2</v>
      </c>
      <c r="B1708" s="17" t="n">
        <v>46266</v>
      </c>
      <c r="C1708" s="17" t="n">
        <v>46266</v>
      </c>
      <c r="D1708" s="1" t="n">
        <v>21</v>
      </c>
      <c r="E1708" s="1" t="s">
        <v>115</v>
      </c>
      <c r="F1708" s="1" t="n">
        <v>34</v>
      </c>
      <c r="G1708" s="1" t="s">
        <v>110</v>
      </c>
      <c r="H1708" s="1" t="n">
        <v>2110405</v>
      </c>
      <c r="I1708" s="1" t="s">
        <v>55</v>
      </c>
      <c r="J1708" s="1" t="n">
        <v>1634968</v>
      </c>
      <c r="L1708" s="1" t="n">
        <v>224545</v>
      </c>
      <c r="M1708" s="1" t="s">
        <v>36</v>
      </c>
      <c r="N1708" s="1" t="s">
        <v>50</v>
      </c>
      <c r="P1708" s="1" t="n">
        <v>113</v>
      </c>
      <c r="Q1708" s="1" t="s">
        <v>38</v>
      </c>
      <c r="R1708" s="1" t="s">
        <v>39</v>
      </c>
      <c r="S1708" s="1" t="n">
        <v>4210309</v>
      </c>
      <c r="T1708" s="1" t="s">
        <v>113</v>
      </c>
      <c r="U1708" s="1" t="n">
        <v>260</v>
      </c>
      <c r="W1708" s="1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2</v>
      </c>
      <c r="B1709" s="17" t="n">
        <v>46266</v>
      </c>
      <c r="C1709" s="17" t="n">
        <v>46266</v>
      </c>
      <c r="D1709" s="1" t="n">
        <v>48</v>
      </c>
      <c r="E1709" s="1" t="s">
        <v>146</v>
      </c>
      <c r="F1709" s="1" t="n">
        <v>34</v>
      </c>
      <c r="G1709" s="1" t="s">
        <v>110</v>
      </c>
      <c r="H1709" s="1" t="n">
        <v>2110101</v>
      </c>
      <c r="I1709" s="1" t="s">
        <v>48</v>
      </c>
      <c r="J1709" s="1" t="n">
        <v>1635063</v>
      </c>
      <c r="L1709" s="1" t="n">
        <v>2649</v>
      </c>
      <c r="M1709" s="1" t="s">
        <v>36</v>
      </c>
      <c r="N1709" s="1" t="s">
        <v>68</v>
      </c>
      <c r="P1709" s="1" t="n">
        <v>113</v>
      </c>
      <c r="Q1709" s="1" t="s">
        <v>38</v>
      </c>
      <c r="R1709" s="1" t="s">
        <v>62</v>
      </c>
      <c r="S1709" s="1" t="n">
        <v>1130101</v>
      </c>
      <c r="T1709" s="1" t="s">
        <v>63</v>
      </c>
      <c r="U1709" s="1" t="n">
        <v>315</v>
      </c>
      <c r="W1709" s="1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2</v>
      </c>
      <c r="B1710" s="17" t="n">
        <v>46266</v>
      </c>
      <c r="C1710" s="17" t="n">
        <v>46266</v>
      </c>
      <c r="D1710" s="1" t="n">
        <v>48</v>
      </c>
      <c r="E1710" s="1" t="s">
        <v>146</v>
      </c>
      <c r="F1710" s="1" t="n">
        <v>34</v>
      </c>
      <c r="G1710" s="1" t="s">
        <v>110</v>
      </c>
      <c r="H1710" s="1" t="n">
        <v>2110101</v>
      </c>
      <c r="I1710" s="1" t="s">
        <v>48</v>
      </c>
      <c r="J1710" s="1" t="n">
        <v>1635174</v>
      </c>
      <c r="L1710" s="1" t="n">
        <v>2650</v>
      </c>
      <c r="M1710" s="1" t="s">
        <v>36</v>
      </c>
      <c r="N1710" s="1" t="s">
        <v>68</v>
      </c>
      <c r="P1710" s="1" t="n">
        <v>113</v>
      </c>
      <c r="Q1710" s="1" t="s">
        <v>38</v>
      </c>
      <c r="R1710" s="1" t="s">
        <v>62</v>
      </c>
      <c r="S1710" s="1" t="n">
        <v>1130101</v>
      </c>
      <c r="T1710" s="1" t="s">
        <v>63</v>
      </c>
      <c r="U1710" s="1" t="n">
        <v>1440</v>
      </c>
      <c r="W1710" s="1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2</v>
      </c>
      <c r="B1711" s="17" t="n">
        <v>46266</v>
      </c>
      <c r="C1711" s="17" t="n">
        <v>46266</v>
      </c>
      <c r="D1711" s="1" t="n">
        <v>1037</v>
      </c>
      <c r="E1711" s="1" t="s">
        <v>153</v>
      </c>
      <c r="F1711" s="1" t="n">
        <v>34</v>
      </c>
      <c r="G1711" s="1" t="s">
        <v>110</v>
      </c>
      <c r="H1711" s="1" t="n">
        <v>2110405</v>
      </c>
      <c r="I1711" s="1" t="s">
        <v>55</v>
      </c>
      <c r="J1711" s="1" t="n">
        <v>1635197</v>
      </c>
      <c r="L1711" s="1" t="n">
        <v>224569</v>
      </c>
      <c r="M1711" s="1" t="s">
        <v>36</v>
      </c>
      <c r="N1711" s="1" t="s">
        <v>50</v>
      </c>
      <c r="P1711" s="1" t="n">
        <v>113</v>
      </c>
      <c r="Q1711" s="1" t="s">
        <v>38</v>
      </c>
      <c r="R1711" s="1" t="s">
        <v>62</v>
      </c>
      <c r="S1711" s="1" t="n">
        <v>1130101</v>
      </c>
      <c r="T1711" s="1" t="s">
        <v>63</v>
      </c>
      <c r="U1711" s="1" t="n">
        <v>930</v>
      </c>
      <c r="W1711" s="1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2</v>
      </c>
      <c r="B1712" s="17" t="n">
        <v>46266</v>
      </c>
      <c r="C1712" s="17" t="n">
        <v>46266</v>
      </c>
      <c r="D1712" s="1" t="n">
        <v>514</v>
      </c>
      <c r="E1712" s="1" t="s">
        <v>759</v>
      </c>
      <c r="F1712" s="1" t="n">
        <v>34</v>
      </c>
      <c r="G1712" s="1" t="s">
        <v>110</v>
      </c>
      <c r="H1712" s="1" t="n">
        <v>2110405</v>
      </c>
      <c r="I1712" s="1" t="s">
        <v>55</v>
      </c>
      <c r="J1712" s="1" t="n">
        <v>1635276</v>
      </c>
      <c r="L1712" s="1" t="n">
        <v>224584</v>
      </c>
      <c r="M1712" s="1" t="s">
        <v>36</v>
      </c>
      <c r="N1712" s="1" t="s">
        <v>50</v>
      </c>
      <c r="P1712" s="1" t="n">
        <v>102</v>
      </c>
      <c r="Q1712" s="1" t="s">
        <v>315</v>
      </c>
      <c r="R1712" s="1" t="s">
        <v>158</v>
      </c>
      <c r="S1712" s="1" t="n">
        <v>4210504</v>
      </c>
      <c r="T1712" s="1" t="s">
        <v>163</v>
      </c>
      <c r="U1712" s="1" t="n">
        <v>237</v>
      </c>
      <c r="W1712" s="1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2</v>
      </c>
      <c r="B1713" s="17" t="n">
        <v>46266</v>
      </c>
      <c r="C1713" s="17" t="n">
        <v>46266</v>
      </c>
      <c r="D1713" s="1" t="n">
        <v>514</v>
      </c>
      <c r="E1713" s="1" t="s">
        <v>759</v>
      </c>
      <c r="F1713" s="1" t="n">
        <v>34</v>
      </c>
      <c r="G1713" s="1" t="s">
        <v>110</v>
      </c>
      <c r="H1713" s="1" t="n">
        <v>2110405</v>
      </c>
      <c r="I1713" s="1" t="s">
        <v>55</v>
      </c>
      <c r="J1713" s="1" t="n">
        <v>1635280</v>
      </c>
      <c r="L1713" s="1" t="n">
        <v>224585</v>
      </c>
      <c r="M1713" s="1" t="s">
        <v>36</v>
      </c>
      <c r="N1713" s="1" t="s">
        <v>50</v>
      </c>
      <c r="P1713" s="1" t="n">
        <v>102</v>
      </c>
      <c r="Q1713" s="1" t="s">
        <v>315</v>
      </c>
      <c r="R1713" s="1" t="s">
        <v>57</v>
      </c>
      <c r="S1713" s="1" t="n">
        <v>4220199</v>
      </c>
      <c r="T1713" s="1" t="s">
        <v>58</v>
      </c>
      <c r="U1713" s="1" t="n">
        <v>200</v>
      </c>
      <c r="W1713" s="1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" t="n">
        <v>2</v>
      </c>
      <c r="B1714" s="17" t="n">
        <v>46267</v>
      </c>
      <c r="C1714" s="17" t="n">
        <v>46267</v>
      </c>
      <c r="D1714" s="1" t="n">
        <v>0</v>
      </c>
      <c r="E1714" s="1" t="s">
        <v>33</v>
      </c>
      <c r="F1714" s="1" t="n">
        <v>17</v>
      </c>
      <c r="G1714" s="1" t="s">
        <v>34</v>
      </c>
      <c r="H1714" s="1" t="n">
        <v>1110101</v>
      </c>
      <c r="I1714" s="1" t="s">
        <v>35</v>
      </c>
      <c r="J1714" s="1" t="n">
        <v>1646059</v>
      </c>
      <c r="L1714" s="1" t="n">
        <v>1646059</v>
      </c>
      <c r="M1714" s="1" t="s">
        <v>36</v>
      </c>
      <c r="N1714" s="1" t="s">
        <v>37</v>
      </c>
      <c r="P1714" s="1" t="n">
        <v>113</v>
      </c>
      <c r="Q1714" s="1" t="s">
        <v>38</v>
      </c>
      <c r="R1714" s="1" t="s">
        <v>214</v>
      </c>
      <c r="S1714" s="1" t="n">
        <v>2110101</v>
      </c>
      <c r="T1714" s="1" t="s">
        <v>48</v>
      </c>
      <c r="U1714" s="1" t="n">
        <v>300</v>
      </c>
      <c r="W1714" s="1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2</v>
      </c>
      <c r="B1715" s="17" t="n">
        <v>46267</v>
      </c>
      <c r="C1715" s="17" t="n">
        <v>46267</v>
      </c>
      <c r="D1715" s="1" t="n">
        <v>0</v>
      </c>
      <c r="E1715" s="1" t="s">
        <v>33</v>
      </c>
      <c r="F1715" s="1" t="n">
        <v>17</v>
      </c>
      <c r="G1715" s="1" t="s">
        <v>34</v>
      </c>
      <c r="H1715" s="1" t="n">
        <v>1110101</v>
      </c>
      <c r="I1715" s="1" t="s">
        <v>35</v>
      </c>
      <c r="J1715" s="1" t="n">
        <v>1646062</v>
      </c>
      <c r="L1715" s="1" t="n">
        <v>1646062</v>
      </c>
      <c r="M1715" s="1" t="s">
        <v>36</v>
      </c>
      <c r="N1715" s="1" t="s">
        <v>37</v>
      </c>
      <c r="P1715" s="1" t="n">
        <v>113</v>
      </c>
      <c r="Q1715" s="1" t="s">
        <v>38</v>
      </c>
      <c r="R1715" s="1" t="s">
        <v>39</v>
      </c>
      <c r="S1715" s="1" t="n">
        <v>4210314</v>
      </c>
      <c r="T1715" s="1" t="s">
        <v>40</v>
      </c>
      <c r="U1715" s="1" t="n">
        <v>50</v>
      </c>
      <c r="W1715" s="1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2</v>
      </c>
      <c r="B1716" s="17" t="n">
        <v>46267</v>
      </c>
      <c r="C1716" s="17" t="n">
        <v>46267</v>
      </c>
      <c r="D1716" s="1" t="n">
        <v>0</v>
      </c>
      <c r="E1716" s="1" t="s">
        <v>33</v>
      </c>
      <c r="F1716" s="1" t="n">
        <v>17</v>
      </c>
      <c r="G1716" s="1" t="s">
        <v>34</v>
      </c>
      <c r="H1716" s="1" t="n">
        <v>1110101</v>
      </c>
      <c r="I1716" s="1" t="s">
        <v>35</v>
      </c>
      <c r="J1716" s="1" t="n">
        <v>1646119</v>
      </c>
      <c r="L1716" s="1" t="n">
        <v>1646119</v>
      </c>
      <c r="M1716" s="1" t="s">
        <v>36</v>
      </c>
      <c r="N1716" s="1" t="s">
        <v>37</v>
      </c>
      <c r="P1716" s="1" t="n">
        <v>113</v>
      </c>
      <c r="Q1716" s="1" t="s">
        <v>38</v>
      </c>
      <c r="R1716" s="1" t="s">
        <v>70</v>
      </c>
      <c r="S1716" s="1" t="n">
        <v>4210227</v>
      </c>
      <c r="T1716" s="1" t="s">
        <v>77</v>
      </c>
      <c r="U1716" s="1" t="n">
        <v>150</v>
      </c>
      <c r="W1716" s="1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2</v>
      </c>
      <c r="B1717" s="17" t="n">
        <v>46267</v>
      </c>
      <c r="C1717" s="17" t="n">
        <v>46267</v>
      </c>
      <c r="D1717" s="1" t="n">
        <v>0</v>
      </c>
      <c r="E1717" s="1" t="s">
        <v>33</v>
      </c>
      <c r="F1717" s="1" t="n">
        <v>17</v>
      </c>
      <c r="G1717" s="1" t="s">
        <v>34</v>
      </c>
      <c r="H1717" s="1" t="n">
        <v>1110101</v>
      </c>
      <c r="I1717" s="1" t="s">
        <v>35</v>
      </c>
      <c r="J1717" s="1" t="n">
        <v>1646127</v>
      </c>
      <c r="L1717" s="1" t="n">
        <v>1646127</v>
      </c>
      <c r="M1717" s="1" t="s">
        <v>36</v>
      </c>
      <c r="N1717" s="1" t="s">
        <v>37</v>
      </c>
      <c r="P1717" s="1" t="n">
        <v>113</v>
      </c>
      <c r="Q1717" s="1" t="s">
        <v>38</v>
      </c>
      <c r="R1717" s="1" t="s">
        <v>70</v>
      </c>
      <c r="S1717" s="1" t="n">
        <v>4210227</v>
      </c>
      <c r="T1717" s="1" t="s">
        <v>77</v>
      </c>
      <c r="U1717" s="1" t="n">
        <v>260</v>
      </c>
      <c r="W1717" s="1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2</v>
      </c>
      <c r="B1718" s="17" t="n">
        <v>46267</v>
      </c>
      <c r="C1718" s="17" t="n">
        <v>46267</v>
      </c>
      <c r="D1718" s="1" t="n">
        <v>0</v>
      </c>
      <c r="E1718" s="1" t="s">
        <v>33</v>
      </c>
      <c r="F1718" s="1" t="n">
        <v>17</v>
      </c>
      <c r="G1718" s="1" t="s">
        <v>34</v>
      </c>
      <c r="H1718" s="1" t="n">
        <v>1110101</v>
      </c>
      <c r="I1718" s="1" t="s">
        <v>35</v>
      </c>
      <c r="J1718" s="1" t="n">
        <v>1646138</v>
      </c>
      <c r="L1718" s="1" t="n">
        <v>1646138</v>
      </c>
      <c r="M1718" s="1" t="s">
        <v>36</v>
      </c>
      <c r="N1718" s="1" t="s">
        <v>37</v>
      </c>
      <c r="P1718" s="1" t="n">
        <v>113</v>
      </c>
      <c r="Q1718" s="1" t="s">
        <v>38</v>
      </c>
      <c r="R1718" s="1" t="s">
        <v>39</v>
      </c>
      <c r="S1718" s="1" t="n">
        <v>4210309</v>
      </c>
      <c r="T1718" s="1" t="s">
        <v>113</v>
      </c>
      <c r="U1718" s="1" t="n">
        <v>10</v>
      </c>
      <c r="W1718" s="1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2</v>
      </c>
      <c r="B1719" s="17" t="n">
        <v>46246</v>
      </c>
      <c r="C1719" s="17" t="n">
        <v>46267</v>
      </c>
      <c r="D1719" s="1" t="n">
        <v>1608</v>
      </c>
      <c r="E1719" s="1" t="s">
        <v>224</v>
      </c>
      <c r="F1719" s="1" t="n">
        <v>24</v>
      </c>
      <c r="G1719" s="1" t="s">
        <v>91</v>
      </c>
      <c r="H1719" s="1" t="n">
        <v>2110405</v>
      </c>
      <c r="I1719" s="1" t="s">
        <v>55</v>
      </c>
      <c r="J1719" s="1" t="n">
        <v>1534795</v>
      </c>
      <c r="L1719" s="1" t="n">
        <v>209428</v>
      </c>
      <c r="M1719" s="1" t="s">
        <v>36</v>
      </c>
      <c r="N1719" s="1" t="s">
        <v>50</v>
      </c>
      <c r="P1719" s="1" t="n">
        <v>113</v>
      </c>
      <c r="Q1719" s="1" t="s">
        <v>38</v>
      </c>
      <c r="R1719" s="1" t="s">
        <v>62</v>
      </c>
      <c r="S1719" s="1" t="n">
        <v>1130101</v>
      </c>
      <c r="T1719" s="1" t="s">
        <v>63</v>
      </c>
      <c r="U1719" s="1" t="n">
        <v>1279.58</v>
      </c>
      <c r="W1719" s="1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" t="n">
        <v>2</v>
      </c>
      <c r="B1720" s="17" t="n">
        <v>46246</v>
      </c>
      <c r="C1720" s="17" t="n">
        <v>46267</v>
      </c>
      <c r="D1720" s="1" t="n">
        <v>1634</v>
      </c>
      <c r="E1720" s="1" t="s">
        <v>291</v>
      </c>
      <c r="F1720" s="1" t="n">
        <v>24</v>
      </c>
      <c r="G1720" s="1" t="s">
        <v>91</v>
      </c>
      <c r="H1720" s="1" t="n">
        <v>2110405</v>
      </c>
      <c r="I1720" s="1" t="s">
        <v>55</v>
      </c>
      <c r="J1720" s="1" t="n">
        <v>1535495</v>
      </c>
      <c r="L1720" s="1" t="n">
        <v>209569</v>
      </c>
      <c r="M1720" s="1" t="s">
        <v>36</v>
      </c>
      <c r="N1720" s="1" t="s">
        <v>50</v>
      </c>
      <c r="P1720" s="1" t="n">
        <v>113</v>
      </c>
      <c r="Q1720" s="1" t="s">
        <v>38</v>
      </c>
      <c r="R1720" s="1" t="s">
        <v>62</v>
      </c>
      <c r="S1720" s="1" t="n">
        <v>1130101</v>
      </c>
      <c r="T1720" s="1" t="s">
        <v>63</v>
      </c>
      <c r="U1720" s="1" t="n">
        <v>700.7</v>
      </c>
      <c r="W1720" s="1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" t="n">
        <v>2</v>
      </c>
      <c r="B1721" s="17" t="n">
        <v>46246</v>
      </c>
      <c r="C1721" s="17" t="n">
        <v>46267</v>
      </c>
      <c r="D1721" s="1" t="n">
        <v>10010</v>
      </c>
      <c r="E1721" s="1" t="s">
        <v>826</v>
      </c>
      <c r="F1721" s="1" t="n">
        <v>24</v>
      </c>
      <c r="G1721" s="1" t="s">
        <v>91</v>
      </c>
      <c r="H1721" s="1" t="n">
        <v>2110405</v>
      </c>
      <c r="I1721" s="1" t="s">
        <v>55</v>
      </c>
      <c r="J1721" s="1" t="n">
        <v>1537384</v>
      </c>
      <c r="L1721" s="1" t="n">
        <v>209767</v>
      </c>
      <c r="M1721" s="1" t="s">
        <v>36</v>
      </c>
      <c r="N1721" s="1" t="s">
        <v>50</v>
      </c>
      <c r="P1721" s="1" t="n">
        <v>113</v>
      </c>
      <c r="Q1721" s="1" t="s">
        <v>38</v>
      </c>
      <c r="R1721" s="1" t="s">
        <v>62</v>
      </c>
      <c r="S1721" s="1" t="n">
        <v>1130101</v>
      </c>
      <c r="T1721" s="1" t="s">
        <v>63</v>
      </c>
      <c r="U1721" s="1" t="n">
        <v>205.44</v>
      </c>
      <c r="W1721" s="1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" t="n">
        <v>2</v>
      </c>
      <c r="B1722" s="17" t="n">
        <v>46247</v>
      </c>
      <c r="C1722" s="17" t="n">
        <v>46267</v>
      </c>
      <c r="D1722" s="1" t="n">
        <v>1624</v>
      </c>
      <c r="E1722" s="1" t="s">
        <v>338</v>
      </c>
      <c r="F1722" s="1" t="n">
        <v>24</v>
      </c>
      <c r="G1722" s="1" t="s">
        <v>91</v>
      </c>
      <c r="H1722" s="1" t="n">
        <v>2110405</v>
      </c>
      <c r="I1722" s="1" t="s">
        <v>55</v>
      </c>
      <c r="J1722" s="1" t="n">
        <v>1543912</v>
      </c>
      <c r="L1722" s="1" t="n">
        <v>210532</v>
      </c>
      <c r="M1722" s="1" t="s">
        <v>36</v>
      </c>
      <c r="N1722" s="1" t="s">
        <v>50</v>
      </c>
      <c r="P1722" s="1" t="n">
        <v>113</v>
      </c>
      <c r="Q1722" s="1" t="s">
        <v>38</v>
      </c>
      <c r="R1722" s="1" t="s">
        <v>62</v>
      </c>
      <c r="S1722" s="1" t="n">
        <v>1130101</v>
      </c>
      <c r="T1722" s="1" t="s">
        <v>63</v>
      </c>
      <c r="U1722" s="1" t="n">
        <v>830.14</v>
      </c>
      <c r="W1722" s="1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" t="n">
        <v>2</v>
      </c>
      <c r="B1723" s="17" t="n">
        <v>46248</v>
      </c>
      <c r="C1723" s="17" t="n">
        <v>46267</v>
      </c>
      <c r="D1723" s="1" t="n">
        <v>1613</v>
      </c>
      <c r="E1723" s="1" t="s">
        <v>107</v>
      </c>
      <c r="F1723" s="1" t="n">
        <v>24</v>
      </c>
      <c r="G1723" s="1" t="s">
        <v>91</v>
      </c>
      <c r="H1723" s="1" t="n">
        <v>2110405</v>
      </c>
      <c r="I1723" s="1" t="s">
        <v>55</v>
      </c>
      <c r="J1723" s="1" t="n">
        <v>1547487</v>
      </c>
      <c r="L1723" s="1" t="n">
        <v>211364</v>
      </c>
      <c r="M1723" s="1" t="s">
        <v>36</v>
      </c>
      <c r="N1723" s="1" t="s">
        <v>50</v>
      </c>
      <c r="P1723" s="1" t="n">
        <v>113</v>
      </c>
      <c r="Q1723" s="1" t="s">
        <v>38</v>
      </c>
      <c r="R1723" s="1" t="s">
        <v>62</v>
      </c>
      <c r="S1723" s="1" t="n">
        <v>1130101</v>
      </c>
      <c r="T1723" s="1" t="s">
        <v>63</v>
      </c>
      <c r="U1723" s="1" t="n">
        <v>1164.76</v>
      </c>
      <c r="W1723" s="1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" t="n">
        <v>2</v>
      </c>
      <c r="B1724" s="17" t="n">
        <v>46252</v>
      </c>
      <c r="C1724" s="17" t="n">
        <v>46267</v>
      </c>
      <c r="D1724" s="1" t="n">
        <v>1612</v>
      </c>
      <c r="E1724" s="1" t="s">
        <v>90</v>
      </c>
      <c r="F1724" s="1" t="n">
        <v>24</v>
      </c>
      <c r="G1724" s="1" t="s">
        <v>91</v>
      </c>
      <c r="H1724" s="1" t="n">
        <v>2110405</v>
      </c>
      <c r="I1724" s="1" t="s">
        <v>55</v>
      </c>
      <c r="J1724" s="1" t="n">
        <v>1567416</v>
      </c>
      <c r="L1724" s="1" t="n">
        <v>214022</v>
      </c>
      <c r="M1724" s="1" t="s">
        <v>36</v>
      </c>
      <c r="N1724" s="1" t="s">
        <v>50</v>
      </c>
      <c r="P1724" s="1" t="n">
        <v>113</v>
      </c>
      <c r="Q1724" s="1" t="s">
        <v>38</v>
      </c>
      <c r="R1724" s="1" t="s">
        <v>62</v>
      </c>
      <c r="S1724" s="1" t="n">
        <v>1130101</v>
      </c>
      <c r="T1724" s="1" t="s">
        <v>63</v>
      </c>
      <c r="U1724" s="1" t="n">
        <v>1154.64</v>
      </c>
      <c r="W1724" s="1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" t="n">
        <v>2</v>
      </c>
      <c r="B1725" s="17" t="n">
        <v>46260</v>
      </c>
      <c r="C1725" s="17" t="n">
        <v>46267</v>
      </c>
      <c r="D1725" s="1" t="n">
        <v>10019</v>
      </c>
      <c r="E1725" s="1" t="s">
        <v>274</v>
      </c>
      <c r="F1725" s="1" t="n">
        <v>24</v>
      </c>
      <c r="G1725" s="1" t="s">
        <v>91</v>
      </c>
      <c r="H1725" s="1" t="n">
        <v>2110405</v>
      </c>
      <c r="I1725" s="1" t="s">
        <v>55</v>
      </c>
      <c r="J1725" s="1" t="n">
        <v>1605120</v>
      </c>
      <c r="L1725" s="1" t="n">
        <v>219903</v>
      </c>
      <c r="M1725" s="1" t="s">
        <v>36</v>
      </c>
      <c r="N1725" s="1" t="s">
        <v>50</v>
      </c>
      <c r="P1725" s="1" t="n">
        <v>113</v>
      </c>
      <c r="Q1725" s="1" t="s">
        <v>38</v>
      </c>
      <c r="R1725" s="1" t="s">
        <v>62</v>
      </c>
      <c r="S1725" s="1" t="n">
        <v>1130101</v>
      </c>
      <c r="T1725" s="1" t="s">
        <v>63</v>
      </c>
      <c r="U1725" s="1" t="n">
        <v>2752.16</v>
      </c>
      <c r="W1725" s="1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" t="n">
        <v>2</v>
      </c>
      <c r="B1726" s="17" t="n">
        <v>46260</v>
      </c>
      <c r="C1726" s="17" t="n">
        <v>46267</v>
      </c>
      <c r="D1726" s="1" t="n">
        <v>1626</v>
      </c>
      <c r="E1726" s="1" t="s">
        <v>96</v>
      </c>
      <c r="F1726" s="1" t="n">
        <v>24</v>
      </c>
      <c r="G1726" s="1" t="s">
        <v>91</v>
      </c>
      <c r="H1726" s="1" t="n">
        <v>2110405</v>
      </c>
      <c r="I1726" s="1" t="s">
        <v>55</v>
      </c>
      <c r="J1726" s="1" t="n">
        <v>1605219</v>
      </c>
      <c r="L1726" s="1" t="n">
        <v>219912</v>
      </c>
      <c r="M1726" s="1" t="s">
        <v>36</v>
      </c>
      <c r="N1726" s="1" t="s">
        <v>50</v>
      </c>
      <c r="P1726" s="1" t="n">
        <v>113</v>
      </c>
      <c r="Q1726" s="1" t="s">
        <v>38</v>
      </c>
      <c r="R1726" s="1" t="s">
        <v>62</v>
      </c>
      <c r="S1726" s="1" t="n">
        <v>1130101</v>
      </c>
      <c r="T1726" s="1" t="s">
        <v>63</v>
      </c>
      <c r="U1726" s="1" t="n">
        <v>679.17</v>
      </c>
      <c r="W1726" s="1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" t="n">
        <v>2</v>
      </c>
      <c r="B1727" s="17" t="n">
        <v>46261</v>
      </c>
      <c r="C1727" s="17" t="n">
        <v>46267</v>
      </c>
      <c r="D1727" s="1" t="n">
        <v>754</v>
      </c>
      <c r="E1727" s="1" t="s">
        <v>142</v>
      </c>
      <c r="F1727" s="1" t="n">
        <v>24</v>
      </c>
      <c r="G1727" s="1" t="s">
        <v>91</v>
      </c>
      <c r="H1727" s="1" t="n">
        <v>2110405</v>
      </c>
      <c r="I1727" s="1" t="s">
        <v>55</v>
      </c>
      <c r="J1727" s="1" t="n">
        <v>1608625</v>
      </c>
      <c r="L1727" s="1" t="n">
        <v>220386</v>
      </c>
      <c r="M1727" s="1" t="s">
        <v>36</v>
      </c>
      <c r="N1727" s="1" t="s">
        <v>50</v>
      </c>
      <c r="P1727" s="1" t="n">
        <v>113</v>
      </c>
      <c r="Q1727" s="1" t="s">
        <v>38</v>
      </c>
      <c r="R1727" s="1" t="s">
        <v>62</v>
      </c>
      <c r="S1727" s="1" t="n">
        <v>1130101</v>
      </c>
      <c r="T1727" s="1" t="s">
        <v>63</v>
      </c>
      <c r="U1727" s="1" t="n">
        <v>1069.2</v>
      </c>
      <c r="W1727" s="1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" t="n">
        <v>2</v>
      </c>
      <c r="B1728" s="17" t="n">
        <v>46261</v>
      </c>
      <c r="C1728" s="17" t="n">
        <v>46267</v>
      </c>
      <c r="D1728" s="1" t="n">
        <v>1636</v>
      </c>
      <c r="E1728" s="1" t="s">
        <v>98</v>
      </c>
      <c r="F1728" s="1" t="n">
        <v>24</v>
      </c>
      <c r="G1728" s="1" t="s">
        <v>91</v>
      </c>
      <c r="H1728" s="1" t="n">
        <v>2110405</v>
      </c>
      <c r="I1728" s="1" t="s">
        <v>55</v>
      </c>
      <c r="J1728" s="1" t="n">
        <v>1609057</v>
      </c>
      <c r="L1728" s="1" t="n">
        <v>220487</v>
      </c>
      <c r="M1728" s="1" t="s">
        <v>36</v>
      </c>
      <c r="N1728" s="1" t="s">
        <v>50</v>
      </c>
      <c r="P1728" s="1" t="n">
        <v>113</v>
      </c>
      <c r="Q1728" s="1" t="s">
        <v>38</v>
      </c>
      <c r="R1728" s="1" t="s">
        <v>62</v>
      </c>
      <c r="S1728" s="1" t="n">
        <v>1130101</v>
      </c>
      <c r="T1728" s="1" t="s">
        <v>63</v>
      </c>
      <c r="U1728" s="1" t="n">
        <v>731.86</v>
      </c>
      <c r="W1728" s="1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" t="n">
        <v>2</v>
      </c>
      <c r="B1729" s="17" t="n">
        <v>46261</v>
      </c>
      <c r="C1729" s="17" t="n">
        <v>46267</v>
      </c>
      <c r="D1729" s="1" t="n">
        <v>1609</v>
      </c>
      <c r="E1729" s="1" t="s">
        <v>103</v>
      </c>
      <c r="F1729" s="1" t="n">
        <v>24</v>
      </c>
      <c r="G1729" s="1" t="s">
        <v>91</v>
      </c>
      <c r="H1729" s="1" t="n">
        <v>2110405</v>
      </c>
      <c r="I1729" s="1" t="s">
        <v>55</v>
      </c>
      <c r="J1729" s="1" t="n">
        <v>1609116</v>
      </c>
      <c r="L1729" s="1" t="n">
        <v>220499</v>
      </c>
      <c r="M1729" s="1" t="s">
        <v>36</v>
      </c>
      <c r="N1729" s="1" t="s">
        <v>50</v>
      </c>
      <c r="P1729" s="1" t="n">
        <v>113</v>
      </c>
      <c r="Q1729" s="1" t="s">
        <v>38</v>
      </c>
      <c r="R1729" s="1" t="s">
        <v>62</v>
      </c>
      <c r="S1729" s="1" t="n">
        <v>1130101</v>
      </c>
      <c r="T1729" s="1" t="s">
        <v>63</v>
      </c>
      <c r="U1729" s="1" t="n">
        <v>741.3</v>
      </c>
      <c r="W1729" s="1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" t="n">
        <v>2</v>
      </c>
      <c r="B1730" s="17" t="n">
        <v>46267</v>
      </c>
      <c r="C1730" s="17" t="n">
        <v>46267</v>
      </c>
      <c r="D1730" s="1" t="n">
        <v>48</v>
      </c>
      <c r="E1730" s="1" t="s">
        <v>146</v>
      </c>
      <c r="F1730" s="1" t="n">
        <v>13</v>
      </c>
      <c r="G1730" s="1" t="s">
        <v>147</v>
      </c>
      <c r="H1730" s="1" t="n">
        <v>2110101</v>
      </c>
      <c r="I1730" s="1" t="s">
        <v>48</v>
      </c>
      <c r="J1730" s="1" t="n">
        <v>1641414</v>
      </c>
      <c r="L1730" s="1" t="n">
        <v>2653</v>
      </c>
      <c r="M1730" s="1" t="s">
        <v>36</v>
      </c>
      <c r="N1730" s="1" t="s">
        <v>68</v>
      </c>
      <c r="P1730" s="1" t="n">
        <v>113</v>
      </c>
      <c r="Q1730" s="1" t="s">
        <v>38</v>
      </c>
      <c r="R1730" s="1" t="s">
        <v>62</v>
      </c>
      <c r="S1730" s="1" t="n">
        <v>1130101</v>
      </c>
      <c r="T1730" s="1" t="s">
        <v>63</v>
      </c>
      <c r="U1730" s="1" t="n">
        <v>300</v>
      </c>
      <c r="W1730" s="1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2</v>
      </c>
      <c r="B1731" s="17" t="n">
        <v>46267</v>
      </c>
      <c r="C1731" s="17" t="n">
        <v>46267</v>
      </c>
      <c r="D1731" s="1" t="n">
        <v>515</v>
      </c>
      <c r="E1731" s="1" t="s">
        <v>157</v>
      </c>
      <c r="F1731" s="1" t="n">
        <v>34</v>
      </c>
      <c r="G1731" s="1" t="s">
        <v>110</v>
      </c>
      <c r="H1731" s="1" t="n">
        <v>2110405</v>
      </c>
      <c r="I1731" s="1" t="s">
        <v>55</v>
      </c>
      <c r="J1731" s="1" t="n">
        <v>1648737</v>
      </c>
      <c r="L1731" s="1" t="n">
        <v>226479</v>
      </c>
      <c r="M1731" s="1" t="s">
        <v>36</v>
      </c>
      <c r="N1731" s="1" t="s">
        <v>50</v>
      </c>
      <c r="P1731" s="1" t="n">
        <v>102</v>
      </c>
      <c r="Q1731" s="1" t="s">
        <v>315</v>
      </c>
      <c r="R1731" s="1" t="s">
        <v>158</v>
      </c>
      <c r="S1731" s="1" t="n">
        <v>4210504</v>
      </c>
      <c r="T1731" s="1" t="s">
        <v>163</v>
      </c>
      <c r="U1731" s="1" t="n">
        <v>21.12</v>
      </c>
      <c r="W1731" s="1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2</v>
      </c>
      <c r="B1732" s="17" t="n">
        <v>46267</v>
      </c>
      <c r="C1732" s="17" t="n">
        <v>46267</v>
      </c>
      <c r="D1732" s="1" t="n">
        <v>515</v>
      </c>
      <c r="E1732" s="1" t="s">
        <v>157</v>
      </c>
      <c r="F1732" s="1" t="n">
        <v>34</v>
      </c>
      <c r="G1732" s="1" t="s">
        <v>110</v>
      </c>
      <c r="H1732" s="1" t="n">
        <v>2110405</v>
      </c>
      <c r="I1732" s="1" t="s">
        <v>55</v>
      </c>
      <c r="J1732" s="1" t="n">
        <v>1648740</v>
      </c>
      <c r="L1732" s="1" t="n">
        <v>226481</v>
      </c>
      <c r="M1732" s="1" t="s">
        <v>36</v>
      </c>
      <c r="N1732" s="1" t="s">
        <v>50</v>
      </c>
      <c r="P1732" s="1" t="n">
        <v>102</v>
      </c>
      <c r="Q1732" s="1" t="s">
        <v>315</v>
      </c>
      <c r="R1732" s="1" t="s">
        <v>158</v>
      </c>
      <c r="S1732" s="1" t="n">
        <v>4210505</v>
      </c>
      <c r="T1732" s="1" t="s">
        <v>159</v>
      </c>
      <c r="U1732" s="1" t="n">
        <v>107.26</v>
      </c>
      <c r="W1732" s="1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2</v>
      </c>
      <c r="B1733" s="17" t="n">
        <v>46267</v>
      </c>
      <c r="C1733" s="17" t="n">
        <v>46267</v>
      </c>
      <c r="D1733" s="1" t="n">
        <v>515</v>
      </c>
      <c r="E1733" s="1" t="s">
        <v>157</v>
      </c>
      <c r="F1733" s="1" t="n">
        <v>34</v>
      </c>
      <c r="G1733" s="1" t="s">
        <v>110</v>
      </c>
      <c r="H1733" s="1" t="n">
        <v>2110405</v>
      </c>
      <c r="I1733" s="1" t="s">
        <v>55</v>
      </c>
      <c r="J1733" s="1" t="n">
        <v>1648749</v>
      </c>
      <c r="L1733" s="1" t="n">
        <v>226483</v>
      </c>
      <c r="M1733" s="1" t="s">
        <v>36</v>
      </c>
      <c r="N1733" s="1" t="s">
        <v>50</v>
      </c>
      <c r="P1733" s="1" t="n">
        <v>102</v>
      </c>
      <c r="Q1733" s="1" t="s">
        <v>315</v>
      </c>
      <c r="R1733" s="1" t="s">
        <v>158</v>
      </c>
      <c r="S1733" s="1" t="n">
        <v>4210504</v>
      </c>
      <c r="T1733" s="1" t="s">
        <v>163</v>
      </c>
      <c r="U1733" s="1" t="n">
        <v>143.03</v>
      </c>
      <c r="W1733" s="1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2</v>
      </c>
      <c r="B1734" s="17" t="n">
        <v>46267</v>
      </c>
      <c r="C1734" s="17" t="n">
        <v>46267</v>
      </c>
      <c r="D1734" s="1" t="n">
        <v>515</v>
      </c>
      <c r="E1734" s="1" t="s">
        <v>157</v>
      </c>
      <c r="F1734" s="1" t="n">
        <v>34</v>
      </c>
      <c r="G1734" s="1" t="s">
        <v>110</v>
      </c>
      <c r="H1734" s="1" t="n">
        <v>2110405</v>
      </c>
      <c r="I1734" s="1" t="s">
        <v>55</v>
      </c>
      <c r="J1734" s="1" t="n">
        <v>1648764</v>
      </c>
      <c r="L1734" s="1" t="n">
        <v>226486</v>
      </c>
      <c r="M1734" s="1" t="s">
        <v>36</v>
      </c>
      <c r="N1734" s="1" t="s">
        <v>50</v>
      </c>
      <c r="P1734" s="1" t="n">
        <v>102</v>
      </c>
      <c r="Q1734" s="1" t="s">
        <v>315</v>
      </c>
      <c r="R1734" s="1" t="s">
        <v>158</v>
      </c>
      <c r="S1734" s="1" t="n">
        <v>4210505</v>
      </c>
      <c r="T1734" s="1" t="s">
        <v>159</v>
      </c>
      <c r="U1734" s="1" t="n">
        <v>281.13</v>
      </c>
      <c r="W1734" s="1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2</v>
      </c>
      <c r="B1735" s="17" t="n">
        <v>46267</v>
      </c>
      <c r="C1735" s="17" t="n">
        <v>46267</v>
      </c>
      <c r="D1735" s="1" t="n">
        <v>515</v>
      </c>
      <c r="E1735" s="1" t="s">
        <v>157</v>
      </c>
      <c r="F1735" s="1" t="n">
        <v>34</v>
      </c>
      <c r="G1735" s="1" t="s">
        <v>110</v>
      </c>
      <c r="H1735" s="1" t="n">
        <v>2110405</v>
      </c>
      <c r="I1735" s="1" t="s">
        <v>55</v>
      </c>
      <c r="J1735" s="1" t="n">
        <v>1648788</v>
      </c>
      <c r="L1735" s="1" t="n">
        <v>226491</v>
      </c>
      <c r="M1735" s="1" t="s">
        <v>36</v>
      </c>
      <c r="N1735" s="1" t="s">
        <v>50</v>
      </c>
      <c r="P1735" s="1" t="n">
        <v>102</v>
      </c>
      <c r="Q1735" s="1" t="s">
        <v>315</v>
      </c>
      <c r="R1735" s="1" t="s">
        <v>158</v>
      </c>
      <c r="S1735" s="1" t="n">
        <v>4210505</v>
      </c>
      <c r="T1735" s="1" t="s">
        <v>159</v>
      </c>
      <c r="U1735" s="1" t="n">
        <v>327.4</v>
      </c>
      <c r="W1735" s="1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2</v>
      </c>
      <c r="B1736" s="17" t="n">
        <v>46267</v>
      </c>
      <c r="C1736" s="17" t="n">
        <v>46267</v>
      </c>
      <c r="D1736" s="1" t="n">
        <v>515</v>
      </c>
      <c r="E1736" s="1" t="s">
        <v>157</v>
      </c>
      <c r="F1736" s="1" t="n">
        <v>34</v>
      </c>
      <c r="G1736" s="1" t="s">
        <v>110</v>
      </c>
      <c r="H1736" s="1" t="n">
        <v>2110405</v>
      </c>
      <c r="I1736" s="1" t="s">
        <v>55</v>
      </c>
      <c r="J1736" s="1" t="n">
        <v>1648793</v>
      </c>
      <c r="L1736" s="1" t="n">
        <v>226493</v>
      </c>
      <c r="M1736" s="1" t="s">
        <v>36</v>
      </c>
      <c r="N1736" s="1" t="s">
        <v>50</v>
      </c>
      <c r="P1736" s="1" t="n">
        <v>102</v>
      </c>
      <c r="Q1736" s="1" t="s">
        <v>315</v>
      </c>
      <c r="R1736" s="1" t="s">
        <v>158</v>
      </c>
      <c r="S1736" s="1" t="n">
        <v>4210504</v>
      </c>
      <c r="T1736" s="1" t="s">
        <v>163</v>
      </c>
      <c r="U1736" s="1" t="n">
        <v>550.38</v>
      </c>
      <c r="W1736" s="1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2</v>
      </c>
      <c r="B1737" s="17" t="n">
        <v>46268</v>
      </c>
      <c r="C1737" s="17" t="n">
        <v>46268</v>
      </c>
      <c r="D1737" s="1" t="n">
        <v>0</v>
      </c>
      <c r="E1737" s="1" t="s">
        <v>33</v>
      </c>
      <c r="F1737" s="1" t="n">
        <v>17</v>
      </c>
      <c r="G1737" s="1" t="s">
        <v>34</v>
      </c>
      <c r="H1737" s="1" t="n">
        <v>1110101</v>
      </c>
      <c r="I1737" s="1" t="s">
        <v>35</v>
      </c>
      <c r="J1737" s="1" t="n">
        <v>1652734</v>
      </c>
      <c r="L1737" s="1" t="n">
        <v>1652734</v>
      </c>
      <c r="M1737" s="1" t="s">
        <v>36</v>
      </c>
      <c r="N1737" s="1" t="s">
        <v>37</v>
      </c>
      <c r="P1737" s="1" t="n">
        <v>113</v>
      </c>
      <c r="Q1737" s="1" t="s">
        <v>38</v>
      </c>
      <c r="R1737" s="1" t="s">
        <v>39</v>
      </c>
      <c r="S1737" s="1" t="n">
        <v>4210314</v>
      </c>
      <c r="T1737" s="1" t="s">
        <v>40</v>
      </c>
      <c r="U1737" s="1" t="n">
        <v>50</v>
      </c>
      <c r="W1737" s="1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" t="n">
        <v>2</v>
      </c>
      <c r="B1738" s="17" t="n">
        <v>46268</v>
      </c>
      <c r="C1738" s="17" t="n">
        <v>46268</v>
      </c>
      <c r="D1738" s="1" t="n">
        <v>0</v>
      </c>
      <c r="E1738" s="1" t="s">
        <v>33</v>
      </c>
      <c r="F1738" s="1" t="n">
        <v>17</v>
      </c>
      <c r="G1738" s="1" t="s">
        <v>34</v>
      </c>
      <c r="H1738" s="1" t="n">
        <v>1110101</v>
      </c>
      <c r="I1738" s="1" t="s">
        <v>35</v>
      </c>
      <c r="J1738" s="1" t="n">
        <v>1652736</v>
      </c>
      <c r="L1738" s="1" t="n">
        <v>1652736</v>
      </c>
      <c r="M1738" s="1" t="s">
        <v>36</v>
      </c>
      <c r="N1738" s="1" t="s">
        <v>37</v>
      </c>
      <c r="P1738" s="1" t="n">
        <v>113</v>
      </c>
      <c r="Q1738" s="1" t="s">
        <v>38</v>
      </c>
      <c r="R1738" s="1" t="s">
        <v>70</v>
      </c>
      <c r="S1738" s="1" t="n">
        <v>4210227</v>
      </c>
      <c r="T1738" s="1" t="s">
        <v>77</v>
      </c>
      <c r="U1738" s="1" t="n">
        <v>24</v>
      </c>
      <c r="W1738" s="1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" t="n">
        <v>2</v>
      </c>
      <c r="B1739" s="17" t="n">
        <v>46268</v>
      </c>
      <c r="C1739" s="17" t="n">
        <v>46268</v>
      </c>
      <c r="D1739" s="1" t="n">
        <v>0</v>
      </c>
      <c r="E1739" s="1" t="s">
        <v>33</v>
      </c>
      <c r="F1739" s="1" t="n">
        <v>17</v>
      </c>
      <c r="G1739" s="1" t="s">
        <v>34</v>
      </c>
      <c r="H1739" s="1" t="n">
        <v>1110101</v>
      </c>
      <c r="I1739" s="1" t="s">
        <v>35</v>
      </c>
      <c r="J1739" s="1" t="n">
        <v>1652737</v>
      </c>
      <c r="L1739" s="1" t="n">
        <v>1652737</v>
      </c>
      <c r="M1739" s="1" t="s">
        <v>36</v>
      </c>
      <c r="N1739" s="1" t="s">
        <v>37</v>
      </c>
      <c r="P1739" s="1" t="n">
        <v>113</v>
      </c>
      <c r="Q1739" s="1" t="s">
        <v>38</v>
      </c>
      <c r="R1739" s="1" t="s">
        <v>39</v>
      </c>
      <c r="S1739" s="1" t="n">
        <v>4210309</v>
      </c>
      <c r="T1739" s="1" t="s">
        <v>113</v>
      </c>
      <c r="U1739" s="1" t="n">
        <v>10</v>
      </c>
      <c r="W1739" s="1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" t="n">
        <v>2</v>
      </c>
      <c r="B1740" s="17" t="n">
        <v>46241</v>
      </c>
      <c r="C1740" s="17" t="n">
        <v>46268</v>
      </c>
      <c r="D1740" s="1" t="n">
        <v>1705</v>
      </c>
      <c r="E1740" s="1" t="s">
        <v>131</v>
      </c>
      <c r="F1740" s="1" t="n">
        <v>24</v>
      </c>
      <c r="G1740" s="1" t="s">
        <v>91</v>
      </c>
      <c r="H1740" s="1" t="n">
        <v>2110405</v>
      </c>
      <c r="I1740" s="1" t="s">
        <v>55</v>
      </c>
      <c r="J1740" s="1" t="n">
        <v>1514117</v>
      </c>
      <c r="L1740" s="1" t="n">
        <v>205956</v>
      </c>
      <c r="M1740" s="1" t="s">
        <v>36</v>
      </c>
      <c r="N1740" s="1" t="s">
        <v>50</v>
      </c>
      <c r="P1740" s="1" t="n">
        <v>113</v>
      </c>
      <c r="Q1740" s="1" t="s">
        <v>38</v>
      </c>
      <c r="R1740" s="1" t="s">
        <v>62</v>
      </c>
      <c r="S1740" s="1" t="n">
        <v>1130101</v>
      </c>
      <c r="T1740" s="1" t="s">
        <v>63</v>
      </c>
      <c r="U1740" s="1" t="n">
        <v>77.62</v>
      </c>
      <c r="W1740" s="1" t="n">
        <v>0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" t="n">
        <v>2</v>
      </c>
      <c r="B1741" s="17" t="n">
        <v>46241</v>
      </c>
      <c r="C1741" s="17" t="n">
        <v>46268</v>
      </c>
      <c r="D1741" s="1" t="n">
        <v>794</v>
      </c>
      <c r="E1741" s="1" t="s">
        <v>343</v>
      </c>
      <c r="F1741" s="1" t="n">
        <v>24</v>
      </c>
      <c r="G1741" s="1" t="s">
        <v>91</v>
      </c>
      <c r="H1741" s="1" t="n">
        <v>2110405</v>
      </c>
      <c r="I1741" s="1" t="s">
        <v>55</v>
      </c>
      <c r="J1741" s="1" t="n">
        <v>1514442</v>
      </c>
      <c r="L1741" s="1" t="n">
        <v>206014</v>
      </c>
      <c r="M1741" s="1" t="s">
        <v>36</v>
      </c>
      <c r="N1741" s="1" t="s">
        <v>50</v>
      </c>
      <c r="P1741" s="1" t="n">
        <v>113</v>
      </c>
      <c r="Q1741" s="1" t="s">
        <v>38</v>
      </c>
      <c r="R1741" s="1" t="s">
        <v>70</v>
      </c>
      <c r="S1741" s="1" t="n">
        <v>4210299</v>
      </c>
      <c r="T1741" s="1" t="s">
        <v>127</v>
      </c>
      <c r="U1741" s="1" t="n">
        <v>520.46</v>
      </c>
      <c r="W1741" s="1" t="n">
        <v>0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" t="n">
        <v>2</v>
      </c>
      <c r="B1742" s="17" t="n">
        <v>46247</v>
      </c>
      <c r="C1742" s="17" t="n">
        <v>46268</v>
      </c>
      <c r="D1742" s="1" t="n">
        <v>1608</v>
      </c>
      <c r="E1742" s="1" t="s">
        <v>224</v>
      </c>
      <c r="F1742" s="1" t="n">
        <v>24</v>
      </c>
      <c r="G1742" s="1" t="s">
        <v>91</v>
      </c>
      <c r="H1742" s="1" t="n">
        <v>2110405</v>
      </c>
      <c r="I1742" s="1" t="s">
        <v>55</v>
      </c>
      <c r="J1742" s="1" t="n">
        <v>1540762</v>
      </c>
      <c r="L1742" s="1" t="n">
        <v>210179</v>
      </c>
      <c r="M1742" s="1" t="s">
        <v>36</v>
      </c>
      <c r="N1742" s="1" t="s">
        <v>50</v>
      </c>
      <c r="P1742" s="1" t="n">
        <v>113</v>
      </c>
      <c r="Q1742" s="1" t="s">
        <v>38</v>
      </c>
      <c r="R1742" s="1" t="s">
        <v>62</v>
      </c>
      <c r="S1742" s="1" t="n">
        <v>1130101</v>
      </c>
      <c r="T1742" s="1" t="s">
        <v>63</v>
      </c>
      <c r="U1742" s="1" t="n">
        <v>692.26</v>
      </c>
      <c r="W1742" s="1" t="n">
        <v>0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" t="n">
        <v>2</v>
      </c>
      <c r="B1743" s="17" t="n">
        <v>46247</v>
      </c>
      <c r="C1743" s="17" t="n">
        <v>46268</v>
      </c>
      <c r="D1743" s="1" t="n">
        <v>1667</v>
      </c>
      <c r="E1743" s="1" t="s">
        <v>96</v>
      </c>
      <c r="F1743" s="1" t="n">
        <v>24</v>
      </c>
      <c r="G1743" s="1" t="s">
        <v>91</v>
      </c>
      <c r="H1743" s="1" t="n">
        <v>2110405</v>
      </c>
      <c r="I1743" s="1" t="s">
        <v>55</v>
      </c>
      <c r="J1743" s="1" t="n">
        <v>1540925</v>
      </c>
      <c r="L1743" s="1" t="n">
        <v>210243</v>
      </c>
      <c r="M1743" s="1" t="s">
        <v>36</v>
      </c>
      <c r="N1743" s="1" t="s">
        <v>50</v>
      </c>
      <c r="P1743" s="1" t="n">
        <v>113</v>
      </c>
      <c r="Q1743" s="1" t="s">
        <v>38</v>
      </c>
      <c r="R1743" s="1" t="s">
        <v>62</v>
      </c>
      <c r="S1743" s="1" t="n">
        <v>1130101</v>
      </c>
      <c r="T1743" s="1" t="s">
        <v>63</v>
      </c>
      <c r="U1743" s="1" t="n">
        <v>668.78</v>
      </c>
      <c r="W1743" s="1" t="n">
        <v>0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" t="n">
        <v>2</v>
      </c>
      <c r="B1744" s="17" t="n">
        <v>46248</v>
      </c>
      <c r="C1744" s="17" t="n">
        <v>46268</v>
      </c>
      <c r="D1744" s="1" t="n">
        <v>1720</v>
      </c>
      <c r="E1744" s="1" t="s">
        <v>842</v>
      </c>
      <c r="F1744" s="1" t="n">
        <v>24</v>
      </c>
      <c r="G1744" s="1" t="s">
        <v>91</v>
      </c>
      <c r="H1744" s="1" t="n">
        <v>2110405</v>
      </c>
      <c r="I1744" s="1" t="s">
        <v>55</v>
      </c>
      <c r="J1744" s="1" t="n">
        <v>1545774</v>
      </c>
      <c r="L1744" s="1" t="n">
        <v>211087</v>
      </c>
      <c r="M1744" s="1" t="s">
        <v>36</v>
      </c>
      <c r="N1744" s="1" t="s">
        <v>50</v>
      </c>
      <c r="P1744" s="1" t="n">
        <v>113</v>
      </c>
      <c r="Q1744" s="1" t="s">
        <v>38</v>
      </c>
      <c r="R1744" s="1" t="s">
        <v>62</v>
      </c>
      <c r="S1744" s="1" t="n">
        <v>1130101</v>
      </c>
      <c r="T1744" s="1" t="s">
        <v>63</v>
      </c>
      <c r="U1744" s="1" t="n">
        <v>1130.5</v>
      </c>
      <c r="W1744" s="1" t="n">
        <v>0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" t="n">
        <v>2</v>
      </c>
      <c r="B1745" s="17" t="n">
        <v>46251</v>
      </c>
      <c r="C1745" s="17" t="n">
        <v>46268</v>
      </c>
      <c r="D1745" s="1" t="n">
        <v>1657</v>
      </c>
      <c r="E1745" s="1" t="s">
        <v>1531</v>
      </c>
      <c r="F1745" s="1" t="n">
        <v>24</v>
      </c>
      <c r="G1745" s="1" t="s">
        <v>91</v>
      </c>
      <c r="H1745" s="1" t="n">
        <v>2110405</v>
      </c>
      <c r="I1745" s="1" t="s">
        <v>55</v>
      </c>
      <c r="J1745" s="1" t="n">
        <v>1562800</v>
      </c>
      <c r="L1745" s="1" t="n">
        <v>213295</v>
      </c>
      <c r="M1745" s="1" t="s">
        <v>36</v>
      </c>
      <c r="N1745" s="1" t="s">
        <v>50</v>
      </c>
      <c r="P1745" s="1" t="n">
        <v>113</v>
      </c>
      <c r="Q1745" s="1" t="s">
        <v>38</v>
      </c>
      <c r="R1745" s="1" t="s">
        <v>62</v>
      </c>
      <c r="S1745" s="1" t="n">
        <v>1130101</v>
      </c>
      <c r="T1745" s="1" t="s">
        <v>63</v>
      </c>
      <c r="U1745" s="1" t="n">
        <v>1120.76</v>
      </c>
      <c r="W1745" s="1" t="n">
        <v>0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" t="n">
        <v>2</v>
      </c>
      <c r="B1746" s="17" t="n">
        <v>46252</v>
      </c>
      <c r="C1746" s="17" t="n">
        <v>46268</v>
      </c>
      <c r="D1746" s="1" t="n">
        <v>1671</v>
      </c>
      <c r="E1746" s="1" t="s">
        <v>101</v>
      </c>
      <c r="F1746" s="1" t="n">
        <v>24</v>
      </c>
      <c r="G1746" s="1" t="s">
        <v>91</v>
      </c>
      <c r="H1746" s="1" t="n">
        <v>2110405</v>
      </c>
      <c r="I1746" s="1" t="s">
        <v>55</v>
      </c>
      <c r="J1746" s="1" t="n">
        <v>1567131</v>
      </c>
      <c r="L1746" s="1" t="n">
        <v>213983</v>
      </c>
      <c r="M1746" s="1" t="s">
        <v>36</v>
      </c>
      <c r="N1746" s="1" t="s">
        <v>50</v>
      </c>
      <c r="P1746" s="1" t="n">
        <v>113</v>
      </c>
      <c r="Q1746" s="1" t="s">
        <v>38</v>
      </c>
      <c r="R1746" s="1" t="s">
        <v>62</v>
      </c>
      <c r="S1746" s="1" t="n">
        <v>1130101</v>
      </c>
      <c r="T1746" s="1" t="s">
        <v>63</v>
      </c>
      <c r="U1746" s="1" t="n">
        <v>793.81</v>
      </c>
      <c r="W1746" s="1" t="n">
        <v>0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" t="n">
        <v>2</v>
      </c>
      <c r="B1747" s="17" t="n">
        <v>46255</v>
      </c>
      <c r="C1747" s="17" t="n">
        <v>46268</v>
      </c>
      <c r="D1747" s="1" t="n">
        <v>1681</v>
      </c>
      <c r="E1747" s="1" t="s">
        <v>1533</v>
      </c>
      <c r="F1747" s="1" t="n">
        <v>24</v>
      </c>
      <c r="G1747" s="1" t="s">
        <v>91</v>
      </c>
      <c r="H1747" s="1" t="n">
        <v>2110405</v>
      </c>
      <c r="I1747" s="1" t="s">
        <v>55</v>
      </c>
      <c r="J1747" s="1" t="n">
        <v>1581162</v>
      </c>
      <c r="L1747" s="1" t="n">
        <v>216304</v>
      </c>
      <c r="M1747" s="1" t="s">
        <v>36</v>
      </c>
      <c r="N1747" s="1" t="s">
        <v>50</v>
      </c>
      <c r="P1747" s="1" t="n">
        <v>113</v>
      </c>
      <c r="Q1747" s="1" t="s">
        <v>38</v>
      </c>
      <c r="R1747" s="1" t="s">
        <v>62</v>
      </c>
      <c r="S1747" s="1" t="n">
        <v>1130101</v>
      </c>
      <c r="T1747" s="1" t="s">
        <v>63</v>
      </c>
      <c r="U1747" s="1" t="n">
        <v>2055.66</v>
      </c>
      <c r="W1747" s="1" t="n">
        <v>0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" t="n">
        <v>2</v>
      </c>
      <c r="B1748" s="17" t="n">
        <v>46256</v>
      </c>
      <c r="C1748" s="17" t="n">
        <v>46268</v>
      </c>
      <c r="D1748" s="1" t="n">
        <v>1745</v>
      </c>
      <c r="E1748" s="1" t="s">
        <v>170</v>
      </c>
      <c r="F1748" s="1" t="n">
        <v>24</v>
      </c>
      <c r="G1748" s="1" t="s">
        <v>91</v>
      </c>
      <c r="H1748" s="1" t="n">
        <v>2110405</v>
      </c>
      <c r="I1748" s="1" t="s">
        <v>55</v>
      </c>
      <c r="J1748" s="1" t="n">
        <v>1585070</v>
      </c>
      <c r="L1748" s="1" t="n">
        <v>216839</v>
      </c>
      <c r="M1748" s="1" t="s">
        <v>36</v>
      </c>
      <c r="N1748" s="1" t="s">
        <v>50</v>
      </c>
      <c r="P1748" s="1" t="n">
        <v>113</v>
      </c>
      <c r="Q1748" s="1" t="s">
        <v>38</v>
      </c>
      <c r="R1748" s="1" t="s">
        <v>62</v>
      </c>
      <c r="S1748" s="1" t="n">
        <v>1130101</v>
      </c>
      <c r="T1748" s="1" t="s">
        <v>63</v>
      </c>
      <c r="U1748" s="1" t="n">
        <v>182.8</v>
      </c>
      <c r="W1748" s="1" t="n">
        <v>0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" t="n">
        <v>2</v>
      </c>
      <c r="B1749" s="17" t="n">
        <v>46261</v>
      </c>
      <c r="C1749" s="17" t="n">
        <v>46268</v>
      </c>
      <c r="D1749" s="1" t="n">
        <v>1608</v>
      </c>
      <c r="E1749" s="1" t="s">
        <v>224</v>
      </c>
      <c r="F1749" s="1" t="n">
        <v>24</v>
      </c>
      <c r="G1749" s="1" t="s">
        <v>91</v>
      </c>
      <c r="H1749" s="1" t="n">
        <v>2110405</v>
      </c>
      <c r="I1749" s="1" t="s">
        <v>55</v>
      </c>
      <c r="J1749" s="1" t="n">
        <v>1608534</v>
      </c>
      <c r="L1749" s="1" t="n">
        <v>220365</v>
      </c>
      <c r="M1749" s="1" t="s">
        <v>36</v>
      </c>
      <c r="N1749" s="1" t="s">
        <v>50</v>
      </c>
      <c r="P1749" s="1" t="n">
        <v>113</v>
      </c>
      <c r="Q1749" s="1" t="s">
        <v>38</v>
      </c>
      <c r="R1749" s="1" t="s">
        <v>62</v>
      </c>
      <c r="S1749" s="1" t="n">
        <v>1130101</v>
      </c>
      <c r="T1749" s="1" t="s">
        <v>63</v>
      </c>
      <c r="U1749" s="1" t="n">
        <v>774.74</v>
      </c>
      <c r="W1749" s="1" t="n">
        <v>0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" t="n">
        <v>2</v>
      </c>
      <c r="B1750" s="17" t="n">
        <v>46262</v>
      </c>
      <c r="C1750" s="17" t="n">
        <v>46268</v>
      </c>
      <c r="D1750" s="1" t="n">
        <v>1695</v>
      </c>
      <c r="E1750" s="1" t="s">
        <v>392</v>
      </c>
      <c r="F1750" s="1" t="n">
        <v>24</v>
      </c>
      <c r="G1750" s="1" t="s">
        <v>91</v>
      </c>
      <c r="H1750" s="1" t="n">
        <v>2110405</v>
      </c>
      <c r="I1750" s="1" t="s">
        <v>55</v>
      </c>
      <c r="J1750" s="1" t="n">
        <v>1613791</v>
      </c>
      <c r="L1750" s="1" t="n">
        <v>221285</v>
      </c>
      <c r="M1750" s="1" t="s">
        <v>36</v>
      </c>
      <c r="N1750" s="1" t="s">
        <v>50</v>
      </c>
      <c r="P1750" s="1" t="n">
        <v>113</v>
      </c>
      <c r="Q1750" s="1" t="s">
        <v>38</v>
      </c>
      <c r="R1750" s="1" t="s">
        <v>62</v>
      </c>
      <c r="S1750" s="1" t="n">
        <v>1130101</v>
      </c>
      <c r="T1750" s="1" t="s">
        <v>63</v>
      </c>
      <c r="U1750" s="1" t="n">
        <v>1063.84</v>
      </c>
      <c r="W1750" s="1" t="n">
        <v>0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" t="n">
        <v>2</v>
      </c>
      <c r="B1751" s="17" t="n">
        <v>46262</v>
      </c>
      <c r="C1751" s="17" t="n">
        <v>46268</v>
      </c>
      <c r="D1751" s="1" t="n">
        <v>1695</v>
      </c>
      <c r="E1751" s="1" t="s">
        <v>392</v>
      </c>
      <c r="F1751" s="1" t="n">
        <v>34</v>
      </c>
      <c r="G1751" s="1" t="s">
        <v>110</v>
      </c>
      <c r="H1751" s="1" t="n">
        <v>2110405</v>
      </c>
      <c r="I1751" s="1" t="s">
        <v>55</v>
      </c>
      <c r="J1751" s="1" t="n">
        <v>1614920</v>
      </c>
      <c r="L1751" s="1" t="n">
        <v>221517</v>
      </c>
      <c r="M1751" s="1" t="s">
        <v>36</v>
      </c>
      <c r="N1751" s="1" t="s">
        <v>50</v>
      </c>
      <c r="P1751" s="1" t="n">
        <v>113</v>
      </c>
      <c r="Q1751" s="1" t="s">
        <v>38</v>
      </c>
      <c r="R1751" s="1" t="s">
        <v>62</v>
      </c>
      <c r="S1751" s="1" t="n">
        <v>1130101</v>
      </c>
      <c r="T1751" s="1" t="s">
        <v>63</v>
      </c>
      <c r="U1751" s="1" t="n">
        <v>1150.13</v>
      </c>
      <c r="W1751" s="1" t="n">
        <v>0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" t="n">
        <v>2</v>
      </c>
      <c r="B1752" s="17" t="n">
        <v>46263</v>
      </c>
      <c r="C1752" s="17" t="n">
        <v>46268</v>
      </c>
      <c r="D1752" s="1" t="n">
        <v>10090</v>
      </c>
      <c r="E1752" s="1" t="s">
        <v>1539</v>
      </c>
      <c r="F1752" s="1" t="n">
        <v>24</v>
      </c>
      <c r="G1752" s="1" t="s">
        <v>91</v>
      </c>
      <c r="H1752" s="1" t="n">
        <v>2110405</v>
      </c>
      <c r="I1752" s="1" t="s">
        <v>55</v>
      </c>
      <c r="J1752" s="1" t="n">
        <v>1618577</v>
      </c>
      <c r="L1752" s="1" t="n">
        <v>221971</v>
      </c>
      <c r="M1752" s="1" t="s">
        <v>36</v>
      </c>
      <c r="N1752" s="1" t="s">
        <v>50</v>
      </c>
      <c r="P1752" s="1" t="n">
        <v>113</v>
      </c>
      <c r="Q1752" s="1" t="s">
        <v>38</v>
      </c>
      <c r="R1752" s="1" t="s">
        <v>62</v>
      </c>
      <c r="S1752" s="1" t="n">
        <v>1130101</v>
      </c>
      <c r="T1752" s="1" t="s">
        <v>63</v>
      </c>
      <c r="U1752" s="1" t="n">
        <v>1012.44</v>
      </c>
      <c r="W1752" s="1" t="n">
        <v>0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" t="n">
        <v>2</v>
      </c>
      <c r="B1753" s="17" t="n">
        <v>46265</v>
      </c>
      <c r="C1753" s="17" t="n">
        <v>46268</v>
      </c>
      <c r="D1753" s="1" t="n">
        <v>1899</v>
      </c>
      <c r="E1753" s="1" t="s">
        <v>211</v>
      </c>
      <c r="F1753" s="1" t="n">
        <v>24</v>
      </c>
      <c r="G1753" s="1" t="s">
        <v>91</v>
      </c>
      <c r="H1753" s="1" t="n">
        <v>2110405</v>
      </c>
      <c r="I1753" s="1" t="s">
        <v>55</v>
      </c>
      <c r="J1753" s="1" t="n">
        <v>1628827</v>
      </c>
      <c r="L1753" s="1" t="n">
        <v>223363</v>
      </c>
      <c r="M1753" s="1" t="s">
        <v>36</v>
      </c>
      <c r="N1753" s="1" t="s">
        <v>50</v>
      </c>
      <c r="P1753" s="1" t="n">
        <v>113</v>
      </c>
      <c r="Q1753" s="1" t="s">
        <v>38</v>
      </c>
      <c r="R1753" s="1" t="s">
        <v>62</v>
      </c>
      <c r="S1753" s="1" t="n">
        <v>1130101</v>
      </c>
      <c r="T1753" s="1" t="s">
        <v>63</v>
      </c>
      <c r="U1753" s="1" t="n">
        <v>180.22</v>
      </c>
      <c r="W1753" s="1" t="n">
        <v>0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" t="n">
        <v>2</v>
      </c>
      <c r="B1754" s="17" t="n">
        <v>46266</v>
      </c>
      <c r="C1754" s="17" t="n">
        <v>46268</v>
      </c>
      <c r="D1754" s="1" t="n">
        <v>642</v>
      </c>
      <c r="E1754" s="1" t="s">
        <v>144</v>
      </c>
      <c r="F1754" s="1" t="n">
        <v>24</v>
      </c>
      <c r="G1754" s="1" t="s">
        <v>91</v>
      </c>
      <c r="H1754" s="1" t="n">
        <v>2110405</v>
      </c>
      <c r="I1754" s="1" t="s">
        <v>55</v>
      </c>
      <c r="J1754" s="1" t="n">
        <v>1635015</v>
      </c>
      <c r="L1754" s="1" t="n">
        <v>224551</v>
      </c>
      <c r="M1754" s="1" t="s">
        <v>36</v>
      </c>
      <c r="N1754" s="1" t="s">
        <v>50</v>
      </c>
      <c r="P1754" s="1" t="n">
        <v>113</v>
      </c>
      <c r="Q1754" s="1" t="s">
        <v>38</v>
      </c>
      <c r="R1754" s="1" t="s">
        <v>62</v>
      </c>
      <c r="S1754" s="1" t="n">
        <v>1130101</v>
      </c>
      <c r="T1754" s="1" t="s">
        <v>63</v>
      </c>
      <c r="U1754" s="1" t="n">
        <v>180</v>
      </c>
      <c r="W1754" s="1" t="n">
        <v>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" t="n">
        <v>2</v>
      </c>
      <c r="B1755" s="17" t="n">
        <v>46268</v>
      </c>
      <c r="C1755" s="17" t="n">
        <v>46268</v>
      </c>
      <c r="D1755" s="1" t="n">
        <v>10018</v>
      </c>
      <c r="E1755" s="1" t="s">
        <v>243</v>
      </c>
      <c r="F1755" s="1" t="n">
        <v>34</v>
      </c>
      <c r="G1755" s="1" t="s">
        <v>110</v>
      </c>
      <c r="H1755" s="1" t="n">
        <v>2110405</v>
      </c>
      <c r="I1755" s="1" t="s">
        <v>55</v>
      </c>
      <c r="J1755" s="1" t="n">
        <v>1647397</v>
      </c>
      <c r="L1755" s="1" t="n">
        <v>226222</v>
      </c>
      <c r="M1755" s="1" t="s">
        <v>36</v>
      </c>
      <c r="N1755" s="1" t="s">
        <v>50</v>
      </c>
      <c r="P1755" s="1" t="n">
        <v>113</v>
      </c>
      <c r="Q1755" s="1" t="s">
        <v>38</v>
      </c>
      <c r="R1755" s="1" t="s">
        <v>62</v>
      </c>
      <c r="S1755" s="1" t="n">
        <v>1130101</v>
      </c>
      <c r="T1755" s="1" t="s">
        <v>63</v>
      </c>
      <c r="U1755" s="1" t="n">
        <v>895</v>
      </c>
      <c r="W1755" s="1" t="n">
        <v>0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" t="n">
        <v>2</v>
      </c>
      <c r="B1756" s="17" t="n">
        <v>46238</v>
      </c>
      <c r="C1756" s="17" t="n">
        <v>46269</v>
      </c>
      <c r="D1756" s="1" t="n">
        <v>862</v>
      </c>
      <c r="E1756" s="1" t="s">
        <v>322</v>
      </c>
      <c r="F1756" s="1" t="n">
        <v>24</v>
      </c>
      <c r="G1756" s="1" t="s">
        <v>91</v>
      </c>
      <c r="H1756" s="1" t="n">
        <v>2110405</v>
      </c>
      <c r="I1756" s="1" t="s">
        <v>55</v>
      </c>
      <c r="J1756" s="1" t="n">
        <v>1498421</v>
      </c>
      <c r="L1756" s="1" t="n">
        <v>202608</v>
      </c>
      <c r="M1756" s="1" t="s">
        <v>88</v>
      </c>
      <c r="N1756" s="1" t="s">
        <v>50</v>
      </c>
      <c r="P1756" s="1" t="n">
        <v>101</v>
      </c>
      <c r="Q1756" s="1" t="s">
        <v>56</v>
      </c>
      <c r="R1756" s="1" t="s">
        <v>70</v>
      </c>
      <c r="S1756" s="1" t="n">
        <v>4210233</v>
      </c>
      <c r="T1756" s="1" t="s">
        <v>203</v>
      </c>
      <c r="U1756" s="1" t="n">
        <v>270.9</v>
      </c>
      <c r="W1756" s="1" t="n">
        <v>0</v>
      </c>
      <c r="X1756" s="1"/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" t="n">
        <v>2</v>
      </c>
      <c r="B1757" s="17" t="n">
        <v>46247</v>
      </c>
      <c r="C1757" s="17" t="n">
        <v>46269</v>
      </c>
      <c r="D1757" s="1" t="n">
        <v>1136</v>
      </c>
      <c r="E1757" s="1" t="s">
        <v>1166</v>
      </c>
      <c r="F1757" s="1" t="n">
        <v>24</v>
      </c>
      <c r="G1757" s="1" t="s">
        <v>91</v>
      </c>
      <c r="H1757" s="1" t="n">
        <v>2110405</v>
      </c>
      <c r="I1757" s="1" t="s">
        <v>55</v>
      </c>
      <c r="J1757" s="1" t="n">
        <v>1543200</v>
      </c>
      <c r="L1757" s="1" t="n">
        <v>210474</v>
      </c>
      <c r="M1757" s="1" t="s">
        <v>36</v>
      </c>
      <c r="N1757" s="1" t="s">
        <v>50</v>
      </c>
      <c r="P1757" s="1" t="n">
        <v>113</v>
      </c>
      <c r="Q1757" s="1" t="s">
        <v>38</v>
      </c>
      <c r="R1757" s="1" t="s">
        <v>62</v>
      </c>
      <c r="S1757" s="1" t="n">
        <v>1130101</v>
      </c>
      <c r="T1757" s="1" t="s">
        <v>63</v>
      </c>
      <c r="U1757" s="1" t="n">
        <v>1393.49</v>
      </c>
      <c r="W1757" s="1" t="n">
        <v>0</v>
      </c>
      <c r="X1757" s="1" t="s">
        <v>1543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KRO QUEIJO 100G</v>
      </c>
      <c r="AC1757" s="1" t="n">
        <v>53859</v>
      </c>
    </row>
    <row r="1758" customFormat="false" ht="12.75" hidden="false" customHeight="true" outlineLevel="0" collapsed="false">
      <c r="A1758" s="1" t="n">
        <v>2</v>
      </c>
      <c r="B1758" s="17" t="n">
        <v>46249</v>
      </c>
      <c r="C1758" s="17" t="n">
        <v>46269</v>
      </c>
      <c r="D1758" s="1" t="n">
        <v>1636</v>
      </c>
      <c r="E1758" s="1" t="s">
        <v>98</v>
      </c>
      <c r="F1758" s="1" t="n">
        <v>24</v>
      </c>
      <c r="G1758" s="1" t="s">
        <v>91</v>
      </c>
      <c r="H1758" s="1" t="n">
        <v>2110405</v>
      </c>
      <c r="I1758" s="1" t="s">
        <v>55</v>
      </c>
      <c r="J1758" s="1" t="n">
        <v>1551860</v>
      </c>
      <c r="L1758" s="1" t="n">
        <v>211776</v>
      </c>
      <c r="M1758" s="1" t="s">
        <v>36</v>
      </c>
      <c r="N1758" s="1" t="s">
        <v>50</v>
      </c>
      <c r="P1758" s="1" t="n">
        <v>113</v>
      </c>
      <c r="Q1758" s="1" t="s">
        <v>38</v>
      </c>
      <c r="R1758" s="1" t="s">
        <v>62</v>
      </c>
      <c r="S1758" s="1" t="n">
        <v>1130101</v>
      </c>
      <c r="T1758" s="1" t="s">
        <v>63</v>
      </c>
      <c r="U1758" s="1" t="n">
        <v>748.32</v>
      </c>
      <c r="W1758" s="1" t="n">
        <v>0</v>
      </c>
      <c r="X1758" s="1" t="s">
        <v>1544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MOLHO POMAROLA 260G</v>
      </c>
      <c r="AC1758" s="1" t="n">
        <v>3237036</v>
      </c>
    </row>
    <row r="1759" customFormat="false" ht="12.75" hidden="false" customHeight="true" outlineLevel="0" collapsed="false">
      <c r="A1759" s="1" t="n">
        <v>2</v>
      </c>
      <c r="B1759" s="17" t="n">
        <v>46252</v>
      </c>
      <c r="C1759" s="17" t="n">
        <v>46269</v>
      </c>
      <c r="D1759" s="1" t="n">
        <v>1699</v>
      </c>
      <c r="E1759" s="1" t="s">
        <v>231</v>
      </c>
      <c r="F1759" s="1" t="n">
        <v>24</v>
      </c>
      <c r="G1759" s="1" t="s">
        <v>91</v>
      </c>
      <c r="H1759" s="1" t="n">
        <v>2110405</v>
      </c>
      <c r="I1759" s="1" t="s">
        <v>55</v>
      </c>
      <c r="J1759" s="1" t="n">
        <v>1568210</v>
      </c>
      <c r="L1759" s="1" t="n">
        <v>214139</v>
      </c>
      <c r="M1759" s="1" t="s">
        <v>36</v>
      </c>
      <c r="N1759" s="1" t="s">
        <v>50</v>
      </c>
      <c r="P1759" s="1" t="n">
        <v>113</v>
      </c>
      <c r="Q1759" s="1" t="s">
        <v>38</v>
      </c>
      <c r="R1759" s="1" t="s">
        <v>62</v>
      </c>
      <c r="S1759" s="1" t="n">
        <v>1130101</v>
      </c>
      <c r="T1759" s="1" t="s">
        <v>63</v>
      </c>
      <c r="U1759" s="1" t="n">
        <v>474.75</v>
      </c>
      <c r="W1759" s="1" t="n">
        <v>0</v>
      </c>
      <c r="X1759" s="1" t="s">
        <v>1436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LING CALABRESA PERD</v>
      </c>
      <c r="AC1759" s="1" t="n">
        <v>311351</v>
      </c>
    </row>
    <row r="1760" customFormat="false" ht="12.75" hidden="false" customHeight="true" outlineLevel="0" collapsed="false">
      <c r="A1760" s="1" t="n">
        <v>2</v>
      </c>
      <c r="B1760" s="17" t="n">
        <v>46256</v>
      </c>
      <c r="C1760" s="17" t="n">
        <v>46269</v>
      </c>
      <c r="D1760" s="1" t="n">
        <v>1666</v>
      </c>
      <c r="E1760" s="1" t="s">
        <v>229</v>
      </c>
      <c r="F1760" s="1" t="n">
        <v>24</v>
      </c>
      <c r="G1760" s="1" t="s">
        <v>91</v>
      </c>
      <c r="H1760" s="1" t="n">
        <v>2110405</v>
      </c>
      <c r="I1760" s="1" t="s">
        <v>55</v>
      </c>
      <c r="J1760" s="1" t="n">
        <v>1585299</v>
      </c>
      <c r="L1760" s="1" t="n">
        <v>216889</v>
      </c>
      <c r="M1760" s="1" t="s">
        <v>36</v>
      </c>
      <c r="N1760" s="1" t="s">
        <v>50</v>
      </c>
      <c r="P1760" s="1" t="n">
        <v>113</v>
      </c>
      <c r="Q1760" s="1" t="s">
        <v>38</v>
      </c>
      <c r="R1760" s="1" t="s">
        <v>62</v>
      </c>
      <c r="S1760" s="1" t="n">
        <v>1130101</v>
      </c>
      <c r="T1760" s="1" t="s">
        <v>63</v>
      </c>
      <c r="U1760" s="1" t="n">
        <v>5720.74</v>
      </c>
      <c r="W1760" s="1" t="n">
        <v>0</v>
      </c>
      <c r="X1760" s="1" t="s">
        <v>1439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DUNHILL CARLTON BLEN</v>
      </c>
      <c r="AC1760" s="1" t="n">
        <v>570907</v>
      </c>
    </row>
    <row r="1761" customFormat="false" ht="12.75" hidden="false" customHeight="true" outlineLevel="0" collapsed="false">
      <c r="A1761" s="1" t="n">
        <v>2</v>
      </c>
      <c r="B1761" s="17" t="n">
        <v>46263</v>
      </c>
      <c r="C1761" s="17" t="n">
        <v>46269</v>
      </c>
      <c r="D1761" s="1" t="n">
        <v>581</v>
      </c>
      <c r="E1761" s="1" t="s">
        <v>140</v>
      </c>
      <c r="F1761" s="1" t="n">
        <v>24</v>
      </c>
      <c r="G1761" s="1" t="s">
        <v>91</v>
      </c>
      <c r="H1761" s="1" t="n">
        <v>2110405</v>
      </c>
      <c r="I1761" s="1" t="s">
        <v>55</v>
      </c>
      <c r="J1761" s="1" t="n">
        <v>1618529</v>
      </c>
      <c r="L1761" s="1" t="n">
        <v>221956</v>
      </c>
      <c r="M1761" s="1" t="s">
        <v>36</v>
      </c>
      <c r="N1761" s="1" t="s">
        <v>50</v>
      </c>
      <c r="P1761" s="1" t="n">
        <v>113</v>
      </c>
      <c r="Q1761" s="1" t="s">
        <v>38</v>
      </c>
      <c r="R1761" s="1" t="s">
        <v>62</v>
      </c>
      <c r="S1761" s="1" t="n">
        <v>1130101</v>
      </c>
      <c r="T1761" s="1" t="s">
        <v>63</v>
      </c>
      <c r="U1761" s="1" t="n">
        <v>264</v>
      </c>
      <c r="W1761" s="1" t="n">
        <v>0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GOMA DE MANDIOCA AMA</v>
      </c>
      <c r="AC1761" s="1" t="n">
        <v>32154</v>
      </c>
    </row>
    <row r="1762" customFormat="false" ht="12.75" hidden="false" customHeight="true" outlineLevel="0" collapsed="false">
      <c r="A1762" s="1" t="n">
        <v>2</v>
      </c>
      <c r="B1762" s="17" t="n">
        <v>46263</v>
      </c>
      <c r="C1762" s="17" t="n">
        <v>46269</v>
      </c>
      <c r="D1762" s="1" t="n">
        <v>1625</v>
      </c>
      <c r="E1762" s="1" t="s">
        <v>272</v>
      </c>
      <c r="F1762" s="1" t="n">
        <v>24</v>
      </c>
      <c r="G1762" s="1" t="s">
        <v>91</v>
      </c>
      <c r="H1762" s="1" t="n">
        <v>2110405</v>
      </c>
      <c r="I1762" s="1" t="s">
        <v>55</v>
      </c>
      <c r="J1762" s="1" t="n">
        <v>1618725</v>
      </c>
      <c r="L1762" s="1" t="n">
        <v>221995</v>
      </c>
      <c r="M1762" s="1" t="s">
        <v>36</v>
      </c>
      <c r="N1762" s="1" t="s">
        <v>50</v>
      </c>
      <c r="P1762" s="1" t="n">
        <v>113</v>
      </c>
      <c r="Q1762" s="1" t="s">
        <v>38</v>
      </c>
      <c r="R1762" s="1" t="s">
        <v>62</v>
      </c>
      <c r="S1762" s="1" t="n">
        <v>1130101</v>
      </c>
      <c r="T1762" s="1" t="s">
        <v>63</v>
      </c>
      <c r="U1762" s="1" t="n">
        <v>2771.2</v>
      </c>
      <c r="W1762" s="1" t="n">
        <v>0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TRASEIRO DE BOI L1</v>
      </c>
      <c r="AC1762" s="1" t="n">
        <v>15192</v>
      </c>
    </row>
    <row r="1763" customFormat="false" ht="12.75" hidden="false" customHeight="true" outlineLevel="0" collapsed="false">
      <c r="A1763" s="1" t="n">
        <v>2</v>
      </c>
      <c r="B1763" s="17" t="n">
        <v>46265</v>
      </c>
      <c r="C1763" s="17" t="n">
        <v>46269</v>
      </c>
      <c r="D1763" s="1" t="n">
        <v>1328</v>
      </c>
      <c r="E1763" s="1" t="s">
        <v>105</v>
      </c>
      <c r="F1763" s="1" t="n">
        <v>24</v>
      </c>
      <c r="G1763" s="1" t="s">
        <v>91</v>
      </c>
      <c r="H1763" s="1" t="n">
        <v>2110405</v>
      </c>
      <c r="I1763" s="1" t="s">
        <v>55</v>
      </c>
      <c r="J1763" s="1" t="n">
        <v>1628800</v>
      </c>
      <c r="L1763" s="1" t="n">
        <v>223358</v>
      </c>
      <c r="M1763" s="1" t="s">
        <v>36</v>
      </c>
      <c r="N1763" s="1" t="s">
        <v>50</v>
      </c>
      <c r="P1763" s="1" t="n">
        <v>113</v>
      </c>
      <c r="Q1763" s="1" t="s">
        <v>38</v>
      </c>
      <c r="R1763" s="1" t="s">
        <v>62</v>
      </c>
      <c r="S1763" s="1" t="n">
        <v>1130101</v>
      </c>
      <c r="T1763" s="1" t="s">
        <v>63</v>
      </c>
      <c r="U1763" s="1" t="n">
        <v>300</v>
      </c>
      <c r="W1763" s="1" t="n">
        <v>0</v>
      </c>
      <c r="X1763" s="1" t="s">
        <v>1547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PAO DE KIKAO 10</v>
      </c>
      <c r="AC1763" s="1" t="n">
        <v>4492</v>
      </c>
    </row>
    <row r="1764" customFormat="false" ht="12.75" hidden="false" customHeight="true" outlineLevel="0" collapsed="false">
      <c r="A1764" s="1" t="n">
        <v>2</v>
      </c>
      <c r="B1764" s="17" t="n">
        <v>46265</v>
      </c>
      <c r="C1764" s="17" t="n">
        <v>46269</v>
      </c>
      <c r="D1764" s="1" t="n">
        <v>1899</v>
      </c>
      <c r="E1764" s="1" t="s">
        <v>211</v>
      </c>
      <c r="F1764" s="1" t="n">
        <v>24</v>
      </c>
      <c r="G1764" s="1" t="s">
        <v>91</v>
      </c>
      <c r="H1764" s="1" t="n">
        <v>2110405</v>
      </c>
      <c r="I1764" s="1" t="s">
        <v>55</v>
      </c>
      <c r="J1764" s="1" t="n">
        <v>1630511</v>
      </c>
      <c r="L1764" s="1" t="n">
        <v>223757</v>
      </c>
      <c r="M1764" s="1" t="s">
        <v>36</v>
      </c>
      <c r="N1764" s="1" t="s">
        <v>50</v>
      </c>
      <c r="P1764" s="1" t="n">
        <v>113</v>
      </c>
      <c r="Q1764" s="1" t="s">
        <v>38</v>
      </c>
      <c r="R1764" s="1" t="s">
        <v>62</v>
      </c>
      <c r="S1764" s="1" t="n">
        <v>1130101</v>
      </c>
      <c r="T1764" s="1" t="s">
        <v>63</v>
      </c>
      <c r="U1764" s="1" t="n">
        <v>90</v>
      </c>
      <c r="W1764" s="1" t="n">
        <v>0</v>
      </c>
      <c r="X1764" s="1" t="s">
        <v>1548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MASSA FINA</v>
      </c>
      <c r="AC1764" s="1" t="n">
        <v>782</v>
      </c>
    </row>
    <row r="1765" customFormat="false" ht="12.75" hidden="false" customHeight="true" outlineLevel="0" collapsed="false">
      <c r="A1765" s="1" t="n">
        <v>2</v>
      </c>
      <c r="B1765" s="17" t="n">
        <v>46269</v>
      </c>
      <c r="C1765" s="17" t="n">
        <v>46269</v>
      </c>
      <c r="D1765" s="1" t="n">
        <v>34</v>
      </c>
      <c r="E1765" s="1" t="s">
        <v>264</v>
      </c>
      <c r="F1765" s="1" t="n">
        <v>23</v>
      </c>
      <c r="G1765" s="1" t="s">
        <v>1549</v>
      </c>
      <c r="H1765" s="1" t="n">
        <v>2110405</v>
      </c>
      <c r="I1765" s="1" t="s">
        <v>55</v>
      </c>
      <c r="J1765" s="1" t="n">
        <v>1651589</v>
      </c>
      <c r="L1765" s="1" t="n">
        <v>226834</v>
      </c>
      <c r="M1765" s="1" t="s">
        <v>36</v>
      </c>
      <c r="N1765" s="1" t="s">
        <v>50</v>
      </c>
      <c r="P1765" s="1" t="n">
        <v>101</v>
      </c>
      <c r="Q1765" s="1" t="s">
        <v>56</v>
      </c>
      <c r="R1765" s="1" t="s">
        <v>70</v>
      </c>
      <c r="S1765" s="1" t="n">
        <v>4210231</v>
      </c>
      <c r="T1765" s="1" t="s">
        <v>746</v>
      </c>
      <c r="U1765" s="1" t="n">
        <v>1736.58</v>
      </c>
      <c r="W1765" s="1" t="n">
        <v>0</v>
      </c>
      <c r="X1765" s="1" t="s">
        <v>1550</v>
      </c>
      <c r="Z1765" s="1" t="str">
        <f aca="false">IF($T1765="","",IFERROR(INDEX('Resumo Grupos'!$AC$3:$AC$200,MATCH($T1765,'Resumo Grupos'!$AB$3:$AB$200,0)),"n/d"))</f>
        <v>Despesa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" t="n">
        <v>2</v>
      </c>
      <c r="B1766" s="17" t="n">
        <v>46269</v>
      </c>
      <c r="C1766" s="17" t="n">
        <v>46269</v>
      </c>
      <c r="D1766" s="1" t="n">
        <v>48</v>
      </c>
      <c r="E1766" s="1" t="s">
        <v>146</v>
      </c>
      <c r="F1766" s="1" t="n">
        <v>13</v>
      </c>
      <c r="G1766" s="1" t="s">
        <v>147</v>
      </c>
      <c r="H1766" s="1" t="n">
        <v>2110101</v>
      </c>
      <c r="I1766" s="1" t="s">
        <v>48</v>
      </c>
      <c r="J1766" s="1" t="n">
        <v>1652454</v>
      </c>
      <c r="L1766" s="1" t="n">
        <v>2654</v>
      </c>
      <c r="M1766" s="1" t="s">
        <v>36</v>
      </c>
      <c r="N1766" s="1" t="s">
        <v>68</v>
      </c>
      <c r="P1766" s="1" t="n">
        <v>113</v>
      </c>
      <c r="Q1766" s="1" t="s">
        <v>38</v>
      </c>
      <c r="R1766" s="1" t="s">
        <v>62</v>
      </c>
      <c r="S1766" s="1" t="n">
        <v>1130101</v>
      </c>
      <c r="T1766" s="1" t="s">
        <v>63</v>
      </c>
      <c r="U1766" s="1" t="n">
        <v>300</v>
      </c>
      <c r="W1766" s="1" t="n">
        <v>0</v>
      </c>
      <c r="X1766" s="1" t="s">
        <v>1551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2</v>
      </c>
      <c r="B1767" s="17" t="n">
        <v>46269</v>
      </c>
      <c r="C1767" s="17" t="n">
        <v>46269</v>
      </c>
      <c r="D1767" s="1" t="n">
        <v>48</v>
      </c>
      <c r="E1767" s="1" t="s">
        <v>146</v>
      </c>
      <c r="F1767" s="1" t="n">
        <v>5</v>
      </c>
      <c r="G1767" s="1" t="s">
        <v>1364</v>
      </c>
      <c r="H1767" s="1" t="n">
        <v>2110304</v>
      </c>
      <c r="I1767" s="1" t="s">
        <v>1365</v>
      </c>
      <c r="J1767" s="1" t="n">
        <v>1652619</v>
      </c>
      <c r="L1767" s="1" t="n">
        <v>2655</v>
      </c>
      <c r="M1767" s="1" t="s">
        <v>36</v>
      </c>
      <c r="N1767" s="1" t="s">
        <v>68</v>
      </c>
      <c r="P1767" s="1" t="n">
        <v>113</v>
      </c>
      <c r="Q1767" s="1" t="s">
        <v>38</v>
      </c>
      <c r="R1767" s="1" t="s">
        <v>1366</v>
      </c>
      <c r="S1767" s="1" t="n">
        <v>3110301</v>
      </c>
      <c r="T1767" s="1" t="s">
        <v>1367</v>
      </c>
      <c r="U1767" s="1" t="n">
        <v>16.28</v>
      </c>
      <c r="W1767" s="1" t="n">
        <v>16.28</v>
      </c>
      <c r="X1767" s="1" t="s">
        <v>1552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" t="n">
        <v>2</v>
      </c>
      <c r="B1768" s="17" t="n">
        <v>46269</v>
      </c>
      <c r="C1768" s="17" t="n">
        <v>46269</v>
      </c>
      <c r="D1768" s="1" t="n">
        <v>48</v>
      </c>
      <c r="E1768" s="1" t="s">
        <v>146</v>
      </c>
      <c r="F1768" s="1" t="n">
        <v>34</v>
      </c>
      <c r="G1768" s="1" t="s">
        <v>110</v>
      </c>
      <c r="H1768" s="1" t="n">
        <v>2110101</v>
      </c>
      <c r="I1768" s="1" t="s">
        <v>48</v>
      </c>
      <c r="J1768" s="1" t="n">
        <v>1652758</v>
      </c>
      <c r="L1768" s="1" t="n">
        <v>2656</v>
      </c>
      <c r="M1768" s="1" t="s">
        <v>36</v>
      </c>
      <c r="N1768" s="1" t="s">
        <v>68</v>
      </c>
      <c r="P1768" s="1" t="n">
        <v>113</v>
      </c>
      <c r="Q1768" s="1" t="s">
        <v>38</v>
      </c>
      <c r="R1768" s="1" t="s">
        <v>62</v>
      </c>
      <c r="S1768" s="1" t="n">
        <v>1130101</v>
      </c>
      <c r="T1768" s="1" t="s">
        <v>63</v>
      </c>
      <c r="U1768" s="1" t="n">
        <v>340</v>
      </c>
      <c r="W1768" s="1" t="n">
        <v>0</v>
      </c>
      <c r="X1768" s="1" t="s">
        <v>1504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" t="n">
        <v>2</v>
      </c>
      <c r="B1769" s="17" t="n">
        <v>46269</v>
      </c>
      <c r="C1769" s="17" t="n">
        <v>46269</v>
      </c>
      <c r="D1769" s="1" t="n">
        <v>48</v>
      </c>
      <c r="E1769" s="1" t="s">
        <v>146</v>
      </c>
      <c r="F1769" s="1" t="n">
        <v>34</v>
      </c>
      <c r="G1769" s="1" t="s">
        <v>110</v>
      </c>
      <c r="H1769" s="1" t="n">
        <v>2110101</v>
      </c>
      <c r="I1769" s="1" t="s">
        <v>48</v>
      </c>
      <c r="J1769" s="1" t="n">
        <v>1653148</v>
      </c>
      <c r="L1769" s="1" t="n">
        <v>2657</v>
      </c>
      <c r="M1769" s="1" t="s">
        <v>36</v>
      </c>
      <c r="N1769" s="1" t="s">
        <v>68</v>
      </c>
      <c r="P1769" s="1" t="n">
        <v>113</v>
      </c>
      <c r="Q1769" s="1" t="s">
        <v>38</v>
      </c>
      <c r="R1769" s="1" t="s">
        <v>62</v>
      </c>
      <c r="S1769" s="1" t="n">
        <v>1130101</v>
      </c>
      <c r="T1769" s="1" t="s">
        <v>63</v>
      </c>
      <c r="U1769" s="1" t="n">
        <v>1972</v>
      </c>
      <c r="W1769" s="1" t="n">
        <v>0</v>
      </c>
      <c r="X1769" s="1" t="s">
        <v>1553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2</v>
      </c>
      <c r="B1770" s="17" t="n">
        <v>46269</v>
      </c>
      <c r="C1770" s="17" t="n">
        <v>46269</v>
      </c>
      <c r="D1770" s="1" t="n">
        <v>1037</v>
      </c>
      <c r="E1770" s="1" t="s">
        <v>153</v>
      </c>
      <c r="F1770" s="1" t="n">
        <v>34</v>
      </c>
      <c r="G1770" s="1" t="s">
        <v>110</v>
      </c>
      <c r="H1770" s="1" t="n">
        <v>2110405</v>
      </c>
      <c r="I1770" s="1" t="s">
        <v>55</v>
      </c>
      <c r="J1770" s="1" t="n">
        <v>1653157</v>
      </c>
      <c r="L1770" s="1" t="n">
        <v>227121</v>
      </c>
      <c r="M1770" s="1" t="s">
        <v>36</v>
      </c>
      <c r="N1770" s="1" t="s">
        <v>50</v>
      </c>
      <c r="P1770" s="1" t="n">
        <v>113</v>
      </c>
      <c r="Q1770" s="1" t="s">
        <v>38</v>
      </c>
      <c r="R1770" s="1" t="s">
        <v>62</v>
      </c>
      <c r="S1770" s="1" t="n">
        <v>1130101</v>
      </c>
      <c r="T1770" s="1" t="s">
        <v>63</v>
      </c>
      <c r="U1770" s="1" t="n">
        <v>200</v>
      </c>
      <c r="W1770" s="1" t="n">
        <v>0</v>
      </c>
      <c r="X1770" s="1" t="s">
        <v>1554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ABACATE KG</v>
      </c>
      <c r="AC1770" s="1" t="n">
        <v>2657</v>
      </c>
    </row>
    <row r="1771" customFormat="false" ht="12.75" hidden="false" customHeight="true" outlineLevel="0" collapsed="false">
      <c r="A1771" s="1" t="n">
        <v>2</v>
      </c>
      <c r="B1771" s="17" t="n">
        <v>46209</v>
      </c>
      <c r="C1771" s="17" t="n">
        <v>46270</v>
      </c>
      <c r="D1771" s="1" t="n">
        <v>1768</v>
      </c>
      <c r="E1771" s="1" t="s">
        <v>386</v>
      </c>
      <c r="F1771" s="1" t="n">
        <v>34</v>
      </c>
      <c r="G1771" s="1" t="s">
        <v>110</v>
      </c>
      <c r="H1771" s="1" t="n">
        <v>2110405</v>
      </c>
      <c r="I1771" s="1" t="s">
        <v>55</v>
      </c>
      <c r="J1771" s="1" t="n">
        <v>628286</v>
      </c>
      <c r="L1771" s="1" t="n">
        <v>81552</v>
      </c>
      <c r="M1771" s="1" t="s">
        <v>49</v>
      </c>
      <c r="N1771" s="1" t="s">
        <v>50</v>
      </c>
      <c r="P1771" s="1" t="n">
        <v>102</v>
      </c>
      <c r="Q1771" s="1" t="s">
        <v>315</v>
      </c>
      <c r="R1771" s="1" t="s">
        <v>70</v>
      </c>
      <c r="S1771" s="1" t="n">
        <v>4210202</v>
      </c>
      <c r="T1771" s="1" t="s">
        <v>387</v>
      </c>
      <c r="U1771" s="1" t="n">
        <v>2431.5</v>
      </c>
      <c r="W1771" s="1" t="n">
        <v>0</v>
      </c>
      <c r="X1771" s="1" t="s">
        <v>388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" t="n">
        <v>2</v>
      </c>
      <c r="B1772" s="17" t="n">
        <v>46244</v>
      </c>
      <c r="C1772" s="17" t="n">
        <v>46270</v>
      </c>
      <c r="D1772" s="1" t="n">
        <v>33</v>
      </c>
      <c r="E1772" s="1" t="s">
        <v>305</v>
      </c>
      <c r="F1772" s="1" t="n">
        <v>34</v>
      </c>
      <c r="G1772" s="1" t="s">
        <v>110</v>
      </c>
      <c r="H1772" s="1" t="n">
        <v>2110405</v>
      </c>
      <c r="I1772" s="1" t="s">
        <v>55</v>
      </c>
      <c r="J1772" s="1" t="n">
        <v>1530158</v>
      </c>
      <c r="L1772" s="1" t="n">
        <v>208205</v>
      </c>
      <c r="M1772" s="1" t="s">
        <v>36</v>
      </c>
      <c r="N1772" s="1" t="s">
        <v>50</v>
      </c>
      <c r="P1772" s="1" t="n">
        <v>101</v>
      </c>
      <c r="Q1772" s="1" t="s">
        <v>56</v>
      </c>
      <c r="R1772" s="1" t="s">
        <v>39</v>
      </c>
      <c r="S1772" s="1" t="n">
        <v>4210301</v>
      </c>
      <c r="T1772" s="1" t="s">
        <v>253</v>
      </c>
      <c r="U1772" s="1" t="n">
        <v>250.1</v>
      </c>
      <c r="W1772" s="1" t="n">
        <v>0</v>
      </c>
      <c r="X1772" s="1" t="s">
        <v>1555</v>
      </c>
      <c r="Z1772" s="1" t="str">
        <f aca="false">IF($T1772="","",IFERROR(INDEX('Resumo Grupos'!$AC$3:$AC$200,MATCH($T1772,'Resumo Grupos'!$AB$3:$AB$200,0)),"n/d"))</f>
        <v>Salários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" t="n">
        <v>2</v>
      </c>
      <c r="B1773" s="17" t="n">
        <v>46248</v>
      </c>
      <c r="C1773" s="17" t="n">
        <v>46270</v>
      </c>
      <c r="D1773" s="1" t="n">
        <v>1718</v>
      </c>
      <c r="E1773" s="1" t="s">
        <v>222</v>
      </c>
      <c r="F1773" s="1" t="n">
        <v>24</v>
      </c>
      <c r="G1773" s="1" t="s">
        <v>91</v>
      </c>
      <c r="H1773" s="1" t="n">
        <v>2110405</v>
      </c>
      <c r="I1773" s="1" t="s">
        <v>55</v>
      </c>
      <c r="J1773" s="1" t="n">
        <v>1547755</v>
      </c>
      <c r="L1773" s="1" t="n">
        <v>211394</v>
      </c>
      <c r="M1773" s="1" t="s">
        <v>36</v>
      </c>
      <c r="N1773" s="1" t="s">
        <v>50</v>
      </c>
      <c r="P1773" s="1" t="n">
        <v>113</v>
      </c>
      <c r="Q1773" s="1" t="s">
        <v>38</v>
      </c>
      <c r="R1773" s="1" t="s">
        <v>62</v>
      </c>
      <c r="S1773" s="1" t="n">
        <v>1130101</v>
      </c>
      <c r="T1773" s="1" t="s">
        <v>63</v>
      </c>
      <c r="U1773" s="1" t="n">
        <v>706.56</v>
      </c>
      <c r="W1773" s="1" t="n">
        <v>0</v>
      </c>
      <c r="X1773" s="1" t="s">
        <v>1451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PILAO 250G</v>
      </c>
      <c r="AC1773" s="1" t="n">
        <v>689222</v>
      </c>
    </row>
    <row r="1774" customFormat="false" ht="12.75" hidden="false" customHeight="true" outlineLevel="0" collapsed="false">
      <c r="A1774" s="1" t="n">
        <v>2</v>
      </c>
      <c r="B1774" s="17" t="n">
        <v>46249</v>
      </c>
      <c r="C1774" s="17" t="n">
        <v>46270</v>
      </c>
      <c r="D1774" s="1" t="n">
        <v>1718</v>
      </c>
      <c r="E1774" s="1" t="s">
        <v>222</v>
      </c>
      <c r="F1774" s="1" t="n">
        <v>24</v>
      </c>
      <c r="G1774" s="1" t="s">
        <v>91</v>
      </c>
      <c r="H1774" s="1" t="n">
        <v>2110405</v>
      </c>
      <c r="I1774" s="1" t="s">
        <v>55</v>
      </c>
      <c r="J1774" s="1" t="n">
        <v>1551498</v>
      </c>
      <c r="L1774" s="1" t="n">
        <v>211718</v>
      </c>
      <c r="M1774" s="1" t="s">
        <v>36</v>
      </c>
      <c r="N1774" s="1" t="s">
        <v>50</v>
      </c>
      <c r="P1774" s="1" t="n">
        <v>113</v>
      </c>
      <c r="Q1774" s="1" t="s">
        <v>38</v>
      </c>
      <c r="R1774" s="1" t="s">
        <v>62</v>
      </c>
      <c r="S1774" s="1" t="n">
        <v>1130101</v>
      </c>
      <c r="T1774" s="1" t="s">
        <v>63</v>
      </c>
      <c r="U1774" s="1" t="n">
        <v>1422.67</v>
      </c>
      <c r="W1774" s="1" t="n">
        <v>0</v>
      </c>
      <c r="X1774" s="1" t="s">
        <v>1452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TRIDENT CANELA</v>
      </c>
      <c r="AC1774" s="1" t="n">
        <v>689224</v>
      </c>
    </row>
    <row r="1775" customFormat="false" ht="12.75" hidden="false" customHeight="true" outlineLevel="0" collapsed="false">
      <c r="A1775" s="1" t="n">
        <v>2</v>
      </c>
      <c r="B1775" s="17" t="n">
        <v>46262</v>
      </c>
      <c r="C1775" s="17" t="n">
        <v>46270</v>
      </c>
      <c r="D1775" s="1" t="n">
        <v>1778</v>
      </c>
      <c r="E1775" s="1" t="s">
        <v>208</v>
      </c>
      <c r="F1775" s="1" t="n">
        <v>24</v>
      </c>
      <c r="G1775" s="1" t="s">
        <v>91</v>
      </c>
      <c r="H1775" s="1" t="n">
        <v>2110405</v>
      </c>
      <c r="I1775" s="1" t="s">
        <v>55</v>
      </c>
      <c r="J1775" s="1" t="n">
        <v>1614618</v>
      </c>
      <c r="L1775" s="1" t="n">
        <v>221466</v>
      </c>
      <c r="M1775" s="1" t="s">
        <v>36</v>
      </c>
      <c r="N1775" s="1" t="s">
        <v>50</v>
      </c>
      <c r="P1775" s="1" t="n">
        <v>113</v>
      </c>
      <c r="Q1775" s="1" t="s">
        <v>38</v>
      </c>
      <c r="R1775" s="1" t="s">
        <v>70</v>
      </c>
      <c r="S1775" s="1" t="n">
        <v>4210207</v>
      </c>
      <c r="T1775" s="1" t="s">
        <v>209</v>
      </c>
      <c r="U1775" s="1" t="n">
        <v>620.88</v>
      </c>
      <c r="W1775" s="1" t="n">
        <v>0</v>
      </c>
      <c r="X1775" s="1" t="s">
        <v>210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2</v>
      </c>
      <c r="B1776" s="17" t="n">
        <v>46265</v>
      </c>
      <c r="C1776" s="17" t="n">
        <v>46270</v>
      </c>
      <c r="D1776" s="1" t="n">
        <v>1363</v>
      </c>
      <c r="E1776" s="1" t="s">
        <v>187</v>
      </c>
      <c r="F1776" s="1" t="n">
        <v>24</v>
      </c>
      <c r="G1776" s="1" t="s">
        <v>91</v>
      </c>
      <c r="H1776" s="1" t="n">
        <v>2110405</v>
      </c>
      <c r="I1776" s="1" t="s">
        <v>55</v>
      </c>
      <c r="J1776" s="1" t="n">
        <v>1628789</v>
      </c>
      <c r="L1776" s="1" t="n">
        <v>223357</v>
      </c>
      <c r="M1776" s="1" t="s">
        <v>36</v>
      </c>
      <c r="N1776" s="1" t="s">
        <v>50</v>
      </c>
      <c r="P1776" s="1" t="n">
        <v>113</v>
      </c>
      <c r="Q1776" s="1" t="s">
        <v>38</v>
      </c>
      <c r="R1776" s="1" t="s">
        <v>62</v>
      </c>
      <c r="S1776" s="1" t="n">
        <v>1130101</v>
      </c>
      <c r="T1776" s="1" t="s">
        <v>63</v>
      </c>
      <c r="U1776" s="1" t="n">
        <v>125</v>
      </c>
      <c r="W1776" s="1" t="n">
        <v>0</v>
      </c>
      <c r="X1776" s="1" t="s">
        <v>1556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PAO HAMBURGUER SANTO PAO</v>
      </c>
      <c r="AC1776" s="1" t="n">
        <v>3829</v>
      </c>
    </row>
    <row r="1777" customFormat="false" ht="12.75" hidden="false" customHeight="true" outlineLevel="0" collapsed="false">
      <c r="A1777" s="1" t="n">
        <v>2</v>
      </c>
      <c r="B1777" s="17" t="n">
        <v>46265</v>
      </c>
      <c r="C1777" s="17" t="n">
        <v>46270</v>
      </c>
      <c r="D1777" s="1" t="n">
        <v>1625</v>
      </c>
      <c r="E1777" s="1" t="s">
        <v>272</v>
      </c>
      <c r="F1777" s="1" t="n">
        <v>24</v>
      </c>
      <c r="G1777" s="1" t="s">
        <v>91</v>
      </c>
      <c r="H1777" s="1" t="n">
        <v>2110405</v>
      </c>
      <c r="I1777" s="1" t="s">
        <v>55</v>
      </c>
      <c r="J1777" s="1" t="n">
        <v>1629113</v>
      </c>
      <c r="L1777" s="1" t="n">
        <v>223429</v>
      </c>
      <c r="M1777" s="1" t="s">
        <v>36</v>
      </c>
      <c r="N1777" s="1" t="s">
        <v>50</v>
      </c>
      <c r="P1777" s="1" t="n">
        <v>113</v>
      </c>
      <c r="Q1777" s="1" t="s">
        <v>38</v>
      </c>
      <c r="R1777" s="1" t="s">
        <v>62</v>
      </c>
      <c r="S1777" s="1" t="n">
        <v>1130101</v>
      </c>
      <c r="T1777" s="1" t="s">
        <v>63</v>
      </c>
      <c r="U1777" s="1" t="n">
        <v>1557.6</v>
      </c>
      <c r="W1777" s="1" t="n">
        <v>0</v>
      </c>
      <c r="X1777" s="1" t="s">
        <v>1557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DIANTEIRO DE BOI L</v>
      </c>
      <c r="AC1777" s="1" t="n">
        <v>15213</v>
      </c>
    </row>
    <row r="1778" customFormat="false" ht="12.75" hidden="false" customHeight="true" outlineLevel="0" collapsed="false">
      <c r="A1778" s="1" t="n">
        <v>2</v>
      </c>
      <c r="B1778" s="17" t="n">
        <v>46232</v>
      </c>
      <c r="C1778" s="17" t="n">
        <v>46272</v>
      </c>
      <c r="D1778" s="1" t="n">
        <v>1932</v>
      </c>
      <c r="E1778" s="1" t="s">
        <v>282</v>
      </c>
      <c r="F1778" s="1" t="n">
        <v>34</v>
      </c>
      <c r="G1778" s="1" t="s">
        <v>110</v>
      </c>
      <c r="H1778" s="1" t="n">
        <v>2110405</v>
      </c>
      <c r="I1778" s="1" t="s">
        <v>55</v>
      </c>
      <c r="J1778" s="1" t="n">
        <v>1469462</v>
      </c>
      <c r="L1778" s="1" t="n">
        <v>199057</v>
      </c>
      <c r="M1778" s="1" t="s">
        <v>88</v>
      </c>
      <c r="N1778" s="1" t="s">
        <v>50</v>
      </c>
      <c r="P1778" s="1" t="n">
        <v>101</v>
      </c>
      <c r="Q1778" s="1" t="s">
        <v>56</v>
      </c>
      <c r="R1778" s="1" t="s">
        <v>39</v>
      </c>
      <c r="S1778" s="1" t="n">
        <v>4210315</v>
      </c>
      <c r="T1778" s="1" t="s">
        <v>283</v>
      </c>
      <c r="U1778" s="1" t="n">
        <v>119.97</v>
      </c>
      <c r="W1778" s="1" t="n">
        <v>0</v>
      </c>
      <c r="X1778" s="1" t="s">
        <v>1203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" t="n">
        <v>2</v>
      </c>
      <c r="B1779" s="17" t="n">
        <v>46246</v>
      </c>
      <c r="C1779" s="17" t="n">
        <v>46272</v>
      </c>
      <c r="D1779" s="1" t="n">
        <v>1668</v>
      </c>
      <c r="E1779" s="1" t="s">
        <v>135</v>
      </c>
      <c r="F1779" s="1" t="n">
        <v>24</v>
      </c>
      <c r="G1779" s="1" t="s">
        <v>91</v>
      </c>
      <c r="H1779" s="1" t="n">
        <v>2110405</v>
      </c>
      <c r="I1779" s="1" t="s">
        <v>55</v>
      </c>
      <c r="J1779" s="1" t="n">
        <v>1534508</v>
      </c>
      <c r="L1779" s="1" t="n">
        <v>209393</v>
      </c>
      <c r="M1779" s="1" t="s">
        <v>36</v>
      </c>
      <c r="N1779" s="1" t="s">
        <v>50</v>
      </c>
      <c r="P1779" s="1" t="n">
        <v>113</v>
      </c>
      <c r="Q1779" s="1" t="s">
        <v>38</v>
      </c>
      <c r="R1779" s="1" t="s">
        <v>62</v>
      </c>
      <c r="S1779" s="1" t="n">
        <v>1130101</v>
      </c>
      <c r="T1779" s="1" t="s">
        <v>63</v>
      </c>
      <c r="U1779" s="1" t="n">
        <v>509.85</v>
      </c>
      <c r="W1779" s="1" t="n">
        <v>0</v>
      </c>
      <c r="X1779" s="1" t="s">
        <v>1558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MARMITEX ISOP COPOBRAS C/10UND</v>
      </c>
      <c r="AC1779" s="1" t="n">
        <v>747704</v>
      </c>
    </row>
    <row r="1780" customFormat="false" ht="12.75" hidden="false" customHeight="true" outlineLevel="0" collapsed="false">
      <c r="A1780" s="1" t="n">
        <v>2</v>
      </c>
      <c r="B1780" s="17" t="n">
        <v>46247</v>
      </c>
      <c r="C1780" s="17" t="n">
        <v>46272</v>
      </c>
      <c r="D1780" s="1" t="n">
        <v>1671</v>
      </c>
      <c r="E1780" s="1" t="s">
        <v>101</v>
      </c>
      <c r="F1780" s="1" t="n">
        <v>24</v>
      </c>
      <c r="G1780" s="1" t="s">
        <v>91</v>
      </c>
      <c r="H1780" s="1" t="n">
        <v>2110405</v>
      </c>
      <c r="I1780" s="1" t="s">
        <v>55</v>
      </c>
      <c r="J1780" s="1" t="n">
        <v>1543021</v>
      </c>
      <c r="L1780" s="1" t="n">
        <v>210470</v>
      </c>
      <c r="M1780" s="1" t="s">
        <v>36</v>
      </c>
      <c r="N1780" s="1" t="s">
        <v>50</v>
      </c>
      <c r="P1780" s="1" t="n">
        <v>113</v>
      </c>
      <c r="Q1780" s="1" t="s">
        <v>38</v>
      </c>
      <c r="R1780" s="1" t="s">
        <v>62</v>
      </c>
      <c r="S1780" s="1" t="n">
        <v>1130101</v>
      </c>
      <c r="T1780" s="1" t="s">
        <v>63</v>
      </c>
      <c r="U1780" s="1" t="n">
        <v>271.2</v>
      </c>
      <c r="W1780" s="1" t="n">
        <v>0</v>
      </c>
      <c r="X1780" s="1" t="s">
        <v>1559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MASSA P LASANHA ESTR</v>
      </c>
      <c r="AC1780" s="1" t="n">
        <v>586317</v>
      </c>
    </row>
    <row r="1781" customFormat="false" ht="12.75" hidden="false" customHeight="true" outlineLevel="0" collapsed="false">
      <c r="A1781" s="1" t="n">
        <v>2</v>
      </c>
      <c r="B1781" s="17" t="n">
        <v>46251</v>
      </c>
      <c r="C1781" s="17" t="n">
        <v>46272</v>
      </c>
      <c r="D1781" s="1" t="n">
        <v>1921</v>
      </c>
      <c r="E1781" s="1" t="s">
        <v>182</v>
      </c>
      <c r="F1781" s="1" t="n">
        <v>24</v>
      </c>
      <c r="G1781" s="1" t="s">
        <v>91</v>
      </c>
      <c r="H1781" s="1" t="n">
        <v>2110405</v>
      </c>
      <c r="I1781" s="1" t="s">
        <v>55</v>
      </c>
      <c r="J1781" s="1" t="n">
        <v>1562668</v>
      </c>
      <c r="L1781" s="1" t="n">
        <v>213270</v>
      </c>
      <c r="M1781" s="1" t="s">
        <v>36</v>
      </c>
      <c r="N1781" s="1" t="s">
        <v>50</v>
      </c>
      <c r="P1781" s="1" t="n">
        <v>113</v>
      </c>
      <c r="Q1781" s="1" t="s">
        <v>38</v>
      </c>
      <c r="R1781" s="1" t="s">
        <v>62</v>
      </c>
      <c r="S1781" s="1" t="n">
        <v>1130101</v>
      </c>
      <c r="T1781" s="1" t="s">
        <v>63</v>
      </c>
      <c r="U1781" s="1" t="n">
        <v>691.91</v>
      </c>
      <c r="W1781" s="1" t="n">
        <v>0</v>
      </c>
      <c r="X1781" s="1" t="s">
        <v>1560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MILHO PIPOCA 200G</v>
      </c>
      <c r="AC1781" s="1" t="n">
        <v>21279</v>
      </c>
    </row>
    <row r="1782" customFormat="false" ht="12.75" hidden="false" customHeight="true" outlineLevel="0" collapsed="false">
      <c r="A1782" s="1" t="n">
        <v>2</v>
      </c>
      <c r="B1782" s="17" t="n">
        <v>46251</v>
      </c>
      <c r="C1782" s="17" t="n">
        <v>46272</v>
      </c>
      <c r="D1782" s="1" t="n">
        <v>1636</v>
      </c>
      <c r="E1782" s="1" t="s">
        <v>98</v>
      </c>
      <c r="F1782" s="1" t="n">
        <v>24</v>
      </c>
      <c r="G1782" s="1" t="s">
        <v>91</v>
      </c>
      <c r="H1782" s="1" t="n">
        <v>2110405</v>
      </c>
      <c r="I1782" s="1" t="s">
        <v>55</v>
      </c>
      <c r="J1782" s="1" t="n">
        <v>1562691</v>
      </c>
      <c r="L1782" s="1" t="n">
        <v>213277</v>
      </c>
      <c r="M1782" s="1" t="s">
        <v>36</v>
      </c>
      <c r="N1782" s="1" t="s">
        <v>50</v>
      </c>
      <c r="P1782" s="1" t="n">
        <v>113</v>
      </c>
      <c r="Q1782" s="1" t="s">
        <v>38</v>
      </c>
      <c r="R1782" s="1" t="s">
        <v>62</v>
      </c>
      <c r="S1782" s="1" t="n">
        <v>1130101</v>
      </c>
      <c r="T1782" s="1" t="s">
        <v>63</v>
      </c>
      <c r="U1782" s="1" t="n">
        <v>1352.12</v>
      </c>
      <c r="W1782" s="1" t="n">
        <v>0</v>
      </c>
      <c r="X1782" s="1" t="s">
        <v>1561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PAPEL HIG SUBLIME NATURAL 4R</v>
      </c>
      <c r="AC1782" s="1" t="n">
        <v>3237634</v>
      </c>
    </row>
    <row r="1783" customFormat="false" ht="12.75" hidden="false" customHeight="true" outlineLevel="0" collapsed="false">
      <c r="A1783" s="1" t="n">
        <v>2</v>
      </c>
      <c r="B1783" s="17" t="n">
        <v>46253</v>
      </c>
      <c r="C1783" s="17" t="n">
        <v>46272</v>
      </c>
      <c r="D1783" s="1" t="n">
        <v>1616</v>
      </c>
      <c r="E1783" s="1" t="s">
        <v>94</v>
      </c>
      <c r="F1783" s="1" t="n">
        <v>24</v>
      </c>
      <c r="G1783" s="1" t="s">
        <v>91</v>
      </c>
      <c r="H1783" s="1" t="n">
        <v>2110405</v>
      </c>
      <c r="I1783" s="1" t="s">
        <v>55</v>
      </c>
      <c r="J1783" s="1" t="n">
        <v>1570979</v>
      </c>
      <c r="L1783" s="1" t="n">
        <v>214492</v>
      </c>
      <c r="M1783" s="1" t="s">
        <v>36</v>
      </c>
      <c r="N1783" s="1" t="s">
        <v>50</v>
      </c>
      <c r="P1783" s="1" t="n">
        <v>113</v>
      </c>
      <c r="Q1783" s="1" t="s">
        <v>38</v>
      </c>
      <c r="R1783" s="1" t="s">
        <v>62</v>
      </c>
      <c r="S1783" s="1" t="n">
        <v>1130101</v>
      </c>
      <c r="T1783" s="1" t="s">
        <v>63</v>
      </c>
      <c r="U1783" s="1" t="n">
        <v>606.56</v>
      </c>
      <c r="W1783" s="1" t="n">
        <v>0</v>
      </c>
      <c r="X1783" s="1" t="s">
        <v>1465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DETER LIMPOL MACA 500ML</v>
      </c>
      <c r="AC1783" s="1" t="n">
        <v>654907</v>
      </c>
    </row>
    <row r="1784" customFormat="false" ht="12.75" hidden="false" customHeight="true" outlineLevel="0" collapsed="false">
      <c r="A1784" s="1" t="n">
        <v>2</v>
      </c>
      <c r="B1784" s="17" t="n">
        <v>46253</v>
      </c>
      <c r="C1784" s="17" t="n">
        <v>46272</v>
      </c>
      <c r="D1784" s="1" t="n">
        <v>616</v>
      </c>
      <c r="E1784" s="1" t="s">
        <v>939</v>
      </c>
      <c r="F1784" s="1" t="n">
        <v>24</v>
      </c>
      <c r="G1784" s="1" t="s">
        <v>91</v>
      </c>
      <c r="H1784" s="1" t="n">
        <v>2110405</v>
      </c>
      <c r="I1784" s="1" t="s">
        <v>55</v>
      </c>
      <c r="J1784" s="1" t="n">
        <v>1572199</v>
      </c>
      <c r="L1784" s="1" t="n">
        <v>214772</v>
      </c>
      <c r="M1784" s="1" t="s">
        <v>36</v>
      </c>
      <c r="N1784" s="1" t="s">
        <v>50</v>
      </c>
      <c r="P1784" s="1" t="n">
        <v>113</v>
      </c>
      <c r="Q1784" s="1" t="s">
        <v>38</v>
      </c>
      <c r="R1784" s="1" t="s">
        <v>62</v>
      </c>
      <c r="S1784" s="1" t="n">
        <v>1130101</v>
      </c>
      <c r="T1784" s="1" t="s">
        <v>63</v>
      </c>
      <c r="U1784" s="1" t="n">
        <v>983.76</v>
      </c>
      <c r="W1784" s="1" t="n">
        <v>0</v>
      </c>
      <c r="X1784" s="1" t="s">
        <v>1562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" t="n">
        <v>2</v>
      </c>
      <c r="B1785" s="17" t="n">
        <v>46254</v>
      </c>
      <c r="C1785" s="17" t="n">
        <v>46272</v>
      </c>
      <c r="D1785" s="1" t="n">
        <v>10012</v>
      </c>
      <c r="E1785" s="1" t="s">
        <v>176</v>
      </c>
      <c r="F1785" s="1" t="n">
        <v>24</v>
      </c>
      <c r="G1785" s="1" t="s">
        <v>91</v>
      </c>
      <c r="H1785" s="1" t="n">
        <v>2110405</v>
      </c>
      <c r="I1785" s="1" t="s">
        <v>55</v>
      </c>
      <c r="J1785" s="1" t="n">
        <v>1577216</v>
      </c>
      <c r="L1785" s="1" t="n">
        <v>215616</v>
      </c>
      <c r="M1785" s="1" t="s">
        <v>36</v>
      </c>
      <c r="N1785" s="1" t="s">
        <v>50</v>
      </c>
      <c r="P1785" s="1" t="n">
        <v>113</v>
      </c>
      <c r="Q1785" s="1" t="s">
        <v>38</v>
      </c>
      <c r="R1785" s="1" t="s">
        <v>62</v>
      </c>
      <c r="S1785" s="1" t="n">
        <v>1130101</v>
      </c>
      <c r="T1785" s="1" t="s">
        <v>63</v>
      </c>
      <c r="U1785" s="1" t="n">
        <v>521.58</v>
      </c>
      <c r="W1785" s="1" t="n">
        <v>0</v>
      </c>
      <c r="X1785" s="1" t="s">
        <v>1563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SAB PHEBO ODOR90G</v>
      </c>
      <c r="AC1785" s="1" t="n">
        <v>1966312</v>
      </c>
    </row>
    <row r="1786" customFormat="false" ht="12.75" hidden="false" customHeight="true" outlineLevel="0" collapsed="false">
      <c r="A1786" s="1" t="n">
        <v>2</v>
      </c>
      <c r="B1786" s="17" t="n">
        <v>46268</v>
      </c>
      <c r="C1786" s="17" t="n">
        <v>46272</v>
      </c>
      <c r="D1786" s="1" t="n">
        <v>1899</v>
      </c>
      <c r="E1786" s="1" t="s">
        <v>211</v>
      </c>
      <c r="F1786" s="1" t="n">
        <v>24</v>
      </c>
      <c r="G1786" s="1" t="s">
        <v>91</v>
      </c>
      <c r="H1786" s="1" t="n">
        <v>2110405</v>
      </c>
      <c r="I1786" s="1" t="s">
        <v>55</v>
      </c>
      <c r="J1786" s="1" t="n">
        <v>1647882</v>
      </c>
      <c r="L1786" s="1" t="n">
        <v>226324</v>
      </c>
      <c r="M1786" s="1" t="s">
        <v>36</v>
      </c>
      <c r="N1786" s="1" t="s">
        <v>50</v>
      </c>
      <c r="P1786" s="1" t="n">
        <v>113</v>
      </c>
      <c r="Q1786" s="1" t="s">
        <v>38</v>
      </c>
      <c r="R1786" s="1" t="s">
        <v>62</v>
      </c>
      <c r="S1786" s="1" t="n">
        <v>1130101</v>
      </c>
      <c r="T1786" s="1" t="s">
        <v>63</v>
      </c>
      <c r="U1786" s="1" t="n">
        <v>204.77</v>
      </c>
      <c r="W1786" s="1" t="n">
        <v>0</v>
      </c>
      <c r="X1786" s="1" t="s">
        <v>1564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PAO DE FORMA REAL MA</v>
      </c>
      <c r="AC1786" s="1" t="n">
        <v>790</v>
      </c>
    </row>
    <row r="1787" customFormat="false" ht="12.75" hidden="false" customHeight="true" outlineLevel="0" collapsed="false">
      <c r="A1787" s="1" t="n">
        <v>2</v>
      </c>
      <c r="B1787" s="17" t="n">
        <v>46239</v>
      </c>
      <c r="C1787" s="17" t="n">
        <v>46273</v>
      </c>
      <c r="D1787" s="1" t="n">
        <v>1637</v>
      </c>
      <c r="E1787" s="1" t="s">
        <v>870</v>
      </c>
      <c r="F1787" s="1" t="n">
        <v>24</v>
      </c>
      <c r="G1787" s="1" t="s">
        <v>91</v>
      </c>
      <c r="H1787" s="1" t="n">
        <v>2110405</v>
      </c>
      <c r="I1787" s="1" t="s">
        <v>55</v>
      </c>
      <c r="J1787" s="1" t="n">
        <v>1503931</v>
      </c>
      <c r="L1787" s="1" t="n">
        <v>204198</v>
      </c>
      <c r="M1787" s="1" t="s">
        <v>36</v>
      </c>
      <c r="N1787" s="1" t="s">
        <v>50</v>
      </c>
      <c r="P1787" s="1" t="n">
        <v>113</v>
      </c>
      <c r="Q1787" s="1" t="s">
        <v>38</v>
      </c>
      <c r="R1787" s="1" t="s">
        <v>62</v>
      </c>
      <c r="S1787" s="1" t="n">
        <v>1130101</v>
      </c>
      <c r="T1787" s="1" t="s">
        <v>63</v>
      </c>
      <c r="U1787" s="1" t="n">
        <v>1184.7</v>
      </c>
      <c r="W1787" s="1" t="n">
        <v>0</v>
      </c>
      <c r="X1787" s="1" t="s">
        <v>1565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CERVEJA ITAIPAVA 269ML</v>
      </c>
      <c r="AC1787" s="1" t="n">
        <v>1915876</v>
      </c>
    </row>
    <row r="1788" customFormat="false" ht="12.75" hidden="false" customHeight="true" outlineLevel="0" collapsed="false">
      <c r="A1788" s="1" t="n">
        <v>2</v>
      </c>
      <c r="B1788" s="17" t="n">
        <v>46251</v>
      </c>
      <c r="C1788" s="17" t="n">
        <v>46273</v>
      </c>
      <c r="D1788" s="1" t="n">
        <v>10017</v>
      </c>
      <c r="E1788" s="1" t="s">
        <v>184</v>
      </c>
      <c r="F1788" s="1" t="n">
        <v>24</v>
      </c>
      <c r="G1788" s="1" t="s">
        <v>91</v>
      </c>
      <c r="H1788" s="1" t="n">
        <v>2110405</v>
      </c>
      <c r="I1788" s="1" t="s">
        <v>55</v>
      </c>
      <c r="J1788" s="1" t="n">
        <v>1561245</v>
      </c>
      <c r="L1788" s="1" t="n">
        <v>212996</v>
      </c>
      <c r="M1788" s="1" t="s">
        <v>36</v>
      </c>
      <c r="N1788" s="1" t="s">
        <v>50</v>
      </c>
      <c r="P1788" s="1" t="n">
        <v>113</v>
      </c>
      <c r="Q1788" s="1" t="s">
        <v>38</v>
      </c>
      <c r="R1788" s="1" t="s">
        <v>62</v>
      </c>
      <c r="S1788" s="1" t="n">
        <v>1130101</v>
      </c>
      <c r="T1788" s="1" t="s">
        <v>63</v>
      </c>
      <c r="U1788" s="1" t="n">
        <v>599.85</v>
      </c>
      <c r="W1788" s="1" t="n">
        <v>0</v>
      </c>
      <c r="X1788" s="1" t="s">
        <v>1488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PAPEL HIGIENICO ALLE</v>
      </c>
      <c r="AC1788" s="1" t="n">
        <v>195597</v>
      </c>
    </row>
    <row r="1789" customFormat="false" ht="12.75" hidden="false" customHeight="true" outlineLevel="0" collapsed="false">
      <c r="A1789" s="1" t="n">
        <v>2</v>
      </c>
      <c r="B1789" s="17" t="n">
        <v>46252</v>
      </c>
      <c r="C1789" s="17" t="n">
        <v>46273</v>
      </c>
      <c r="D1789" s="1" t="n">
        <v>1697</v>
      </c>
      <c r="E1789" s="1" t="s">
        <v>775</v>
      </c>
      <c r="F1789" s="1" t="n">
        <v>24</v>
      </c>
      <c r="G1789" s="1" t="s">
        <v>91</v>
      </c>
      <c r="H1789" s="1" t="n">
        <v>2110405</v>
      </c>
      <c r="I1789" s="1" t="s">
        <v>55</v>
      </c>
      <c r="J1789" s="1" t="n">
        <v>1566729</v>
      </c>
      <c r="L1789" s="1" t="n">
        <v>213867</v>
      </c>
      <c r="M1789" s="1" t="s">
        <v>36</v>
      </c>
      <c r="N1789" s="1" t="s">
        <v>50</v>
      </c>
      <c r="P1789" s="1" t="n">
        <v>113</v>
      </c>
      <c r="Q1789" s="1" t="s">
        <v>38</v>
      </c>
      <c r="R1789" s="1" t="s">
        <v>62</v>
      </c>
      <c r="S1789" s="1" t="n">
        <v>1130101</v>
      </c>
      <c r="T1789" s="1" t="s">
        <v>63</v>
      </c>
      <c r="U1789" s="1" t="n">
        <v>584.64</v>
      </c>
      <c r="W1789" s="1" t="n">
        <v>0</v>
      </c>
      <c r="X1789" s="1" t="s">
        <v>1489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LEITE ITALAC DESN 1L</v>
      </c>
      <c r="AC1789" s="1" t="n">
        <v>211355</v>
      </c>
    </row>
    <row r="1790" customFormat="false" ht="12.75" hidden="false" customHeight="true" outlineLevel="0" collapsed="false">
      <c r="A1790" s="1" t="n">
        <v>2</v>
      </c>
      <c r="B1790" s="17" t="n">
        <v>46252</v>
      </c>
      <c r="C1790" s="17" t="n">
        <v>46273</v>
      </c>
      <c r="D1790" s="1" t="n">
        <v>1711</v>
      </c>
      <c r="E1790" s="1" t="s">
        <v>1491</v>
      </c>
      <c r="F1790" s="1" t="n">
        <v>24</v>
      </c>
      <c r="G1790" s="1" t="s">
        <v>91</v>
      </c>
      <c r="H1790" s="1" t="n">
        <v>2110405</v>
      </c>
      <c r="I1790" s="1" t="s">
        <v>55</v>
      </c>
      <c r="J1790" s="1" t="n">
        <v>1568092</v>
      </c>
      <c r="L1790" s="1" t="n">
        <v>214110</v>
      </c>
      <c r="M1790" s="1" t="s">
        <v>36</v>
      </c>
      <c r="N1790" s="1" t="s">
        <v>50</v>
      </c>
      <c r="P1790" s="1" t="n">
        <v>113</v>
      </c>
      <c r="Q1790" s="1" t="s">
        <v>38</v>
      </c>
      <c r="R1790" s="1" t="s">
        <v>62</v>
      </c>
      <c r="S1790" s="1" t="n">
        <v>1130101</v>
      </c>
      <c r="T1790" s="1" t="s">
        <v>63</v>
      </c>
      <c r="U1790" s="1" t="n">
        <v>645.71</v>
      </c>
      <c r="W1790" s="1" t="n">
        <v>0</v>
      </c>
      <c r="X1790" s="1" t="s">
        <v>1492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CAD BROCH UNIV COST</v>
      </c>
      <c r="AC1790" s="1" t="n">
        <v>160332</v>
      </c>
    </row>
    <row r="1791" customFormat="false" ht="12.75" hidden="false" customHeight="true" outlineLevel="0" collapsed="false">
      <c r="A1791" s="1" t="n">
        <v>2</v>
      </c>
      <c r="B1791" s="17" t="n">
        <v>46253</v>
      </c>
      <c r="C1791" s="17" t="n">
        <v>46273</v>
      </c>
      <c r="D1791" s="1" t="n">
        <v>1708</v>
      </c>
      <c r="E1791" s="1" t="s">
        <v>269</v>
      </c>
      <c r="F1791" s="1" t="n">
        <v>24</v>
      </c>
      <c r="G1791" s="1" t="s">
        <v>91</v>
      </c>
      <c r="H1791" s="1" t="n">
        <v>2110405</v>
      </c>
      <c r="I1791" s="1" t="s">
        <v>55</v>
      </c>
      <c r="J1791" s="1" t="n">
        <v>1572971</v>
      </c>
      <c r="L1791" s="1" t="n">
        <v>214927</v>
      </c>
      <c r="M1791" s="1" t="s">
        <v>36</v>
      </c>
      <c r="N1791" s="1" t="s">
        <v>50</v>
      </c>
      <c r="P1791" s="1" t="n">
        <v>113</v>
      </c>
      <c r="Q1791" s="1" t="s">
        <v>38</v>
      </c>
      <c r="R1791" s="1" t="s">
        <v>62</v>
      </c>
      <c r="S1791" s="1" t="n">
        <v>1130101</v>
      </c>
      <c r="T1791" s="1" t="s">
        <v>63</v>
      </c>
      <c r="U1791" s="1" t="n">
        <v>548.18</v>
      </c>
      <c r="W1791" s="1" t="n">
        <v>0</v>
      </c>
      <c r="X1791" s="1" t="s">
        <v>1494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DISQUETI 18G</v>
      </c>
      <c r="AC1791" s="1" t="n">
        <v>265359</v>
      </c>
    </row>
    <row r="1792" customFormat="false" ht="12.75" hidden="false" customHeight="true" outlineLevel="0" collapsed="false">
      <c r="A1792" s="1" t="n">
        <v>2</v>
      </c>
      <c r="B1792" s="17" t="n">
        <v>46254</v>
      </c>
      <c r="C1792" s="17" t="n">
        <v>46273</v>
      </c>
      <c r="D1792" s="1" t="n">
        <v>967</v>
      </c>
      <c r="E1792" s="1" t="s">
        <v>1495</v>
      </c>
      <c r="F1792" s="1" t="n">
        <v>24</v>
      </c>
      <c r="G1792" s="1" t="s">
        <v>91</v>
      </c>
      <c r="H1792" s="1" t="n">
        <v>2110405</v>
      </c>
      <c r="I1792" s="1" t="s">
        <v>55</v>
      </c>
      <c r="J1792" s="1" t="n">
        <v>1576162</v>
      </c>
      <c r="L1792" s="1" t="n">
        <v>215378</v>
      </c>
      <c r="M1792" s="1" t="s">
        <v>36</v>
      </c>
      <c r="N1792" s="1" t="s">
        <v>50</v>
      </c>
      <c r="P1792" s="1" t="n">
        <v>113</v>
      </c>
      <c r="Q1792" s="1" t="s">
        <v>38</v>
      </c>
      <c r="R1792" s="1" t="s">
        <v>62</v>
      </c>
      <c r="S1792" s="1" t="n">
        <v>1130101</v>
      </c>
      <c r="T1792" s="1" t="s">
        <v>63</v>
      </c>
      <c r="U1792" s="1" t="n">
        <v>421</v>
      </c>
      <c r="W1792" s="1" t="n">
        <v>0</v>
      </c>
      <c r="X1792" s="1" t="s">
        <v>1496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COROTE LIMÃO 50ML</v>
      </c>
      <c r="AC1792" s="1" t="n">
        <v>37213</v>
      </c>
    </row>
    <row r="1793" customFormat="false" ht="12.75" hidden="false" customHeight="true" outlineLevel="0" collapsed="false">
      <c r="A1793" s="1" t="n">
        <v>2</v>
      </c>
      <c r="B1793" s="17" t="n">
        <v>46259</v>
      </c>
      <c r="C1793" s="17" t="n">
        <v>46273</v>
      </c>
      <c r="D1793" s="1" t="n">
        <v>1705</v>
      </c>
      <c r="E1793" s="1" t="s">
        <v>131</v>
      </c>
      <c r="F1793" s="1" t="n">
        <v>24</v>
      </c>
      <c r="G1793" s="1" t="s">
        <v>91</v>
      </c>
      <c r="H1793" s="1" t="n">
        <v>2110405</v>
      </c>
      <c r="I1793" s="1" t="s">
        <v>55</v>
      </c>
      <c r="J1793" s="1" t="n">
        <v>1600068</v>
      </c>
      <c r="L1793" s="1" t="n">
        <v>219099</v>
      </c>
      <c r="M1793" s="1" t="s">
        <v>36</v>
      </c>
      <c r="N1793" s="1" t="s">
        <v>50</v>
      </c>
      <c r="P1793" s="1" t="n">
        <v>113</v>
      </c>
      <c r="Q1793" s="1" t="s">
        <v>38</v>
      </c>
      <c r="R1793" s="1" t="s">
        <v>62</v>
      </c>
      <c r="S1793" s="1" t="n">
        <v>1130101</v>
      </c>
      <c r="T1793" s="1" t="s">
        <v>63</v>
      </c>
      <c r="U1793" s="1" t="n">
        <v>639.05</v>
      </c>
      <c r="W1793" s="1" t="n">
        <v>0</v>
      </c>
      <c r="X1793" s="1" t="s">
        <v>1566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CERVEJA KAISER LATA</v>
      </c>
      <c r="AC1793" s="1" t="n">
        <v>1262093</v>
      </c>
    </row>
    <row r="1794" customFormat="false" ht="12.75" hidden="false" customHeight="true" outlineLevel="0" collapsed="false">
      <c r="A1794" s="1" t="n">
        <v>2</v>
      </c>
      <c r="B1794" s="17" t="n">
        <v>46259</v>
      </c>
      <c r="C1794" s="17" t="n">
        <v>46273</v>
      </c>
      <c r="D1794" s="1" t="n">
        <v>1705</v>
      </c>
      <c r="E1794" s="1" t="s">
        <v>131</v>
      </c>
      <c r="F1794" s="1" t="n">
        <v>24</v>
      </c>
      <c r="G1794" s="1" t="s">
        <v>91</v>
      </c>
      <c r="H1794" s="1" t="n">
        <v>2110405</v>
      </c>
      <c r="I1794" s="1" t="s">
        <v>55</v>
      </c>
      <c r="J1794" s="1" t="n">
        <v>1600077</v>
      </c>
      <c r="L1794" s="1" t="n">
        <v>219102</v>
      </c>
      <c r="M1794" s="1" t="s">
        <v>36</v>
      </c>
      <c r="N1794" s="1" t="s">
        <v>50</v>
      </c>
      <c r="P1794" s="1" t="n">
        <v>113</v>
      </c>
      <c r="Q1794" s="1" t="s">
        <v>38</v>
      </c>
      <c r="R1794" s="1" t="s">
        <v>62</v>
      </c>
      <c r="S1794" s="1" t="n">
        <v>1130101</v>
      </c>
      <c r="T1794" s="1" t="s">
        <v>63</v>
      </c>
      <c r="U1794" s="1" t="n">
        <v>3064.41</v>
      </c>
      <c r="W1794" s="1" t="n">
        <v>0</v>
      </c>
      <c r="X1794" s="1" t="s">
        <v>1567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REFRI. FANTA UVA 1,5</v>
      </c>
      <c r="AC1794" s="1" t="n">
        <v>2004983</v>
      </c>
    </row>
    <row r="1795" customFormat="false" ht="12.75" hidden="false" customHeight="true" outlineLevel="0" collapsed="false">
      <c r="A1795" s="1" t="n">
        <v>2</v>
      </c>
      <c r="B1795" s="17" t="n">
        <v>46259</v>
      </c>
      <c r="C1795" s="17" t="n">
        <v>46273</v>
      </c>
      <c r="D1795" s="1" t="n">
        <v>10009</v>
      </c>
      <c r="E1795" s="1" t="s">
        <v>469</v>
      </c>
      <c r="F1795" s="1" t="n">
        <v>24</v>
      </c>
      <c r="G1795" s="1" t="s">
        <v>91</v>
      </c>
      <c r="H1795" s="1" t="n">
        <v>2110405</v>
      </c>
      <c r="I1795" s="1" t="s">
        <v>55</v>
      </c>
      <c r="J1795" s="1" t="n">
        <v>1600144</v>
      </c>
      <c r="L1795" s="1" t="n">
        <v>219111</v>
      </c>
      <c r="M1795" s="1" t="s">
        <v>36</v>
      </c>
      <c r="N1795" s="1" t="s">
        <v>50</v>
      </c>
      <c r="P1795" s="1" t="n">
        <v>113</v>
      </c>
      <c r="Q1795" s="1" t="s">
        <v>38</v>
      </c>
      <c r="R1795" s="1" t="s">
        <v>62</v>
      </c>
      <c r="S1795" s="1" t="n">
        <v>1130101</v>
      </c>
      <c r="T1795" s="1" t="s">
        <v>63</v>
      </c>
      <c r="U1795" s="1" t="n">
        <v>1509.12</v>
      </c>
      <c r="W1795" s="1" t="n">
        <v>0</v>
      </c>
      <c r="X1795" s="1" t="s">
        <v>1568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PRESTIGIO 33G</v>
      </c>
      <c r="AC1795" s="1" t="n">
        <v>1442202</v>
      </c>
    </row>
    <row r="1796" customFormat="false" ht="12.75" hidden="false" customHeight="true" outlineLevel="0" collapsed="false">
      <c r="A1796" s="1" t="n">
        <v>2</v>
      </c>
      <c r="B1796" s="17" t="n">
        <v>46259</v>
      </c>
      <c r="C1796" s="17" t="n">
        <v>46273</v>
      </c>
      <c r="D1796" s="1" t="n">
        <v>10009</v>
      </c>
      <c r="E1796" s="1" t="s">
        <v>469</v>
      </c>
      <c r="F1796" s="1" t="n">
        <v>24</v>
      </c>
      <c r="G1796" s="1" t="s">
        <v>91</v>
      </c>
      <c r="H1796" s="1" t="n">
        <v>2110405</v>
      </c>
      <c r="I1796" s="1" t="s">
        <v>55</v>
      </c>
      <c r="J1796" s="1" t="n">
        <v>1600168</v>
      </c>
      <c r="L1796" s="1" t="n">
        <v>219115</v>
      </c>
      <c r="M1796" s="1" t="s">
        <v>36</v>
      </c>
      <c r="N1796" s="1" t="s">
        <v>50</v>
      </c>
      <c r="P1796" s="1" t="n">
        <v>113</v>
      </c>
      <c r="Q1796" s="1" t="s">
        <v>38</v>
      </c>
      <c r="R1796" s="1" t="s">
        <v>62</v>
      </c>
      <c r="S1796" s="1" t="n">
        <v>1130101</v>
      </c>
      <c r="T1796" s="1" t="s">
        <v>63</v>
      </c>
      <c r="U1796" s="1" t="n">
        <v>202.95</v>
      </c>
      <c r="W1796" s="1" t="n">
        <v>0</v>
      </c>
      <c r="X1796" s="1" t="s">
        <v>1569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TEMP MAGGI FONDO120G</v>
      </c>
      <c r="AC1796" s="1" t="n">
        <v>1441732</v>
      </c>
    </row>
    <row r="1797" customFormat="false" ht="12.75" hidden="false" customHeight="true" outlineLevel="0" collapsed="false">
      <c r="A1797" s="1" t="n">
        <v>2</v>
      </c>
      <c r="B1797" s="17" t="n">
        <v>46260</v>
      </c>
      <c r="C1797" s="17" t="n">
        <v>46273</v>
      </c>
      <c r="D1797" s="1" t="n">
        <v>1601</v>
      </c>
      <c r="E1797" s="1" t="s">
        <v>192</v>
      </c>
      <c r="F1797" s="1" t="n">
        <v>24</v>
      </c>
      <c r="G1797" s="1" t="s">
        <v>91</v>
      </c>
      <c r="H1797" s="1" t="n">
        <v>2110405</v>
      </c>
      <c r="I1797" s="1" t="s">
        <v>55</v>
      </c>
      <c r="J1797" s="1" t="n">
        <v>1603992</v>
      </c>
      <c r="L1797" s="1" t="n">
        <v>219684</v>
      </c>
      <c r="M1797" s="1" t="s">
        <v>36</v>
      </c>
      <c r="N1797" s="1" t="s">
        <v>50</v>
      </c>
      <c r="P1797" s="1" t="n">
        <v>113</v>
      </c>
      <c r="Q1797" s="1" t="s">
        <v>38</v>
      </c>
      <c r="R1797" s="1" t="s">
        <v>62</v>
      </c>
      <c r="S1797" s="1" t="n">
        <v>1130101</v>
      </c>
      <c r="T1797" s="1" t="s">
        <v>63</v>
      </c>
      <c r="U1797" s="1" t="n">
        <v>843.65</v>
      </c>
      <c r="W1797" s="1" t="n">
        <v>0</v>
      </c>
      <c r="X1797" s="1" t="s">
        <v>1570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HEINZ YELLOW MUSTARD</v>
      </c>
      <c r="AC1797" s="1" t="n">
        <v>866347</v>
      </c>
    </row>
    <row r="1798" customFormat="false" ht="12.75" hidden="false" customHeight="true" outlineLevel="0" collapsed="false">
      <c r="A1798" s="1" t="n">
        <v>2</v>
      </c>
      <c r="B1798" s="17" t="n">
        <v>46260</v>
      </c>
      <c r="C1798" s="17" t="n">
        <v>46273</v>
      </c>
      <c r="D1798" s="1" t="n">
        <v>794</v>
      </c>
      <c r="E1798" s="1" t="s">
        <v>343</v>
      </c>
      <c r="F1798" s="1" t="n">
        <v>24</v>
      </c>
      <c r="G1798" s="1" t="s">
        <v>91</v>
      </c>
      <c r="H1798" s="1" t="n">
        <v>2110405</v>
      </c>
      <c r="I1798" s="1" t="s">
        <v>55</v>
      </c>
      <c r="J1798" s="1" t="n">
        <v>1604320</v>
      </c>
      <c r="L1798" s="1" t="n">
        <v>219749</v>
      </c>
      <c r="M1798" s="1" t="s">
        <v>36</v>
      </c>
      <c r="N1798" s="1" t="s">
        <v>50</v>
      </c>
      <c r="P1798" s="1" t="n">
        <v>113</v>
      </c>
      <c r="Q1798" s="1" t="s">
        <v>38</v>
      </c>
      <c r="R1798" s="1" t="s">
        <v>62</v>
      </c>
      <c r="S1798" s="1" t="n">
        <v>1130101</v>
      </c>
      <c r="T1798" s="1" t="s">
        <v>63</v>
      </c>
      <c r="U1798" s="1" t="n">
        <v>873.08</v>
      </c>
      <c r="W1798" s="1" t="n">
        <v>0</v>
      </c>
      <c r="X1798" s="1" t="s">
        <v>1571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VASS MADRID CONDOR C/CABO</v>
      </c>
      <c r="AC1798" s="1" t="n">
        <v>8744</v>
      </c>
    </row>
    <row r="1799" customFormat="false" ht="12.75" hidden="false" customHeight="true" outlineLevel="0" collapsed="false">
      <c r="A1799" s="1" t="n">
        <v>2</v>
      </c>
      <c r="B1799" s="17" t="n">
        <v>46265</v>
      </c>
      <c r="C1799" s="17" t="n">
        <v>46273</v>
      </c>
      <c r="D1799" s="1" t="n">
        <v>1196</v>
      </c>
      <c r="E1799" s="1" t="s">
        <v>1423</v>
      </c>
      <c r="F1799" s="1" t="n">
        <v>24</v>
      </c>
      <c r="G1799" s="1" t="s">
        <v>91</v>
      </c>
      <c r="H1799" s="1" t="n">
        <v>2110405</v>
      </c>
      <c r="I1799" s="1" t="s">
        <v>55</v>
      </c>
      <c r="J1799" s="1" t="n">
        <v>1629256</v>
      </c>
      <c r="L1799" s="1" t="n">
        <v>223466</v>
      </c>
      <c r="M1799" s="1" t="s">
        <v>36</v>
      </c>
      <c r="N1799" s="1" t="s">
        <v>50</v>
      </c>
      <c r="P1799" s="1" t="n">
        <v>113</v>
      </c>
      <c r="Q1799" s="1" t="s">
        <v>38</v>
      </c>
      <c r="R1799" s="1" t="s">
        <v>62</v>
      </c>
      <c r="S1799" s="1" t="n">
        <v>1130101</v>
      </c>
      <c r="T1799" s="1" t="s">
        <v>63</v>
      </c>
      <c r="U1799" s="1" t="n">
        <v>410</v>
      </c>
      <c r="W1799" s="1" t="n">
        <v>0</v>
      </c>
      <c r="X1799" s="1" t="s">
        <v>1572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ACUCAR CRISTAL DOCE TODO DIA 30X1KG</v>
      </c>
      <c r="AC1799" s="1" t="n">
        <v>13095</v>
      </c>
    </row>
    <row r="1800" customFormat="false" ht="12.75" hidden="false" customHeight="true" outlineLevel="0" collapsed="false">
      <c r="A1800" s="1" t="n">
        <v>2</v>
      </c>
      <c r="B1800" s="17" t="n">
        <v>46265</v>
      </c>
      <c r="C1800" s="17" t="n">
        <v>46273</v>
      </c>
      <c r="D1800" s="1" t="n">
        <v>1621</v>
      </c>
      <c r="E1800" s="1" t="s">
        <v>235</v>
      </c>
      <c r="F1800" s="1" t="n">
        <v>24</v>
      </c>
      <c r="G1800" s="1" t="s">
        <v>91</v>
      </c>
      <c r="H1800" s="1" t="n">
        <v>2110405</v>
      </c>
      <c r="I1800" s="1" t="s">
        <v>55</v>
      </c>
      <c r="J1800" s="1" t="n">
        <v>1630703</v>
      </c>
      <c r="L1800" s="1" t="n">
        <v>223795</v>
      </c>
      <c r="M1800" s="1" t="s">
        <v>36</v>
      </c>
      <c r="N1800" s="1" t="s">
        <v>50</v>
      </c>
      <c r="P1800" s="1" t="n">
        <v>113</v>
      </c>
      <c r="Q1800" s="1" t="s">
        <v>38</v>
      </c>
      <c r="R1800" s="1" t="s">
        <v>62</v>
      </c>
      <c r="S1800" s="1" t="n">
        <v>1130101</v>
      </c>
      <c r="T1800" s="1" t="s">
        <v>63</v>
      </c>
      <c r="U1800" s="1" t="n">
        <v>1825.37</v>
      </c>
      <c r="W1800" s="1" t="n">
        <v>0</v>
      </c>
      <c r="X1800" s="1" t="s">
        <v>1573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CERVEJANTARCTIC 1L</v>
      </c>
      <c r="AC1800" s="1" t="n">
        <v>982558</v>
      </c>
    </row>
    <row r="1801" customFormat="false" ht="12.75" hidden="false" customHeight="true" outlineLevel="0" collapsed="false">
      <c r="A1801" s="1" t="n">
        <v>2</v>
      </c>
      <c r="B1801" s="17" t="n">
        <v>46266</v>
      </c>
      <c r="C1801" s="17" t="n">
        <v>46273</v>
      </c>
      <c r="D1801" s="1" t="n">
        <v>1642</v>
      </c>
      <c r="E1801" s="1" t="s">
        <v>233</v>
      </c>
      <c r="F1801" s="1" t="n">
        <v>24</v>
      </c>
      <c r="G1801" s="1" t="s">
        <v>91</v>
      </c>
      <c r="H1801" s="1" t="n">
        <v>2110405</v>
      </c>
      <c r="I1801" s="1" t="s">
        <v>55</v>
      </c>
      <c r="J1801" s="1" t="n">
        <v>1633903</v>
      </c>
      <c r="L1801" s="1" t="n">
        <v>224228</v>
      </c>
      <c r="M1801" s="1" t="s">
        <v>36</v>
      </c>
      <c r="N1801" s="1" t="s">
        <v>50</v>
      </c>
      <c r="P1801" s="1" t="n">
        <v>113</v>
      </c>
      <c r="Q1801" s="1" t="s">
        <v>38</v>
      </c>
      <c r="R1801" s="1" t="s">
        <v>62</v>
      </c>
      <c r="S1801" s="1" t="n">
        <v>1130101</v>
      </c>
      <c r="T1801" s="1" t="s">
        <v>63</v>
      </c>
      <c r="U1801" s="1" t="n">
        <v>492.29</v>
      </c>
      <c r="W1801" s="1" t="n">
        <v>0</v>
      </c>
      <c r="X1801" s="1" t="s">
        <v>1574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PAO DE FORMA BROTHER</v>
      </c>
      <c r="AC1801" s="1" t="n">
        <v>1039683</v>
      </c>
    </row>
    <row r="1802" customFormat="false" ht="12.75" hidden="false" customHeight="true" outlineLevel="0" collapsed="false">
      <c r="A1802" s="1" t="n">
        <v>2</v>
      </c>
      <c r="B1802" s="17" t="n">
        <v>46266</v>
      </c>
      <c r="C1802" s="17" t="n">
        <v>46273</v>
      </c>
      <c r="D1802" s="1" t="n">
        <v>560</v>
      </c>
      <c r="E1802" s="1" t="s">
        <v>451</v>
      </c>
      <c r="F1802" s="1" t="n">
        <v>24</v>
      </c>
      <c r="G1802" s="1" t="s">
        <v>91</v>
      </c>
      <c r="H1802" s="1" t="n">
        <v>2110405</v>
      </c>
      <c r="I1802" s="1" t="s">
        <v>55</v>
      </c>
      <c r="J1802" s="1" t="n">
        <v>1635028</v>
      </c>
      <c r="L1802" s="1" t="n">
        <v>224552</v>
      </c>
      <c r="M1802" s="1" t="s">
        <v>36</v>
      </c>
      <c r="N1802" s="1" t="s">
        <v>50</v>
      </c>
      <c r="P1802" s="1" t="n">
        <v>113</v>
      </c>
      <c r="Q1802" s="1" t="s">
        <v>38</v>
      </c>
      <c r="R1802" s="1" t="s">
        <v>62</v>
      </c>
      <c r="S1802" s="1" t="n">
        <v>1130101</v>
      </c>
      <c r="T1802" s="1" t="s">
        <v>63</v>
      </c>
      <c r="U1802" s="1" t="n">
        <v>250</v>
      </c>
      <c r="W1802" s="1" t="n">
        <v>0</v>
      </c>
      <c r="X1802" s="1" t="s">
        <v>1575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BISCOITOS DA MARIA S</v>
      </c>
      <c r="AC1802" s="1" t="n">
        <v>2142</v>
      </c>
    </row>
    <row r="1803" customFormat="false" ht="12.75" hidden="false" customHeight="true" outlineLevel="0" collapsed="false">
      <c r="A1803" s="1" t="n">
        <v>2</v>
      </c>
      <c r="B1803" s="17" t="n">
        <v>46266</v>
      </c>
      <c r="C1803" s="17" t="n">
        <v>46273</v>
      </c>
      <c r="D1803" s="1" t="n">
        <v>1699</v>
      </c>
      <c r="E1803" s="1" t="s">
        <v>231</v>
      </c>
      <c r="F1803" s="1" t="n">
        <v>24</v>
      </c>
      <c r="G1803" s="1" t="s">
        <v>91</v>
      </c>
      <c r="H1803" s="1" t="n">
        <v>2110405</v>
      </c>
      <c r="I1803" s="1" t="s">
        <v>55</v>
      </c>
      <c r="J1803" s="1" t="n">
        <v>1635345</v>
      </c>
      <c r="L1803" s="1" t="n">
        <v>224604</v>
      </c>
      <c r="M1803" s="1" t="s">
        <v>36</v>
      </c>
      <c r="N1803" s="1" t="s">
        <v>50</v>
      </c>
      <c r="P1803" s="1" t="n">
        <v>113</v>
      </c>
      <c r="Q1803" s="1" t="s">
        <v>38</v>
      </c>
      <c r="R1803" s="1" t="s">
        <v>62</v>
      </c>
      <c r="S1803" s="1" t="n">
        <v>1130101</v>
      </c>
      <c r="T1803" s="1" t="s">
        <v>63</v>
      </c>
      <c r="U1803" s="1" t="n">
        <v>658.8</v>
      </c>
      <c r="W1803" s="1" t="n">
        <v>0</v>
      </c>
      <c r="X1803" s="1" t="s">
        <v>1471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SUCO JANDAI CAJU500M</v>
      </c>
      <c r="AC1803" s="1" t="n">
        <v>311270</v>
      </c>
    </row>
    <row r="1804" customFormat="false" ht="12.75" hidden="false" customHeight="true" outlineLevel="0" collapsed="false">
      <c r="A1804" s="1" t="n">
        <v>2</v>
      </c>
      <c r="B1804" s="17" t="n">
        <v>46267</v>
      </c>
      <c r="C1804" s="17" t="n">
        <v>46273</v>
      </c>
      <c r="D1804" s="1" t="n">
        <v>1625</v>
      </c>
      <c r="E1804" s="1" t="s">
        <v>272</v>
      </c>
      <c r="F1804" s="1" t="n">
        <v>24</v>
      </c>
      <c r="G1804" s="1" t="s">
        <v>91</v>
      </c>
      <c r="H1804" s="1" t="n">
        <v>2110405</v>
      </c>
      <c r="I1804" s="1" t="s">
        <v>55</v>
      </c>
      <c r="J1804" s="1" t="n">
        <v>1638627</v>
      </c>
      <c r="L1804" s="1" t="n">
        <v>225125</v>
      </c>
      <c r="M1804" s="1" t="s">
        <v>36</v>
      </c>
      <c r="N1804" s="1" t="s">
        <v>50</v>
      </c>
      <c r="P1804" s="1" t="n">
        <v>113</v>
      </c>
      <c r="Q1804" s="1" t="s">
        <v>38</v>
      </c>
      <c r="R1804" s="1" t="s">
        <v>62</v>
      </c>
      <c r="S1804" s="1" t="n">
        <v>1130101</v>
      </c>
      <c r="T1804" s="1" t="s">
        <v>63</v>
      </c>
      <c r="U1804" s="1" t="n">
        <v>4886.4</v>
      </c>
      <c r="W1804" s="1" t="n">
        <v>0</v>
      </c>
      <c r="X1804" s="1" t="s">
        <v>1576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TRASEIRO DE BOI L1</v>
      </c>
      <c r="AC1804" s="1" t="n">
        <v>15237</v>
      </c>
    </row>
    <row r="1805" customFormat="false" ht="12.75" hidden="false" customHeight="true" outlineLevel="0" collapsed="false">
      <c r="A1805" s="1" t="n">
        <v>2</v>
      </c>
      <c r="B1805" s="17" t="n">
        <v>46268</v>
      </c>
      <c r="C1805" s="17" t="n">
        <v>46273</v>
      </c>
      <c r="D1805" s="1" t="n">
        <v>1328</v>
      </c>
      <c r="E1805" s="1" t="s">
        <v>105</v>
      </c>
      <c r="F1805" s="1" t="n">
        <v>24</v>
      </c>
      <c r="G1805" s="1" t="s">
        <v>91</v>
      </c>
      <c r="H1805" s="1" t="n">
        <v>2110405</v>
      </c>
      <c r="I1805" s="1" t="s">
        <v>55</v>
      </c>
      <c r="J1805" s="1" t="n">
        <v>1646208</v>
      </c>
      <c r="L1805" s="1" t="n">
        <v>225890</v>
      </c>
      <c r="M1805" s="1" t="s">
        <v>36</v>
      </c>
      <c r="N1805" s="1" t="s">
        <v>50</v>
      </c>
      <c r="P1805" s="1" t="n">
        <v>113</v>
      </c>
      <c r="Q1805" s="1" t="s">
        <v>38</v>
      </c>
      <c r="R1805" s="1" t="s">
        <v>62</v>
      </c>
      <c r="S1805" s="1" t="n">
        <v>1130101</v>
      </c>
      <c r="T1805" s="1" t="s">
        <v>63</v>
      </c>
      <c r="U1805" s="1" t="n">
        <v>133.5</v>
      </c>
      <c r="W1805" s="1" t="n">
        <v>0</v>
      </c>
      <c r="X1805" s="1" t="s">
        <v>1577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PAO DE KIKAO 10</v>
      </c>
      <c r="AC1805" s="1" t="n">
        <v>4523</v>
      </c>
    </row>
    <row r="1806" customFormat="false" ht="12.75" hidden="false" customHeight="true" outlineLevel="0" collapsed="false">
      <c r="A1806" s="1" t="n">
        <v>2</v>
      </c>
      <c r="B1806" s="17" t="n">
        <v>46269</v>
      </c>
      <c r="C1806" s="17" t="n">
        <v>46273</v>
      </c>
      <c r="D1806" s="1" t="n">
        <v>10035</v>
      </c>
      <c r="E1806" s="1" t="s">
        <v>109</v>
      </c>
      <c r="F1806" s="1" t="n">
        <v>34</v>
      </c>
      <c r="G1806" s="1" t="s">
        <v>110</v>
      </c>
      <c r="H1806" s="1" t="n">
        <v>2110405</v>
      </c>
      <c r="I1806" s="1" t="s">
        <v>55</v>
      </c>
      <c r="J1806" s="1" t="n">
        <v>1651836</v>
      </c>
      <c r="L1806" s="1" t="n">
        <v>226891</v>
      </c>
      <c r="M1806" s="1" t="s">
        <v>36</v>
      </c>
      <c r="N1806" s="1" t="s">
        <v>50</v>
      </c>
      <c r="P1806" s="1" t="n">
        <v>113</v>
      </c>
      <c r="Q1806" s="1" t="s">
        <v>38</v>
      </c>
      <c r="R1806" s="1" t="s">
        <v>62</v>
      </c>
      <c r="S1806" s="1" t="n">
        <v>1130101</v>
      </c>
      <c r="T1806" s="1" t="s">
        <v>63</v>
      </c>
      <c r="U1806" s="1" t="n">
        <v>177.5</v>
      </c>
      <c r="W1806" s="1" t="n">
        <v>0</v>
      </c>
      <c r="X1806" s="1" t="s">
        <v>1578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CARVAO VEGETAL 3KG</v>
      </c>
      <c r="AC1806" s="1" t="n">
        <v>427</v>
      </c>
    </row>
    <row r="1807" customFormat="false" ht="12.75" hidden="false" customHeight="true" outlineLevel="0" collapsed="false">
      <c r="A1807" s="1" t="n">
        <v>2</v>
      </c>
      <c r="B1807" s="17" t="n">
        <v>46246</v>
      </c>
      <c r="C1807" s="17" t="n">
        <v>46274</v>
      </c>
      <c r="D1807" s="1" t="n">
        <v>1608</v>
      </c>
      <c r="E1807" s="1" t="s">
        <v>224</v>
      </c>
      <c r="F1807" s="1" t="n">
        <v>24</v>
      </c>
      <c r="G1807" s="1" t="s">
        <v>91</v>
      </c>
      <c r="H1807" s="1" t="n">
        <v>2110405</v>
      </c>
      <c r="I1807" s="1" t="s">
        <v>55</v>
      </c>
      <c r="J1807" s="1" t="n">
        <v>1534806</v>
      </c>
      <c r="L1807" s="1" t="n">
        <v>209429</v>
      </c>
      <c r="M1807" s="1" t="s">
        <v>36</v>
      </c>
      <c r="N1807" s="1" t="s">
        <v>50</v>
      </c>
      <c r="P1807" s="1" t="n">
        <v>113</v>
      </c>
      <c r="Q1807" s="1" t="s">
        <v>38</v>
      </c>
      <c r="R1807" s="1" t="s">
        <v>62</v>
      </c>
      <c r="S1807" s="1" t="n">
        <v>1130101</v>
      </c>
      <c r="T1807" s="1" t="s">
        <v>63</v>
      </c>
      <c r="U1807" s="1" t="n">
        <v>1279.58</v>
      </c>
      <c r="W1807" s="1" t="n">
        <v>0</v>
      </c>
      <c r="X1807" s="1" t="s">
        <v>1407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TODDYNHO CHOCOLATE</v>
      </c>
      <c r="AC1807" s="1" t="n">
        <v>1709601</v>
      </c>
    </row>
    <row r="1808" customFormat="false" ht="12.75" hidden="false" customHeight="true" outlineLevel="0" collapsed="false">
      <c r="A1808" s="1" t="n">
        <v>2</v>
      </c>
      <c r="B1808" s="17" t="n">
        <v>46247</v>
      </c>
      <c r="C1808" s="17" t="n">
        <v>46274</v>
      </c>
      <c r="D1808" s="1" t="n">
        <v>1624</v>
      </c>
      <c r="E1808" s="1" t="s">
        <v>338</v>
      </c>
      <c r="F1808" s="1" t="n">
        <v>24</v>
      </c>
      <c r="G1808" s="1" t="s">
        <v>91</v>
      </c>
      <c r="H1808" s="1" t="n">
        <v>2110405</v>
      </c>
      <c r="I1808" s="1" t="s">
        <v>55</v>
      </c>
      <c r="J1808" s="1" t="n">
        <v>1543917</v>
      </c>
      <c r="L1808" s="1" t="n">
        <v>210534</v>
      </c>
      <c r="M1808" s="1" t="s">
        <v>36</v>
      </c>
      <c r="N1808" s="1" t="s">
        <v>50</v>
      </c>
      <c r="P1808" s="1" t="n">
        <v>113</v>
      </c>
      <c r="Q1808" s="1" t="s">
        <v>38</v>
      </c>
      <c r="R1808" s="1" t="s">
        <v>62</v>
      </c>
      <c r="S1808" s="1" t="n">
        <v>1130101</v>
      </c>
      <c r="T1808" s="1" t="s">
        <v>63</v>
      </c>
      <c r="U1808" s="1" t="n">
        <v>830.13</v>
      </c>
      <c r="W1808" s="1" t="n">
        <v>0</v>
      </c>
      <c r="X1808" s="1" t="s">
        <v>1514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SAB SARNICIDA MATACURA 80G</v>
      </c>
      <c r="AC1808" s="1" t="n">
        <v>668739</v>
      </c>
    </row>
    <row r="1809" customFormat="false" ht="12.75" hidden="false" customHeight="true" outlineLevel="0" collapsed="false">
      <c r="A1809" s="1" t="n">
        <v>2</v>
      </c>
      <c r="B1809" s="17" t="n">
        <v>46252</v>
      </c>
      <c r="C1809" s="17" t="n">
        <v>46274</v>
      </c>
      <c r="D1809" s="1" t="n">
        <v>1612</v>
      </c>
      <c r="E1809" s="1" t="s">
        <v>90</v>
      </c>
      <c r="F1809" s="1" t="n">
        <v>24</v>
      </c>
      <c r="G1809" s="1" t="s">
        <v>91</v>
      </c>
      <c r="H1809" s="1" t="n">
        <v>2110405</v>
      </c>
      <c r="I1809" s="1" t="s">
        <v>55</v>
      </c>
      <c r="J1809" s="1" t="n">
        <v>1567419</v>
      </c>
      <c r="L1809" s="1" t="n">
        <v>214024</v>
      </c>
      <c r="M1809" s="1" t="s">
        <v>36</v>
      </c>
      <c r="N1809" s="1" t="s">
        <v>50</v>
      </c>
      <c r="P1809" s="1" t="n">
        <v>113</v>
      </c>
      <c r="Q1809" s="1" t="s">
        <v>38</v>
      </c>
      <c r="R1809" s="1" t="s">
        <v>62</v>
      </c>
      <c r="S1809" s="1" t="n">
        <v>1130101</v>
      </c>
      <c r="T1809" s="1" t="s">
        <v>63</v>
      </c>
      <c r="U1809" s="1" t="n">
        <v>1154.65</v>
      </c>
      <c r="W1809" s="1" t="n">
        <v>0</v>
      </c>
      <c r="X1809" s="1" t="s">
        <v>1515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AGUA SANI BRILUX1L</v>
      </c>
      <c r="AC1809" s="1" t="n">
        <v>2310769</v>
      </c>
    </row>
    <row r="1810" customFormat="false" ht="12.75" hidden="false" customHeight="true" outlineLevel="0" collapsed="false">
      <c r="A1810" s="1" t="n">
        <v>2</v>
      </c>
      <c r="B1810" s="17" t="n">
        <v>46260</v>
      </c>
      <c r="C1810" s="17" t="n">
        <v>46274</v>
      </c>
      <c r="D1810" s="1" t="n">
        <v>1705</v>
      </c>
      <c r="E1810" s="1" t="s">
        <v>131</v>
      </c>
      <c r="F1810" s="1" t="n">
        <v>24</v>
      </c>
      <c r="G1810" s="1" t="s">
        <v>91</v>
      </c>
      <c r="H1810" s="1" t="n">
        <v>2110405</v>
      </c>
      <c r="I1810" s="1" t="s">
        <v>55</v>
      </c>
      <c r="J1810" s="1" t="n">
        <v>1603826</v>
      </c>
      <c r="L1810" s="1" t="n">
        <v>219652</v>
      </c>
      <c r="M1810" s="1" t="s">
        <v>36</v>
      </c>
      <c r="N1810" s="1" t="s">
        <v>50</v>
      </c>
      <c r="P1810" s="1" t="n">
        <v>113</v>
      </c>
      <c r="Q1810" s="1" t="s">
        <v>38</v>
      </c>
      <c r="R1810" s="1" t="s">
        <v>62</v>
      </c>
      <c r="S1810" s="1" t="n">
        <v>1130101</v>
      </c>
      <c r="T1810" s="1" t="s">
        <v>63</v>
      </c>
      <c r="U1810" s="1" t="n">
        <v>264.36</v>
      </c>
      <c r="W1810" s="1" t="n">
        <v>0</v>
      </c>
      <c r="X1810" s="1" t="s">
        <v>1579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SPRITE LT 350ML</v>
      </c>
      <c r="AC1810" s="1" t="n">
        <v>1263938</v>
      </c>
    </row>
    <row r="1811" customFormat="false" ht="12.75" hidden="false" customHeight="true" outlineLevel="0" collapsed="false">
      <c r="A1811" s="1" t="n">
        <v>2</v>
      </c>
      <c r="B1811" s="17" t="n">
        <v>46260</v>
      </c>
      <c r="C1811" s="17" t="n">
        <v>46274</v>
      </c>
      <c r="D1811" s="1" t="n">
        <v>1705</v>
      </c>
      <c r="E1811" s="1" t="s">
        <v>131</v>
      </c>
      <c r="F1811" s="1" t="n">
        <v>24</v>
      </c>
      <c r="G1811" s="1" t="s">
        <v>91</v>
      </c>
      <c r="H1811" s="1" t="n">
        <v>2110405</v>
      </c>
      <c r="I1811" s="1" t="s">
        <v>55</v>
      </c>
      <c r="J1811" s="1" t="n">
        <v>1603844</v>
      </c>
      <c r="L1811" s="1" t="n">
        <v>219659</v>
      </c>
      <c r="M1811" s="1" t="s">
        <v>36</v>
      </c>
      <c r="N1811" s="1" t="s">
        <v>50</v>
      </c>
      <c r="P1811" s="1" t="n">
        <v>113</v>
      </c>
      <c r="Q1811" s="1" t="s">
        <v>38</v>
      </c>
      <c r="R1811" s="1" t="s">
        <v>62</v>
      </c>
      <c r="S1811" s="1" t="n">
        <v>1130101</v>
      </c>
      <c r="T1811" s="1" t="s">
        <v>63</v>
      </c>
      <c r="U1811" s="1" t="n">
        <v>3257.14</v>
      </c>
      <c r="W1811" s="1" t="n">
        <v>0</v>
      </c>
      <c r="X1811" s="1" t="s">
        <v>1580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REFR FANTA UVA 200ML</v>
      </c>
      <c r="AC1811" s="1" t="n">
        <v>2007955</v>
      </c>
    </row>
    <row r="1812" customFormat="false" ht="12.75" hidden="false" customHeight="true" outlineLevel="0" collapsed="false">
      <c r="A1812" s="1" t="n">
        <v>2</v>
      </c>
      <c r="B1812" s="17" t="n">
        <v>46260</v>
      </c>
      <c r="C1812" s="17" t="n">
        <v>46274</v>
      </c>
      <c r="D1812" s="1" t="n">
        <v>10019</v>
      </c>
      <c r="E1812" s="1" t="s">
        <v>274</v>
      </c>
      <c r="F1812" s="1" t="n">
        <v>24</v>
      </c>
      <c r="G1812" s="1" t="s">
        <v>91</v>
      </c>
      <c r="H1812" s="1" t="n">
        <v>2110405</v>
      </c>
      <c r="I1812" s="1" t="s">
        <v>55</v>
      </c>
      <c r="J1812" s="1" t="n">
        <v>1605124</v>
      </c>
      <c r="L1812" s="1" t="n">
        <v>219904</v>
      </c>
      <c r="M1812" s="1" t="s">
        <v>36</v>
      </c>
      <c r="N1812" s="1" t="s">
        <v>50</v>
      </c>
      <c r="P1812" s="1" t="n">
        <v>113</v>
      </c>
      <c r="Q1812" s="1" t="s">
        <v>38</v>
      </c>
      <c r="R1812" s="1" t="s">
        <v>62</v>
      </c>
      <c r="S1812" s="1" t="n">
        <v>1130101</v>
      </c>
      <c r="T1812" s="1" t="s">
        <v>63</v>
      </c>
      <c r="U1812" s="1" t="n">
        <v>2752.16</v>
      </c>
      <c r="W1812" s="1" t="n">
        <v>0</v>
      </c>
      <c r="X1812" s="1" t="s">
        <v>1516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PATINHO BOVINO KG</v>
      </c>
      <c r="AC1812" s="1" t="n">
        <v>33028</v>
      </c>
    </row>
    <row r="1813" customFormat="false" ht="12.75" hidden="false" customHeight="true" outlineLevel="0" collapsed="false">
      <c r="A1813" s="1" t="n">
        <v>2</v>
      </c>
      <c r="B1813" s="17" t="n">
        <v>46260</v>
      </c>
      <c r="C1813" s="17" t="n">
        <v>46274</v>
      </c>
      <c r="D1813" s="1" t="n">
        <v>1107</v>
      </c>
      <c r="E1813" s="1" t="s">
        <v>227</v>
      </c>
      <c r="F1813" s="1" t="n">
        <v>24</v>
      </c>
      <c r="G1813" s="1" t="s">
        <v>91</v>
      </c>
      <c r="H1813" s="1" t="n">
        <v>2110405</v>
      </c>
      <c r="I1813" s="1" t="s">
        <v>55</v>
      </c>
      <c r="J1813" s="1" t="n">
        <v>1605197</v>
      </c>
      <c r="L1813" s="1" t="n">
        <v>219908</v>
      </c>
      <c r="M1813" s="1" t="s">
        <v>36</v>
      </c>
      <c r="N1813" s="1" t="s">
        <v>50</v>
      </c>
      <c r="P1813" s="1" t="n">
        <v>113</v>
      </c>
      <c r="Q1813" s="1" t="s">
        <v>38</v>
      </c>
      <c r="R1813" s="1" t="s">
        <v>62</v>
      </c>
      <c r="S1813" s="1" t="n">
        <v>1130101</v>
      </c>
      <c r="T1813" s="1" t="s">
        <v>63</v>
      </c>
      <c r="U1813" s="1" t="n">
        <v>1510.33</v>
      </c>
      <c r="W1813" s="1" t="n">
        <v>0</v>
      </c>
      <c r="X1813" s="1" t="s">
        <v>1581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BOLINHO MORANGO 7308</v>
      </c>
      <c r="AC1813" s="1" t="n">
        <v>447609</v>
      </c>
    </row>
    <row r="1814" customFormat="false" ht="12.75" hidden="false" customHeight="true" outlineLevel="0" collapsed="false">
      <c r="A1814" s="1" t="n">
        <v>2</v>
      </c>
      <c r="B1814" s="17" t="n">
        <v>46260</v>
      </c>
      <c r="C1814" s="17" t="n">
        <v>46274</v>
      </c>
      <c r="D1814" s="1" t="n">
        <v>1626</v>
      </c>
      <c r="E1814" s="1" t="s">
        <v>96</v>
      </c>
      <c r="F1814" s="1" t="n">
        <v>24</v>
      </c>
      <c r="G1814" s="1" t="s">
        <v>91</v>
      </c>
      <c r="H1814" s="1" t="n">
        <v>2110405</v>
      </c>
      <c r="I1814" s="1" t="s">
        <v>55</v>
      </c>
      <c r="J1814" s="1" t="n">
        <v>1605220</v>
      </c>
      <c r="L1814" s="1" t="n">
        <v>219914</v>
      </c>
      <c r="M1814" s="1" t="s">
        <v>36</v>
      </c>
      <c r="N1814" s="1" t="s">
        <v>50</v>
      </c>
      <c r="P1814" s="1" t="n">
        <v>113</v>
      </c>
      <c r="Q1814" s="1" t="s">
        <v>38</v>
      </c>
      <c r="R1814" s="1" t="s">
        <v>62</v>
      </c>
      <c r="S1814" s="1" t="n">
        <v>1130101</v>
      </c>
      <c r="T1814" s="1" t="s">
        <v>63</v>
      </c>
      <c r="U1814" s="1" t="n">
        <v>679.16</v>
      </c>
      <c r="W1814" s="1" t="n">
        <v>0</v>
      </c>
      <c r="X1814" s="1" t="s">
        <v>1517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CALABRESA SEARA KG</v>
      </c>
      <c r="AC1814" s="1" t="n">
        <v>319020</v>
      </c>
    </row>
    <row r="1815" customFormat="false" ht="12.75" hidden="false" customHeight="true" outlineLevel="0" collapsed="false">
      <c r="A1815" s="1" t="n">
        <v>2</v>
      </c>
      <c r="B1815" s="17" t="n">
        <v>46261</v>
      </c>
      <c r="C1815" s="17" t="n">
        <v>46274</v>
      </c>
      <c r="D1815" s="1" t="n">
        <v>1636</v>
      </c>
      <c r="E1815" s="1" t="s">
        <v>98</v>
      </c>
      <c r="F1815" s="1" t="n">
        <v>24</v>
      </c>
      <c r="G1815" s="1" t="s">
        <v>91</v>
      </c>
      <c r="H1815" s="1" t="n">
        <v>2110405</v>
      </c>
      <c r="I1815" s="1" t="s">
        <v>55</v>
      </c>
      <c r="J1815" s="1" t="n">
        <v>1609062</v>
      </c>
      <c r="L1815" s="1" t="n">
        <v>220489</v>
      </c>
      <c r="M1815" s="1" t="s">
        <v>36</v>
      </c>
      <c r="N1815" s="1" t="s">
        <v>50</v>
      </c>
      <c r="P1815" s="1" t="n">
        <v>113</v>
      </c>
      <c r="Q1815" s="1" t="s">
        <v>38</v>
      </c>
      <c r="R1815" s="1" t="s">
        <v>62</v>
      </c>
      <c r="S1815" s="1" t="n">
        <v>1130101</v>
      </c>
      <c r="T1815" s="1" t="s">
        <v>63</v>
      </c>
      <c r="U1815" s="1" t="n">
        <v>733.77</v>
      </c>
      <c r="W1815" s="1" t="n">
        <v>0</v>
      </c>
      <c r="X1815" s="1" t="s">
        <v>1519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BISC. RICHESTER RECH QUAD CHOCO ANI 130G</v>
      </c>
      <c r="AC1815" s="1" t="n">
        <v>3242273</v>
      </c>
    </row>
    <row r="1816" customFormat="false" ht="12.75" hidden="false" customHeight="true" outlineLevel="0" collapsed="false">
      <c r="A1816" s="1" t="n">
        <v>2</v>
      </c>
      <c r="B1816" s="17" t="n">
        <v>46265</v>
      </c>
      <c r="C1816" s="17" t="n">
        <v>46274</v>
      </c>
      <c r="D1816" s="1" t="n">
        <v>1635</v>
      </c>
      <c r="E1816" s="1" t="s">
        <v>129</v>
      </c>
      <c r="F1816" s="1" t="n">
        <v>24</v>
      </c>
      <c r="G1816" s="1" t="s">
        <v>91</v>
      </c>
      <c r="H1816" s="1" t="n">
        <v>2110405</v>
      </c>
      <c r="I1816" s="1" t="s">
        <v>55</v>
      </c>
      <c r="J1816" s="1" t="n">
        <v>1628851</v>
      </c>
      <c r="L1816" s="1" t="n">
        <v>223368</v>
      </c>
      <c r="M1816" s="1" t="s">
        <v>36</v>
      </c>
      <c r="N1816" s="1" t="s">
        <v>50</v>
      </c>
      <c r="P1816" s="1" t="n">
        <v>113</v>
      </c>
      <c r="Q1816" s="1" t="s">
        <v>38</v>
      </c>
      <c r="R1816" s="1" t="s">
        <v>62</v>
      </c>
      <c r="S1816" s="1" t="n">
        <v>1130101</v>
      </c>
      <c r="T1816" s="1" t="s">
        <v>63</v>
      </c>
      <c r="U1816" s="1" t="n">
        <v>938.06</v>
      </c>
      <c r="W1816" s="1" t="n">
        <v>0</v>
      </c>
      <c r="X1816" s="1" t="s">
        <v>1582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FIGADO BOVINO KG</v>
      </c>
      <c r="AC1816" s="1" t="n">
        <v>4363</v>
      </c>
    </row>
    <row r="1817" customFormat="false" ht="12.75" hidden="false" customHeight="true" outlineLevel="0" collapsed="false">
      <c r="A1817" s="1" t="n">
        <v>2</v>
      </c>
      <c r="B1817" s="17" t="n">
        <v>46268</v>
      </c>
      <c r="C1817" s="17" t="n">
        <v>46274</v>
      </c>
      <c r="D1817" s="1" t="n">
        <v>666</v>
      </c>
      <c r="E1817" s="1" t="s">
        <v>428</v>
      </c>
      <c r="F1817" s="1" t="n">
        <v>24</v>
      </c>
      <c r="G1817" s="1" t="s">
        <v>91</v>
      </c>
      <c r="H1817" s="1" t="n">
        <v>2110405</v>
      </c>
      <c r="I1817" s="1" t="s">
        <v>55</v>
      </c>
      <c r="J1817" s="1" t="n">
        <v>1646676</v>
      </c>
      <c r="L1817" s="1" t="n">
        <v>226021</v>
      </c>
      <c r="M1817" s="1" t="s">
        <v>36</v>
      </c>
      <c r="N1817" s="1" t="s">
        <v>50</v>
      </c>
      <c r="P1817" s="1" t="n">
        <v>113</v>
      </c>
      <c r="Q1817" s="1" t="s">
        <v>38</v>
      </c>
      <c r="R1817" s="1" t="s">
        <v>62</v>
      </c>
      <c r="S1817" s="1" t="n">
        <v>1130101</v>
      </c>
      <c r="T1817" s="1" t="s">
        <v>63</v>
      </c>
      <c r="U1817" s="1" t="n">
        <v>260.83</v>
      </c>
      <c r="W1817" s="1" t="n">
        <v>0</v>
      </c>
      <c r="X1817" s="1" t="s">
        <v>1583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RACAO SABOR DOG FILH</v>
      </c>
      <c r="AC1817" s="1" t="n">
        <v>8180</v>
      </c>
    </row>
    <row r="1818" customFormat="false" ht="12.75" hidden="false" customHeight="true" outlineLevel="0" collapsed="false">
      <c r="A1818" s="1" t="n">
        <v>2</v>
      </c>
      <c r="B1818" s="17" t="n">
        <v>46268</v>
      </c>
      <c r="C1818" s="17" t="n">
        <v>46274</v>
      </c>
      <c r="D1818" s="1" t="n">
        <v>821</v>
      </c>
      <c r="E1818" s="1" t="s">
        <v>400</v>
      </c>
      <c r="F1818" s="1" t="n">
        <v>24</v>
      </c>
      <c r="G1818" s="1" t="s">
        <v>91</v>
      </c>
      <c r="H1818" s="1" t="n">
        <v>2110405</v>
      </c>
      <c r="I1818" s="1" t="s">
        <v>55</v>
      </c>
      <c r="J1818" s="1" t="n">
        <v>1646724</v>
      </c>
      <c r="L1818" s="1" t="n">
        <v>226033</v>
      </c>
      <c r="M1818" s="1" t="s">
        <v>36</v>
      </c>
      <c r="N1818" s="1" t="s">
        <v>50</v>
      </c>
      <c r="P1818" s="1" t="n">
        <v>113</v>
      </c>
      <c r="Q1818" s="1" t="s">
        <v>38</v>
      </c>
      <c r="R1818" s="1" t="s">
        <v>62</v>
      </c>
      <c r="S1818" s="1" t="n">
        <v>1130101</v>
      </c>
      <c r="T1818" s="1" t="s">
        <v>63</v>
      </c>
      <c r="U1818" s="1" t="n">
        <v>229.85</v>
      </c>
      <c r="W1818" s="1" t="n">
        <v>0</v>
      </c>
      <c r="X1818" s="1" t="s">
        <v>1584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CERV ITAIPAVA 250ML</v>
      </c>
      <c r="AC1818" s="1" t="n">
        <v>491629</v>
      </c>
    </row>
    <row r="1819" customFormat="false" ht="12.75" hidden="false" customHeight="true" outlineLevel="0" collapsed="false">
      <c r="A1819" s="1" t="n">
        <v>2</v>
      </c>
      <c r="B1819" s="17" t="n">
        <v>46191</v>
      </c>
      <c r="C1819" s="17" t="n">
        <v>46275</v>
      </c>
      <c r="D1819" s="1" t="n">
        <v>957</v>
      </c>
      <c r="E1819" s="1" t="s">
        <v>628</v>
      </c>
      <c r="F1819" s="1" t="n">
        <v>24</v>
      </c>
      <c r="G1819" s="1" t="s">
        <v>91</v>
      </c>
      <c r="H1819" s="1" t="n">
        <v>2110101</v>
      </c>
      <c r="I1819" s="1" t="s">
        <v>48</v>
      </c>
      <c r="J1819" s="1" t="n">
        <v>1268715</v>
      </c>
      <c r="L1819" s="1" t="n">
        <v>20440</v>
      </c>
      <c r="M1819" s="1" t="s">
        <v>36</v>
      </c>
      <c r="N1819" s="1" t="s">
        <v>68</v>
      </c>
      <c r="P1819" s="1" t="n">
        <v>113</v>
      </c>
      <c r="Q1819" s="1" t="s">
        <v>38</v>
      </c>
      <c r="R1819" s="1" t="s">
        <v>62</v>
      </c>
      <c r="S1819" s="1" t="n">
        <v>1130101</v>
      </c>
      <c r="T1819" s="1" t="s">
        <v>63</v>
      </c>
      <c r="U1819" s="1" t="n">
        <v>128.85</v>
      </c>
      <c r="W1819" s="1" t="n">
        <v>0</v>
      </c>
      <c r="X1819" s="1" t="s">
        <v>1585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PETISCOS GATO DREAMIES 40G</v>
      </c>
      <c r="AC1819" s="1" t="n">
        <v>20440</v>
      </c>
    </row>
    <row r="1820" customFormat="false" ht="12.75" hidden="false" customHeight="true" outlineLevel="0" collapsed="false">
      <c r="A1820" s="1" t="n">
        <v>2</v>
      </c>
      <c r="B1820" s="17" t="n">
        <v>46230</v>
      </c>
      <c r="C1820" s="17" t="n">
        <v>46275</v>
      </c>
      <c r="D1820" s="1" t="n">
        <v>513</v>
      </c>
      <c r="E1820" s="1" t="s">
        <v>352</v>
      </c>
      <c r="F1820" s="1" t="n">
        <v>24</v>
      </c>
      <c r="G1820" s="1" t="s">
        <v>91</v>
      </c>
      <c r="H1820" s="1" t="n">
        <v>2110405</v>
      </c>
      <c r="I1820" s="1" t="s">
        <v>55</v>
      </c>
      <c r="J1820" s="1" t="n">
        <v>1459285</v>
      </c>
      <c r="L1820" s="1" t="n">
        <v>197498</v>
      </c>
      <c r="M1820" s="1" t="s">
        <v>88</v>
      </c>
      <c r="N1820" s="1" t="s">
        <v>50</v>
      </c>
      <c r="P1820" s="1" t="n">
        <v>101</v>
      </c>
      <c r="Q1820" s="1" t="s">
        <v>56</v>
      </c>
      <c r="R1820" s="1" t="s">
        <v>39</v>
      </c>
      <c r="S1820" s="1" t="n">
        <v>4210315</v>
      </c>
      <c r="T1820" s="1" t="s">
        <v>283</v>
      </c>
      <c r="U1820" s="1" t="n">
        <v>160</v>
      </c>
      <c r="W1820" s="1" t="n">
        <v>0</v>
      </c>
      <c r="X1820" s="1" t="s">
        <v>805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" t="n">
        <v>2</v>
      </c>
      <c r="B1821" s="17" t="n">
        <v>46211</v>
      </c>
      <c r="C1821" s="17" t="n">
        <v>46275</v>
      </c>
      <c r="D1821" s="1" t="n">
        <v>33</v>
      </c>
      <c r="E1821" s="1" t="s">
        <v>305</v>
      </c>
      <c r="F1821" s="1" t="n">
        <v>34</v>
      </c>
      <c r="G1821" s="1" t="s">
        <v>110</v>
      </c>
      <c r="H1821" s="1" t="n">
        <v>2110405</v>
      </c>
      <c r="I1821" s="1" t="s">
        <v>55</v>
      </c>
      <c r="J1821" s="1" t="n">
        <v>1370733</v>
      </c>
      <c r="L1821" s="1" t="n">
        <v>184338</v>
      </c>
      <c r="M1821" s="1" t="s">
        <v>88</v>
      </c>
      <c r="N1821" s="1" t="s">
        <v>50</v>
      </c>
      <c r="P1821" s="1" t="n">
        <v>101</v>
      </c>
      <c r="Q1821" s="1" t="s">
        <v>56</v>
      </c>
      <c r="R1821" s="1" t="s">
        <v>70</v>
      </c>
      <c r="S1821" s="1" t="n">
        <v>4210222</v>
      </c>
      <c r="T1821" s="1" t="s">
        <v>1220</v>
      </c>
      <c r="U1821" s="1" t="n">
        <v>666.67</v>
      </c>
      <c r="W1821" s="1" t="n">
        <v>0</v>
      </c>
      <c r="X1821" s="1" t="s">
        <v>1221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" t="n">
        <v>2</v>
      </c>
      <c r="B1822" s="17" t="n">
        <v>46224</v>
      </c>
      <c r="C1822" s="17" t="n">
        <v>46275</v>
      </c>
      <c r="D1822" s="1" t="n">
        <v>1100</v>
      </c>
      <c r="E1822" s="1" t="s">
        <v>328</v>
      </c>
      <c r="F1822" s="1" t="n">
        <v>46</v>
      </c>
      <c r="G1822" s="1" t="s">
        <v>323</v>
      </c>
      <c r="H1822" s="1" t="n">
        <v>2110405</v>
      </c>
      <c r="I1822" s="1" t="s">
        <v>55</v>
      </c>
      <c r="J1822" s="1" t="n">
        <v>1427624</v>
      </c>
      <c r="L1822" s="1" t="n">
        <v>190916</v>
      </c>
      <c r="M1822" s="1" t="s">
        <v>88</v>
      </c>
      <c r="N1822" s="1" t="s">
        <v>50</v>
      </c>
      <c r="P1822" s="1" t="n">
        <v>113</v>
      </c>
      <c r="Q1822" s="1" t="s">
        <v>38</v>
      </c>
      <c r="R1822" s="1" t="s">
        <v>70</v>
      </c>
      <c r="S1822" s="1" t="n">
        <v>4210227</v>
      </c>
      <c r="T1822" s="1" t="s">
        <v>77</v>
      </c>
      <c r="U1822" s="1" t="n">
        <v>266.68</v>
      </c>
      <c r="W1822" s="1" t="n">
        <v>0</v>
      </c>
      <c r="X1822" s="1" t="s">
        <v>1586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MEMORIA HIKSEMI HIKER 8GB DDR4 3200 - HS</v>
      </c>
      <c r="AC1822" s="1" t="n">
        <v>9481</v>
      </c>
    </row>
    <row r="1823" customFormat="false" ht="12.75" hidden="false" customHeight="true" outlineLevel="0" collapsed="false">
      <c r="A1823" s="1" t="n">
        <v>2</v>
      </c>
      <c r="B1823" s="17" t="n">
        <v>46247</v>
      </c>
      <c r="C1823" s="17" t="n">
        <v>46275</v>
      </c>
      <c r="D1823" s="1" t="n">
        <v>1608</v>
      </c>
      <c r="E1823" s="1" t="s">
        <v>224</v>
      </c>
      <c r="F1823" s="1" t="n">
        <v>24</v>
      </c>
      <c r="G1823" s="1" t="s">
        <v>91</v>
      </c>
      <c r="H1823" s="1" t="n">
        <v>2110405</v>
      </c>
      <c r="I1823" s="1" t="s">
        <v>55</v>
      </c>
      <c r="J1823" s="1" t="n">
        <v>1540769</v>
      </c>
      <c r="L1823" s="1" t="n">
        <v>210180</v>
      </c>
      <c r="M1823" s="1" t="s">
        <v>36</v>
      </c>
      <c r="N1823" s="1" t="s">
        <v>50</v>
      </c>
      <c r="P1823" s="1" t="n">
        <v>113</v>
      </c>
      <c r="Q1823" s="1" t="s">
        <v>38</v>
      </c>
      <c r="R1823" s="1" t="s">
        <v>62</v>
      </c>
      <c r="S1823" s="1" t="n">
        <v>1130101</v>
      </c>
      <c r="T1823" s="1" t="s">
        <v>63</v>
      </c>
      <c r="U1823" s="1" t="n">
        <v>692.26</v>
      </c>
      <c r="W1823" s="1" t="n">
        <v>0</v>
      </c>
      <c r="X1823" s="1" t="s">
        <v>1419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SAZON CALDO CARNE 32</v>
      </c>
      <c r="AC1823" s="1" t="n">
        <v>1710665</v>
      </c>
    </row>
    <row r="1824" customFormat="false" ht="12.75" hidden="false" customHeight="true" outlineLevel="0" collapsed="false">
      <c r="A1824" s="1" t="n">
        <v>2</v>
      </c>
      <c r="B1824" s="17" t="n">
        <v>46248</v>
      </c>
      <c r="C1824" s="17" t="n">
        <v>46275</v>
      </c>
      <c r="D1824" s="1" t="n">
        <v>1678</v>
      </c>
      <c r="E1824" s="1" t="s">
        <v>844</v>
      </c>
      <c r="F1824" s="1" t="n">
        <v>24</v>
      </c>
      <c r="G1824" s="1" t="s">
        <v>91</v>
      </c>
      <c r="H1824" s="1" t="n">
        <v>2110405</v>
      </c>
      <c r="I1824" s="1" t="s">
        <v>55</v>
      </c>
      <c r="J1824" s="1" t="n">
        <v>1545805</v>
      </c>
      <c r="L1824" s="1" t="n">
        <v>211100</v>
      </c>
      <c r="M1824" s="1" t="s">
        <v>36</v>
      </c>
      <c r="N1824" s="1" t="s">
        <v>50</v>
      </c>
      <c r="P1824" s="1" t="n">
        <v>113</v>
      </c>
      <c r="Q1824" s="1" t="s">
        <v>38</v>
      </c>
      <c r="R1824" s="1" t="s">
        <v>62</v>
      </c>
      <c r="S1824" s="1" t="n">
        <v>1130101</v>
      </c>
      <c r="T1824" s="1" t="s">
        <v>63</v>
      </c>
      <c r="U1824" s="1" t="n">
        <v>2153.25</v>
      </c>
      <c r="W1824" s="1" t="n">
        <v>0</v>
      </c>
      <c r="X1824" s="1" t="s">
        <v>1587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AGUA SANI MODALVA 1L</v>
      </c>
      <c r="AC1824" s="1" t="n">
        <v>163912</v>
      </c>
    </row>
    <row r="1825" customFormat="false" ht="12.75" hidden="false" customHeight="true" outlineLevel="0" collapsed="false">
      <c r="A1825" s="1" t="n">
        <v>2</v>
      </c>
      <c r="B1825" s="17" t="n">
        <v>46251</v>
      </c>
      <c r="C1825" s="17" t="n">
        <v>46275</v>
      </c>
      <c r="D1825" s="1" t="n">
        <v>1637</v>
      </c>
      <c r="E1825" s="1" t="s">
        <v>870</v>
      </c>
      <c r="F1825" s="1" t="n">
        <v>24</v>
      </c>
      <c r="G1825" s="1" t="s">
        <v>91</v>
      </c>
      <c r="H1825" s="1" t="n">
        <v>2110405</v>
      </c>
      <c r="I1825" s="1" t="s">
        <v>55</v>
      </c>
      <c r="J1825" s="1" t="n">
        <v>1561330</v>
      </c>
      <c r="L1825" s="1" t="n">
        <v>213017</v>
      </c>
      <c r="M1825" s="1" t="s">
        <v>36</v>
      </c>
      <c r="N1825" s="1" t="s">
        <v>50</v>
      </c>
      <c r="P1825" s="1" t="n">
        <v>113</v>
      </c>
      <c r="Q1825" s="1" t="s">
        <v>38</v>
      </c>
      <c r="R1825" s="1" t="s">
        <v>62</v>
      </c>
      <c r="S1825" s="1" t="n">
        <v>1130101</v>
      </c>
      <c r="T1825" s="1" t="s">
        <v>63</v>
      </c>
      <c r="U1825" s="1" t="n">
        <v>561.84</v>
      </c>
      <c r="W1825" s="1" t="n">
        <v>0</v>
      </c>
      <c r="X1825" s="1" t="s">
        <v>1588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SALSICHA VIENA TARGET 300G</v>
      </c>
      <c r="AC1825" s="1" t="n">
        <v>1919900</v>
      </c>
    </row>
    <row r="1826" customFormat="false" ht="12.75" hidden="false" customHeight="true" outlineLevel="0" collapsed="false">
      <c r="A1826" s="1" t="n">
        <v>2</v>
      </c>
      <c r="B1826" s="17" t="n">
        <v>46252</v>
      </c>
      <c r="C1826" s="17" t="n">
        <v>46275</v>
      </c>
      <c r="D1826" s="1" t="n">
        <v>1671</v>
      </c>
      <c r="E1826" s="1" t="s">
        <v>101</v>
      </c>
      <c r="F1826" s="1" t="n">
        <v>24</v>
      </c>
      <c r="G1826" s="1" t="s">
        <v>91</v>
      </c>
      <c r="H1826" s="1" t="n">
        <v>2110405</v>
      </c>
      <c r="I1826" s="1" t="s">
        <v>55</v>
      </c>
      <c r="J1826" s="1" t="n">
        <v>1567132</v>
      </c>
      <c r="L1826" s="1" t="n">
        <v>213985</v>
      </c>
      <c r="M1826" s="1" t="s">
        <v>36</v>
      </c>
      <c r="N1826" s="1" t="s">
        <v>50</v>
      </c>
      <c r="P1826" s="1" t="n">
        <v>113</v>
      </c>
      <c r="Q1826" s="1" t="s">
        <v>38</v>
      </c>
      <c r="R1826" s="1" t="s">
        <v>62</v>
      </c>
      <c r="S1826" s="1" t="n">
        <v>1130101</v>
      </c>
      <c r="T1826" s="1" t="s">
        <v>63</v>
      </c>
      <c r="U1826" s="1" t="n">
        <v>793.81</v>
      </c>
      <c r="W1826" s="1" t="n">
        <v>0</v>
      </c>
      <c r="X1826" s="1" t="s">
        <v>1425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SAB LIQ PROTEX CREAM</v>
      </c>
      <c r="AC1826" s="1" t="n">
        <v>586415</v>
      </c>
    </row>
    <row r="1827" customFormat="false" ht="12.75" hidden="false" customHeight="true" outlineLevel="0" collapsed="false">
      <c r="A1827" s="1" t="n">
        <v>2</v>
      </c>
      <c r="B1827" s="17" t="n">
        <v>46256</v>
      </c>
      <c r="C1827" s="17" t="n">
        <v>46275</v>
      </c>
      <c r="D1827" s="1" t="n">
        <v>1745</v>
      </c>
      <c r="E1827" s="1" t="s">
        <v>170</v>
      </c>
      <c r="F1827" s="1" t="n">
        <v>24</v>
      </c>
      <c r="G1827" s="1" t="s">
        <v>91</v>
      </c>
      <c r="H1827" s="1" t="n">
        <v>2110405</v>
      </c>
      <c r="I1827" s="1" t="s">
        <v>55</v>
      </c>
      <c r="J1827" s="1" t="n">
        <v>1585074</v>
      </c>
      <c r="L1827" s="1" t="n">
        <v>216840</v>
      </c>
      <c r="M1827" s="1" t="s">
        <v>36</v>
      </c>
      <c r="N1827" s="1" t="s">
        <v>50</v>
      </c>
      <c r="P1827" s="1" t="n">
        <v>113</v>
      </c>
      <c r="Q1827" s="1" t="s">
        <v>38</v>
      </c>
      <c r="R1827" s="1" t="s">
        <v>62</v>
      </c>
      <c r="S1827" s="1" t="n">
        <v>1130101</v>
      </c>
      <c r="T1827" s="1" t="s">
        <v>63</v>
      </c>
      <c r="U1827" s="1" t="n">
        <v>182.8</v>
      </c>
      <c r="W1827" s="1" t="n">
        <v>0</v>
      </c>
      <c r="X1827" s="1" t="s">
        <v>1535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MILHO PIPOCA DONA CLARA 400G</v>
      </c>
      <c r="AC1827" s="1" t="n">
        <v>357892</v>
      </c>
    </row>
    <row r="1828" customFormat="false" ht="12.75" hidden="false" customHeight="true" outlineLevel="0" collapsed="false">
      <c r="A1828" s="1" t="n">
        <v>2</v>
      </c>
      <c r="B1828" s="17" t="n">
        <v>46256</v>
      </c>
      <c r="C1828" s="17" t="n">
        <v>46275</v>
      </c>
      <c r="D1828" s="1" t="n">
        <v>1713</v>
      </c>
      <c r="E1828" s="1" t="s">
        <v>75</v>
      </c>
      <c r="F1828" s="1" t="n">
        <v>46</v>
      </c>
      <c r="G1828" s="1" t="s">
        <v>323</v>
      </c>
      <c r="H1828" s="1" t="n">
        <v>2110405</v>
      </c>
      <c r="I1828" s="1" t="s">
        <v>55</v>
      </c>
      <c r="J1828" s="1" t="n">
        <v>1585399</v>
      </c>
      <c r="L1828" s="1" t="n">
        <v>216902</v>
      </c>
      <c r="M1828" s="1" t="s">
        <v>36</v>
      </c>
      <c r="N1828" s="1" t="s">
        <v>50</v>
      </c>
      <c r="P1828" s="1" t="n">
        <v>113</v>
      </c>
      <c r="Q1828" s="1" t="s">
        <v>38</v>
      </c>
      <c r="R1828" s="1" t="s">
        <v>70</v>
      </c>
      <c r="S1828" s="1" t="n">
        <v>4210227</v>
      </c>
      <c r="T1828" s="1" t="s">
        <v>77</v>
      </c>
      <c r="U1828" s="1" t="n">
        <v>79.8</v>
      </c>
      <c r="W1828" s="1" t="n">
        <v>0</v>
      </c>
      <c r="X1828" s="1" t="s">
        <v>1589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BARRA ROSCADA FERRO</v>
      </c>
      <c r="AC1828" s="1" t="n">
        <v>13976</v>
      </c>
    </row>
    <row r="1829" customFormat="false" ht="12.75" hidden="false" customHeight="true" outlineLevel="0" collapsed="false">
      <c r="A1829" s="1" t="n">
        <v>2</v>
      </c>
      <c r="B1829" s="17" t="n">
        <v>46256</v>
      </c>
      <c r="C1829" s="17" t="n">
        <v>46275</v>
      </c>
      <c r="D1829" s="1" t="n">
        <v>10106</v>
      </c>
      <c r="E1829" s="1" t="s">
        <v>1590</v>
      </c>
      <c r="F1829" s="1" t="n">
        <v>46</v>
      </c>
      <c r="G1829" s="1" t="s">
        <v>323</v>
      </c>
      <c r="H1829" s="1" t="n">
        <v>2110405</v>
      </c>
      <c r="I1829" s="1" t="s">
        <v>55</v>
      </c>
      <c r="J1829" s="1" t="n">
        <v>1585437</v>
      </c>
      <c r="L1829" s="1" t="n">
        <v>216905</v>
      </c>
      <c r="M1829" s="1" t="s">
        <v>36</v>
      </c>
      <c r="N1829" s="1" t="s">
        <v>50</v>
      </c>
      <c r="P1829" s="1" t="n">
        <v>113</v>
      </c>
      <c r="Q1829" s="1" t="s">
        <v>38</v>
      </c>
      <c r="R1829" s="1" t="s">
        <v>70</v>
      </c>
      <c r="S1829" s="1" t="n">
        <v>4210229</v>
      </c>
      <c r="T1829" s="1" t="s">
        <v>1090</v>
      </c>
      <c r="U1829" s="1" t="n">
        <v>203.8</v>
      </c>
      <c r="W1829" s="1" t="n">
        <v>0</v>
      </c>
      <c r="X1829" s="1" t="s">
        <v>1591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" t="n">
        <v>2</v>
      </c>
      <c r="B1830" s="17" t="n">
        <v>46260</v>
      </c>
      <c r="C1830" s="17" t="n">
        <v>46275</v>
      </c>
      <c r="D1830" s="1" t="n">
        <v>1672</v>
      </c>
      <c r="E1830" s="1" t="s">
        <v>340</v>
      </c>
      <c r="F1830" s="1" t="n">
        <v>24</v>
      </c>
      <c r="G1830" s="1" t="s">
        <v>91</v>
      </c>
      <c r="H1830" s="1" t="n">
        <v>2110405</v>
      </c>
      <c r="I1830" s="1" t="s">
        <v>55</v>
      </c>
      <c r="J1830" s="1" t="n">
        <v>1605100</v>
      </c>
      <c r="L1830" s="1" t="n">
        <v>219899</v>
      </c>
      <c r="M1830" s="1" t="s">
        <v>36</v>
      </c>
      <c r="N1830" s="1" t="s">
        <v>50</v>
      </c>
      <c r="P1830" s="1" t="n">
        <v>113</v>
      </c>
      <c r="Q1830" s="1" t="s">
        <v>38</v>
      </c>
      <c r="R1830" s="1" t="s">
        <v>62</v>
      </c>
      <c r="S1830" s="1" t="n">
        <v>1130101</v>
      </c>
      <c r="T1830" s="1" t="s">
        <v>63</v>
      </c>
      <c r="U1830" s="1" t="n">
        <v>1515.2</v>
      </c>
      <c r="W1830" s="1" t="n">
        <v>0</v>
      </c>
      <c r="X1830" s="1" t="s">
        <v>1592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AGUA MINE YARA 350ML</v>
      </c>
      <c r="AC1830" s="1" t="n">
        <v>1430146</v>
      </c>
    </row>
    <row r="1831" customFormat="false" ht="12.75" hidden="false" customHeight="true" outlineLevel="0" collapsed="false">
      <c r="A1831" s="1" t="n">
        <v>2</v>
      </c>
      <c r="B1831" s="17" t="n">
        <v>46260</v>
      </c>
      <c r="C1831" s="17" t="n">
        <v>46275</v>
      </c>
      <c r="D1831" s="1" t="n">
        <v>1835</v>
      </c>
      <c r="E1831" s="1" t="s">
        <v>1593</v>
      </c>
      <c r="F1831" s="1" t="n">
        <v>46</v>
      </c>
      <c r="G1831" s="1" t="s">
        <v>323</v>
      </c>
      <c r="H1831" s="1" t="n">
        <v>2110405</v>
      </c>
      <c r="I1831" s="1" t="s">
        <v>55</v>
      </c>
      <c r="J1831" s="1" t="n">
        <v>1605275</v>
      </c>
      <c r="L1831" s="1" t="n">
        <v>219925</v>
      </c>
      <c r="M1831" s="1" t="s">
        <v>36</v>
      </c>
      <c r="N1831" s="1" t="s">
        <v>50</v>
      </c>
      <c r="P1831" s="1" t="n">
        <v>113</v>
      </c>
      <c r="Q1831" s="1" t="s">
        <v>38</v>
      </c>
      <c r="R1831" s="1" t="s">
        <v>70</v>
      </c>
      <c r="S1831" s="1" t="n">
        <v>4210227</v>
      </c>
      <c r="T1831" s="1" t="s">
        <v>77</v>
      </c>
      <c r="U1831" s="1" t="n">
        <v>176.82</v>
      </c>
      <c r="W1831" s="1" t="n">
        <v>0</v>
      </c>
      <c r="X1831" s="1" t="s">
        <v>1594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TINTA ESMALTE FOSCO CITY 3L PRETO UN QTD</v>
      </c>
      <c r="AC1831" s="1" t="n">
        <v>110228</v>
      </c>
    </row>
    <row r="1832" customFormat="false" ht="12.75" hidden="false" customHeight="true" outlineLevel="0" collapsed="false">
      <c r="A1832" s="1" t="n">
        <v>2</v>
      </c>
      <c r="B1832" s="17" t="n">
        <v>46261</v>
      </c>
      <c r="C1832" s="17" t="n">
        <v>46275</v>
      </c>
      <c r="D1832" s="1" t="n">
        <v>1706</v>
      </c>
      <c r="E1832" s="1" t="s">
        <v>1595</v>
      </c>
      <c r="F1832" s="1" t="n">
        <v>24</v>
      </c>
      <c r="G1832" s="1" t="s">
        <v>91</v>
      </c>
      <c r="H1832" s="1" t="n">
        <v>2110405</v>
      </c>
      <c r="I1832" s="1" t="s">
        <v>55</v>
      </c>
      <c r="J1832" s="1" t="n">
        <v>1608551</v>
      </c>
      <c r="L1832" s="1" t="n">
        <v>220369</v>
      </c>
      <c r="M1832" s="1" t="s">
        <v>36</v>
      </c>
      <c r="N1832" s="1" t="s">
        <v>50</v>
      </c>
      <c r="P1832" s="1" t="n">
        <v>113</v>
      </c>
      <c r="Q1832" s="1" t="s">
        <v>38</v>
      </c>
      <c r="R1832" s="1" t="s">
        <v>62</v>
      </c>
      <c r="S1832" s="1" t="n">
        <v>1130101</v>
      </c>
      <c r="T1832" s="1" t="s">
        <v>63</v>
      </c>
      <c r="U1832" s="1" t="n">
        <v>805.4</v>
      </c>
      <c r="W1832" s="1" t="n">
        <v>0</v>
      </c>
      <c r="X1832" s="1" t="s">
        <v>1596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BATATA PRINGLES ORIGINAL 104G</v>
      </c>
      <c r="AC1832" s="1" t="n">
        <v>206697</v>
      </c>
    </row>
    <row r="1833" customFormat="false" ht="12.75" hidden="false" customHeight="true" outlineLevel="0" collapsed="false">
      <c r="A1833" s="1" t="n">
        <v>2</v>
      </c>
      <c r="B1833" s="17" t="n">
        <v>46261</v>
      </c>
      <c r="C1833" s="17" t="n">
        <v>46275</v>
      </c>
      <c r="D1833" s="1" t="n">
        <v>1134</v>
      </c>
      <c r="E1833" s="1" t="s">
        <v>1597</v>
      </c>
      <c r="F1833" s="1" t="n">
        <v>46</v>
      </c>
      <c r="G1833" s="1" t="s">
        <v>323</v>
      </c>
      <c r="H1833" s="1" t="n">
        <v>2110405</v>
      </c>
      <c r="I1833" s="1" t="s">
        <v>55</v>
      </c>
      <c r="J1833" s="1" t="n">
        <v>1608652</v>
      </c>
      <c r="L1833" s="1" t="n">
        <v>220390</v>
      </c>
      <c r="M1833" s="1" t="s">
        <v>36</v>
      </c>
      <c r="N1833" s="1" t="s">
        <v>50</v>
      </c>
      <c r="P1833" s="1" t="n">
        <v>113</v>
      </c>
      <c r="Q1833" s="1" t="s">
        <v>38</v>
      </c>
      <c r="R1833" s="1" t="s">
        <v>70</v>
      </c>
      <c r="S1833" s="1" t="n">
        <v>4210227</v>
      </c>
      <c r="T1833" s="1" t="s">
        <v>77</v>
      </c>
      <c r="U1833" s="1" t="n">
        <v>100</v>
      </c>
      <c r="W1833" s="1" t="n">
        <v>0</v>
      </c>
      <c r="X1833" s="1" t="s">
        <v>1598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" t="n">
        <v>2</v>
      </c>
      <c r="B1834" s="17" t="n">
        <v>46261</v>
      </c>
      <c r="C1834" s="17" t="n">
        <v>46275</v>
      </c>
      <c r="D1834" s="1" t="n">
        <v>1643</v>
      </c>
      <c r="E1834" s="1" t="s">
        <v>198</v>
      </c>
      <c r="F1834" s="1" t="n">
        <v>24</v>
      </c>
      <c r="G1834" s="1" t="s">
        <v>91</v>
      </c>
      <c r="H1834" s="1" t="n">
        <v>2110405</v>
      </c>
      <c r="I1834" s="1" t="s">
        <v>55</v>
      </c>
      <c r="J1834" s="1" t="n">
        <v>1608890</v>
      </c>
      <c r="L1834" s="1" t="n">
        <v>220447</v>
      </c>
      <c r="M1834" s="1" t="s">
        <v>36</v>
      </c>
      <c r="N1834" s="1" t="s">
        <v>50</v>
      </c>
      <c r="P1834" s="1" t="n">
        <v>113</v>
      </c>
      <c r="Q1834" s="1" t="s">
        <v>38</v>
      </c>
      <c r="R1834" s="1" t="s">
        <v>62</v>
      </c>
      <c r="S1834" s="1" t="n">
        <v>1130101</v>
      </c>
      <c r="T1834" s="1" t="s">
        <v>63</v>
      </c>
      <c r="U1834" s="1" t="n">
        <v>228</v>
      </c>
      <c r="W1834" s="1" t="n">
        <v>0</v>
      </c>
      <c r="X1834" s="1" t="s">
        <v>1599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COCADA CASMORENINH</v>
      </c>
      <c r="AC1834" s="1" t="n">
        <v>10951</v>
      </c>
    </row>
    <row r="1835" customFormat="false" ht="12.75" hidden="false" customHeight="true" outlineLevel="0" collapsed="false">
      <c r="A1835" s="1" t="n">
        <v>2</v>
      </c>
      <c r="B1835" s="17" t="n">
        <v>46261</v>
      </c>
      <c r="C1835" s="17" t="n">
        <v>46275</v>
      </c>
      <c r="D1835" s="1" t="n">
        <v>1270</v>
      </c>
      <c r="E1835" s="1" t="s">
        <v>925</v>
      </c>
      <c r="F1835" s="1" t="n">
        <v>24</v>
      </c>
      <c r="G1835" s="1" t="s">
        <v>91</v>
      </c>
      <c r="H1835" s="1" t="n">
        <v>2110405</v>
      </c>
      <c r="I1835" s="1" t="s">
        <v>55</v>
      </c>
      <c r="J1835" s="1" t="n">
        <v>1609996</v>
      </c>
      <c r="L1835" s="1" t="n">
        <v>220684</v>
      </c>
      <c r="M1835" s="1" t="s">
        <v>36</v>
      </c>
      <c r="N1835" s="1" t="s">
        <v>50</v>
      </c>
      <c r="P1835" s="1" t="n">
        <v>113</v>
      </c>
      <c r="Q1835" s="1" t="s">
        <v>38</v>
      </c>
      <c r="R1835" s="1" t="s">
        <v>62</v>
      </c>
      <c r="S1835" s="1" t="n">
        <v>1130101</v>
      </c>
      <c r="T1835" s="1" t="s">
        <v>63</v>
      </c>
      <c r="U1835" s="1" t="n">
        <v>190</v>
      </c>
      <c r="W1835" s="1" t="n">
        <v>0</v>
      </c>
      <c r="X1835" s="1" t="s">
        <v>1600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PASTA DE ALHO 200G</v>
      </c>
      <c r="AC1835" s="1" t="n">
        <v>2859</v>
      </c>
    </row>
    <row r="1836" customFormat="false" ht="12.75" hidden="false" customHeight="true" outlineLevel="0" collapsed="false">
      <c r="A1836" s="1" t="n">
        <v>2</v>
      </c>
      <c r="B1836" s="17" t="n">
        <v>46262</v>
      </c>
      <c r="C1836" s="17" t="n">
        <v>46275</v>
      </c>
      <c r="D1836" s="1" t="n">
        <v>1695</v>
      </c>
      <c r="E1836" s="1" t="s">
        <v>392</v>
      </c>
      <c r="F1836" s="1" t="n">
        <v>24</v>
      </c>
      <c r="G1836" s="1" t="s">
        <v>91</v>
      </c>
      <c r="H1836" s="1" t="n">
        <v>2110405</v>
      </c>
      <c r="I1836" s="1" t="s">
        <v>55</v>
      </c>
      <c r="J1836" s="1" t="n">
        <v>1613806</v>
      </c>
      <c r="L1836" s="1" t="n">
        <v>221286</v>
      </c>
      <c r="M1836" s="1" t="s">
        <v>36</v>
      </c>
      <c r="N1836" s="1" t="s">
        <v>50</v>
      </c>
      <c r="P1836" s="1" t="n">
        <v>113</v>
      </c>
      <c r="Q1836" s="1" t="s">
        <v>38</v>
      </c>
      <c r="R1836" s="1" t="s">
        <v>62</v>
      </c>
      <c r="S1836" s="1" t="n">
        <v>1130101</v>
      </c>
      <c r="T1836" s="1" t="s">
        <v>63</v>
      </c>
      <c r="U1836" s="1" t="n">
        <v>1063.84</v>
      </c>
      <c r="W1836" s="1" t="n">
        <v>0</v>
      </c>
      <c r="X1836" s="1" t="s">
        <v>1537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20104</v>
      </c>
    </row>
    <row r="1837" customFormat="false" ht="12.75" hidden="false" customHeight="true" outlineLevel="0" collapsed="false">
      <c r="A1837" s="1" t="n">
        <v>2</v>
      </c>
      <c r="B1837" s="17" t="n">
        <v>46262</v>
      </c>
      <c r="C1837" s="17" t="n">
        <v>46275</v>
      </c>
      <c r="D1837" s="1" t="n">
        <v>1196</v>
      </c>
      <c r="E1837" s="1" t="s">
        <v>1423</v>
      </c>
      <c r="F1837" s="1" t="n">
        <v>24</v>
      </c>
      <c r="G1837" s="1" t="s">
        <v>91</v>
      </c>
      <c r="H1837" s="1" t="n">
        <v>2110405</v>
      </c>
      <c r="I1837" s="1" t="s">
        <v>55</v>
      </c>
      <c r="J1837" s="1" t="n">
        <v>1614552</v>
      </c>
      <c r="L1837" s="1" t="n">
        <v>221460</v>
      </c>
      <c r="M1837" s="1" t="s">
        <v>36</v>
      </c>
      <c r="N1837" s="1" t="s">
        <v>50</v>
      </c>
      <c r="P1837" s="1" t="n">
        <v>113</v>
      </c>
      <c r="Q1837" s="1" t="s">
        <v>38</v>
      </c>
      <c r="R1837" s="1" t="s">
        <v>62</v>
      </c>
      <c r="S1837" s="1" t="n">
        <v>1130101</v>
      </c>
      <c r="T1837" s="1" t="s">
        <v>63</v>
      </c>
      <c r="U1837" s="1" t="n">
        <v>1213.95</v>
      </c>
      <c r="W1837" s="1" t="n">
        <v>0</v>
      </c>
      <c r="X1837" s="1" t="s">
        <v>1601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CAFÉ RANCHEIRO 250G</v>
      </c>
      <c r="AC1837" s="1" t="n">
        <v>13070</v>
      </c>
    </row>
    <row r="1838" customFormat="false" ht="12.75" hidden="false" customHeight="true" outlineLevel="0" collapsed="false">
      <c r="A1838" s="1" t="n">
        <v>2</v>
      </c>
      <c r="B1838" s="17" t="n">
        <v>46263</v>
      </c>
      <c r="C1838" s="17" t="n">
        <v>46275</v>
      </c>
      <c r="D1838" s="1" t="n">
        <v>10090</v>
      </c>
      <c r="E1838" s="1" t="s">
        <v>1539</v>
      </c>
      <c r="F1838" s="1" t="n">
        <v>24</v>
      </c>
      <c r="G1838" s="1" t="s">
        <v>91</v>
      </c>
      <c r="H1838" s="1" t="n">
        <v>2110405</v>
      </c>
      <c r="I1838" s="1" t="s">
        <v>55</v>
      </c>
      <c r="J1838" s="1" t="n">
        <v>1618583</v>
      </c>
      <c r="L1838" s="1" t="n">
        <v>221972</v>
      </c>
      <c r="M1838" s="1" t="s">
        <v>36</v>
      </c>
      <c r="N1838" s="1" t="s">
        <v>50</v>
      </c>
      <c r="P1838" s="1" t="n">
        <v>113</v>
      </c>
      <c r="Q1838" s="1" t="s">
        <v>38</v>
      </c>
      <c r="R1838" s="1" t="s">
        <v>62</v>
      </c>
      <c r="S1838" s="1" t="n">
        <v>1130101</v>
      </c>
      <c r="T1838" s="1" t="s">
        <v>63</v>
      </c>
      <c r="U1838" s="1" t="n">
        <v>1012.43</v>
      </c>
      <c r="W1838" s="1" t="n">
        <v>0</v>
      </c>
      <c r="X1838" s="1" t="s">
        <v>453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299</v>
      </c>
    </row>
    <row r="1839" customFormat="false" ht="12.75" hidden="false" customHeight="true" outlineLevel="0" collapsed="false">
      <c r="A1839" s="1" t="n">
        <v>2</v>
      </c>
      <c r="B1839" s="17" t="n">
        <v>46268</v>
      </c>
      <c r="C1839" s="17" t="n">
        <v>46275</v>
      </c>
      <c r="D1839" s="1" t="n">
        <v>1363</v>
      </c>
      <c r="E1839" s="1" t="s">
        <v>187</v>
      </c>
      <c r="F1839" s="1" t="n">
        <v>24</v>
      </c>
      <c r="G1839" s="1" t="s">
        <v>91</v>
      </c>
      <c r="H1839" s="1" t="n">
        <v>2110405</v>
      </c>
      <c r="I1839" s="1" t="s">
        <v>55</v>
      </c>
      <c r="J1839" s="1" t="n">
        <v>1647846</v>
      </c>
      <c r="L1839" s="1" t="n">
        <v>226313</v>
      </c>
      <c r="M1839" s="1" t="s">
        <v>36</v>
      </c>
      <c r="N1839" s="1" t="s">
        <v>50</v>
      </c>
      <c r="P1839" s="1" t="n">
        <v>113</v>
      </c>
      <c r="Q1839" s="1" t="s">
        <v>38</v>
      </c>
      <c r="R1839" s="1" t="s">
        <v>62</v>
      </c>
      <c r="S1839" s="1" t="n">
        <v>1130101</v>
      </c>
      <c r="T1839" s="1" t="s">
        <v>63</v>
      </c>
      <c r="U1839" s="1" t="n">
        <v>125</v>
      </c>
      <c r="W1839" s="1" t="n">
        <v>0</v>
      </c>
      <c r="X1839" s="1" t="s">
        <v>1602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PAO BOLINHA SANTO PAO</v>
      </c>
      <c r="AC1839" s="1" t="n">
        <v>3867</v>
      </c>
    </row>
    <row r="1840" customFormat="false" ht="12.75" hidden="false" customHeight="true" outlineLevel="0" collapsed="false">
      <c r="A1840" s="1" t="n">
        <v>2</v>
      </c>
      <c r="B1840" s="17" t="n">
        <v>46269</v>
      </c>
      <c r="C1840" s="17" t="n">
        <v>46275</v>
      </c>
      <c r="D1840" s="1" t="n">
        <v>10018</v>
      </c>
      <c r="E1840" s="1" t="s">
        <v>243</v>
      </c>
      <c r="F1840" s="1" t="n">
        <v>34</v>
      </c>
      <c r="G1840" s="1" t="s">
        <v>110</v>
      </c>
      <c r="H1840" s="1" t="n">
        <v>2110405</v>
      </c>
      <c r="I1840" s="1" t="s">
        <v>55</v>
      </c>
      <c r="J1840" s="1" t="n">
        <v>1653370</v>
      </c>
      <c r="L1840" s="1" t="n">
        <v>227145</v>
      </c>
      <c r="M1840" s="1" t="s">
        <v>36</v>
      </c>
      <c r="N1840" s="1" t="s">
        <v>50</v>
      </c>
      <c r="P1840" s="1" t="n">
        <v>113</v>
      </c>
      <c r="Q1840" s="1" t="s">
        <v>38</v>
      </c>
      <c r="R1840" s="1" t="s">
        <v>62</v>
      </c>
      <c r="S1840" s="1" t="n">
        <v>1130101</v>
      </c>
      <c r="T1840" s="1" t="s">
        <v>63</v>
      </c>
      <c r="U1840" s="1" t="n">
        <v>1045</v>
      </c>
      <c r="W1840" s="1" t="n">
        <v>0</v>
      </c>
      <c r="X1840" s="1" t="s">
        <v>1603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TRIGO TRIGOLAR SF 1K</v>
      </c>
      <c r="AC1840" s="1" t="n">
        <v>378</v>
      </c>
    </row>
    <row r="1841" customFormat="false" ht="12.75" hidden="false" customHeight="true" outlineLevel="0" collapsed="false">
      <c r="A1841" s="1" t="n">
        <v>2</v>
      </c>
      <c r="B1841" s="17" t="n">
        <v>46269</v>
      </c>
      <c r="C1841" s="17" t="n">
        <v>46275</v>
      </c>
      <c r="D1841" s="1" t="n">
        <v>1625</v>
      </c>
      <c r="E1841" s="1" t="s">
        <v>272</v>
      </c>
      <c r="F1841" s="1" t="n">
        <v>24</v>
      </c>
      <c r="G1841" s="1" t="s">
        <v>91</v>
      </c>
      <c r="H1841" s="1" t="n">
        <v>2110405</v>
      </c>
      <c r="I1841" s="1" t="s">
        <v>55</v>
      </c>
      <c r="J1841" s="1" t="n">
        <v>1653478</v>
      </c>
      <c r="L1841" s="1" t="n">
        <v>227162</v>
      </c>
      <c r="M1841" s="1" t="s">
        <v>36</v>
      </c>
      <c r="N1841" s="1" t="s">
        <v>50</v>
      </c>
      <c r="P1841" s="1" t="n">
        <v>113</v>
      </c>
      <c r="Q1841" s="1" t="s">
        <v>38</v>
      </c>
      <c r="R1841" s="1" t="s">
        <v>62</v>
      </c>
      <c r="S1841" s="1" t="n">
        <v>1130101</v>
      </c>
      <c r="T1841" s="1" t="s">
        <v>63</v>
      </c>
      <c r="U1841" s="1" t="n">
        <v>4057.6</v>
      </c>
      <c r="W1841" s="1" t="n">
        <v>0</v>
      </c>
      <c r="X1841" s="1" t="s">
        <v>1604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nao encontrado</v>
      </c>
      <c r="AC1841" s="1" t="n">
        <v>15256</v>
      </c>
    </row>
    <row r="1842" customFormat="false" ht="12.75" hidden="false" customHeight="true" outlineLevel="0" collapsed="false">
      <c r="A1842" s="1" t="n">
        <v>2</v>
      </c>
      <c r="B1842" s="17" t="n">
        <v>46256</v>
      </c>
      <c r="C1842" s="17" t="n">
        <v>46276</v>
      </c>
      <c r="D1842" s="1" t="n">
        <v>1666</v>
      </c>
      <c r="E1842" s="1" t="s">
        <v>229</v>
      </c>
      <c r="F1842" s="1" t="n">
        <v>24</v>
      </c>
      <c r="G1842" s="1" t="s">
        <v>91</v>
      </c>
      <c r="H1842" s="1" t="n">
        <v>2110405</v>
      </c>
      <c r="I1842" s="1" t="s">
        <v>55</v>
      </c>
      <c r="J1842" s="1" t="n">
        <v>1585303</v>
      </c>
      <c r="L1842" s="1" t="n">
        <v>216891</v>
      </c>
      <c r="M1842" s="1" t="s">
        <v>36</v>
      </c>
      <c r="N1842" s="1" t="s">
        <v>50</v>
      </c>
      <c r="P1842" s="1" t="n">
        <v>113</v>
      </c>
      <c r="Q1842" s="1" t="s">
        <v>38</v>
      </c>
      <c r="R1842" s="1" t="s">
        <v>62</v>
      </c>
      <c r="S1842" s="1" t="n">
        <v>1130101</v>
      </c>
      <c r="T1842" s="1" t="s">
        <v>63</v>
      </c>
      <c r="U1842" s="1" t="n">
        <v>5894.1</v>
      </c>
      <c r="W1842" s="1" t="n">
        <v>0</v>
      </c>
      <c r="X1842" s="1" t="s">
        <v>1439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DUNHILL CARLTON BLEN</v>
      </c>
      <c r="AC1842" s="1" t="n">
        <v>570907</v>
      </c>
    </row>
    <row r="1843" customFormat="false" ht="12.75" hidden="false" customHeight="true" outlineLevel="0" collapsed="false">
      <c r="A1843" s="1" t="n">
        <v>2</v>
      </c>
      <c r="B1843" s="17" t="n">
        <v>46262</v>
      </c>
      <c r="C1843" s="17" t="n">
        <v>46276</v>
      </c>
      <c r="D1843" s="1" t="n">
        <v>10002</v>
      </c>
      <c r="E1843" s="1" t="s">
        <v>196</v>
      </c>
      <c r="F1843" s="1" t="n">
        <v>24</v>
      </c>
      <c r="G1843" s="1" t="s">
        <v>91</v>
      </c>
      <c r="H1843" s="1" t="n">
        <v>2110405</v>
      </c>
      <c r="I1843" s="1" t="s">
        <v>55</v>
      </c>
      <c r="J1843" s="1" t="n">
        <v>1614688</v>
      </c>
      <c r="L1843" s="1" t="n">
        <v>221482</v>
      </c>
      <c r="M1843" s="1" t="s">
        <v>36</v>
      </c>
      <c r="N1843" s="1" t="s">
        <v>50</v>
      </c>
      <c r="P1843" s="1" t="n">
        <v>113</v>
      </c>
      <c r="Q1843" s="1" t="s">
        <v>38</v>
      </c>
      <c r="R1843" s="1" t="s">
        <v>62</v>
      </c>
      <c r="S1843" s="1" t="n">
        <v>1130101</v>
      </c>
      <c r="T1843" s="1" t="s">
        <v>63</v>
      </c>
      <c r="U1843" s="1" t="n">
        <v>624.41</v>
      </c>
      <c r="W1843" s="1" t="n">
        <v>0</v>
      </c>
      <c r="X1843" s="1" t="s">
        <v>1605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POLPA MANGA BRASFRUT</v>
      </c>
      <c r="AC1843" s="1" t="n">
        <v>197945</v>
      </c>
    </row>
    <row r="1844" customFormat="false" ht="12.75" hidden="false" customHeight="true" outlineLevel="0" collapsed="false">
      <c r="A1844" s="1" t="n">
        <v>2</v>
      </c>
      <c r="B1844" s="17" t="n">
        <v>46265</v>
      </c>
      <c r="C1844" s="17" t="n">
        <v>46276</v>
      </c>
      <c r="D1844" s="1" t="n">
        <v>1616</v>
      </c>
      <c r="E1844" s="1" t="s">
        <v>94</v>
      </c>
      <c r="F1844" s="1" t="n">
        <v>24</v>
      </c>
      <c r="G1844" s="1" t="s">
        <v>91</v>
      </c>
      <c r="H1844" s="1" t="n">
        <v>2110405</v>
      </c>
      <c r="I1844" s="1" t="s">
        <v>55</v>
      </c>
      <c r="J1844" s="1" t="n">
        <v>1629531</v>
      </c>
      <c r="L1844" s="1" t="n">
        <v>223542</v>
      </c>
      <c r="M1844" s="1" t="s">
        <v>36</v>
      </c>
      <c r="N1844" s="1" t="s">
        <v>50</v>
      </c>
      <c r="P1844" s="1" t="n">
        <v>113</v>
      </c>
      <c r="Q1844" s="1" t="s">
        <v>38</v>
      </c>
      <c r="R1844" s="1" t="s">
        <v>62</v>
      </c>
      <c r="S1844" s="1" t="n">
        <v>1130101</v>
      </c>
      <c r="T1844" s="1" t="s">
        <v>63</v>
      </c>
      <c r="U1844" s="1" t="n">
        <v>610.2</v>
      </c>
      <c r="W1844" s="1" t="n">
        <v>0</v>
      </c>
      <c r="X1844" s="1" t="s">
        <v>1606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ESPONJA BRILHUS 1UNI</v>
      </c>
      <c r="AC1844" s="1" t="n">
        <v>656817</v>
      </c>
    </row>
    <row r="1845" customFormat="false" ht="12.75" hidden="false" customHeight="true" outlineLevel="0" collapsed="false">
      <c r="A1845" s="1" t="n">
        <v>2</v>
      </c>
      <c r="B1845" s="17" t="n">
        <v>46269</v>
      </c>
      <c r="C1845" s="17" t="n">
        <v>46276</v>
      </c>
      <c r="D1845" s="1" t="n">
        <v>911</v>
      </c>
      <c r="E1845" s="1" t="s">
        <v>477</v>
      </c>
      <c r="F1845" s="1" t="n">
        <v>24</v>
      </c>
      <c r="G1845" s="1" t="s">
        <v>91</v>
      </c>
      <c r="H1845" s="1" t="n">
        <v>2110405</v>
      </c>
      <c r="I1845" s="1" t="s">
        <v>55</v>
      </c>
      <c r="J1845" s="1" t="n">
        <v>1652166</v>
      </c>
      <c r="L1845" s="1" t="n">
        <v>226960</v>
      </c>
      <c r="M1845" s="1" t="s">
        <v>36</v>
      </c>
      <c r="N1845" s="1" t="s">
        <v>50</v>
      </c>
      <c r="P1845" s="1" t="n">
        <v>113</v>
      </c>
      <c r="Q1845" s="1" t="s">
        <v>38</v>
      </c>
      <c r="R1845" s="1" t="s">
        <v>62</v>
      </c>
      <c r="S1845" s="1" t="n">
        <v>1130101</v>
      </c>
      <c r="T1845" s="1" t="s">
        <v>63</v>
      </c>
      <c r="U1845" s="1" t="n">
        <v>247.55</v>
      </c>
      <c r="W1845" s="1" t="n">
        <v>0</v>
      </c>
      <c r="X1845" s="1" t="s">
        <v>1607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PURAGUA SODA COM GAS</v>
      </c>
      <c r="AC1845" s="1" t="n">
        <v>58376</v>
      </c>
    </row>
    <row r="1846" customFormat="false" ht="12.75" hidden="false" customHeight="true" outlineLevel="0" collapsed="false">
      <c r="A1846" s="1" t="n">
        <v>2</v>
      </c>
      <c r="B1846" s="17" t="n">
        <v>46269</v>
      </c>
      <c r="C1846" s="17" t="n">
        <v>46276</v>
      </c>
      <c r="D1846" s="1" t="n">
        <v>1608</v>
      </c>
      <c r="E1846" s="1" t="s">
        <v>224</v>
      </c>
      <c r="F1846" s="1" t="n">
        <v>24</v>
      </c>
      <c r="G1846" s="1" t="s">
        <v>91</v>
      </c>
      <c r="H1846" s="1" t="n">
        <v>2110405</v>
      </c>
      <c r="I1846" s="1" t="s">
        <v>55</v>
      </c>
      <c r="J1846" s="1" t="n">
        <v>1652225</v>
      </c>
      <c r="L1846" s="1" t="n">
        <v>226976</v>
      </c>
      <c r="M1846" s="1" t="s">
        <v>36</v>
      </c>
      <c r="N1846" s="1" t="s">
        <v>50</v>
      </c>
      <c r="P1846" s="1" t="n">
        <v>113</v>
      </c>
      <c r="Q1846" s="1" t="s">
        <v>38</v>
      </c>
      <c r="R1846" s="1" t="s">
        <v>62</v>
      </c>
      <c r="S1846" s="1" t="n">
        <v>1130101</v>
      </c>
      <c r="T1846" s="1" t="s">
        <v>63</v>
      </c>
      <c r="U1846" s="1" t="n">
        <v>832.2</v>
      </c>
      <c r="W1846" s="1" t="n">
        <v>0</v>
      </c>
      <c r="X1846" s="1" t="s">
        <v>1608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DANONE GREGO UNID FR</v>
      </c>
      <c r="AC1846" s="1" t="n">
        <v>1724730</v>
      </c>
    </row>
    <row r="1847" customFormat="false" ht="12.75" hidden="false" customHeight="true" outlineLevel="0" collapsed="false">
      <c r="A1847" s="1" t="n">
        <v>2</v>
      </c>
      <c r="B1847" s="17" t="n">
        <v>46269</v>
      </c>
      <c r="C1847" s="17" t="n">
        <v>46276</v>
      </c>
      <c r="D1847" s="1" t="n">
        <v>1815</v>
      </c>
      <c r="E1847" s="1" t="s">
        <v>180</v>
      </c>
      <c r="F1847" s="1" t="n">
        <v>24</v>
      </c>
      <c r="G1847" s="1" t="s">
        <v>91</v>
      </c>
      <c r="H1847" s="1" t="n">
        <v>2110405</v>
      </c>
      <c r="I1847" s="1" t="s">
        <v>55</v>
      </c>
      <c r="J1847" s="1" t="n">
        <v>1652435</v>
      </c>
      <c r="L1847" s="1" t="n">
        <v>227015</v>
      </c>
      <c r="M1847" s="1" t="s">
        <v>36</v>
      </c>
      <c r="N1847" s="1" t="s">
        <v>50</v>
      </c>
      <c r="P1847" s="1" t="n">
        <v>113</v>
      </c>
      <c r="Q1847" s="1" t="s">
        <v>38</v>
      </c>
      <c r="R1847" s="1" t="s">
        <v>62</v>
      </c>
      <c r="S1847" s="1" t="n">
        <v>1130101</v>
      </c>
      <c r="T1847" s="1" t="s">
        <v>63</v>
      </c>
      <c r="U1847" s="1" t="n">
        <v>474.45</v>
      </c>
      <c r="W1847" s="1" t="n">
        <v>0</v>
      </c>
      <c r="X1847" s="1" t="s">
        <v>1609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COXINHA DA ASA KG</v>
      </c>
      <c r="AC1847" s="1" t="n">
        <v>401423</v>
      </c>
    </row>
    <row r="1848" customFormat="false" ht="12.75" hidden="false" customHeight="true" outlineLevel="0" collapsed="false">
      <c r="A1848" s="1" t="n">
        <v>2</v>
      </c>
      <c r="B1848" s="17" t="n">
        <v>46265</v>
      </c>
      <c r="C1848" s="17" t="n">
        <v>46276</v>
      </c>
      <c r="D1848" s="1" t="n">
        <v>1000054</v>
      </c>
      <c r="E1848" s="1" t="s">
        <v>1610</v>
      </c>
      <c r="F1848" s="1" t="n">
        <v>26</v>
      </c>
      <c r="G1848" s="1" t="s">
        <v>1611</v>
      </c>
      <c r="H1848" s="1" t="n">
        <v>2110701</v>
      </c>
      <c r="I1848" s="1" t="s">
        <v>1612</v>
      </c>
      <c r="J1848" s="1" t="n">
        <v>1652675</v>
      </c>
      <c r="L1848" s="1" t="n">
        <v>227051</v>
      </c>
      <c r="M1848" s="1" t="s">
        <v>36</v>
      </c>
      <c r="N1848" s="1" t="s">
        <v>1613</v>
      </c>
      <c r="P1848" s="1" t="n">
        <v>113</v>
      </c>
      <c r="Q1848" s="1" t="s">
        <v>38</v>
      </c>
      <c r="R1848" s="1" t="s">
        <v>1366</v>
      </c>
      <c r="S1848" s="1" t="n">
        <v>3110302</v>
      </c>
      <c r="T1848" s="1" t="s">
        <v>1614</v>
      </c>
      <c r="U1848" s="1" t="n">
        <v>3313.57</v>
      </c>
      <c r="W1848" s="1" t="n">
        <v>0</v>
      </c>
      <c r="X1848" s="1" t="s">
        <v>1615</v>
      </c>
      <c r="Z1848" s="1" t="str">
        <f aca="false">IF($T1848="","",IFERROR(INDEX('Resumo Grupos'!$AC$3:$AC$200,MATCH($T1848,'Resumo Grupos'!$AB$3:$AB$200,0)),"n/d"))</f>
        <v>Impostos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" t="n">
        <v>2</v>
      </c>
      <c r="B1849" s="17" t="n">
        <v>46248</v>
      </c>
      <c r="C1849" s="17" t="n">
        <v>46277</v>
      </c>
      <c r="D1849" s="1" t="n">
        <v>1718</v>
      </c>
      <c r="E1849" s="1" t="s">
        <v>222</v>
      </c>
      <c r="F1849" s="1" t="n">
        <v>24</v>
      </c>
      <c r="G1849" s="1" t="s">
        <v>91</v>
      </c>
      <c r="H1849" s="1" t="n">
        <v>2110405</v>
      </c>
      <c r="I1849" s="1" t="s">
        <v>55</v>
      </c>
      <c r="J1849" s="1" t="n">
        <v>1547763</v>
      </c>
      <c r="L1849" s="1" t="n">
        <v>211395</v>
      </c>
      <c r="M1849" s="1" t="s">
        <v>36</v>
      </c>
      <c r="N1849" s="1" t="s">
        <v>50</v>
      </c>
      <c r="P1849" s="1" t="n">
        <v>113</v>
      </c>
      <c r="Q1849" s="1" t="s">
        <v>38</v>
      </c>
      <c r="R1849" s="1" t="s">
        <v>62</v>
      </c>
      <c r="S1849" s="1" t="n">
        <v>1130101</v>
      </c>
      <c r="T1849" s="1" t="s">
        <v>63</v>
      </c>
      <c r="U1849" s="1" t="n">
        <v>706.55</v>
      </c>
      <c r="W1849" s="1" t="n">
        <v>0</v>
      </c>
      <c r="X1849" s="1" t="s">
        <v>1451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CAFE PILAO 250G</v>
      </c>
      <c r="AC1849" s="1" t="n">
        <v>689222</v>
      </c>
    </row>
    <row r="1850" customFormat="false" ht="12.75" hidden="false" customHeight="true" outlineLevel="0" collapsed="false">
      <c r="A1850" s="1" t="n">
        <v>2</v>
      </c>
      <c r="B1850" s="17" t="n">
        <v>46249</v>
      </c>
      <c r="C1850" s="17" t="n">
        <v>46277</v>
      </c>
      <c r="D1850" s="1" t="n">
        <v>1718</v>
      </c>
      <c r="E1850" s="1" t="s">
        <v>222</v>
      </c>
      <c r="F1850" s="1" t="n">
        <v>24</v>
      </c>
      <c r="G1850" s="1" t="s">
        <v>91</v>
      </c>
      <c r="H1850" s="1" t="n">
        <v>2110405</v>
      </c>
      <c r="I1850" s="1" t="s">
        <v>55</v>
      </c>
      <c r="J1850" s="1" t="n">
        <v>1551508</v>
      </c>
      <c r="L1850" s="1" t="n">
        <v>211719</v>
      </c>
      <c r="M1850" s="1" t="s">
        <v>36</v>
      </c>
      <c r="N1850" s="1" t="s">
        <v>50</v>
      </c>
      <c r="P1850" s="1" t="n">
        <v>113</v>
      </c>
      <c r="Q1850" s="1" t="s">
        <v>38</v>
      </c>
      <c r="R1850" s="1" t="s">
        <v>62</v>
      </c>
      <c r="S1850" s="1" t="n">
        <v>1130101</v>
      </c>
      <c r="T1850" s="1" t="s">
        <v>63</v>
      </c>
      <c r="U1850" s="1" t="n">
        <v>1422.68</v>
      </c>
      <c r="W1850" s="1" t="n">
        <v>0</v>
      </c>
      <c r="X1850" s="1" t="s">
        <v>1452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TRIDENT CANELA</v>
      </c>
      <c r="AC1850" s="1" t="n">
        <v>689224</v>
      </c>
    </row>
    <row r="1851" customFormat="false" ht="12.75" hidden="false" customHeight="true" outlineLevel="0" collapsed="false">
      <c r="A1851" s="1" t="n">
        <v>2</v>
      </c>
      <c r="B1851" s="17" t="n">
        <v>46261</v>
      </c>
      <c r="C1851" s="17" t="n">
        <v>46277</v>
      </c>
      <c r="D1851" s="1" t="n">
        <v>1671</v>
      </c>
      <c r="E1851" s="1" t="s">
        <v>101</v>
      </c>
      <c r="F1851" s="1" t="n">
        <v>24</v>
      </c>
      <c r="G1851" s="1" t="s">
        <v>91</v>
      </c>
      <c r="H1851" s="1" t="n">
        <v>2110405</v>
      </c>
      <c r="I1851" s="1" t="s">
        <v>55</v>
      </c>
      <c r="J1851" s="1" t="n">
        <v>1610059</v>
      </c>
      <c r="L1851" s="1" t="n">
        <v>220696</v>
      </c>
      <c r="M1851" s="1" t="s">
        <v>36</v>
      </c>
      <c r="N1851" s="1" t="s">
        <v>50</v>
      </c>
      <c r="P1851" s="1" t="n">
        <v>113</v>
      </c>
      <c r="Q1851" s="1" t="s">
        <v>38</v>
      </c>
      <c r="R1851" s="1" t="s">
        <v>62</v>
      </c>
      <c r="S1851" s="1" t="n">
        <v>1130101</v>
      </c>
      <c r="T1851" s="1" t="s">
        <v>63</v>
      </c>
      <c r="U1851" s="1" t="n">
        <v>271.46</v>
      </c>
      <c r="W1851" s="1" t="n">
        <v>0</v>
      </c>
      <c r="X1851" s="1" t="s">
        <v>1616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AER NIVEA DRY 150ML</v>
      </c>
      <c r="AC1851" s="1" t="n">
        <v>588254</v>
      </c>
    </row>
    <row r="1852" customFormat="false" ht="12.75" hidden="false" customHeight="true" outlineLevel="0" collapsed="false">
      <c r="A1852" s="1" t="n">
        <v>2</v>
      </c>
      <c r="B1852" s="17" t="n">
        <v>46269</v>
      </c>
      <c r="C1852" s="17" t="n">
        <v>46277</v>
      </c>
      <c r="D1852" s="1" t="n">
        <v>1659</v>
      </c>
      <c r="E1852" s="1" t="s">
        <v>220</v>
      </c>
      <c r="F1852" s="1" t="n">
        <v>24</v>
      </c>
      <c r="G1852" s="1" t="s">
        <v>91</v>
      </c>
      <c r="H1852" s="1" t="n">
        <v>2110405</v>
      </c>
      <c r="I1852" s="1" t="s">
        <v>55</v>
      </c>
      <c r="J1852" s="1" t="n">
        <v>1652079</v>
      </c>
      <c r="L1852" s="1" t="n">
        <v>226955</v>
      </c>
      <c r="M1852" s="1" t="s">
        <v>36</v>
      </c>
      <c r="N1852" s="1" t="s">
        <v>50</v>
      </c>
      <c r="P1852" s="1" t="n">
        <v>113</v>
      </c>
      <c r="Q1852" s="1" t="s">
        <v>38</v>
      </c>
      <c r="R1852" s="1" t="s">
        <v>62</v>
      </c>
      <c r="S1852" s="1" t="n">
        <v>1130101</v>
      </c>
      <c r="T1852" s="1" t="s">
        <v>63</v>
      </c>
      <c r="U1852" s="1" t="n">
        <v>365</v>
      </c>
      <c r="W1852" s="1" t="n">
        <v>0</v>
      </c>
      <c r="X1852" s="1" t="s">
        <v>1617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MOCOQUINHA 200ML</v>
      </c>
      <c r="AC1852" s="1" t="n">
        <v>894544</v>
      </c>
    </row>
    <row r="1853" customFormat="false" ht="12.75" hidden="false" customHeight="true" outlineLevel="0" collapsed="false">
      <c r="A1853" s="1" t="n">
        <v>2</v>
      </c>
      <c r="B1853" s="17" t="n">
        <v>46253</v>
      </c>
      <c r="C1853" s="17" t="n">
        <v>46279</v>
      </c>
      <c r="D1853" s="1" t="n">
        <v>616</v>
      </c>
      <c r="E1853" s="1" t="s">
        <v>939</v>
      </c>
      <c r="F1853" s="1" t="n">
        <v>24</v>
      </c>
      <c r="G1853" s="1" t="s">
        <v>91</v>
      </c>
      <c r="H1853" s="1" t="n">
        <v>2110405</v>
      </c>
      <c r="I1853" s="1" t="s">
        <v>55</v>
      </c>
      <c r="J1853" s="1" t="n">
        <v>1572201</v>
      </c>
      <c r="L1853" s="1" t="n">
        <v>214774</v>
      </c>
      <c r="M1853" s="1" t="s">
        <v>36</v>
      </c>
      <c r="N1853" s="1" t="s">
        <v>50</v>
      </c>
      <c r="P1853" s="1" t="n">
        <v>113</v>
      </c>
      <c r="Q1853" s="1" t="s">
        <v>38</v>
      </c>
      <c r="R1853" s="1" t="s">
        <v>62</v>
      </c>
      <c r="S1853" s="1" t="n">
        <v>1130101</v>
      </c>
      <c r="T1853" s="1" t="s">
        <v>63</v>
      </c>
      <c r="U1853" s="1" t="n">
        <v>983.77</v>
      </c>
      <c r="W1853" s="1" t="n">
        <v>0</v>
      </c>
      <c r="X1853" s="1" t="s">
        <v>1562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" t="n">
        <v>2</v>
      </c>
      <c r="B1854" s="17" t="n">
        <v>46254</v>
      </c>
      <c r="C1854" s="17" t="n">
        <v>46279</v>
      </c>
      <c r="D1854" s="1" t="n">
        <v>10012</v>
      </c>
      <c r="E1854" s="1" t="s">
        <v>176</v>
      </c>
      <c r="F1854" s="1" t="n">
        <v>24</v>
      </c>
      <c r="G1854" s="1" t="s">
        <v>91</v>
      </c>
      <c r="H1854" s="1" t="n">
        <v>2110405</v>
      </c>
      <c r="I1854" s="1" t="s">
        <v>55</v>
      </c>
      <c r="J1854" s="1" t="n">
        <v>1577219</v>
      </c>
      <c r="L1854" s="1" t="n">
        <v>215619</v>
      </c>
      <c r="M1854" s="1" t="s">
        <v>36</v>
      </c>
      <c r="N1854" s="1" t="s">
        <v>50</v>
      </c>
      <c r="P1854" s="1" t="n">
        <v>113</v>
      </c>
      <c r="Q1854" s="1" t="s">
        <v>38</v>
      </c>
      <c r="R1854" s="1" t="s">
        <v>62</v>
      </c>
      <c r="S1854" s="1" t="n">
        <v>1130101</v>
      </c>
      <c r="T1854" s="1" t="s">
        <v>63</v>
      </c>
      <c r="U1854" s="1" t="n">
        <v>521.58</v>
      </c>
      <c r="W1854" s="1" t="n">
        <v>0</v>
      </c>
      <c r="X1854" s="1" t="s">
        <v>1563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SAB PHEBO ODOR90G</v>
      </c>
      <c r="AC1854" s="1" t="n">
        <v>1966312</v>
      </c>
    </row>
    <row r="1855" customFormat="false" ht="12.75" hidden="false" customHeight="true" outlineLevel="0" collapsed="false">
      <c r="A1855" s="1" t="n">
        <v>2</v>
      </c>
      <c r="B1855" s="17" t="n">
        <v>46259</v>
      </c>
      <c r="C1855" s="17" t="n">
        <v>46279</v>
      </c>
      <c r="D1855" s="1" t="n">
        <v>10009</v>
      </c>
      <c r="E1855" s="1" t="s">
        <v>469</v>
      </c>
      <c r="F1855" s="1" t="n">
        <v>24</v>
      </c>
      <c r="G1855" s="1" t="s">
        <v>91</v>
      </c>
      <c r="H1855" s="1" t="n">
        <v>2110405</v>
      </c>
      <c r="I1855" s="1" t="s">
        <v>55</v>
      </c>
      <c r="J1855" s="1" t="n">
        <v>1600194</v>
      </c>
      <c r="L1855" s="1" t="n">
        <v>219123</v>
      </c>
      <c r="M1855" s="1" t="s">
        <v>36</v>
      </c>
      <c r="N1855" s="1" t="s">
        <v>50</v>
      </c>
      <c r="P1855" s="1" t="n">
        <v>113</v>
      </c>
      <c r="Q1855" s="1" t="s">
        <v>38</v>
      </c>
      <c r="R1855" s="1" t="s">
        <v>62</v>
      </c>
      <c r="S1855" s="1" t="n">
        <v>1130101</v>
      </c>
      <c r="T1855" s="1" t="s">
        <v>63</v>
      </c>
      <c r="U1855" s="1" t="n">
        <v>1268.78</v>
      </c>
      <c r="W1855" s="1" t="n">
        <v>0</v>
      </c>
      <c r="X1855" s="1" t="s">
        <v>1618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BIS NESTL CLASS140G</v>
      </c>
      <c r="AC1855" s="1" t="n">
        <v>1442200</v>
      </c>
    </row>
    <row r="1856" customFormat="false" ht="12.75" hidden="false" customHeight="true" outlineLevel="0" collapsed="false">
      <c r="A1856" s="1" t="n">
        <v>2</v>
      </c>
      <c r="B1856" s="17" t="n">
        <v>46259</v>
      </c>
      <c r="C1856" s="17" t="n">
        <v>46279</v>
      </c>
      <c r="D1856" s="1" t="n">
        <v>10009</v>
      </c>
      <c r="E1856" s="1" t="s">
        <v>469</v>
      </c>
      <c r="F1856" s="1" t="n">
        <v>24</v>
      </c>
      <c r="G1856" s="1" t="s">
        <v>91</v>
      </c>
      <c r="H1856" s="1" t="n">
        <v>2110405</v>
      </c>
      <c r="I1856" s="1" t="s">
        <v>55</v>
      </c>
      <c r="J1856" s="1" t="n">
        <v>1600353</v>
      </c>
      <c r="L1856" s="1" t="n">
        <v>219142</v>
      </c>
      <c r="M1856" s="1" t="s">
        <v>36</v>
      </c>
      <c r="N1856" s="1" t="s">
        <v>50</v>
      </c>
      <c r="P1856" s="1" t="n">
        <v>113</v>
      </c>
      <c r="Q1856" s="1" t="s">
        <v>38</v>
      </c>
      <c r="R1856" s="1" t="s">
        <v>62</v>
      </c>
      <c r="S1856" s="1" t="n">
        <v>1130101</v>
      </c>
      <c r="T1856" s="1" t="s">
        <v>63</v>
      </c>
      <c r="U1856" s="1" t="n">
        <v>2477.62</v>
      </c>
      <c r="W1856" s="1" t="n">
        <v>0</v>
      </c>
      <c r="X1856" s="1" t="s">
        <v>1619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NESFIT CACAU E AVELA</v>
      </c>
      <c r="AC1856" s="1" t="n">
        <v>1442668</v>
      </c>
    </row>
    <row r="1857" customFormat="false" ht="12.75" hidden="false" customHeight="true" outlineLevel="0" collapsed="false">
      <c r="A1857" s="1" t="n">
        <v>2</v>
      </c>
      <c r="B1857" s="17" t="n">
        <v>46266</v>
      </c>
      <c r="C1857" s="17" t="n">
        <v>46279</v>
      </c>
      <c r="D1857" s="1" t="n">
        <v>794</v>
      </c>
      <c r="E1857" s="1" t="s">
        <v>343</v>
      </c>
      <c r="F1857" s="1" t="n">
        <v>24</v>
      </c>
      <c r="G1857" s="1" t="s">
        <v>91</v>
      </c>
      <c r="H1857" s="1" t="n">
        <v>2110405</v>
      </c>
      <c r="I1857" s="1" t="s">
        <v>55</v>
      </c>
      <c r="J1857" s="1" t="n">
        <v>1633934</v>
      </c>
      <c r="L1857" s="1" t="n">
        <v>224229</v>
      </c>
      <c r="M1857" s="1" t="s">
        <v>36</v>
      </c>
      <c r="N1857" s="1" t="s">
        <v>50</v>
      </c>
      <c r="P1857" s="1" t="n">
        <v>113</v>
      </c>
      <c r="Q1857" s="1" t="s">
        <v>38</v>
      </c>
      <c r="R1857" s="1" t="s">
        <v>70</v>
      </c>
      <c r="S1857" s="1" t="n">
        <v>4210299</v>
      </c>
      <c r="T1857" s="1" t="s">
        <v>127</v>
      </c>
      <c r="U1857" s="1" t="n">
        <v>1332.55</v>
      </c>
      <c r="W1857" s="1" t="n">
        <v>0</v>
      </c>
      <c r="X1857" s="1" t="s">
        <v>1620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SACOLA BRC. L. ALIP.</v>
      </c>
      <c r="AC1857" s="1" t="n">
        <v>8802</v>
      </c>
    </row>
    <row r="1858" customFormat="false" ht="12.75" hidden="false" customHeight="true" outlineLevel="0" collapsed="false">
      <c r="A1858" s="1" t="n">
        <v>2</v>
      </c>
      <c r="B1858" s="17" t="n">
        <v>46268</v>
      </c>
      <c r="C1858" s="17" t="n">
        <v>46279</v>
      </c>
      <c r="D1858" s="1" t="n">
        <v>1611</v>
      </c>
      <c r="E1858" s="1" t="s">
        <v>172</v>
      </c>
      <c r="F1858" s="1" t="n">
        <v>24</v>
      </c>
      <c r="G1858" s="1" t="s">
        <v>91</v>
      </c>
      <c r="H1858" s="1" t="n">
        <v>2110405</v>
      </c>
      <c r="I1858" s="1" t="s">
        <v>55</v>
      </c>
      <c r="J1858" s="1" t="n">
        <v>1646250</v>
      </c>
      <c r="L1858" s="1" t="n">
        <v>225903</v>
      </c>
      <c r="M1858" s="1" t="s">
        <v>36</v>
      </c>
      <c r="N1858" s="1" t="s">
        <v>50</v>
      </c>
      <c r="P1858" s="1" t="n">
        <v>113</v>
      </c>
      <c r="Q1858" s="1" t="s">
        <v>38</v>
      </c>
      <c r="R1858" s="1" t="s">
        <v>62</v>
      </c>
      <c r="S1858" s="1" t="n">
        <v>1130101</v>
      </c>
      <c r="T1858" s="1" t="s">
        <v>63</v>
      </c>
      <c r="U1858" s="1" t="n">
        <v>176.58</v>
      </c>
      <c r="W1858" s="1" t="n">
        <v>0</v>
      </c>
      <c r="X1858" s="1" t="s">
        <v>1621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2</v>
      </c>
      <c r="B1859" s="17" t="n">
        <v>46268</v>
      </c>
      <c r="C1859" s="17" t="n">
        <v>46279</v>
      </c>
      <c r="D1859" s="1" t="n">
        <v>1621</v>
      </c>
      <c r="E1859" s="1" t="s">
        <v>235</v>
      </c>
      <c r="F1859" s="1" t="n">
        <v>24</v>
      </c>
      <c r="G1859" s="1" t="s">
        <v>91</v>
      </c>
      <c r="H1859" s="1" t="n">
        <v>2110405</v>
      </c>
      <c r="I1859" s="1" t="s">
        <v>55</v>
      </c>
      <c r="J1859" s="1" t="n">
        <v>1646646</v>
      </c>
      <c r="L1859" s="1" t="n">
        <v>226012</v>
      </c>
      <c r="M1859" s="1" t="s">
        <v>36</v>
      </c>
      <c r="N1859" s="1" t="s">
        <v>50</v>
      </c>
      <c r="P1859" s="1" t="n">
        <v>113</v>
      </c>
      <c r="Q1859" s="1" t="s">
        <v>38</v>
      </c>
      <c r="R1859" s="1" t="s">
        <v>62</v>
      </c>
      <c r="S1859" s="1" t="n">
        <v>1130101</v>
      </c>
      <c r="T1859" s="1" t="s">
        <v>63</v>
      </c>
      <c r="U1859" s="1" t="n">
        <v>489.74</v>
      </c>
      <c r="W1859" s="1" t="n">
        <v>0</v>
      </c>
      <c r="X1859" s="1" t="s">
        <v>1622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REFR PEPSI 2L</v>
      </c>
      <c r="AC1859" s="1" t="n">
        <v>993555</v>
      </c>
    </row>
    <row r="1860" customFormat="false" ht="12.75" hidden="false" customHeight="true" outlineLevel="0" collapsed="false">
      <c r="A1860" s="1" t="n">
        <v>2</v>
      </c>
      <c r="B1860" s="17" t="n">
        <v>46097</v>
      </c>
      <c r="C1860" s="17" t="n">
        <v>46280</v>
      </c>
      <c r="D1860" s="1" t="n">
        <v>1867</v>
      </c>
      <c r="E1860" s="1" t="s">
        <v>406</v>
      </c>
      <c r="F1860" s="1" t="n">
        <v>24</v>
      </c>
      <c r="G1860" s="1" t="s">
        <v>91</v>
      </c>
      <c r="H1860" s="1" t="n">
        <v>2110405</v>
      </c>
      <c r="I1860" s="1" t="s">
        <v>55</v>
      </c>
      <c r="J1860" s="1" t="n">
        <v>808550</v>
      </c>
      <c r="L1860" s="1" t="n">
        <v>2026</v>
      </c>
      <c r="M1860" s="1" t="s">
        <v>49</v>
      </c>
      <c r="N1860" s="1" t="s">
        <v>50</v>
      </c>
      <c r="P1860" s="1" t="n">
        <v>101</v>
      </c>
      <c r="Q1860" s="1" t="s">
        <v>56</v>
      </c>
      <c r="R1860" s="1" t="s">
        <v>407</v>
      </c>
      <c r="S1860" s="1" t="n">
        <v>4210401</v>
      </c>
      <c r="T1860" s="1" t="s">
        <v>408</v>
      </c>
      <c r="U1860" s="1" t="n">
        <v>228.88</v>
      </c>
      <c r="W1860" s="1" t="n">
        <v>0</v>
      </c>
      <c r="X1860" s="1" t="s">
        <v>1623</v>
      </c>
      <c r="Z1860" s="1" t="str">
        <f aca="false">IF($T1860="","",IFERROR(INDEX('Resumo Grupos'!$AC$3:$AC$200,MATCH($T1860,'Resumo Grupos'!$AB$3:$AB$200,0)),"n/d"))</f>
        <v>Impostos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" t="n">
        <v>2</v>
      </c>
      <c r="B1861" s="17" t="n">
        <v>46127</v>
      </c>
      <c r="C1861" s="17" t="n">
        <v>46280</v>
      </c>
      <c r="D1861" s="1" t="n">
        <v>512</v>
      </c>
      <c r="E1861" s="1" t="s">
        <v>410</v>
      </c>
      <c r="F1861" s="1" t="n">
        <v>34</v>
      </c>
      <c r="G1861" s="1" t="s">
        <v>110</v>
      </c>
      <c r="H1861" s="1" t="n">
        <v>2110405</v>
      </c>
      <c r="I1861" s="1" t="s">
        <v>55</v>
      </c>
      <c r="J1861" s="1" t="n">
        <v>954215</v>
      </c>
      <c r="L1861" s="1" t="n">
        <v>126220</v>
      </c>
      <c r="M1861" s="1" t="s">
        <v>61</v>
      </c>
      <c r="N1861" s="1" t="s">
        <v>50</v>
      </c>
      <c r="P1861" s="1" t="n">
        <v>101</v>
      </c>
      <c r="Q1861" s="1" t="s">
        <v>56</v>
      </c>
      <c r="R1861" s="1" t="s">
        <v>411</v>
      </c>
      <c r="S1861" s="1" t="n">
        <v>4210111</v>
      </c>
      <c r="T1861" s="1" t="s">
        <v>412</v>
      </c>
      <c r="U1861" s="1" t="n">
        <v>5700</v>
      </c>
      <c r="W1861" s="1" t="n">
        <v>0</v>
      </c>
      <c r="X1861" s="1" t="s">
        <v>413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" t="n">
        <v>2</v>
      </c>
      <c r="B1862" s="17" t="n">
        <v>46252</v>
      </c>
      <c r="C1862" s="17" t="n">
        <v>46280</v>
      </c>
      <c r="D1862" s="1" t="n">
        <v>1697</v>
      </c>
      <c r="E1862" s="1" t="s">
        <v>775</v>
      </c>
      <c r="F1862" s="1" t="n">
        <v>24</v>
      </c>
      <c r="G1862" s="1" t="s">
        <v>91</v>
      </c>
      <c r="H1862" s="1" t="n">
        <v>2110405</v>
      </c>
      <c r="I1862" s="1" t="s">
        <v>55</v>
      </c>
      <c r="J1862" s="1" t="n">
        <v>1566735</v>
      </c>
      <c r="L1862" s="1" t="n">
        <v>213868</v>
      </c>
      <c r="M1862" s="1" t="s">
        <v>36</v>
      </c>
      <c r="N1862" s="1" t="s">
        <v>50</v>
      </c>
      <c r="P1862" s="1" t="n">
        <v>113</v>
      </c>
      <c r="Q1862" s="1" t="s">
        <v>38</v>
      </c>
      <c r="R1862" s="1" t="s">
        <v>62</v>
      </c>
      <c r="S1862" s="1" t="n">
        <v>1130101</v>
      </c>
      <c r="T1862" s="1" t="s">
        <v>63</v>
      </c>
      <c r="U1862" s="1" t="n">
        <v>584.64</v>
      </c>
      <c r="W1862" s="1" t="n">
        <v>0</v>
      </c>
      <c r="X1862" s="1" t="s">
        <v>1489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LEITE ITALAC DESN 1L</v>
      </c>
      <c r="AC1862" s="1" t="n">
        <v>211355</v>
      </c>
    </row>
    <row r="1863" customFormat="false" ht="12.75" hidden="false" customHeight="true" outlineLevel="0" collapsed="false">
      <c r="A1863" s="1" t="n">
        <v>2</v>
      </c>
      <c r="B1863" s="17" t="n">
        <v>46252</v>
      </c>
      <c r="C1863" s="17" t="n">
        <v>46280</v>
      </c>
      <c r="D1863" s="1" t="n">
        <v>1711</v>
      </c>
      <c r="E1863" s="1" t="s">
        <v>1491</v>
      </c>
      <c r="F1863" s="1" t="n">
        <v>24</v>
      </c>
      <c r="G1863" s="1" t="s">
        <v>91</v>
      </c>
      <c r="H1863" s="1" t="n">
        <v>2110405</v>
      </c>
      <c r="I1863" s="1" t="s">
        <v>55</v>
      </c>
      <c r="J1863" s="1" t="n">
        <v>1568100</v>
      </c>
      <c r="L1863" s="1" t="n">
        <v>214112</v>
      </c>
      <c r="M1863" s="1" t="s">
        <v>36</v>
      </c>
      <c r="N1863" s="1" t="s">
        <v>50</v>
      </c>
      <c r="P1863" s="1" t="n">
        <v>113</v>
      </c>
      <c r="Q1863" s="1" t="s">
        <v>38</v>
      </c>
      <c r="R1863" s="1" t="s">
        <v>62</v>
      </c>
      <c r="S1863" s="1" t="n">
        <v>1130101</v>
      </c>
      <c r="T1863" s="1" t="s">
        <v>63</v>
      </c>
      <c r="U1863" s="1" t="n">
        <v>645.71</v>
      </c>
      <c r="W1863" s="1" t="n">
        <v>0</v>
      </c>
      <c r="X1863" s="1" t="s">
        <v>1492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CAD BROCH UNIV COST</v>
      </c>
      <c r="AC1863" s="1" t="n">
        <v>160332</v>
      </c>
    </row>
    <row r="1864" customFormat="false" ht="12.75" hidden="false" customHeight="true" outlineLevel="0" collapsed="false">
      <c r="A1864" s="1" t="n">
        <v>2</v>
      </c>
      <c r="B1864" s="17" t="n">
        <v>46253</v>
      </c>
      <c r="C1864" s="17" t="n">
        <v>46280</v>
      </c>
      <c r="D1864" s="1" t="n">
        <v>1708</v>
      </c>
      <c r="E1864" s="1" t="s">
        <v>269</v>
      </c>
      <c r="F1864" s="1" t="n">
        <v>24</v>
      </c>
      <c r="G1864" s="1" t="s">
        <v>91</v>
      </c>
      <c r="H1864" s="1" t="n">
        <v>2110405</v>
      </c>
      <c r="I1864" s="1" t="s">
        <v>55</v>
      </c>
      <c r="J1864" s="1" t="n">
        <v>1572979</v>
      </c>
      <c r="L1864" s="1" t="n">
        <v>214928</v>
      </c>
      <c r="M1864" s="1" t="s">
        <v>36</v>
      </c>
      <c r="N1864" s="1" t="s">
        <v>50</v>
      </c>
      <c r="P1864" s="1" t="n">
        <v>113</v>
      </c>
      <c r="Q1864" s="1" t="s">
        <v>38</v>
      </c>
      <c r="R1864" s="1" t="s">
        <v>62</v>
      </c>
      <c r="S1864" s="1" t="n">
        <v>1130101</v>
      </c>
      <c r="T1864" s="1" t="s">
        <v>63</v>
      </c>
      <c r="U1864" s="1" t="n">
        <v>548.18</v>
      </c>
      <c r="W1864" s="1" t="n">
        <v>0</v>
      </c>
      <c r="X1864" s="1" t="s">
        <v>1494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DISQUETI 18G</v>
      </c>
      <c r="AC1864" s="1" t="n">
        <v>265359</v>
      </c>
    </row>
    <row r="1865" customFormat="false" ht="12.75" hidden="false" customHeight="true" outlineLevel="0" collapsed="false">
      <c r="A1865" s="1" t="n">
        <v>2</v>
      </c>
      <c r="B1865" s="17" t="n">
        <v>46260</v>
      </c>
      <c r="C1865" s="17" t="n">
        <v>46280</v>
      </c>
      <c r="D1865" s="1" t="n">
        <v>1601</v>
      </c>
      <c r="E1865" s="1" t="s">
        <v>192</v>
      </c>
      <c r="F1865" s="1" t="n">
        <v>24</v>
      </c>
      <c r="G1865" s="1" t="s">
        <v>91</v>
      </c>
      <c r="H1865" s="1" t="n">
        <v>2110405</v>
      </c>
      <c r="I1865" s="1" t="s">
        <v>55</v>
      </c>
      <c r="J1865" s="1" t="n">
        <v>1603998</v>
      </c>
      <c r="L1865" s="1" t="n">
        <v>219686</v>
      </c>
      <c r="M1865" s="1" t="s">
        <v>36</v>
      </c>
      <c r="N1865" s="1" t="s">
        <v>50</v>
      </c>
      <c r="P1865" s="1" t="n">
        <v>113</v>
      </c>
      <c r="Q1865" s="1" t="s">
        <v>38</v>
      </c>
      <c r="R1865" s="1" t="s">
        <v>62</v>
      </c>
      <c r="S1865" s="1" t="n">
        <v>1130101</v>
      </c>
      <c r="T1865" s="1" t="s">
        <v>63</v>
      </c>
      <c r="U1865" s="1" t="n">
        <v>843.65</v>
      </c>
      <c r="W1865" s="1" t="n">
        <v>0</v>
      </c>
      <c r="X1865" s="1" t="s">
        <v>1570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HEINZ YELLOW MUSTARD</v>
      </c>
      <c r="AC1865" s="1" t="n">
        <v>866347</v>
      </c>
    </row>
    <row r="1866" customFormat="false" ht="12.75" hidden="false" customHeight="true" outlineLevel="0" collapsed="false">
      <c r="A1866" s="1" t="n">
        <v>2</v>
      </c>
      <c r="B1866" s="17" t="n">
        <v>46260</v>
      </c>
      <c r="C1866" s="17" t="n">
        <v>46280</v>
      </c>
      <c r="D1866" s="1" t="n">
        <v>794</v>
      </c>
      <c r="E1866" s="1" t="s">
        <v>343</v>
      </c>
      <c r="F1866" s="1" t="n">
        <v>24</v>
      </c>
      <c r="G1866" s="1" t="s">
        <v>91</v>
      </c>
      <c r="H1866" s="1" t="n">
        <v>2110405</v>
      </c>
      <c r="I1866" s="1" t="s">
        <v>55</v>
      </c>
      <c r="J1866" s="1" t="n">
        <v>1604324</v>
      </c>
      <c r="L1866" s="1" t="n">
        <v>219750</v>
      </c>
      <c r="M1866" s="1" t="s">
        <v>36</v>
      </c>
      <c r="N1866" s="1" t="s">
        <v>50</v>
      </c>
      <c r="P1866" s="1" t="n">
        <v>113</v>
      </c>
      <c r="Q1866" s="1" t="s">
        <v>38</v>
      </c>
      <c r="R1866" s="1" t="s">
        <v>62</v>
      </c>
      <c r="S1866" s="1" t="n">
        <v>1130101</v>
      </c>
      <c r="T1866" s="1" t="s">
        <v>63</v>
      </c>
      <c r="U1866" s="1" t="n">
        <v>873.08</v>
      </c>
      <c r="W1866" s="1" t="n">
        <v>0</v>
      </c>
      <c r="X1866" s="1" t="s">
        <v>1571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VASS MADRID CONDOR C/CABO</v>
      </c>
      <c r="AC1866" s="1" t="n">
        <v>8744</v>
      </c>
    </row>
    <row r="1867" customFormat="false" ht="12.75" hidden="false" customHeight="true" outlineLevel="0" collapsed="false">
      <c r="A1867" s="1" t="n">
        <v>2</v>
      </c>
      <c r="B1867" s="17" t="n">
        <v>46261</v>
      </c>
      <c r="C1867" s="17" t="n">
        <v>46280</v>
      </c>
      <c r="D1867" s="1" t="n">
        <v>1637</v>
      </c>
      <c r="E1867" s="1" t="s">
        <v>870</v>
      </c>
      <c r="F1867" s="1" t="n">
        <v>24</v>
      </c>
      <c r="G1867" s="1" t="s">
        <v>91</v>
      </c>
      <c r="H1867" s="1" t="n">
        <v>2110405</v>
      </c>
      <c r="I1867" s="1" t="s">
        <v>55</v>
      </c>
      <c r="J1867" s="1" t="n">
        <v>1608926</v>
      </c>
      <c r="L1867" s="1" t="n">
        <v>220453</v>
      </c>
      <c r="M1867" s="1" t="s">
        <v>36</v>
      </c>
      <c r="N1867" s="1" t="s">
        <v>50</v>
      </c>
      <c r="P1867" s="1" t="n">
        <v>113</v>
      </c>
      <c r="Q1867" s="1" t="s">
        <v>38</v>
      </c>
      <c r="R1867" s="1" t="s">
        <v>62</v>
      </c>
      <c r="S1867" s="1" t="n">
        <v>1130101</v>
      </c>
      <c r="T1867" s="1" t="s">
        <v>63</v>
      </c>
      <c r="U1867" s="1" t="n">
        <v>974.55</v>
      </c>
      <c r="W1867" s="1" t="n">
        <v>0</v>
      </c>
      <c r="X1867" s="1" t="s">
        <v>1624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LEITE EM PO PIRACANJUBA 400G</v>
      </c>
      <c r="AC1867" s="1" t="n">
        <v>1925382</v>
      </c>
    </row>
    <row r="1868" customFormat="false" ht="12.75" hidden="false" customHeight="true" outlineLevel="0" collapsed="false">
      <c r="A1868" s="1" t="n">
        <v>2</v>
      </c>
      <c r="B1868" s="17" t="n">
        <v>46265</v>
      </c>
      <c r="C1868" s="17" t="n">
        <v>46280</v>
      </c>
      <c r="D1868" s="1" t="n">
        <v>1196</v>
      </c>
      <c r="E1868" s="1" t="s">
        <v>1423</v>
      </c>
      <c r="F1868" s="1" t="n">
        <v>24</v>
      </c>
      <c r="G1868" s="1" t="s">
        <v>91</v>
      </c>
      <c r="H1868" s="1" t="n">
        <v>2110405</v>
      </c>
      <c r="I1868" s="1" t="s">
        <v>55</v>
      </c>
      <c r="J1868" s="1" t="n">
        <v>1629259</v>
      </c>
      <c r="L1868" s="1" t="n">
        <v>223468</v>
      </c>
      <c r="M1868" s="1" t="s">
        <v>36</v>
      </c>
      <c r="N1868" s="1" t="s">
        <v>50</v>
      </c>
      <c r="P1868" s="1" t="n">
        <v>113</v>
      </c>
      <c r="Q1868" s="1" t="s">
        <v>38</v>
      </c>
      <c r="R1868" s="1" t="s">
        <v>62</v>
      </c>
      <c r="S1868" s="1" t="n">
        <v>1130101</v>
      </c>
      <c r="T1868" s="1" t="s">
        <v>63</v>
      </c>
      <c r="U1868" s="1" t="n">
        <v>410</v>
      </c>
      <c r="W1868" s="1" t="n">
        <v>0</v>
      </c>
      <c r="X1868" s="1" t="s">
        <v>1572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ACUCAR CRISTAL DOCE TODO DIA 30X1KG</v>
      </c>
      <c r="AC1868" s="1" t="n">
        <v>13095</v>
      </c>
    </row>
    <row r="1869" customFormat="false" ht="12.75" hidden="false" customHeight="true" outlineLevel="0" collapsed="false">
      <c r="A1869" s="1" t="n">
        <v>2</v>
      </c>
      <c r="B1869" s="17" t="n">
        <v>46265</v>
      </c>
      <c r="C1869" s="17" t="n">
        <v>46280</v>
      </c>
      <c r="D1869" s="1" t="n">
        <v>1705</v>
      </c>
      <c r="E1869" s="1" t="s">
        <v>131</v>
      </c>
      <c r="F1869" s="1" t="n">
        <v>24</v>
      </c>
      <c r="G1869" s="1" t="s">
        <v>91</v>
      </c>
      <c r="H1869" s="1" t="n">
        <v>2110405</v>
      </c>
      <c r="I1869" s="1" t="s">
        <v>55</v>
      </c>
      <c r="J1869" s="1" t="n">
        <v>1630554</v>
      </c>
      <c r="L1869" s="1" t="n">
        <v>223766</v>
      </c>
      <c r="M1869" s="1" t="s">
        <v>36</v>
      </c>
      <c r="N1869" s="1" t="s">
        <v>50</v>
      </c>
      <c r="P1869" s="1" t="n">
        <v>113</v>
      </c>
      <c r="Q1869" s="1" t="s">
        <v>38</v>
      </c>
      <c r="R1869" s="1" t="s">
        <v>62</v>
      </c>
      <c r="S1869" s="1" t="n">
        <v>1130101</v>
      </c>
      <c r="T1869" s="1" t="s">
        <v>63</v>
      </c>
      <c r="U1869" s="1" t="n">
        <v>1139.35</v>
      </c>
      <c r="W1869" s="1" t="n">
        <v>0</v>
      </c>
      <c r="X1869" s="1" t="s">
        <v>1625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MONSTER ENERGY 473ML</v>
      </c>
      <c r="AC1869" s="1" t="n">
        <v>1272321</v>
      </c>
    </row>
    <row r="1870" customFormat="false" ht="12.75" hidden="false" customHeight="true" outlineLevel="0" collapsed="false">
      <c r="A1870" s="1" t="n">
        <v>2</v>
      </c>
      <c r="B1870" s="17" t="n">
        <v>46266</v>
      </c>
      <c r="C1870" s="17" t="n">
        <v>46280</v>
      </c>
      <c r="D1870" s="1" t="n">
        <v>1921</v>
      </c>
      <c r="E1870" s="1" t="s">
        <v>182</v>
      </c>
      <c r="F1870" s="1" t="n">
        <v>24</v>
      </c>
      <c r="G1870" s="1" t="s">
        <v>91</v>
      </c>
      <c r="H1870" s="1" t="n">
        <v>2110405</v>
      </c>
      <c r="I1870" s="1" t="s">
        <v>55</v>
      </c>
      <c r="J1870" s="1" t="n">
        <v>1633947</v>
      </c>
      <c r="L1870" s="1" t="n">
        <v>224242</v>
      </c>
      <c r="M1870" s="1" t="s">
        <v>36</v>
      </c>
      <c r="N1870" s="1" t="s">
        <v>50</v>
      </c>
      <c r="P1870" s="1" t="n">
        <v>113</v>
      </c>
      <c r="Q1870" s="1" t="s">
        <v>38</v>
      </c>
      <c r="R1870" s="1" t="s">
        <v>62</v>
      </c>
      <c r="S1870" s="1" t="n">
        <v>1130101</v>
      </c>
      <c r="T1870" s="1" t="s">
        <v>63</v>
      </c>
      <c r="U1870" s="1" t="n">
        <v>540.99</v>
      </c>
      <c r="W1870" s="1" t="n">
        <v>0</v>
      </c>
      <c r="X1870" s="1" t="s">
        <v>1626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TEMPERO COMPLETO CHU</v>
      </c>
      <c r="AC1870" s="1" t="n">
        <v>21345</v>
      </c>
    </row>
    <row r="1871" customFormat="false" ht="12.75" hidden="false" customHeight="true" outlineLevel="0" collapsed="false">
      <c r="A1871" s="1" t="n">
        <v>2</v>
      </c>
      <c r="B1871" s="17" t="n">
        <v>46267</v>
      </c>
      <c r="C1871" s="17" t="n">
        <v>46280</v>
      </c>
      <c r="D1871" s="1" t="n">
        <v>1683</v>
      </c>
      <c r="E1871" s="1" t="s">
        <v>416</v>
      </c>
      <c r="F1871" s="1" t="n">
        <v>34</v>
      </c>
      <c r="G1871" s="1" t="s">
        <v>110</v>
      </c>
      <c r="H1871" s="1" t="n">
        <v>2110405</v>
      </c>
      <c r="I1871" s="1" t="s">
        <v>55</v>
      </c>
      <c r="J1871" s="1" t="n">
        <v>1639288</v>
      </c>
      <c r="L1871" s="1" t="n">
        <v>225300</v>
      </c>
      <c r="M1871" s="1" t="s">
        <v>36</v>
      </c>
      <c r="N1871" s="1" t="s">
        <v>50</v>
      </c>
      <c r="P1871" s="1" t="n">
        <v>113</v>
      </c>
      <c r="Q1871" s="1" t="s">
        <v>38</v>
      </c>
      <c r="R1871" s="1" t="s">
        <v>62</v>
      </c>
      <c r="S1871" s="1" t="n">
        <v>1130101</v>
      </c>
      <c r="T1871" s="1" t="s">
        <v>63</v>
      </c>
      <c r="U1871" s="1" t="n">
        <v>96</v>
      </c>
      <c r="W1871" s="1" t="n">
        <v>0</v>
      </c>
      <c r="X1871" s="1" t="s">
        <v>418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" t="n">
        <v>2</v>
      </c>
      <c r="B1872" s="17" t="n">
        <v>46269</v>
      </c>
      <c r="C1872" s="17" t="n">
        <v>46280</v>
      </c>
      <c r="D1872" s="1" t="n">
        <v>1683</v>
      </c>
      <c r="E1872" s="1" t="s">
        <v>416</v>
      </c>
      <c r="F1872" s="1" t="n">
        <v>34</v>
      </c>
      <c r="G1872" s="1" t="s">
        <v>110</v>
      </c>
      <c r="H1872" s="1" t="n">
        <v>2110405</v>
      </c>
      <c r="I1872" s="1" t="s">
        <v>55</v>
      </c>
      <c r="J1872" s="1" t="n">
        <v>1652479</v>
      </c>
      <c r="L1872" s="1" t="n">
        <v>227018</v>
      </c>
      <c r="M1872" s="1" t="s">
        <v>36</v>
      </c>
      <c r="N1872" s="1" t="s">
        <v>50</v>
      </c>
      <c r="P1872" s="1" t="n">
        <v>113</v>
      </c>
      <c r="Q1872" s="1" t="s">
        <v>38</v>
      </c>
      <c r="R1872" s="1" t="s">
        <v>62</v>
      </c>
      <c r="S1872" s="1" t="n">
        <v>1130101</v>
      </c>
      <c r="T1872" s="1" t="s">
        <v>63</v>
      </c>
      <c r="U1872" s="1" t="n">
        <v>166.5</v>
      </c>
      <c r="W1872" s="1" t="n">
        <v>0</v>
      </c>
      <c r="X1872" s="1" t="s">
        <v>418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2</v>
      </c>
      <c r="B1873" s="17" t="n">
        <v>46226</v>
      </c>
      <c r="C1873" s="17" t="n">
        <v>46281</v>
      </c>
      <c r="D1873" s="1" t="n">
        <v>957</v>
      </c>
      <c r="E1873" s="1" t="s">
        <v>628</v>
      </c>
      <c r="F1873" s="1" t="n">
        <v>24</v>
      </c>
      <c r="G1873" s="1" t="s">
        <v>91</v>
      </c>
      <c r="H1873" s="1" t="n">
        <v>2110405</v>
      </c>
      <c r="I1873" s="1" t="s">
        <v>55</v>
      </c>
      <c r="J1873" s="1" t="n">
        <v>1438939</v>
      </c>
      <c r="L1873" s="1" t="n">
        <v>194433</v>
      </c>
      <c r="M1873" s="1" t="s">
        <v>36</v>
      </c>
      <c r="N1873" s="1" t="s">
        <v>50</v>
      </c>
      <c r="P1873" s="1" t="n">
        <v>113</v>
      </c>
      <c r="Q1873" s="1" t="s">
        <v>38</v>
      </c>
      <c r="R1873" s="1" t="s">
        <v>62</v>
      </c>
      <c r="S1873" s="1" t="n">
        <v>1130101</v>
      </c>
      <c r="T1873" s="1" t="s">
        <v>63</v>
      </c>
      <c r="U1873" s="1" t="n">
        <v>1501.38</v>
      </c>
      <c r="W1873" s="1" t="n">
        <v>0</v>
      </c>
      <c r="X1873" s="1" t="s">
        <v>1261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WHISKA FRANGO KG AGR</v>
      </c>
      <c r="AC1873" s="1" t="n">
        <v>21189</v>
      </c>
    </row>
    <row r="1874" customFormat="false" ht="12.75" hidden="false" customHeight="true" outlineLevel="0" collapsed="false">
      <c r="A1874" s="1" t="n">
        <v>2</v>
      </c>
      <c r="B1874" s="17" t="n">
        <v>46247</v>
      </c>
      <c r="C1874" s="17" t="n">
        <v>46281</v>
      </c>
      <c r="D1874" s="1" t="n">
        <v>1624</v>
      </c>
      <c r="E1874" s="1" t="s">
        <v>338</v>
      </c>
      <c r="F1874" s="1" t="n">
        <v>24</v>
      </c>
      <c r="G1874" s="1" t="s">
        <v>91</v>
      </c>
      <c r="H1874" s="1" t="n">
        <v>2110405</v>
      </c>
      <c r="I1874" s="1" t="s">
        <v>55</v>
      </c>
      <c r="J1874" s="1" t="n">
        <v>1543920</v>
      </c>
      <c r="L1874" s="1" t="n">
        <v>210536</v>
      </c>
      <c r="M1874" s="1" t="s">
        <v>36</v>
      </c>
      <c r="N1874" s="1" t="s">
        <v>50</v>
      </c>
      <c r="P1874" s="1" t="n">
        <v>113</v>
      </c>
      <c r="Q1874" s="1" t="s">
        <v>38</v>
      </c>
      <c r="R1874" s="1" t="s">
        <v>62</v>
      </c>
      <c r="S1874" s="1" t="n">
        <v>1130101</v>
      </c>
      <c r="T1874" s="1" t="s">
        <v>63</v>
      </c>
      <c r="U1874" s="1" t="n">
        <v>830.13</v>
      </c>
      <c r="W1874" s="1" t="n">
        <v>0</v>
      </c>
      <c r="X1874" s="1" t="s">
        <v>1514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SAB SARNICIDA MATACURA 80G</v>
      </c>
      <c r="AC1874" s="1" t="n">
        <v>668739</v>
      </c>
    </row>
    <row r="1875" customFormat="false" ht="12.75" hidden="false" customHeight="true" outlineLevel="0" collapsed="false">
      <c r="A1875" s="1" t="n">
        <v>2</v>
      </c>
      <c r="B1875" s="17" t="n">
        <v>46252</v>
      </c>
      <c r="C1875" s="17" t="n">
        <v>46281</v>
      </c>
      <c r="D1875" s="1" t="n">
        <v>1612</v>
      </c>
      <c r="E1875" s="1" t="s">
        <v>90</v>
      </c>
      <c r="F1875" s="1" t="n">
        <v>24</v>
      </c>
      <c r="G1875" s="1" t="s">
        <v>91</v>
      </c>
      <c r="H1875" s="1" t="n">
        <v>2110405</v>
      </c>
      <c r="I1875" s="1" t="s">
        <v>55</v>
      </c>
      <c r="J1875" s="1" t="n">
        <v>1567422</v>
      </c>
      <c r="L1875" s="1" t="n">
        <v>214026</v>
      </c>
      <c r="M1875" s="1" t="s">
        <v>36</v>
      </c>
      <c r="N1875" s="1" t="s">
        <v>50</v>
      </c>
      <c r="P1875" s="1" t="n">
        <v>113</v>
      </c>
      <c r="Q1875" s="1" t="s">
        <v>38</v>
      </c>
      <c r="R1875" s="1" t="s">
        <v>62</v>
      </c>
      <c r="S1875" s="1" t="n">
        <v>1130101</v>
      </c>
      <c r="T1875" s="1" t="s">
        <v>63</v>
      </c>
      <c r="U1875" s="1" t="n">
        <v>1154.65</v>
      </c>
      <c r="W1875" s="1" t="n">
        <v>0</v>
      </c>
      <c r="X1875" s="1" t="s">
        <v>1515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AGUA SANI BRILUX1L</v>
      </c>
      <c r="AC1875" s="1" t="n">
        <v>2310769</v>
      </c>
    </row>
    <row r="1876" customFormat="false" ht="12.75" hidden="false" customHeight="true" outlineLevel="0" collapsed="false">
      <c r="A1876" s="1" t="n">
        <v>2</v>
      </c>
      <c r="B1876" s="17" t="n">
        <v>46253</v>
      </c>
      <c r="C1876" s="17" t="n">
        <v>46281</v>
      </c>
      <c r="D1876" s="1" t="n">
        <v>1830</v>
      </c>
      <c r="E1876" s="1" t="s">
        <v>507</v>
      </c>
      <c r="F1876" s="1" t="n">
        <v>24</v>
      </c>
      <c r="G1876" s="1" t="s">
        <v>91</v>
      </c>
      <c r="H1876" s="1" t="n">
        <v>2110405</v>
      </c>
      <c r="I1876" s="1" t="s">
        <v>55</v>
      </c>
      <c r="J1876" s="1" t="n">
        <v>1573122</v>
      </c>
      <c r="L1876" s="1" t="n">
        <v>1308</v>
      </c>
      <c r="M1876" s="1" t="s">
        <v>36</v>
      </c>
      <c r="N1876" s="1" t="s">
        <v>50</v>
      </c>
      <c r="P1876" s="1" t="n">
        <v>101</v>
      </c>
      <c r="Q1876" s="1" t="s">
        <v>56</v>
      </c>
      <c r="R1876" s="1" t="s">
        <v>39</v>
      </c>
      <c r="S1876" s="1" t="n">
        <v>4210319</v>
      </c>
      <c r="T1876" s="1" t="s">
        <v>508</v>
      </c>
      <c r="U1876" s="1" t="n">
        <v>58</v>
      </c>
      <c r="W1876" s="1" t="n">
        <v>0</v>
      </c>
      <c r="X1876" s="1" t="s">
        <v>1627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12.75" hidden="false" customHeight="true" outlineLevel="0" collapsed="false">
      <c r="A1877" s="1" t="n">
        <v>2</v>
      </c>
      <c r="B1877" s="17" t="n">
        <v>46260</v>
      </c>
      <c r="C1877" s="17" t="n">
        <v>46281</v>
      </c>
      <c r="D1877" s="1" t="n">
        <v>1107</v>
      </c>
      <c r="E1877" s="1" t="s">
        <v>227</v>
      </c>
      <c r="F1877" s="1" t="n">
        <v>24</v>
      </c>
      <c r="G1877" s="1" t="s">
        <v>91</v>
      </c>
      <c r="H1877" s="1" t="n">
        <v>2110405</v>
      </c>
      <c r="I1877" s="1" t="s">
        <v>55</v>
      </c>
      <c r="J1877" s="1" t="n">
        <v>1605198</v>
      </c>
      <c r="L1877" s="1" t="n">
        <v>219909</v>
      </c>
      <c r="M1877" s="1" t="s">
        <v>36</v>
      </c>
      <c r="N1877" s="1" t="s">
        <v>50</v>
      </c>
      <c r="P1877" s="1" t="n">
        <v>113</v>
      </c>
      <c r="Q1877" s="1" t="s">
        <v>38</v>
      </c>
      <c r="R1877" s="1" t="s">
        <v>62</v>
      </c>
      <c r="S1877" s="1" t="n">
        <v>1130101</v>
      </c>
      <c r="T1877" s="1" t="s">
        <v>63</v>
      </c>
      <c r="U1877" s="1" t="n">
        <v>1510.34</v>
      </c>
      <c r="W1877" s="1" t="n">
        <v>0</v>
      </c>
      <c r="X1877" s="1" t="s">
        <v>1581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BOLINHO MORANGO 7308</v>
      </c>
      <c r="AC1877" s="1" t="n">
        <v>447609</v>
      </c>
    </row>
    <row r="1878" customFormat="false" ht="12.75" hidden="false" customHeight="true" outlineLevel="0" collapsed="false">
      <c r="A1878" s="1" t="n">
        <v>2</v>
      </c>
      <c r="B1878" s="17" t="n">
        <v>46260</v>
      </c>
      <c r="C1878" s="17" t="n">
        <v>46281</v>
      </c>
      <c r="D1878" s="1" t="n">
        <v>1626</v>
      </c>
      <c r="E1878" s="1" t="s">
        <v>96</v>
      </c>
      <c r="F1878" s="1" t="n">
        <v>24</v>
      </c>
      <c r="G1878" s="1" t="s">
        <v>91</v>
      </c>
      <c r="H1878" s="1" t="n">
        <v>2110405</v>
      </c>
      <c r="I1878" s="1" t="s">
        <v>55</v>
      </c>
      <c r="J1878" s="1" t="n">
        <v>1605224</v>
      </c>
      <c r="L1878" s="1" t="n">
        <v>219915</v>
      </c>
      <c r="M1878" s="1" t="s">
        <v>36</v>
      </c>
      <c r="N1878" s="1" t="s">
        <v>50</v>
      </c>
      <c r="P1878" s="1" t="n">
        <v>113</v>
      </c>
      <c r="Q1878" s="1" t="s">
        <v>38</v>
      </c>
      <c r="R1878" s="1" t="s">
        <v>62</v>
      </c>
      <c r="S1878" s="1" t="n">
        <v>1130101</v>
      </c>
      <c r="T1878" s="1" t="s">
        <v>63</v>
      </c>
      <c r="U1878" s="1" t="n">
        <v>679.16</v>
      </c>
      <c r="W1878" s="1" t="n">
        <v>0</v>
      </c>
      <c r="X1878" s="1" t="s">
        <v>1517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CALABRESA SEARA KG</v>
      </c>
      <c r="AC1878" s="1" t="n">
        <v>319020</v>
      </c>
    </row>
    <row r="1879" customFormat="false" ht="12.75" hidden="false" customHeight="true" outlineLevel="0" collapsed="false">
      <c r="A1879" s="1" t="n">
        <v>2</v>
      </c>
      <c r="B1879" s="17" t="n">
        <v>46261</v>
      </c>
      <c r="C1879" s="17" t="n">
        <v>46281</v>
      </c>
      <c r="D1879" s="1" t="n">
        <v>1636</v>
      </c>
      <c r="E1879" s="1" t="s">
        <v>98</v>
      </c>
      <c r="F1879" s="1" t="n">
        <v>24</v>
      </c>
      <c r="G1879" s="1" t="s">
        <v>91</v>
      </c>
      <c r="H1879" s="1" t="n">
        <v>2110405</v>
      </c>
      <c r="I1879" s="1" t="s">
        <v>55</v>
      </c>
      <c r="J1879" s="1" t="n">
        <v>1609066</v>
      </c>
      <c r="L1879" s="1" t="n">
        <v>220491</v>
      </c>
      <c r="M1879" s="1" t="s">
        <v>36</v>
      </c>
      <c r="N1879" s="1" t="s">
        <v>50</v>
      </c>
      <c r="P1879" s="1" t="n">
        <v>113</v>
      </c>
      <c r="Q1879" s="1" t="s">
        <v>38</v>
      </c>
      <c r="R1879" s="1" t="s">
        <v>62</v>
      </c>
      <c r="S1879" s="1" t="n">
        <v>1130101</v>
      </c>
      <c r="T1879" s="1" t="s">
        <v>63</v>
      </c>
      <c r="U1879" s="1" t="n">
        <v>733.77</v>
      </c>
      <c r="W1879" s="1" t="n">
        <v>0</v>
      </c>
      <c r="X1879" s="1" t="s">
        <v>1519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BISC. RICHESTER RECH QUAD CHOCO ANI 130G</v>
      </c>
      <c r="AC1879" s="1" t="n">
        <v>3242273</v>
      </c>
    </row>
    <row r="1880" customFormat="false" ht="12.75" hidden="false" customHeight="true" outlineLevel="0" collapsed="false">
      <c r="A1880" s="1" t="n">
        <v>2</v>
      </c>
      <c r="B1880" s="17" t="n">
        <v>46268</v>
      </c>
      <c r="C1880" s="17" t="n">
        <v>46281</v>
      </c>
      <c r="D1880" s="1" t="n">
        <v>1635</v>
      </c>
      <c r="E1880" s="1" t="s">
        <v>129</v>
      </c>
      <c r="F1880" s="1" t="n">
        <v>24</v>
      </c>
      <c r="G1880" s="1" t="s">
        <v>91</v>
      </c>
      <c r="H1880" s="1" t="n">
        <v>2110405</v>
      </c>
      <c r="I1880" s="1" t="s">
        <v>55</v>
      </c>
      <c r="J1880" s="1" t="n">
        <v>1647282</v>
      </c>
      <c r="L1880" s="1" t="n">
        <v>226188</v>
      </c>
      <c r="M1880" s="1" t="s">
        <v>36</v>
      </c>
      <c r="N1880" s="1" t="s">
        <v>50</v>
      </c>
      <c r="P1880" s="1" t="n">
        <v>113</v>
      </c>
      <c r="Q1880" s="1" t="s">
        <v>38</v>
      </c>
      <c r="R1880" s="1" t="s">
        <v>62</v>
      </c>
      <c r="S1880" s="1" t="n">
        <v>1130101</v>
      </c>
      <c r="T1880" s="1" t="s">
        <v>63</v>
      </c>
      <c r="U1880" s="1" t="n">
        <v>278.1</v>
      </c>
      <c r="W1880" s="1" t="n">
        <v>0</v>
      </c>
      <c r="X1880" s="1" t="s">
        <v>1628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BATATA LUTOSA 1KG </v>
      </c>
      <c r="AC1880" s="1" t="n">
        <v>4884</v>
      </c>
    </row>
    <row r="1881" customFormat="false" ht="12.75" hidden="false" customHeight="true" outlineLevel="0" collapsed="false">
      <c r="A1881" s="1" t="n">
        <v>2</v>
      </c>
      <c r="B1881" s="17" t="n">
        <v>46269</v>
      </c>
      <c r="C1881" s="17" t="n">
        <v>46281</v>
      </c>
      <c r="D1881" s="1" t="n">
        <v>1613</v>
      </c>
      <c r="E1881" s="1" t="s">
        <v>107</v>
      </c>
      <c r="F1881" s="1" t="n">
        <v>24</v>
      </c>
      <c r="G1881" s="1" t="s">
        <v>91</v>
      </c>
      <c r="H1881" s="1" t="n">
        <v>2110405</v>
      </c>
      <c r="I1881" s="1" t="s">
        <v>55</v>
      </c>
      <c r="J1881" s="1" t="n">
        <v>1653084</v>
      </c>
      <c r="L1881" s="1" t="n">
        <v>227107</v>
      </c>
      <c r="M1881" s="1" t="s">
        <v>36</v>
      </c>
      <c r="N1881" s="1" t="s">
        <v>50</v>
      </c>
      <c r="P1881" s="1" t="n">
        <v>113</v>
      </c>
      <c r="Q1881" s="1" t="s">
        <v>38</v>
      </c>
      <c r="R1881" s="1" t="s">
        <v>62</v>
      </c>
      <c r="S1881" s="1" t="n">
        <v>1130101</v>
      </c>
      <c r="T1881" s="1" t="s">
        <v>63</v>
      </c>
      <c r="U1881" s="1" t="n">
        <v>2296</v>
      </c>
      <c r="W1881" s="1" t="n">
        <v>0</v>
      </c>
      <c r="X1881" s="1" t="s">
        <v>1629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COSTELA SUINA KG</v>
      </c>
      <c r="AC1881" s="1" t="n">
        <v>1627324</v>
      </c>
    </row>
    <row r="1882" customFormat="false" ht="12.75" hidden="false" customHeight="true" outlineLevel="0" collapsed="false">
      <c r="A1882" s="1" t="n">
        <v>2</v>
      </c>
      <c r="B1882" s="17" t="n">
        <v>46248</v>
      </c>
      <c r="C1882" s="17" t="n">
        <v>46282</v>
      </c>
      <c r="D1882" s="1" t="n">
        <v>10011</v>
      </c>
      <c r="E1882" s="1" t="s">
        <v>330</v>
      </c>
      <c r="F1882" s="1" t="n">
        <v>24</v>
      </c>
      <c r="G1882" s="1" t="s">
        <v>91</v>
      </c>
      <c r="H1882" s="1" t="n">
        <v>2110405</v>
      </c>
      <c r="I1882" s="1" t="s">
        <v>55</v>
      </c>
      <c r="J1882" s="1" t="n">
        <v>1545976</v>
      </c>
      <c r="L1882" s="1" t="n">
        <v>211185</v>
      </c>
      <c r="M1882" s="1" t="s">
        <v>36</v>
      </c>
      <c r="N1882" s="1" t="s">
        <v>50</v>
      </c>
      <c r="P1882" s="1" t="n">
        <v>113</v>
      </c>
      <c r="Q1882" s="1" t="s">
        <v>38</v>
      </c>
      <c r="R1882" s="1" t="s">
        <v>62</v>
      </c>
      <c r="S1882" s="1" t="n">
        <v>1130101</v>
      </c>
      <c r="T1882" s="1" t="s">
        <v>63</v>
      </c>
      <c r="U1882" s="1" t="n">
        <v>685.15</v>
      </c>
      <c r="W1882" s="1" t="n">
        <v>0</v>
      </c>
      <c r="X1882" s="1" t="s">
        <v>1630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RACAO GP ADU CARNE E ARROZ KG</v>
      </c>
      <c r="AC1882" s="1" t="n">
        <v>35161</v>
      </c>
    </row>
    <row r="1883" customFormat="false" ht="12.75" hidden="false" customHeight="true" outlineLevel="0" collapsed="false">
      <c r="A1883" s="1" t="n">
        <v>2</v>
      </c>
      <c r="B1883" s="17" t="n">
        <v>46252</v>
      </c>
      <c r="C1883" s="17" t="n">
        <v>46282</v>
      </c>
      <c r="D1883" s="1" t="n">
        <v>1671</v>
      </c>
      <c r="E1883" s="1" t="s">
        <v>101</v>
      </c>
      <c r="F1883" s="1" t="n">
        <v>24</v>
      </c>
      <c r="G1883" s="1" t="s">
        <v>91</v>
      </c>
      <c r="H1883" s="1" t="n">
        <v>2110405</v>
      </c>
      <c r="I1883" s="1" t="s">
        <v>55</v>
      </c>
      <c r="J1883" s="1" t="n">
        <v>1567135</v>
      </c>
      <c r="L1883" s="1" t="n">
        <v>213986</v>
      </c>
      <c r="M1883" s="1" t="s">
        <v>36</v>
      </c>
      <c r="N1883" s="1" t="s">
        <v>50</v>
      </c>
      <c r="P1883" s="1" t="n">
        <v>113</v>
      </c>
      <c r="Q1883" s="1" t="s">
        <v>38</v>
      </c>
      <c r="R1883" s="1" t="s">
        <v>62</v>
      </c>
      <c r="S1883" s="1" t="n">
        <v>1130101</v>
      </c>
      <c r="T1883" s="1" t="s">
        <v>63</v>
      </c>
      <c r="U1883" s="1" t="n">
        <v>793.81</v>
      </c>
      <c r="W1883" s="1" t="n">
        <v>0</v>
      </c>
      <c r="X1883" s="1" t="s">
        <v>1425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SAB LIQ PROTEX CREAM</v>
      </c>
      <c r="AC1883" s="1" t="n">
        <v>586415</v>
      </c>
    </row>
    <row r="1884" customFormat="false" ht="12.75" hidden="false" customHeight="true" outlineLevel="0" collapsed="false">
      <c r="A1884" s="1" t="n">
        <v>2</v>
      </c>
      <c r="B1884" s="17" t="n">
        <v>46256</v>
      </c>
      <c r="C1884" s="17" t="n">
        <v>46282</v>
      </c>
      <c r="D1884" s="1" t="n">
        <v>1745</v>
      </c>
      <c r="E1884" s="1" t="s">
        <v>170</v>
      </c>
      <c r="F1884" s="1" t="n">
        <v>24</v>
      </c>
      <c r="G1884" s="1" t="s">
        <v>91</v>
      </c>
      <c r="H1884" s="1" t="n">
        <v>2110405</v>
      </c>
      <c r="I1884" s="1" t="s">
        <v>55</v>
      </c>
      <c r="J1884" s="1" t="n">
        <v>1585080</v>
      </c>
      <c r="L1884" s="1" t="n">
        <v>216841</v>
      </c>
      <c r="M1884" s="1" t="s">
        <v>36</v>
      </c>
      <c r="N1884" s="1" t="s">
        <v>50</v>
      </c>
      <c r="P1884" s="1" t="n">
        <v>113</v>
      </c>
      <c r="Q1884" s="1" t="s">
        <v>38</v>
      </c>
      <c r="R1884" s="1" t="s">
        <v>62</v>
      </c>
      <c r="S1884" s="1" t="n">
        <v>1130101</v>
      </c>
      <c r="T1884" s="1" t="s">
        <v>63</v>
      </c>
      <c r="U1884" s="1" t="n">
        <v>182.82</v>
      </c>
      <c r="W1884" s="1" t="n">
        <v>0</v>
      </c>
      <c r="X1884" s="1" t="s">
        <v>1535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MILHO PIPOCA DONA CLARA 400G</v>
      </c>
      <c r="AC1884" s="1" t="n">
        <v>357892</v>
      </c>
    </row>
    <row r="1885" customFormat="false" ht="12.75" hidden="false" customHeight="true" outlineLevel="0" collapsed="false">
      <c r="A1885" s="1" t="n">
        <v>2</v>
      </c>
      <c r="B1885" s="17" t="n">
        <v>46261</v>
      </c>
      <c r="C1885" s="17" t="n">
        <v>46282</v>
      </c>
      <c r="D1885" s="1" t="n">
        <v>1706</v>
      </c>
      <c r="E1885" s="1" t="s">
        <v>1595</v>
      </c>
      <c r="F1885" s="1" t="n">
        <v>24</v>
      </c>
      <c r="G1885" s="1" t="s">
        <v>91</v>
      </c>
      <c r="H1885" s="1" t="n">
        <v>2110405</v>
      </c>
      <c r="I1885" s="1" t="s">
        <v>55</v>
      </c>
      <c r="J1885" s="1" t="n">
        <v>1608553</v>
      </c>
      <c r="L1885" s="1" t="n">
        <v>220370</v>
      </c>
      <c r="M1885" s="1" t="s">
        <v>36</v>
      </c>
      <c r="N1885" s="1" t="s">
        <v>50</v>
      </c>
      <c r="P1885" s="1" t="n">
        <v>113</v>
      </c>
      <c r="Q1885" s="1" t="s">
        <v>38</v>
      </c>
      <c r="R1885" s="1" t="s">
        <v>62</v>
      </c>
      <c r="S1885" s="1" t="n">
        <v>1130101</v>
      </c>
      <c r="T1885" s="1" t="s">
        <v>63</v>
      </c>
      <c r="U1885" s="1" t="n">
        <v>805.4</v>
      </c>
      <c r="W1885" s="1" t="n">
        <v>0</v>
      </c>
      <c r="X1885" s="1" t="s">
        <v>1596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BATATA PRINGLES ORIGINAL 104G</v>
      </c>
      <c r="AC1885" s="1" t="n">
        <v>206697</v>
      </c>
    </row>
    <row r="1886" customFormat="false" ht="12.75" hidden="false" customHeight="true" outlineLevel="0" collapsed="false">
      <c r="A1886" s="1" t="n">
        <v>2</v>
      </c>
      <c r="B1886" s="17" t="n">
        <v>46262</v>
      </c>
      <c r="C1886" s="17" t="n">
        <v>46282</v>
      </c>
      <c r="D1886" s="1" t="n">
        <v>1695</v>
      </c>
      <c r="E1886" s="1" t="s">
        <v>392</v>
      </c>
      <c r="F1886" s="1" t="n">
        <v>24</v>
      </c>
      <c r="G1886" s="1" t="s">
        <v>91</v>
      </c>
      <c r="H1886" s="1" t="n">
        <v>2110405</v>
      </c>
      <c r="I1886" s="1" t="s">
        <v>55</v>
      </c>
      <c r="J1886" s="1" t="n">
        <v>1613813</v>
      </c>
      <c r="L1886" s="1" t="n">
        <v>221290</v>
      </c>
      <c r="M1886" s="1" t="s">
        <v>36</v>
      </c>
      <c r="N1886" s="1" t="s">
        <v>50</v>
      </c>
      <c r="P1886" s="1" t="n">
        <v>113</v>
      </c>
      <c r="Q1886" s="1" t="s">
        <v>38</v>
      </c>
      <c r="R1886" s="1" t="s">
        <v>62</v>
      </c>
      <c r="S1886" s="1" t="n">
        <v>1130101</v>
      </c>
      <c r="T1886" s="1" t="s">
        <v>63</v>
      </c>
      <c r="U1886" s="1" t="n">
        <v>1063.84</v>
      </c>
      <c r="W1886" s="1" t="n">
        <v>0</v>
      </c>
      <c r="X1886" s="1" t="s">
        <v>1537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CAFE KIMINO 250G</v>
      </c>
      <c r="AC1886" s="1" t="n">
        <v>20104</v>
      </c>
    </row>
    <row r="1887" customFormat="false" ht="12.75" hidden="false" customHeight="true" outlineLevel="0" collapsed="false">
      <c r="A1887" s="1" t="n">
        <v>2</v>
      </c>
      <c r="B1887" s="17" t="n">
        <v>46262</v>
      </c>
      <c r="C1887" s="17" t="n">
        <v>46282</v>
      </c>
      <c r="D1887" s="1" t="n">
        <v>1196</v>
      </c>
      <c r="E1887" s="1" t="s">
        <v>1423</v>
      </c>
      <c r="F1887" s="1" t="n">
        <v>24</v>
      </c>
      <c r="G1887" s="1" t="s">
        <v>91</v>
      </c>
      <c r="H1887" s="1" t="n">
        <v>2110405</v>
      </c>
      <c r="I1887" s="1" t="s">
        <v>55</v>
      </c>
      <c r="J1887" s="1" t="n">
        <v>1614556</v>
      </c>
      <c r="L1887" s="1" t="n">
        <v>221461</v>
      </c>
      <c r="M1887" s="1" t="s">
        <v>36</v>
      </c>
      <c r="N1887" s="1" t="s">
        <v>50</v>
      </c>
      <c r="P1887" s="1" t="n">
        <v>113</v>
      </c>
      <c r="Q1887" s="1" t="s">
        <v>38</v>
      </c>
      <c r="R1887" s="1" t="s">
        <v>62</v>
      </c>
      <c r="S1887" s="1" t="n">
        <v>1130101</v>
      </c>
      <c r="T1887" s="1" t="s">
        <v>63</v>
      </c>
      <c r="U1887" s="1" t="n">
        <v>1213.95</v>
      </c>
      <c r="W1887" s="1" t="n">
        <v>0</v>
      </c>
      <c r="X1887" s="1" t="s">
        <v>1601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CAFÉ RANCHEIRO 250G</v>
      </c>
      <c r="AC1887" s="1" t="n">
        <v>13070</v>
      </c>
    </row>
    <row r="1888" customFormat="false" ht="12.75" hidden="false" customHeight="true" outlineLevel="0" collapsed="false">
      <c r="A1888" s="1" t="n">
        <v>2</v>
      </c>
      <c r="B1888" s="17" t="n">
        <v>46268</v>
      </c>
      <c r="C1888" s="17" t="n">
        <v>46282</v>
      </c>
      <c r="D1888" s="1" t="n">
        <v>1666</v>
      </c>
      <c r="E1888" s="1" t="s">
        <v>229</v>
      </c>
      <c r="F1888" s="1" t="n">
        <v>24</v>
      </c>
      <c r="G1888" s="1" t="s">
        <v>91</v>
      </c>
      <c r="H1888" s="1" t="n">
        <v>2110405</v>
      </c>
      <c r="I1888" s="1" t="s">
        <v>55</v>
      </c>
      <c r="J1888" s="1" t="n">
        <v>1647469</v>
      </c>
      <c r="L1888" s="1" t="n">
        <v>226240</v>
      </c>
      <c r="M1888" s="1" t="s">
        <v>36</v>
      </c>
      <c r="N1888" s="1" t="s">
        <v>50</v>
      </c>
      <c r="P1888" s="1" t="n">
        <v>113</v>
      </c>
      <c r="Q1888" s="1" t="s">
        <v>38</v>
      </c>
      <c r="R1888" s="1" t="s">
        <v>62</v>
      </c>
      <c r="S1888" s="1" t="n">
        <v>1130101</v>
      </c>
      <c r="T1888" s="1" t="s">
        <v>63</v>
      </c>
      <c r="U1888" s="1" t="n">
        <v>4761.77</v>
      </c>
      <c r="W1888" s="1" t="n">
        <v>0</v>
      </c>
      <c r="X1888" s="1" t="s">
        <v>1631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ISQUEIRO BIC G</v>
      </c>
      <c r="AC1888" s="1" t="n">
        <v>572518</v>
      </c>
    </row>
    <row r="1889" customFormat="false" ht="12.75" hidden="false" customHeight="true" outlineLevel="0" collapsed="false">
      <c r="A1889" s="1" t="n">
        <v>2</v>
      </c>
      <c r="B1889" s="17" t="n">
        <v>46206</v>
      </c>
      <c r="C1889" s="17" t="n">
        <v>46283</v>
      </c>
      <c r="D1889" s="1" t="n">
        <v>33</v>
      </c>
      <c r="E1889" s="1" t="s">
        <v>305</v>
      </c>
      <c r="F1889" s="1" t="n">
        <v>34</v>
      </c>
      <c r="G1889" s="1" t="s">
        <v>110</v>
      </c>
      <c r="H1889" s="1" t="n">
        <v>2110405</v>
      </c>
      <c r="I1889" s="1" t="s">
        <v>55</v>
      </c>
      <c r="J1889" s="1" t="n">
        <v>1345312</v>
      </c>
      <c r="L1889" s="1" t="n">
        <v>180690</v>
      </c>
      <c r="M1889" s="1" t="s">
        <v>76</v>
      </c>
      <c r="N1889" s="1" t="s">
        <v>50</v>
      </c>
      <c r="P1889" s="1" t="n">
        <v>101</v>
      </c>
      <c r="Q1889" s="1" t="s">
        <v>56</v>
      </c>
      <c r="R1889" s="1" t="s">
        <v>70</v>
      </c>
      <c r="S1889" s="1" t="n">
        <v>4210203</v>
      </c>
      <c r="T1889" s="1" t="s">
        <v>750</v>
      </c>
      <c r="U1889" s="1" t="n">
        <v>247.27</v>
      </c>
      <c r="W1889" s="1" t="n">
        <v>0</v>
      </c>
      <c r="X1889" s="1" t="s">
        <v>935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2</v>
      </c>
      <c r="B1890" s="17" t="n">
        <v>46265</v>
      </c>
      <c r="C1890" s="17" t="n">
        <v>46283</v>
      </c>
      <c r="D1890" s="1" t="n">
        <v>1616</v>
      </c>
      <c r="E1890" s="1" t="s">
        <v>94</v>
      </c>
      <c r="F1890" s="1" t="n">
        <v>24</v>
      </c>
      <c r="G1890" s="1" t="s">
        <v>91</v>
      </c>
      <c r="H1890" s="1" t="n">
        <v>2110405</v>
      </c>
      <c r="I1890" s="1" t="s">
        <v>55</v>
      </c>
      <c r="J1890" s="1" t="n">
        <v>1629536</v>
      </c>
      <c r="L1890" s="1" t="n">
        <v>223544</v>
      </c>
      <c r="M1890" s="1" t="s">
        <v>36</v>
      </c>
      <c r="N1890" s="1" t="s">
        <v>50</v>
      </c>
      <c r="P1890" s="1" t="n">
        <v>113</v>
      </c>
      <c r="Q1890" s="1" t="s">
        <v>38</v>
      </c>
      <c r="R1890" s="1" t="s">
        <v>62</v>
      </c>
      <c r="S1890" s="1" t="n">
        <v>1130101</v>
      </c>
      <c r="T1890" s="1" t="s">
        <v>63</v>
      </c>
      <c r="U1890" s="1" t="n">
        <v>610.19</v>
      </c>
      <c r="W1890" s="1" t="n">
        <v>0</v>
      </c>
      <c r="X1890" s="1" t="s">
        <v>1606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ESPONJA BRILHUS 1UNI</v>
      </c>
      <c r="AC1890" s="1" t="n">
        <v>656817</v>
      </c>
    </row>
    <row r="1891" customFormat="false" ht="12.75" hidden="false" customHeight="true" outlineLevel="0" collapsed="false">
      <c r="A1891" s="1" t="n">
        <v>2</v>
      </c>
      <c r="B1891" s="17" t="n">
        <v>46269</v>
      </c>
      <c r="C1891" s="17" t="n">
        <v>46283</v>
      </c>
      <c r="D1891" s="1" t="n">
        <v>911</v>
      </c>
      <c r="E1891" s="1" t="s">
        <v>477</v>
      </c>
      <c r="F1891" s="1" t="n">
        <v>24</v>
      </c>
      <c r="G1891" s="1" t="s">
        <v>91</v>
      </c>
      <c r="H1891" s="1" t="n">
        <v>2110405</v>
      </c>
      <c r="I1891" s="1" t="s">
        <v>55</v>
      </c>
      <c r="J1891" s="1" t="n">
        <v>1652172</v>
      </c>
      <c r="L1891" s="1" t="n">
        <v>226965</v>
      </c>
      <c r="M1891" s="1" t="s">
        <v>36</v>
      </c>
      <c r="N1891" s="1" t="s">
        <v>50</v>
      </c>
      <c r="P1891" s="1" t="n">
        <v>113</v>
      </c>
      <c r="Q1891" s="1" t="s">
        <v>38</v>
      </c>
      <c r="R1891" s="1" t="s">
        <v>62</v>
      </c>
      <c r="S1891" s="1" t="n">
        <v>1130101</v>
      </c>
      <c r="T1891" s="1" t="s">
        <v>63</v>
      </c>
      <c r="U1891" s="1" t="n">
        <v>247.56</v>
      </c>
      <c r="W1891" s="1" t="n">
        <v>0</v>
      </c>
      <c r="X1891" s="1" t="s">
        <v>1607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PURAGUA SODA COM GAS</v>
      </c>
      <c r="AC1891" s="1" t="n">
        <v>58376</v>
      </c>
    </row>
    <row r="1892" customFormat="false" ht="12.75" hidden="false" customHeight="true" outlineLevel="0" collapsed="false">
      <c r="A1892" s="1" t="n">
        <v>2</v>
      </c>
      <c r="B1892" s="17" t="n">
        <v>46269</v>
      </c>
      <c r="C1892" s="17" t="n">
        <v>46283</v>
      </c>
      <c r="D1892" s="1" t="n">
        <v>1608</v>
      </c>
      <c r="E1892" s="1" t="s">
        <v>224</v>
      </c>
      <c r="F1892" s="1" t="n">
        <v>24</v>
      </c>
      <c r="G1892" s="1" t="s">
        <v>91</v>
      </c>
      <c r="H1892" s="1" t="n">
        <v>2110405</v>
      </c>
      <c r="I1892" s="1" t="s">
        <v>55</v>
      </c>
      <c r="J1892" s="1" t="n">
        <v>1653001</v>
      </c>
      <c r="L1892" s="1" t="n">
        <v>227088</v>
      </c>
      <c r="M1892" s="1" t="s">
        <v>36</v>
      </c>
      <c r="N1892" s="1" t="s">
        <v>50</v>
      </c>
      <c r="P1892" s="1" t="n">
        <v>113</v>
      </c>
      <c r="Q1892" s="1" t="s">
        <v>38</v>
      </c>
      <c r="R1892" s="1" t="s">
        <v>62</v>
      </c>
      <c r="S1892" s="1" t="n">
        <v>1130101</v>
      </c>
      <c r="T1892" s="1" t="s">
        <v>63</v>
      </c>
      <c r="U1892" s="1" t="n">
        <v>1333.11</v>
      </c>
      <c r="W1892" s="1" t="n">
        <v>0</v>
      </c>
      <c r="X1892" s="1" t="s">
        <v>1632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ACHOC TODDY 200G</v>
      </c>
      <c r="AC1892" s="1" t="n">
        <v>1724435</v>
      </c>
    </row>
    <row r="1893" customFormat="false" ht="12.75" hidden="false" customHeight="true" outlineLevel="0" collapsed="false">
      <c r="A1893" s="1" t="n">
        <v>2</v>
      </c>
      <c r="B1893" s="17" t="n">
        <v>46223</v>
      </c>
      <c r="C1893" s="17" t="n">
        <v>46285</v>
      </c>
      <c r="D1893" s="1" t="n">
        <v>33</v>
      </c>
      <c r="E1893" s="1" t="s">
        <v>305</v>
      </c>
      <c r="F1893" s="1" t="n">
        <v>34</v>
      </c>
      <c r="G1893" s="1" t="s">
        <v>110</v>
      </c>
      <c r="H1893" s="1" t="n">
        <v>2110405</v>
      </c>
      <c r="I1893" s="1" t="s">
        <v>55</v>
      </c>
      <c r="J1893" s="1" t="n">
        <v>1424244</v>
      </c>
      <c r="L1893" s="1" t="n">
        <v>190900</v>
      </c>
      <c r="M1893" s="1" t="s">
        <v>76</v>
      </c>
      <c r="N1893" s="1" t="s">
        <v>50</v>
      </c>
      <c r="P1893" s="1" t="n">
        <v>101</v>
      </c>
      <c r="Q1893" s="1" t="s">
        <v>56</v>
      </c>
      <c r="R1893" s="1" t="s">
        <v>411</v>
      </c>
      <c r="S1893" s="1" t="n">
        <v>4210107</v>
      </c>
      <c r="T1893" s="1" t="s">
        <v>497</v>
      </c>
      <c r="U1893" s="1" t="n">
        <v>138.3</v>
      </c>
      <c r="W1893" s="1" t="n">
        <v>0</v>
      </c>
      <c r="X1893" s="1" t="s">
        <v>1633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12.75" hidden="false" customHeight="true" outlineLevel="0" collapsed="false">
      <c r="A1894" s="1" t="n">
        <v>2</v>
      </c>
      <c r="B1894" s="17" t="n">
        <v>46241</v>
      </c>
      <c r="C1894" s="17" t="n">
        <v>46285</v>
      </c>
      <c r="D1894" s="1" t="n">
        <v>10028</v>
      </c>
      <c r="E1894" s="1" t="s">
        <v>495</v>
      </c>
      <c r="F1894" s="1" t="n">
        <v>24</v>
      </c>
      <c r="G1894" s="1" t="s">
        <v>91</v>
      </c>
      <c r="H1894" s="1" t="n">
        <v>2110405</v>
      </c>
      <c r="I1894" s="1" t="s">
        <v>55</v>
      </c>
      <c r="J1894" s="1" t="n">
        <v>1370757</v>
      </c>
      <c r="L1894" s="1" t="n">
        <v>184341</v>
      </c>
      <c r="M1894" s="1" t="s">
        <v>76</v>
      </c>
      <c r="N1894" s="1" t="s">
        <v>50</v>
      </c>
      <c r="P1894" s="1" t="n">
        <v>101</v>
      </c>
      <c r="Q1894" s="1" t="s">
        <v>56</v>
      </c>
      <c r="R1894" s="1" t="s">
        <v>39</v>
      </c>
      <c r="S1894" s="1" t="n">
        <v>4210315</v>
      </c>
      <c r="T1894" s="1" t="s">
        <v>283</v>
      </c>
      <c r="U1894" s="1" t="n">
        <v>595.9</v>
      </c>
      <c r="W1894" s="1" t="n">
        <v>0</v>
      </c>
      <c r="X1894" s="1" t="s">
        <v>496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12.75" hidden="false" customHeight="true" outlineLevel="0" collapsed="false">
      <c r="A1895" s="1" t="n">
        <v>2</v>
      </c>
      <c r="B1895" s="17" t="n">
        <v>46253</v>
      </c>
      <c r="C1895" s="17" t="n">
        <v>46286</v>
      </c>
      <c r="D1895" s="1" t="n">
        <v>616</v>
      </c>
      <c r="E1895" s="1" t="s">
        <v>939</v>
      </c>
      <c r="F1895" s="1" t="n">
        <v>24</v>
      </c>
      <c r="G1895" s="1" t="s">
        <v>91</v>
      </c>
      <c r="H1895" s="1" t="n">
        <v>2110405</v>
      </c>
      <c r="I1895" s="1" t="s">
        <v>55</v>
      </c>
      <c r="J1895" s="1" t="n">
        <v>1572206</v>
      </c>
      <c r="L1895" s="1" t="n">
        <v>214775</v>
      </c>
      <c r="M1895" s="1" t="s">
        <v>36</v>
      </c>
      <c r="N1895" s="1" t="s">
        <v>50</v>
      </c>
      <c r="P1895" s="1" t="n">
        <v>113</v>
      </c>
      <c r="Q1895" s="1" t="s">
        <v>38</v>
      </c>
      <c r="R1895" s="1" t="s">
        <v>62</v>
      </c>
      <c r="S1895" s="1" t="n">
        <v>1130101</v>
      </c>
      <c r="T1895" s="1" t="s">
        <v>63</v>
      </c>
      <c r="U1895" s="1" t="n">
        <v>983.77</v>
      </c>
      <c r="W1895" s="1" t="n">
        <v>0</v>
      </c>
      <c r="X1895" s="1" t="s">
        <v>1562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2</v>
      </c>
      <c r="B1896" s="17" t="n">
        <v>46254</v>
      </c>
      <c r="C1896" s="17" t="n">
        <v>46286</v>
      </c>
      <c r="D1896" s="1" t="n">
        <v>10012</v>
      </c>
      <c r="E1896" s="1" t="s">
        <v>176</v>
      </c>
      <c r="F1896" s="1" t="n">
        <v>24</v>
      </c>
      <c r="G1896" s="1" t="s">
        <v>91</v>
      </c>
      <c r="H1896" s="1" t="n">
        <v>2110405</v>
      </c>
      <c r="I1896" s="1" t="s">
        <v>55</v>
      </c>
      <c r="J1896" s="1" t="n">
        <v>1577225</v>
      </c>
      <c r="L1896" s="1" t="n">
        <v>215620</v>
      </c>
      <c r="M1896" s="1" t="s">
        <v>36</v>
      </c>
      <c r="N1896" s="1" t="s">
        <v>50</v>
      </c>
      <c r="P1896" s="1" t="n">
        <v>113</v>
      </c>
      <c r="Q1896" s="1" t="s">
        <v>38</v>
      </c>
      <c r="R1896" s="1" t="s">
        <v>62</v>
      </c>
      <c r="S1896" s="1" t="n">
        <v>1130101</v>
      </c>
      <c r="T1896" s="1" t="s">
        <v>63</v>
      </c>
      <c r="U1896" s="1" t="n">
        <v>521.74</v>
      </c>
      <c r="W1896" s="1" t="n">
        <v>0</v>
      </c>
      <c r="X1896" s="1" t="s">
        <v>1563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SAB PHEBO ODOR90G</v>
      </c>
      <c r="AC1896" s="1" t="n">
        <v>1966312</v>
      </c>
    </row>
    <row r="1897" customFormat="false" ht="12.75" hidden="false" customHeight="true" outlineLevel="0" collapsed="false">
      <c r="A1897" s="1" t="n">
        <v>2</v>
      </c>
      <c r="B1897" s="17" t="n">
        <v>46259</v>
      </c>
      <c r="C1897" s="17" t="n">
        <v>46286</v>
      </c>
      <c r="D1897" s="1" t="n">
        <v>10009</v>
      </c>
      <c r="E1897" s="1" t="s">
        <v>469</v>
      </c>
      <c r="F1897" s="1" t="n">
        <v>24</v>
      </c>
      <c r="G1897" s="1" t="s">
        <v>91</v>
      </c>
      <c r="H1897" s="1" t="n">
        <v>2110405</v>
      </c>
      <c r="I1897" s="1" t="s">
        <v>55</v>
      </c>
      <c r="J1897" s="1" t="n">
        <v>1600247</v>
      </c>
      <c r="L1897" s="1" t="n">
        <v>219128</v>
      </c>
      <c r="M1897" s="1" t="s">
        <v>36</v>
      </c>
      <c r="N1897" s="1" t="s">
        <v>50</v>
      </c>
      <c r="P1897" s="1" t="n">
        <v>113</v>
      </c>
      <c r="Q1897" s="1" t="s">
        <v>38</v>
      </c>
      <c r="R1897" s="1" t="s">
        <v>62</v>
      </c>
      <c r="S1897" s="1" t="n">
        <v>1130101</v>
      </c>
      <c r="T1897" s="1" t="s">
        <v>63</v>
      </c>
      <c r="U1897" s="1" t="n">
        <v>1255.7</v>
      </c>
      <c r="W1897" s="1" t="n">
        <v>0</v>
      </c>
      <c r="X1897" s="1" t="s">
        <v>1634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TALENTO CSTN 85G</v>
      </c>
      <c r="AC1897" s="1" t="n">
        <v>1441731</v>
      </c>
    </row>
    <row r="1898" customFormat="false" ht="12.75" hidden="false" customHeight="true" outlineLevel="0" collapsed="false">
      <c r="A1898" s="1" t="n">
        <v>2</v>
      </c>
      <c r="B1898" s="17" t="n">
        <v>46266</v>
      </c>
      <c r="C1898" s="17" t="n">
        <v>46286</v>
      </c>
      <c r="D1898" s="1" t="n">
        <v>794</v>
      </c>
      <c r="E1898" s="1" t="s">
        <v>343</v>
      </c>
      <c r="F1898" s="1" t="n">
        <v>24</v>
      </c>
      <c r="G1898" s="1" t="s">
        <v>91</v>
      </c>
      <c r="H1898" s="1" t="n">
        <v>2110405</v>
      </c>
      <c r="I1898" s="1" t="s">
        <v>55</v>
      </c>
      <c r="J1898" s="1" t="n">
        <v>1633936</v>
      </c>
      <c r="L1898" s="1" t="n">
        <v>224235</v>
      </c>
      <c r="M1898" s="1" t="s">
        <v>36</v>
      </c>
      <c r="N1898" s="1" t="s">
        <v>50</v>
      </c>
      <c r="P1898" s="1" t="n">
        <v>113</v>
      </c>
      <c r="Q1898" s="1" t="s">
        <v>38</v>
      </c>
      <c r="R1898" s="1" t="s">
        <v>70</v>
      </c>
      <c r="S1898" s="1" t="n">
        <v>4210299</v>
      </c>
      <c r="T1898" s="1" t="s">
        <v>127</v>
      </c>
      <c r="U1898" s="1" t="n">
        <v>1332.55</v>
      </c>
      <c r="W1898" s="1" t="n">
        <v>0</v>
      </c>
      <c r="X1898" s="1" t="s">
        <v>1620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SACOLA BRC. L. ALIP.</v>
      </c>
      <c r="AC1898" s="1" t="n">
        <v>8802</v>
      </c>
    </row>
    <row r="1899" customFormat="false" ht="12.75" hidden="false" customHeight="true" outlineLevel="0" collapsed="false">
      <c r="A1899" s="1" t="n">
        <v>2</v>
      </c>
      <c r="B1899" s="17" t="n">
        <v>46268</v>
      </c>
      <c r="C1899" s="17" t="n">
        <v>46286</v>
      </c>
      <c r="D1899" s="1" t="n">
        <v>1611</v>
      </c>
      <c r="E1899" s="1" t="s">
        <v>172</v>
      </c>
      <c r="F1899" s="1" t="n">
        <v>24</v>
      </c>
      <c r="G1899" s="1" t="s">
        <v>91</v>
      </c>
      <c r="H1899" s="1" t="n">
        <v>2110405</v>
      </c>
      <c r="I1899" s="1" t="s">
        <v>55</v>
      </c>
      <c r="J1899" s="1" t="n">
        <v>1646253</v>
      </c>
      <c r="L1899" s="1" t="n">
        <v>225904</v>
      </c>
      <c r="M1899" s="1" t="s">
        <v>36</v>
      </c>
      <c r="N1899" s="1" t="s">
        <v>50</v>
      </c>
      <c r="P1899" s="1" t="n">
        <v>113</v>
      </c>
      <c r="Q1899" s="1" t="s">
        <v>38</v>
      </c>
      <c r="R1899" s="1" t="s">
        <v>62</v>
      </c>
      <c r="S1899" s="1" t="n">
        <v>1130101</v>
      </c>
      <c r="T1899" s="1" t="s">
        <v>63</v>
      </c>
      <c r="U1899" s="1" t="n">
        <v>176.57</v>
      </c>
      <c r="W1899" s="1" t="n">
        <v>0</v>
      </c>
      <c r="X1899" s="1" t="s">
        <v>1621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" t="n">
        <v>2</v>
      </c>
      <c r="B1900" s="17" t="n">
        <v>46260</v>
      </c>
      <c r="C1900" s="17" t="n">
        <v>46287</v>
      </c>
      <c r="D1900" s="1" t="n">
        <v>1601</v>
      </c>
      <c r="E1900" s="1" t="s">
        <v>192</v>
      </c>
      <c r="F1900" s="1" t="n">
        <v>24</v>
      </c>
      <c r="G1900" s="1" t="s">
        <v>91</v>
      </c>
      <c r="H1900" s="1" t="n">
        <v>2110405</v>
      </c>
      <c r="I1900" s="1" t="s">
        <v>55</v>
      </c>
      <c r="J1900" s="1" t="n">
        <v>1604000</v>
      </c>
      <c r="L1900" s="1" t="n">
        <v>219688</v>
      </c>
      <c r="M1900" s="1" t="s">
        <v>36</v>
      </c>
      <c r="N1900" s="1" t="s">
        <v>50</v>
      </c>
      <c r="P1900" s="1" t="n">
        <v>113</v>
      </c>
      <c r="Q1900" s="1" t="s">
        <v>38</v>
      </c>
      <c r="R1900" s="1" t="s">
        <v>62</v>
      </c>
      <c r="S1900" s="1" t="n">
        <v>1130101</v>
      </c>
      <c r="T1900" s="1" t="s">
        <v>63</v>
      </c>
      <c r="U1900" s="1" t="n">
        <v>843.65</v>
      </c>
      <c r="W1900" s="1" t="n">
        <v>0</v>
      </c>
      <c r="X1900" s="1" t="s">
        <v>1570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HEINZ YELLOW MUSTARD</v>
      </c>
      <c r="AC1900" s="1" t="n">
        <v>866347</v>
      </c>
    </row>
    <row r="1901" customFormat="false" ht="12.75" hidden="false" customHeight="true" outlineLevel="0" collapsed="false">
      <c r="A1901" s="1" t="n">
        <v>2</v>
      </c>
      <c r="B1901" s="17" t="n">
        <v>46260</v>
      </c>
      <c r="C1901" s="17" t="n">
        <v>46287</v>
      </c>
      <c r="D1901" s="1" t="n">
        <v>794</v>
      </c>
      <c r="E1901" s="1" t="s">
        <v>343</v>
      </c>
      <c r="F1901" s="1" t="n">
        <v>24</v>
      </c>
      <c r="G1901" s="1" t="s">
        <v>91</v>
      </c>
      <c r="H1901" s="1" t="n">
        <v>2110405</v>
      </c>
      <c r="I1901" s="1" t="s">
        <v>55</v>
      </c>
      <c r="J1901" s="1" t="n">
        <v>1604329</v>
      </c>
      <c r="L1901" s="1" t="n">
        <v>219752</v>
      </c>
      <c r="M1901" s="1" t="s">
        <v>36</v>
      </c>
      <c r="N1901" s="1" t="s">
        <v>50</v>
      </c>
      <c r="P1901" s="1" t="n">
        <v>113</v>
      </c>
      <c r="Q1901" s="1" t="s">
        <v>38</v>
      </c>
      <c r="R1901" s="1" t="s">
        <v>62</v>
      </c>
      <c r="S1901" s="1" t="n">
        <v>1130101</v>
      </c>
      <c r="T1901" s="1" t="s">
        <v>63</v>
      </c>
      <c r="U1901" s="1" t="n">
        <v>873.08</v>
      </c>
      <c r="W1901" s="1" t="n">
        <v>0</v>
      </c>
      <c r="X1901" s="1" t="s">
        <v>1571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VASS MADRID CONDOR C/CABO</v>
      </c>
      <c r="AC1901" s="1" t="n">
        <v>8744</v>
      </c>
    </row>
    <row r="1902" customFormat="false" ht="12.75" hidden="false" customHeight="true" outlineLevel="0" collapsed="false">
      <c r="A1902" s="1" t="n">
        <v>2</v>
      </c>
      <c r="B1902" s="17" t="n">
        <v>46261</v>
      </c>
      <c r="C1902" s="17" t="n">
        <v>46287</v>
      </c>
      <c r="D1902" s="1" t="n">
        <v>1637</v>
      </c>
      <c r="E1902" s="1" t="s">
        <v>870</v>
      </c>
      <c r="F1902" s="1" t="n">
        <v>24</v>
      </c>
      <c r="G1902" s="1" t="s">
        <v>91</v>
      </c>
      <c r="H1902" s="1" t="n">
        <v>2110405</v>
      </c>
      <c r="I1902" s="1" t="s">
        <v>55</v>
      </c>
      <c r="J1902" s="1" t="n">
        <v>1609012</v>
      </c>
      <c r="L1902" s="1" t="n">
        <v>220473</v>
      </c>
      <c r="M1902" s="1" t="s">
        <v>36</v>
      </c>
      <c r="N1902" s="1" t="s">
        <v>50</v>
      </c>
      <c r="P1902" s="1" t="n">
        <v>113</v>
      </c>
      <c r="Q1902" s="1" t="s">
        <v>38</v>
      </c>
      <c r="R1902" s="1" t="s">
        <v>62</v>
      </c>
      <c r="S1902" s="1" t="n">
        <v>1130101</v>
      </c>
      <c r="T1902" s="1" t="s">
        <v>63</v>
      </c>
      <c r="U1902" s="1" t="n">
        <v>942.69</v>
      </c>
      <c r="W1902" s="1" t="n">
        <v>0</v>
      </c>
      <c r="X1902" s="1" t="s">
        <v>1635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LEITE NINHO INTEGRAL380G LT</v>
      </c>
      <c r="AC1902" s="1" t="n">
        <v>1925381</v>
      </c>
    </row>
    <row r="1903" customFormat="false" ht="12.75" hidden="false" customHeight="true" outlineLevel="0" collapsed="false">
      <c r="A1903" s="1" t="n">
        <v>2</v>
      </c>
      <c r="B1903" s="17" t="n">
        <v>46269</v>
      </c>
      <c r="C1903" s="17" t="n">
        <v>46287</v>
      </c>
      <c r="D1903" s="1" t="n">
        <v>1672</v>
      </c>
      <c r="E1903" s="1" t="s">
        <v>340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1651551</v>
      </c>
      <c r="L1903" s="1" t="n">
        <v>226827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1917.5</v>
      </c>
      <c r="W1903" s="1" t="n">
        <v>0</v>
      </c>
      <c r="X1903" s="1" t="s">
        <v>1636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REFRIG MAGISTRAL 2L</v>
      </c>
      <c r="AC1903" s="1" t="n">
        <v>1440541</v>
      </c>
    </row>
    <row r="1904" customFormat="false" ht="12.75" hidden="false" customHeight="true" outlineLevel="0" collapsed="false">
      <c r="A1904" s="1" t="n">
        <v>2</v>
      </c>
      <c r="B1904" s="17" t="n">
        <v>46260</v>
      </c>
      <c r="C1904" s="17" t="n">
        <v>46288</v>
      </c>
      <c r="D1904" s="1" t="n">
        <v>1107</v>
      </c>
      <c r="E1904" s="1" t="s">
        <v>227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1605200</v>
      </c>
      <c r="L1904" s="1" t="n">
        <v>219910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1510.34</v>
      </c>
      <c r="W1904" s="1" t="n">
        <v>0</v>
      </c>
      <c r="X1904" s="1" t="s">
        <v>1581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BOLINHO MORANGO 7308</v>
      </c>
      <c r="AC1904" s="1" t="n">
        <v>447609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46288</v>
      </c>
      <c r="D1905" s="1" t="n">
        <v>1613</v>
      </c>
      <c r="E1905" s="1" t="s">
        <v>107</v>
      </c>
      <c r="F1905" s="1" t="n">
        <v>24</v>
      </c>
      <c r="G1905" s="1" t="s">
        <v>91</v>
      </c>
      <c r="H1905" s="1" t="n">
        <v>2110405</v>
      </c>
      <c r="I1905" s="1" t="s">
        <v>55</v>
      </c>
      <c r="J1905" s="1" t="n">
        <v>1653086</v>
      </c>
      <c r="L1905" s="1" t="n">
        <v>227108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2295.99</v>
      </c>
      <c r="W1905" s="1" t="n">
        <v>0</v>
      </c>
      <c r="X1905" s="1" t="s">
        <v>1629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COSTELA SUINA KG</v>
      </c>
      <c r="AC1905" s="1" t="n">
        <v>1627324</v>
      </c>
    </row>
    <row r="1906" customFormat="false" ht="12.75" hidden="false" customHeight="true" outlineLevel="0" collapsed="false">
      <c r="A1906" s="1" t="n">
        <v>2</v>
      </c>
      <c r="B1906" s="17" t="n">
        <v>46244</v>
      </c>
      <c r="C1906" s="17" t="n">
        <v>46289</v>
      </c>
      <c r="D1906" s="1" t="n">
        <v>1789</v>
      </c>
      <c r="E1906" s="1" t="s">
        <v>549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1529685</v>
      </c>
      <c r="L1906" s="1" t="n">
        <v>208126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411</v>
      </c>
      <c r="S1906" s="1" t="n">
        <v>4210112</v>
      </c>
      <c r="T1906" s="1" t="s">
        <v>550</v>
      </c>
      <c r="U1906" s="1" t="n">
        <v>10645.93</v>
      </c>
      <c r="W1906" s="1" t="n">
        <v>0</v>
      </c>
      <c r="X1906" s="1" t="s">
        <v>1637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" t="n">
        <v>2</v>
      </c>
      <c r="B1907" s="17" t="n">
        <v>46261</v>
      </c>
      <c r="C1907" s="17" t="n">
        <v>46289</v>
      </c>
      <c r="D1907" s="1" t="n">
        <v>1706</v>
      </c>
      <c r="E1907" s="1" t="s">
        <v>1595</v>
      </c>
      <c r="F1907" s="1" t="n">
        <v>24</v>
      </c>
      <c r="G1907" s="1" t="s">
        <v>91</v>
      </c>
      <c r="H1907" s="1" t="n">
        <v>2110405</v>
      </c>
      <c r="I1907" s="1" t="s">
        <v>55</v>
      </c>
      <c r="J1907" s="1" t="n">
        <v>1608557</v>
      </c>
      <c r="L1907" s="1" t="n">
        <v>220371</v>
      </c>
      <c r="M1907" s="1" t="s">
        <v>36</v>
      </c>
      <c r="N1907" s="1" t="s">
        <v>50</v>
      </c>
      <c r="P1907" s="1" t="n">
        <v>113</v>
      </c>
      <c r="Q1907" s="1" t="s">
        <v>38</v>
      </c>
      <c r="R1907" s="1" t="s">
        <v>62</v>
      </c>
      <c r="S1907" s="1" t="n">
        <v>1130101</v>
      </c>
      <c r="T1907" s="1" t="s">
        <v>63</v>
      </c>
      <c r="U1907" s="1" t="n">
        <v>805.4</v>
      </c>
      <c r="W1907" s="1" t="n">
        <v>0</v>
      </c>
      <c r="X1907" s="1" t="s">
        <v>1596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BATATA PRINGLES ORIGINAL 104G</v>
      </c>
      <c r="AC1907" s="1" t="n">
        <v>206697</v>
      </c>
    </row>
    <row r="1908" customFormat="false" ht="12.75" hidden="false" customHeight="true" outlineLevel="0" collapsed="false">
      <c r="A1908" s="1" t="n">
        <v>2</v>
      </c>
      <c r="B1908" s="17" t="n">
        <v>46262</v>
      </c>
      <c r="C1908" s="17" t="n">
        <v>46289</v>
      </c>
      <c r="D1908" s="1" t="n">
        <v>1196</v>
      </c>
      <c r="E1908" s="1" t="s">
        <v>1423</v>
      </c>
      <c r="F1908" s="1" t="n">
        <v>24</v>
      </c>
      <c r="G1908" s="1" t="s">
        <v>91</v>
      </c>
      <c r="H1908" s="1" t="n">
        <v>2110405</v>
      </c>
      <c r="I1908" s="1" t="s">
        <v>55</v>
      </c>
      <c r="J1908" s="1" t="n">
        <v>1614562</v>
      </c>
      <c r="L1908" s="1" t="n">
        <v>221462</v>
      </c>
      <c r="M1908" s="1" t="s">
        <v>36</v>
      </c>
      <c r="N1908" s="1" t="s">
        <v>50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1213.96</v>
      </c>
      <c r="W1908" s="1" t="n">
        <v>0</v>
      </c>
      <c r="X1908" s="1" t="s">
        <v>1601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CAFÉ RANCHEIRO 250G</v>
      </c>
      <c r="AC1908" s="1" t="n">
        <v>13070</v>
      </c>
    </row>
    <row r="1909" customFormat="false" ht="12.75" hidden="false" customHeight="true" outlineLevel="0" collapsed="false">
      <c r="A1909" s="1" t="n">
        <v>2</v>
      </c>
      <c r="B1909" s="17" t="n">
        <v>46268</v>
      </c>
      <c r="C1909" s="17" t="n">
        <v>46289</v>
      </c>
      <c r="D1909" s="1" t="n">
        <v>1666</v>
      </c>
      <c r="E1909" s="1" t="s">
        <v>229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1647476</v>
      </c>
      <c r="L1909" s="1" t="n">
        <v>226243</v>
      </c>
      <c r="M1909" s="1" t="s">
        <v>36</v>
      </c>
      <c r="N1909" s="1" t="s">
        <v>50</v>
      </c>
      <c r="P1909" s="1" t="n">
        <v>113</v>
      </c>
      <c r="Q1909" s="1" t="s">
        <v>38</v>
      </c>
      <c r="R1909" s="1" t="s">
        <v>62</v>
      </c>
      <c r="S1909" s="1" t="n">
        <v>1130101</v>
      </c>
      <c r="T1909" s="1" t="s">
        <v>63</v>
      </c>
      <c r="U1909" s="1" t="n">
        <v>4761.78</v>
      </c>
      <c r="W1909" s="1" t="n">
        <v>0</v>
      </c>
      <c r="X1909" s="1" t="s">
        <v>1631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ISQUEIRO BIC G</v>
      </c>
      <c r="AC1909" s="1" t="n">
        <v>572518</v>
      </c>
    </row>
    <row r="1910" customFormat="false" ht="12.75" hidden="false" customHeight="true" outlineLevel="0" collapsed="false">
      <c r="A1910" s="1" t="n">
        <v>2</v>
      </c>
      <c r="B1910" s="17" t="n">
        <v>46013</v>
      </c>
      <c r="C1910" s="17" t="n">
        <v>46290</v>
      </c>
      <c r="D1910" s="1" t="n">
        <v>17</v>
      </c>
      <c r="E1910" s="1" t="s">
        <v>490</v>
      </c>
      <c r="F1910" s="1" t="n">
        <v>48</v>
      </c>
      <c r="G1910" s="1" t="s">
        <v>569</v>
      </c>
      <c r="H1910" s="1" t="n">
        <v>2110405</v>
      </c>
      <c r="I1910" s="1" t="s">
        <v>55</v>
      </c>
      <c r="J1910" s="1" t="n">
        <v>660421</v>
      </c>
      <c r="L1910" s="1" t="n">
        <v>86128</v>
      </c>
      <c r="M1910" s="1" t="s">
        <v>1118</v>
      </c>
      <c r="N1910" s="1" t="s">
        <v>50</v>
      </c>
      <c r="P1910" s="1" t="n">
        <v>101</v>
      </c>
      <c r="Q1910" s="1" t="s">
        <v>56</v>
      </c>
      <c r="R1910" s="1" t="s">
        <v>57</v>
      </c>
      <c r="S1910" s="1" t="n">
        <v>4220199</v>
      </c>
      <c r="T1910" s="1" t="s">
        <v>58</v>
      </c>
      <c r="U1910" s="1" t="n">
        <v>362.14</v>
      </c>
      <c r="W1910" s="1" t="n">
        <v>0</v>
      </c>
      <c r="X1910" s="1" t="s">
        <v>571</v>
      </c>
      <c r="Z1910" s="1" t="str">
        <f aca="false">IF($T1910="","",IFERROR(INDEX('Resumo Grupos'!$AC$3:$AC$200,MATCH($T1910,'Resumo Grupos'!$AB$3:$AB$200,0)),"n/d"))</f>
        <v>Pagamentos outros não operacionais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2</v>
      </c>
      <c r="B1911" s="17" t="n">
        <v>46029</v>
      </c>
      <c r="C1911" s="17" t="n">
        <v>46290</v>
      </c>
      <c r="D1911" s="1" t="n">
        <v>17</v>
      </c>
      <c r="E1911" s="1" t="s">
        <v>490</v>
      </c>
      <c r="F1911" s="1" t="n">
        <v>48</v>
      </c>
      <c r="G1911" s="1" t="s">
        <v>569</v>
      </c>
      <c r="H1911" s="1" t="n">
        <v>2110405</v>
      </c>
      <c r="I1911" s="1" t="s">
        <v>55</v>
      </c>
      <c r="J1911" s="1" t="n">
        <v>660305</v>
      </c>
      <c r="L1911" s="1" t="n">
        <v>86116</v>
      </c>
      <c r="M1911" s="1" t="s">
        <v>1118</v>
      </c>
      <c r="N1911" s="1" t="s">
        <v>50</v>
      </c>
      <c r="P1911" s="1" t="n">
        <v>101</v>
      </c>
      <c r="Q1911" s="1" t="s">
        <v>56</v>
      </c>
      <c r="R1911" s="1" t="s">
        <v>57</v>
      </c>
      <c r="S1911" s="1" t="n">
        <v>4220199</v>
      </c>
      <c r="T1911" s="1" t="s">
        <v>58</v>
      </c>
      <c r="U1911" s="1" t="n">
        <v>84.03</v>
      </c>
      <c r="W1911" s="1" t="n">
        <v>0</v>
      </c>
      <c r="X1911" s="1" t="s">
        <v>570</v>
      </c>
      <c r="Z1911" s="1" t="str">
        <f aca="false">IF($T1911="","",IFERROR(INDEX('Resumo Grupos'!$AC$3:$AC$200,MATCH($T1911,'Resumo Grupos'!$AB$3:$AB$200,0)),"n/d"))</f>
        <v>Pagamentos outros não operacionais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2</v>
      </c>
      <c r="B1912" s="17" t="n">
        <v>46243</v>
      </c>
      <c r="C1912" s="17" t="n">
        <v>46290</v>
      </c>
      <c r="D1912" s="1" t="n">
        <v>17</v>
      </c>
      <c r="E1912" s="1" t="s">
        <v>490</v>
      </c>
      <c r="F1912" s="1" t="n">
        <v>48</v>
      </c>
      <c r="G1912" s="1" t="s">
        <v>569</v>
      </c>
      <c r="H1912" s="1" t="n">
        <v>2110405</v>
      </c>
      <c r="I1912" s="1" t="s">
        <v>55</v>
      </c>
      <c r="J1912" s="1" t="n">
        <v>1551938</v>
      </c>
      <c r="L1912" s="1" t="n">
        <v>211786</v>
      </c>
      <c r="M1912" s="1" t="s">
        <v>88</v>
      </c>
      <c r="N1912" s="1" t="s">
        <v>50</v>
      </c>
      <c r="P1912" s="1" t="n">
        <v>101</v>
      </c>
      <c r="Q1912" s="1" t="s">
        <v>56</v>
      </c>
      <c r="R1912" s="1" t="s">
        <v>57</v>
      </c>
      <c r="S1912" s="1" t="n">
        <v>4220199</v>
      </c>
      <c r="T1912" s="1" t="s">
        <v>58</v>
      </c>
      <c r="U1912" s="1" t="n">
        <v>52.52</v>
      </c>
      <c r="W1912" s="1" t="n">
        <v>0</v>
      </c>
      <c r="X1912" s="1" t="s">
        <v>1638</v>
      </c>
      <c r="Z1912" s="1" t="str">
        <f aca="false">IF($T1912="","",IFERROR(INDEX('Resumo Grupos'!$AC$3:$AC$200,MATCH($T1912,'Resumo Grupos'!$AB$3:$AB$200,0)),"n/d"))</f>
        <v>Pagamentos outros não operacionais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2</v>
      </c>
      <c r="B1913" s="17" t="n">
        <v>46256</v>
      </c>
      <c r="C1913" s="17" t="n">
        <v>46290</v>
      </c>
      <c r="D1913" s="1" t="n">
        <v>1782</v>
      </c>
      <c r="E1913" s="1" t="s">
        <v>1639</v>
      </c>
      <c r="F1913" s="1" t="n">
        <v>48</v>
      </c>
      <c r="G1913" s="1" t="s">
        <v>569</v>
      </c>
      <c r="H1913" s="1" t="n">
        <v>2110405</v>
      </c>
      <c r="I1913" s="1" t="s">
        <v>55</v>
      </c>
      <c r="J1913" s="1" t="n">
        <v>1595448</v>
      </c>
      <c r="L1913" s="1" t="n">
        <v>2208</v>
      </c>
      <c r="M1913" s="1" t="s">
        <v>36</v>
      </c>
      <c r="N1913" s="1" t="s">
        <v>50</v>
      </c>
      <c r="P1913" s="1" t="n">
        <v>101</v>
      </c>
      <c r="Q1913" s="1" t="s">
        <v>56</v>
      </c>
      <c r="R1913" s="1" t="s">
        <v>70</v>
      </c>
      <c r="S1913" s="1" t="n">
        <v>4210232</v>
      </c>
      <c r="T1913" s="1" t="s">
        <v>324</v>
      </c>
      <c r="U1913" s="1" t="n">
        <v>79.9</v>
      </c>
      <c r="W1913" s="1" t="n">
        <v>0</v>
      </c>
      <c r="X1913" s="1" t="s">
        <v>1640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2</v>
      </c>
      <c r="B1914" s="17" t="n">
        <v>46265</v>
      </c>
      <c r="C1914" s="17" t="n">
        <v>46290</v>
      </c>
      <c r="D1914" s="1" t="n">
        <v>1616</v>
      </c>
      <c r="E1914" s="1" t="s">
        <v>94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1629541</v>
      </c>
      <c r="L1914" s="1" t="n">
        <v>223546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610.19</v>
      </c>
      <c r="W1914" s="1" t="n">
        <v>0</v>
      </c>
      <c r="X1914" s="1" t="s">
        <v>1606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ESPONJA BRILHUS 1UNI</v>
      </c>
      <c r="AC1914" s="1" t="n">
        <v>656817</v>
      </c>
    </row>
    <row r="1915" customFormat="false" ht="12.75" hidden="false" customHeight="true" outlineLevel="0" collapsed="false">
      <c r="A1915" s="1" t="n">
        <v>2</v>
      </c>
      <c r="B1915" s="17" t="n">
        <v>46269</v>
      </c>
      <c r="C1915" s="17" t="n">
        <v>46290</v>
      </c>
      <c r="D1915" s="1" t="n">
        <v>1608</v>
      </c>
      <c r="E1915" s="1" t="s">
        <v>224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1653005</v>
      </c>
      <c r="L1915" s="1" t="n">
        <v>227090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1333.12</v>
      </c>
      <c r="W1915" s="1" t="n">
        <v>0</v>
      </c>
      <c r="X1915" s="1" t="s">
        <v>1632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ACHOC TODDY 200G</v>
      </c>
      <c r="AC1915" s="1" t="n">
        <v>1724435</v>
      </c>
    </row>
    <row r="1916" customFormat="false" ht="12.75" hidden="false" customHeight="true" outlineLevel="0" collapsed="false">
      <c r="A1916" s="1" t="n">
        <v>2</v>
      </c>
      <c r="B1916" s="17" t="n">
        <v>46023</v>
      </c>
      <c r="C1916" s="17" t="n">
        <v>46293</v>
      </c>
      <c r="D1916" s="1" t="n">
        <v>515</v>
      </c>
      <c r="E1916" s="1" t="s">
        <v>157</v>
      </c>
      <c r="F1916" s="1" t="n">
        <v>34</v>
      </c>
      <c r="G1916" s="1" t="s">
        <v>110</v>
      </c>
      <c r="H1916" s="1" t="n">
        <v>2110405</v>
      </c>
      <c r="I1916" s="1" t="s">
        <v>55</v>
      </c>
      <c r="J1916" s="1" t="n">
        <v>1012266</v>
      </c>
      <c r="L1916" s="1" t="n">
        <v>133812</v>
      </c>
      <c r="M1916" s="1" t="s">
        <v>1118</v>
      </c>
      <c r="N1916" s="1" t="s">
        <v>50</v>
      </c>
      <c r="P1916" s="1" t="n">
        <v>101</v>
      </c>
      <c r="Q1916" s="1" t="s">
        <v>56</v>
      </c>
      <c r="R1916" s="1" t="s">
        <v>333</v>
      </c>
      <c r="S1916" s="1" t="n">
        <v>2110901</v>
      </c>
      <c r="T1916" s="1" t="s">
        <v>334</v>
      </c>
      <c r="U1916" s="1" t="n">
        <v>4168.41</v>
      </c>
      <c r="W1916" s="1" t="n">
        <v>0</v>
      </c>
      <c r="X1916" s="1" t="s">
        <v>1641</v>
      </c>
      <c r="Z1916" s="1" t="str">
        <f aca="false">IF($T1916="","",IFERROR(INDEX('Resumo Grupos'!$AC$3:$AC$200,MATCH($T1916,'Resumo Grupos'!$AB$3:$AB$200,0)),"n/d"))</f>
        <v>Empréstimo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2</v>
      </c>
      <c r="B1917" s="17" t="n">
        <v>46265</v>
      </c>
      <c r="C1917" s="17" t="n">
        <v>46293</v>
      </c>
      <c r="D1917" s="1" t="n">
        <v>1637</v>
      </c>
      <c r="E1917" s="1" t="s">
        <v>870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1629204</v>
      </c>
      <c r="L1917" s="1" t="n">
        <v>223450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1348.29</v>
      </c>
      <c r="W1917" s="1" t="n">
        <v>0</v>
      </c>
      <c r="X1917" s="1" t="s">
        <v>1642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LEITE NINHO INTEGRAL380G LT</v>
      </c>
      <c r="AC1917" s="1" t="n">
        <v>1927745</v>
      </c>
    </row>
    <row r="1918" customFormat="false" ht="12.75" hidden="false" customHeight="true" outlineLevel="0" collapsed="false">
      <c r="A1918" s="1" t="n">
        <v>2</v>
      </c>
      <c r="B1918" s="17" t="n">
        <v>46266</v>
      </c>
      <c r="C1918" s="17" t="n">
        <v>46293</v>
      </c>
      <c r="D1918" s="1" t="n">
        <v>794</v>
      </c>
      <c r="E1918" s="1" t="s">
        <v>343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1633937</v>
      </c>
      <c r="L1918" s="1" t="n">
        <v>224236</v>
      </c>
      <c r="M1918" s="1" t="s">
        <v>36</v>
      </c>
      <c r="N1918" s="1" t="s">
        <v>50</v>
      </c>
      <c r="P1918" s="1" t="n">
        <v>113</v>
      </c>
      <c r="Q1918" s="1" t="s">
        <v>38</v>
      </c>
      <c r="R1918" s="1" t="s">
        <v>70</v>
      </c>
      <c r="S1918" s="1" t="n">
        <v>4210299</v>
      </c>
      <c r="T1918" s="1" t="s">
        <v>127</v>
      </c>
      <c r="U1918" s="1" t="n">
        <v>1332.55</v>
      </c>
      <c r="W1918" s="1" t="n">
        <v>0</v>
      </c>
      <c r="X1918" s="1" t="s">
        <v>1620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SACOLA BRC. L. ALIP.</v>
      </c>
      <c r="AC1918" s="1" t="n">
        <v>8802</v>
      </c>
    </row>
    <row r="1919" customFormat="false" ht="12.75" hidden="false" customHeight="true" outlineLevel="0" collapsed="false">
      <c r="A1919" s="1" t="n">
        <v>2</v>
      </c>
      <c r="B1919" s="17" t="n">
        <v>46268</v>
      </c>
      <c r="C1919" s="17" t="n">
        <v>46293</v>
      </c>
      <c r="D1919" s="1" t="n">
        <v>1611</v>
      </c>
      <c r="E1919" s="1" t="s">
        <v>172</v>
      </c>
      <c r="F1919" s="1" t="n">
        <v>24</v>
      </c>
      <c r="G1919" s="1" t="s">
        <v>91</v>
      </c>
      <c r="H1919" s="1" t="n">
        <v>2110101</v>
      </c>
      <c r="I1919" s="1" t="s">
        <v>48</v>
      </c>
      <c r="J1919" s="1" t="n">
        <v>1646259</v>
      </c>
      <c r="L1919" s="1" t="n">
        <v>225906</v>
      </c>
      <c r="M1919" s="1" t="s">
        <v>36</v>
      </c>
      <c r="N1919" s="1" t="s">
        <v>50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176.57</v>
      </c>
      <c r="W1919" s="1" t="n">
        <v>0</v>
      </c>
      <c r="X1919" s="1" t="s">
        <v>1621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2</v>
      </c>
      <c r="B1920" s="17" t="n">
        <v>46260</v>
      </c>
      <c r="C1920" s="17" t="n">
        <v>46294</v>
      </c>
      <c r="D1920" s="1" t="n">
        <v>1390</v>
      </c>
      <c r="E1920" s="1" t="s">
        <v>1643</v>
      </c>
      <c r="F1920" s="1" t="n">
        <v>24</v>
      </c>
      <c r="G1920" s="1" t="s">
        <v>91</v>
      </c>
      <c r="H1920" s="1" t="n">
        <v>2110405</v>
      </c>
      <c r="I1920" s="1" t="s">
        <v>55</v>
      </c>
      <c r="J1920" s="1" t="n">
        <v>1603783</v>
      </c>
      <c r="L1920" s="1" t="n">
        <v>219644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348.18</v>
      </c>
      <c r="W1920" s="1" t="n">
        <v>0</v>
      </c>
      <c r="X1920" s="1" t="s">
        <v>1644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LOLLIPOP DONUTS SORTIDOS 15G</v>
      </c>
      <c r="AC1920" s="1" t="n">
        <v>7287</v>
      </c>
    </row>
    <row r="1921" customFormat="false" ht="12.75" hidden="false" customHeight="true" outlineLevel="0" collapsed="false">
      <c r="A1921" s="1" t="n">
        <v>2</v>
      </c>
      <c r="B1921" s="17" t="n">
        <v>46260</v>
      </c>
      <c r="C1921" s="17" t="n">
        <v>46294</v>
      </c>
      <c r="D1921" s="1" t="n">
        <v>794</v>
      </c>
      <c r="E1921" s="1" t="s">
        <v>343</v>
      </c>
      <c r="F1921" s="1" t="n">
        <v>24</v>
      </c>
      <c r="G1921" s="1" t="s">
        <v>91</v>
      </c>
      <c r="H1921" s="1" t="n">
        <v>2110405</v>
      </c>
      <c r="I1921" s="1" t="s">
        <v>55</v>
      </c>
      <c r="J1921" s="1" t="n">
        <v>1604332</v>
      </c>
      <c r="L1921" s="1" t="n">
        <v>219753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873.06</v>
      </c>
      <c r="W1921" s="1" t="n">
        <v>0</v>
      </c>
      <c r="X1921" s="1" t="s">
        <v>1571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VASS MADRID CONDOR C/CABO</v>
      </c>
      <c r="AC1921" s="1" t="n">
        <v>8744</v>
      </c>
    </row>
    <row r="1922" customFormat="false" ht="12.75" hidden="false" customHeight="true" outlineLevel="0" collapsed="false">
      <c r="A1922" s="1" t="n">
        <v>2</v>
      </c>
      <c r="B1922" s="17" t="n">
        <v>46265</v>
      </c>
      <c r="C1922" s="17" t="n">
        <v>46295</v>
      </c>
      <c r="D1922" s="1" t="n">
        <v>1150</v>
      </c>
      <c r="E1922" s="1" t="s">
        <v>1593</v>
      </c>
      <c r="F1922" s="1" t="n">
        <v>46</v>
      </c>
      <c r="G1922" s="1" t="s">
        <v>323</v>
      </c>
      <c r="H1922" s="1" t="n">
        <v>2110405</v>
      </c>
      <c r="I1922" s="1" t="s">
        <v>55</v>
      </c>
      <c r="J1922" s="1" t="n">
        <v>1656987</v>
      </c>
      <c r="L1922" s="1" t="n">
        <v>87916</v>
      </c>
      <c r="M1922" s="1" t="s">
        <v>36</v>
      </c>
      <c r="N1922" s="1" t="s">
        <v>50</v>
      </c>
      <c r="P1922" s="1" t="n">
        <v>101</v>
      </c>
      <c r="Q1922" s="1" t="s">
        <v>56</v>
      </c>
      <c r="R1922" s="1" t="s">
        <v>70</v>
      </c>
      <c r="S1922" s="1" t="n">
        <v>4210227</v>
      </c>
      <c r="T1922" s="1" t="s">
        <v>77</v>
      </c>
      <c r="U1922" s="1" t="n">
        <v>241.82</v>
      </c>
      <c r="W1922" s="1" t="n">
        <v>0</v>
      </c>
      <c r="X1922" s="1"/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2</v>
      </c>
      <c r="B1923" s="17" t="n">
        <v>46270</v>
      </c>
      <c r="C1923" s="17" t="n">
        <v>46295</v>
      </c>
      <c r="D1923" s="1" t="n">
        <v>639</v>
      </c>
      <c r="E1923" s="1" t="s">
        <v>501</v>
      </c>
      <c r="F1923" s="1" t="n">
        <v>24</v>
      </c>
      <c r="G1923" s="1" t="s">
        <v>91</v>
      </c>
      <c r="H1923" s="1" t="n">
        <v>2110405</v>
      </c>
      <c r="I1923" s="1" t="s">
        <v>55</v>
      </c>
      <c r="J1923" s="1" t="n">
        <v>1141287</v>
      </c>
      <c r="L1923" s="1" t="n">
        <v>151507</v>
      </c>
      <c r="M1923" s="1" t="s">
        <v>76</v>
      </c>
      <c r="N1923" s="1" t="s">
        <v>50</v>
      </c>
      <c r="P1923" s="1" t="n">
        <v>101</v>
      </c>
      <c r="Q1923" s="1" t="s">
        <v>56</v>
      </c>
      <c r="R1923" s="1" t="s">
        <v>70</v>
      </c>
      <c r="S1923" s="1" t="n">
        <v>4210216</v>
      </c>
      <c r="T1923" s="1" t="s">
        <v>502</v>
      </c>
      <c r="U1923" s="1" t="n">
        <v>420</v>
      </c>
      <c r="W1923" s="1" t="n">
        <v>0</v>
      </c>
      <c r="X1923" s="1" t="s">
        <v>992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" t="n">
        <v>2</v>
      </c>
      <c r="B1924" s="17" t="n">
        <v>46055</v>
      </c>
      <c r="C1924" s="17" t="n">
        <v>46296</v>
      </c>
      <c r="D1924" s="1" t="n">
        <v>10039</v>
      </c>
      <c r="E1924" s="1" t="s">
        <v>84</v>
      </c>
      <c r="F1924" s="1" t="n">
        <v>47</v>
      </c>
      <c r="G1924" s="1" t="s">
        <v>47</v>
      </c>
      <c r="H1924" s="1" t="n">
        <v>2110405</v>
      </c>
      <c r="I1924" s="1" t="s">
        <v>55</v>
      </c>
      <c r="J1924" s="1" t="n">
        <v>846832</v>
      </c>
      <c r="L1924" s="1" t="n">
        <v>111506</v>
      </c>
      <c r="M1924" s="1" t="s">
        <v>678</v>
      </c>
      <c r="N1924" s="1" t="s">
        <v>50</v>
      </c>
      <c r="P1924" s="1" t="n">
        <v>113</v>
      </c>
      <c r="Q1924" s="1" t="s">
        <v>38</v>
      </c>
      <c r="R1924" s="1" t="s">
        <v>70</v>
      </c>
      <c r="S1924" s="1" t="n">
        <v>4210227</v>
      </c>
      <c r="T1924" s="1" t="s">
        <v>77</v>
      </c>
      <c r="U1924" s="1" t="n">
        <v>378.82</v>
      </c>
      <c r="W1924" s="1" t="n">
        <v>0</v>
      </c>
      <c r="X1924" s="1" t="s">
        <v>1645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nao encontrado</v>
      </c>
      <c r="AC1924" s="1" t="n">
        <v>258</v>
      </c>
    </row>
    <row r="1925" customFormat="false" ht="12.75" hidden="false" customHeight="true" outlineLevel="0" collapsed="false">
      <c r="A1925" s="1" t="n">
        <v>2</v>
      </c>
      <c r="B1925" s="17" t="n">
        <v>46246</v>
      </c>
      <c r="C1925" s="17" t="n">
        <v>46296</v>
      </c>
      <c r="D1925" s="1" t="n">
        <v>875</v>
      </c>
      <c r="E1925" s="1" t="s">
        <v>87</v>
      </c>
      <c r="F1925" s="1" t="n">
        <v>47</v>
      </c>
      <c r="G1925" s="1" t="s">
        <v>47</v>
      </c>
      <c r="H1925" s="1" t="n">
        <v>2110405</v>
      </c>
      <c r="I1925" s="1" t="s">
        <v>55</v>
      </c>
      <c r="J1925" s="1" t="n">
        <v>1534947</v>
      </c>
      <c r="L1925" s="1" t="n">
        <v>209452</v>
      </c>
      <c r="M1925" s="1" t="s">
        <v>88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638.75</v>
      </c>
      <c r="W1925" s="1" t="n">
        <v>0</v>
      </c>
      <c r="X1925" s="1" t="s">
        <v>1646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FONE DE OUVIDO DO IP</v>
      </c>
      <c r="AC1925" s="1" t="n">
        <v>1898</v>
      </c>
    </row>
    <row r="1926" customFormat="false" ht="12.75" hidden="false" customHeight="true" outlineLevel="0" collapsed="false">
      <c r="A1926" s="1" t="n">
        <v>2</v>
      </c>
      <c r="B1926" s="17" t="n">
        <v>46269</v>
      </c>
      <c r="C1926" s="17" t="n">
        <v>46297</v>
      </c>
      <c r="D1926" s="1" t="n">
        <v>1608</v>
      </c>
      <c r="E1926" s="1" t="s">
        <v>224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1653008</v>
      </c>
      <c r="L1926" s="1" t="n">
        <v>227092</v>
      </c>
      <c r="M1926" s="1" t="s">
        <v>36</v>
      </c>
      <c r="N1926" s="1" t="s">
        <v>50</v>
      </c>
      <c r="P1926" s="1" t="n">
        <v>113</v>
      </c>
      <c r="Q1926" s="1" t="s">
        <v>38</v>
      </c>
      <c r="R1926" s="1" t="s">
        <v>62</v>
      </c>
      <c r="S1926" s="1" t="n">
        <v>1130101</v>
      </c>
      <c r="T1926" s="1" t="s">
        <v>63</v>
      </c>
      <c r="U1926" s="1" t="n">
        <v>1333.12</v>
      </c>
      <c r="W1926" s="1" t="n">
        <v>0</v>
      </c>
      <c r="X1926" s="1" t="s">
        <v>1632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ACHOC TODDY 200G</v>
      </c>
      <c r="AC1926" s="1" t="n">
        <v>1724435</v>
      </c>
    </row>
    <row r="1927" customFormat="false" ht="12.75" hidden="false" customHeight="true" outlineLevel="0" collapsed="false">
      <c r="A1927" s="1" t="n">
        <v>2</v>
      </c>
      <c r="B1927" s="17" t="n">
        <v>46238</v>
      </c>
      <c r="C1927" s="17" t="n">
        <v>46299</v>
      </c>
      <c r="D1927" s="1" t="n">
        <v>862</v>
      </c>
      <c r="E1927" s="1" t="s">
        <v>322</v>
      </c>
      <c r="F1927" s="1" t="n">
        <v>24</v>
      </c>
      <c r="G1927" s="1" t="s">
        <v>91</v>
      </c>
      <c r="H1927" s="1" t="n">
        <v>2110405</v>
      </c>
      <c r="I1927" s="1" t="s">
        <v>55</v>
      </c>
      <c r="J1927" s="1" t="n">
        <v>1498421</v>
      </c>
      <c r="L1927" s="1" t="n">
        <v>202608</v>
      </c>
      <c r="M1927" s="1" t="s">
        <v>76</v>
      </c>
      <c r="N1927" s="1" t="s">
        <v>50</v>
      </c>
      <c r="P1927" s="1" t="n">
        <v>101</v>
      </c>
      <c r="Q1927" s="1" t="s">
        <v>56</v>
      </c>
      <c r="R1927" s="1" t="s">
        <v>70</v>
      </c>
      <c r="S1927" s="1" t="n">
        <v>4210233</v>
      </c>
      <c r="T1927" s="1" t="s">
        <v>203</v>
      </c>
      <c r="U1927" s="1" t="n">
        <v>270.9</v>
      </c>
      <c r="W1927" s="1" t="n">
        <v>0</v>
      </c>
      <c r="X1927" s="1"/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2</v>
      </c>
      <c r="B1928" s="17" t="n">
        <v>46244</v>
      </c>
      <c r="C1928" s="17" t="n">
        <v>46300</v>
      </c>
      <c r="D1928" s="1" t="n">
        <v>33</v>
      </c>
      <c r="E1928" s="1" t="s">
        <v>305</v>
      </c>
      <c r="F1928" s="1" t="n">
        <v>34</v>
      </c>
      <c r="G1928" s="1" t="s">
        <v>110</v>
      </c>
      <c r="H1928" s="1" t="n">
        <v>2110405</v>
      </c>
      <c r="I1928" s="1" t="s">
        <v>55</v>
      </c>
      <c r="J1928" s="1" t="n">
        <v>1530158</v>
      </c>
      <c r="L1928" s="1" t="n">
        <v>208205</v>
      </c>
      <c r="M1928" s="1" t="s">
        <v>88</v>
      </c>
      <c r="N1928" s="1" t="s">
        <v>50</v>
      </c>
      <c r="P1928" s="1" t="n">
        <v>101</v>
      </c>
      <c r="Q1928" s="1" t="s">
        <v>56</v>
      </c>
      <c r="R1928" s="1" t="s">
        <v>39</v>
      </c>
      <c r="S1928" s="1" t="n">
        <v>4210301</v>
      </c>
      <c r="T1928" s="1" t="s">
        <v>253</v>
      </c>
      <c r="U1928" s="1" t="n">
        <v>250.1</v>
      </c>
      <c r="W1928" s="1" t="n">
        <v>0</v>
      </c>
      <c r="X1928" s="1" t="s">
        <v>1555</v>
      </c>
      <c r="Z1928" s="1" t="str">
        <f aca="false">IF($T1928="","",IFERROR(INDEX('Resumo Grupos'!$AC$3:$AC$200,MATCH($T1928,'Resumo Grupos'!$AB$3:$AB$200,0)),"n/d"))</f>
        <v>Salários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2</v>
      </c>
      <c r="B1929" s="17" t="n">
        <v>46266</v>
      </c>
      <c r="C1929" s="17" t="n">
        <v>46300</v>
      </c>
      <c r="D1929" s="1" t="n">
        <v>794</v>
      </c>
      <c r="E1929" s="1" t="s">
        <v>343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1633939</v>
      </c>
      <c r="L1929" s="1" t="n">
        <v>224238</v>
      </c>
      <c r="M1929" s="1" t="s">
        <v>36</v>
      </c>
      <c r="N1929" s="1" t="s">
        <v>50</v>
      </c>
      <c r="P1929" s="1" t="n">
        <v>113</v>
      </c>
      <c r="Q1929" s="1" t="s">
        <v>38</v>
      </c>
      <c r="R1929" s="1" t="s">
        <v>70</v>
      </c>
      <c r="S1929" s="1" t="n">
        <v>4210299</v>
      </c>
      <c r="T1929" s="1" t="s">
        <v>127</v>
      </c>
      <c r="U1929" s="1" t="n">
        <v>1332.55</v>
      </c>
      <c r="W1929" s="1" t="n">
        <v>0</v>
      </c>
      <c r="X1929" s="1" t="s">
        <v>1620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SACOLA BRC. L. ALIP.</v>
      </c>
      <c r="AC1929" s="1" t="n">
        <v>8802</v>
      </c>
    </row>
    <row r="1930" customFormat="false" ht="12.75" hidden="false" customHeight="true" outlineLevel="0" collapsed="false">
      <c r="A1930" s="1" t="n">
        <v>2</v>
      </c>
      <c r="B1930" s="17" t="n">
        <v>46232</v>
      </c>
      <c r="C1930" s="17" t="n">
        <v>46302</v>
      </c>
      <c r="D1930" s="1" t="n">
        <v>1932</v>
      </c>
      <c r="E1930" s="1" t="s">
        <v>282</v>
      </c>
      <c r="F1930" s="1" t="n">
        <v>34</v>
      </c>
      <c r="G1930" s="1" t="s">
        <v>110</v>
      </c>
      <c r="H1930" s="1" t="n">
        <v>2110405</v>
      </c>
      <c r="I1930" s="1" t="s">
        <v>55</v>
      </c>
      <c r="J1930" s="1" t="n">
        <v>1469462</v>
      </c>
      <c r="L1930" s="1" t="n">
        <v>199057</v>
      </c>
      <c r="M1930" s="1" t="s">
        <v>76</v>
      </c>
      <c r="N1930" s="1" t="s">
        <v>50</v>
      </c>
      <c r="P1930" s="1" t="n">
        <v>101</v>
      </c>
      <c r="Q1930" s="1" t="s">
        <v>56</v>
      </c>
      <c r="R1930" s="1" t="s">
        <v>39</v>
      </c>
      <c r="S1930" s="1" t="n">
        <v>4210315</v>
      </c>
      <c r="T1930" s="1" t="s">
        <v>283</v>
      </c>
      <c r="U1930" s="1" t="n">
        <v>119.97</v>
      </c>
      <c r="W1930" s="1" t="n">
        <v>0</v>
      </c>
      <c r="X1930" s="1" t="s">
        <v>1203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2</v>
      </c>
      <c r="B1931" s="17" t="n">
        <v>46211</v>
      </c>
      <c r="C1931" s="17" t="n">
        <v>46305</v>
      </c>
      <c r="D1931" s="1" t="n">
        <v>33</v>
      </c>
      <c r="E1931" s="1" t="s">
        <v>305</v>
      </c>
      <c r="F1931" s="1" t="n">
        <v>34</v>
      </c>
      <c r="G1931" s="1" t="s">
        <v>110</v>
      </c>
      <c r="H1931" s="1" t="n">
        <v>2110405</v>
      </c>
      <c r="I1931" s="1" t="s">
        <v>55</v>
      </c>
      <c r="J1931" s="1" t="n">
        <v>1370733</v>
      </c>
      <c r="L1931" s="1" t="n">
        <v>184338</v>
      </c>
      <c r="M1931" s="1" t="s">
        <v>76</v>
      </c>
      <c r="N1931" s="1" t="s">
        <v>50</v>
      </c>
      <c r="P1931" s="1" t="n">
        <v>101</v>
      </c>
      <c r="Q1931" s="1" t="s">
        <v>56</v>
      </c>
      <c r="R1931" s="1" t="s">
        <v>70</v>
      </c>
      <c r="S1931" s="1" t="n">
        <v>4210222</v>
      </c>
      <c r="T1931" s="1" t="s">
        <v>1220</v>
      </c>
      <c r="U1931" s="1" t="n">
        <v>666.67</v>
      </c>
      <c r="W1931" s="1" t="n">
        <v>0</v>
      </c>
      <c r="X1931" s="1" t="s">
        <v>1221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</row>
    <row r="1932" customFormat="false" ht="63.75" hidden="false" customHeight="true" outlineLevel="0" collapsed="false">
      <c r="A1932" s="10" t="n">
        <v>2</v>
      </c>
      <c r="B1932" s="11" t="n">
        <v>46242</v>
      </c>
      <c r="C1932" s="11" t="n">
        <v>46305</v>
      </c>
      <c r="D1932" s="10" t="n">
        <v>1100</v>
      </c>
      <c r="E1932" s="12" t="s">
        <v>328</v>
      </c>
      <c r="F1932" s="10" t="n">
        <v>46</v>
      </c>
      <c r="G1932" s="12" t="s">
        <v>323</v>
      </c>
      <c r="H1932" s="10" t="n">
        <v>2110405</v>
      </c>
      <c r="I1932" s="12" t="s">
        <v>55</v>
      </c>
      <c r="J1932" s="10" t="n">
        <v>1427624</v>
      </c>
      <c r="L1932" s="10" t="n">
        <v>190916</v>
      </c>
      <c r="M1932" s="12" t="s">
        <v>76</v>
      </c>
      <c r="N1932" s="12" t="s">
        <v>50</v>
      </c>
      <c r="P1932" s="10" t="n">
        <v>101</v>
      </c>
      <c r="Q1932" s="12" t="s">
        <v>56</v>
      </c>
      <c r="R1932" s="12" t="s">
        <v>70</v>
      </c>
      <c r="S1932" s="10" t="n">
        <v>4210227</v>
      </c>
      <c r="T1932" s="12" t="s">
        <v>77</v>
      </c>
      <c r="U1932" s="13" t="n">
        <v>266.68</v>
      </c>
      <c r="W1932" s="13" t="n">
        <v>0</v>
      </c>
      <c r="X1932" s="12" t="s">
        <v>1647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MEMORIA HIKSEMI HIKER 8GB DDR4 3200 - HS</v>
      </c>
      <c r="AC1932" s="1" t="n">
        <v>9481</v>
      </c>
    </row>
    <row r="1933" customFormat="false" ht="54.75" hidden="false" customHeight="true" outlineLevel="0" collapsed="false">
      <c r="A1933" s="10" t="n">
        <v>2</v>
      </c>
      <c r="B1933" s="11" t="n">
        <v>46260</v>
      </c>
      <c r="C1933" s="11" t="n">
        <v>46305</v>
      </c>
      <c r="D1933" s="10" t="n">
        <v>1835</v>
      </c>
      <c r="E1933" s="12" t="s">
        <v>1593</v>
      </c>
      <c r="F1933" s="10" t="n">
        <v>46</v>
      </c>
      <c r="G1933" s="12" t="s">
        <v>323</v>
      </c>
      <c r="H1933" s="10" t="n">
        <v>2110405</v>
      </c>
      <c r="I1933" s="12" t="s">
        <v>55</v>
      </c>
      <c r="J1933" s="10" t="n">
        <v>1605275</v>
      </c>
      <c r="L1933" s="10" t="n">
        <v>219925</v>
      </c>
      <c r="M1933" s="12" t="s">
        <v>88</v>
      </c>
      <c r="N1933" s="12" t="s">
        <v>50</v>
      </c>
      <c r="P1933" s="10" t="n">
        <v>113</v>
      </c>
      <c r="Q1933" s="12" t="s">
        <v>38</v>
      </c>
      <c r="R1933" s="12" t="s">
        <v>70</v>
      </c>
      <c r="S1933" s="10" t="n">
        <v>4210227</v>
      </c>
      <c r="T1933" s="12" t="s">
        <v>77</v>
      </c>
      <c r="U1933" s="13" t="n">
        <v>176.81</v>
      </c>
      <c r="W1933" s="13" t="n">
        <v>0</v>
      </c>
      <c r="X1933" s="12" t="s">
        <v>1648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TINTA ESMALTE FOSCO CITY 3L PRETO UN QTD</v>
      </c>
      <c r="AC1933" s="1" t="n">
        <v>110228</v>
      </c>
    </row>
    <row r="1934" customFormat="false" ht="45.75" hidden="false" customHeight="true" outlineLevel="0" collapsed="false">
      <c r="A1934" s="10" t="n">
        <v>2</v>
      </c>
      <c r="B1934" s="11" t="n">
        <v>46254</v>
      </c>
      <c r="C1934" s="11" t="n">
        <v>46308</v>
      </c>
      <c r="D1934" s="10" t="n">
        <v>33</v>
      </c>
      <c r="E1934" s="12" t="s">
        <v>305</v>
      </c>
      <c r="F1934" s="10" t="n">
        <v>34</v>
      </c>
      <c r="G1934" s="12" t="s">
        <v>110</v>
      </c>
      <c r="H1934" s="10" t="n">
        <v>2110405</v>
      </c>
      <c r="I1934" s="12" t="s">
        <v>55</v>
      </c>
      <c r="J1934" s="10" t="n">
        <v>1577428</v>
      </c>
      <c r="L1934" s="10" t="n">
        <v>215659</v>
      </c>
      <c r="M1934" s="12" t="s">
        <v>36</v>
      </c>
      <c r="N1934" s="12" t="s">
        <v>50</v>
      </c>
      <c r="P1934" s="10" t="n">
        <v>101</v>
      </c>
      <c r="Q1934" s="12" t="s">
        <v>56</v>
      </c>
      <c r="R1934" s="12" t="s">
        <v>70</v>
      </c>
      <c r="S1934" s="10" t="n">
        <v>4210222</v>
      </c>
      <c r="T1934" s="12" t="s">
        <v>1220</v>
      </c>
      <c r="U1934" s="13" t="n">
        <v>522.5</v>
      </c>
      <c r="W1934" s="13" t="n">
        <v>0</v>
      </c>
      <c r="X1934" s="12" t="s">
        <v>1649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46097</v>
      </c>
      <c r="C1935" s="11" t="n">
        <v>46310</v>
      </c>
      <c r="D1935" s="10" t="n">
        <v>1867</v>
      </c>
      <c r="E1935" s="12" t="s">
        <v>406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808550</v>
      </c>
      <c r="L1935" s="10" t="n">
        <v>2026</v>
      </c>
      <c r="M1935" s="12" t="s">
        <v>678</v>
      </c>
      <c r="N1935" s="12" t="s">
        <v>50</v>
      </c>
      <c r="P1935" s="10" t="n">
        <v>101</v>
      </c>
      <c r="Q1935" s="12" t="s">
        <v>56</v>
      </c>
      <c r="R1935" s="12" t="s">
        <v>407</v>
      </c>
      <c r="S1935" s="10" t="n">
        <v>4210401</v>
      </c>
      <c r="T1935" s="12" t="s">
        <v>408</v>
      </c>
      <c r="U1935" s="13" t="n">
        <v>228.88</v>
      </c>
      <c r="W1935" s="13" t="n">
        <v>0</v>
      </c>
      <c r="X1935" s="12" t="s">
        <v>1650</v>
      </c>
      <c r="Z1935" s="1" t="str">
        <f aca="false">IF($T1935="","",IFERROR(INDEX('Resumo Grupos'!$AC$3:$AC$200,MATCH($T1935,'Resumo Grupos'!$AB$3:$AB$200,0)),"n/d"))</f>
        <v>Impostos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27.75" hidden="false" customHeight="true" outlineLevel="0" collapsed="false">
      <c r="A1936" s="10" t="n">
        <v>2</v>
      </c>
      <c r="B1936" s="11" t="n">
        <v>46127</v>
      </c>
      <c r="C1936" s="11" t="n">
        <v>46310</v>
      </c>
      <c r="D1936" s="10" t="n">
        <v>512</v>
      </c>
      <c r="E1936" s="12" t="s">
        <v>410</v>
      </c>
      <c r="F1936" s="10" t="n">
        <v>34</v>
      </c>
      <c r="G1936" s="12" t="s">
        <v>110</v>
      </c>
      <c r="H1936" s="10" t="n">
        <v>2110405</v>
      </c>
      <c r="I1936" s="12" t="s">
        <v>55</v>
      </c>
      <c r="J1936" s="10" t="n">
        <v>954215</v>
      </c>
      <c r="L1936" s="10" t="n">
        <v>126220</v>
      </c>
      <c r="M1936" s="12" t="s">
        <v>49</v>
      </c>
      <c r="N1936" s="12" t="s">
        <v>50</v>
      </c>
      <c r="P1936" s="10" t="n">
        <v>101</v>
      </c>
      <c r="Q1936" s="12" t="s">
        <v>56</v>
      </c>
      <c r="R1936" s="12" t="s">
        <v>411</v>
      </c>
      <c r="S1936" s="10" t="n">
        <v>4210111</v>
      </c>
      <c r="T1936" s="12" t="s">
        <v>412</v>
      </c>
      <c r="U1936" s="13" t="n">
        <v>5700</v>
      </c>
      <c r="W1936" s="13" t="n">
        <v>0</v>
      </c>
      <c r="X1936" s="12" t="s">
        <v>413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45.75" hidden="false" customHeight="true" outlineLevel="0" collapsed="false">
      <c r="A1937" s="10" t="n">
        <v>2</v>
      </c>
      <c r="B1937" s="11" t="n">
        <v>46206</v>
      </c>
      <c r="C1937" s="11" t="n">
        <v>46313</v>
      </c>
      <c r="D1937" s="10" t="n">
        <v>33</v>
      </c>
      <c r="E1937" s="12" t="s">
        <v>305</v>
      </c>
      <c r="F1937" s="10" t="n">
        <v>34</v>
      </c>
      <c r="G1937" s="12" t="s">
        <v>110</v>
      </c>
      <c r="H1937" s="10" t="n">
        <v>2110405</v>
      </c>
      <c r="I1937" s="12" t="s">
        <v>55</v>
      </c>
      <c r="J1937" s="10" t="n">
        <v>1345312</v>
      </c>
      <c r="L1937" s="10" t="n">
        <v>180690</v>
      </c>
      <c r="M1937" s="12" t="s">
        <v>85</v>
      </c>
      <c r="N1937" s="12" t="s">
        <v>50</v>
      </c>
      <c r="P1937" s="10" t="n">
        <v>101</v>
      </c>
      <c r="Q1937" s="12" t="s">
        <v>56</v>
      </c>
      <c r="R1937" s="12" t="s">
        <v>70</v>
      </c>
      <c r="S1937" s="10" t="n">
        <v>4210203</v>
      </c>
      <c r="T1937" s="12" t="s">
        <v>750</v>
      </c>
      <c r="U1937" s="13" t="n">
        <v>247.27</v>
      </c>
      <c r="W1937" s="13" t="n">
        <v>0</v>
      </c>
      <c r="X1937" s="12" t="s">
        <v>935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5.75" hidden="false" customHeight="true" outlineLevel="0" collapsed="false">
      <c r="A1938" s="10" t="n">
        <v>2</v>
      </c>
      <c r="B1938" s="11" t="n">
        <v>46013</v>
      </c>
      <c r="C1938" s="11" t="n">
        <v>46320</v>
      </c>
      <c r="D1938" s="10" t="n">
        <v>17</v>
      </c>
      <c r="E1938" s="12" t="s">
        <v>490</v>
      </c>
      <c r="F1938" s="10" t="n">
        <v>48</v>
      </c>
      <c r="G1938" s="12" t="s">
        <v>569</v>
      </c>
      <c r="H1938" s="10" t="n">
        <v>2110405</v>
      </c>
      <c r="I1938" s="12" t="s">
        <v>55</v>
      </c>
      <c r="J1938" s="10" t="n">
        <v>660421</v>
      </c>
      <c r="L1938" s="10" t="n">
        <v>86128</v>
      </c>
      <c r="M1938" s="12" t="s">
        <v>1481</v>
      </c>
      <c r="N1938" s="12" t="s">
        <v>50</v>
      </c>
      <c r="P1938" s="10" t="n">
        <v>101</v>
      </c>
      <c r="Q1938" s="12" t="s">
        <v>56</v>
      </c>
      <c r="R1938" s="12" t="s">
        <v>57</v>
      </c>
      <c r="S1938" s="10" t="n">
        <v>4220199</v>
      </c>
      <c r="T1938" s="12" t="s">
        <v>58</v>
      </c>
      <c r="U1938" s="13" t="n">
        <v>362.14</v>
      </c>
      <c r="W1938" s="13" t="n">
        <v>0</v>
      </c>
      <c r="X1938" s="12" t="s">
        <v>571</v>
      </c>
      <c r="Z1938" s="1" t="str">
        <f aca="false">IF($T1938="","",IFERROR(INDEX('Resumo Grupos'!$AC$3:$AC$200,MATCH($T1938,'Resumo Grupos'!$AB$3:$AB$200,0)),"n/d"))</f>
        <v>Pagamentos outros não operacionais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45.75" hidden="false" customHeight="true" outlineLevel="0" collapsed="false">
      <c r="A1939" s="10" t="n">
        <v>2</v>
      </c>
      <c r="B1939" s="11" t="n">
        <v>46029</v>
      </c>
      <c r="C1939" s="11" t="n">
        <v>46320</v>
      </c>
      <c r="D1939" s="10" t="n">
        <v>17</v>
      </c>
      <c r="E1939" s="12" t="s">
        <v>490</v>
      </c>
      <c r="F1939" s="10" t="n">
        <v>48</v>
      </c>
      <c r="G1939" s="12" t="s">
        <v>569</v>
      </c>
      <c r="H1939" s="10" t="n">
        <v>2110405</v>
      </c>
      <c r="I1939" s="12" t="s">
        <v>55</v>
      </c>
      <c r="J1939" s="10" t="n">
        <v>660305</v>
      </c>
      <c r="L1939" s="10" t="n">
        <v>86116</v>
      </c>
      <c r="M1939" s="12" t="s">
        <v>1481</v>
      </c>
      <c r="N1939" s="12" t="s">
        <v>50</v>
      </c>
      <c r="P1939" s="10" t="n">
        <v>101</v>
      </c>
      <c r="Q1939" s="12" t="s">
        <v>56</v>
      </c>
      <c r="R1939" s="12" t="s">
        <v>57</v>
      </c>
      <c r="S1939" s="10" t="n">
        <v>4220199</v>
      </c>
      <c r="T1939" s="12" t="s">
        <v>58</v>
      </c>
      <c r="U1939" s="13" t="n">
        <v>84.03</v>
      </c>
      <c r="W1939" s="13" t="n">
        <v>0</v>
      </c>
      <c r="X1939" s="12" t="s">
        <v>570</v>
      </c>
      <c r="Z1939" s="1" t="str">
        <f aca="false">IF($T1939="","",IFERROR(INDEX('Resumo Grupos'!$AC$3:$AC$200,MATCH($T1939,'Resumo Grupos'!$AB$3:$AB$200,0)),"n/d"))</f>
        <v>Pagamentos outros não operacionais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46256</v>
      </c>
      <c r="C1940" s="11" t="n">
        <v>46320</v>
      </c>
      <c r="D1940" s="10" t="n">
        <v>1782</v>
      </c>
      <c r="E1940" s="12" t="s">
        <v>1639</v>
      </c>
      <c r="F1940" s="10" t="n">
        <v>48</v>
      </c>
      <c r="G1940" s="12" t="s">
        <v>569</v>
      </c>
      <c r="H1940" s="10" t="n">
        <v>2110405</v>
      </c>
      <c r="I1940" s="12" t="s">
        <v>55</v>
      </c>
      <c r="J1940" s="10" t="n">
        <v>1595448</v>
      </c>
      <c r="L1940" s="10" t="n">
        <v>2208</v>
      </c>
      <c r="M1940" s="12" t="s">
        <v>88</v>
      </c>
      <c r="N1940" s="12" t="s">
        <v>50</v>
      </c>
      <c r="P1940" s="10" t="n">
        <v>101</v>
      </c>
      <c r="Q1940" s="12" t="s">
        <v>56</v>
      </c>
      <c r="R1940" s="12" t="s">
        <v>70</v>
      </c>
      <c r="S1940" s="10" t="n">
        <v>4210232</v>
      </c>
      <c r="T1940" s="12" t="s">
        <v>324</v>
      </c>
      <c r="U1940" s="13" t="n">
        <v>79.9</v>
      </c>
      <c r="W1940" s="13" t="n">
        <v>0</v>
      </c>
      <c r="X1940" s="12" t="s">
        <v>1651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45.75" hidden="false" customHeight="true" outlineLevel="0" collapsed="false">
      <c r="A1941" s="10" t="n">
        <v>2</v>
      </c>
      <c r="B1941" s="11" t="n">
        <v>46023</v>
      </c>
      <c r="C1941" s="11" t="n">
        <v>46321</v>
      </c>
      <c r="D1941" s="10" t="n">
        <v>515</v>
      </c>
      <c r="E1941" s="12" t="s">
        <v>157</v>
      </c>
      <c r="F1941" s="10" t="n">
        <v>34</v>
      </c>
      <c r="G1941" s="12" t="s">
        <v>110</v>
      </c>
      <c r="H1941" s="10" t="n">
        <v>2110405</v>
      </c>
      <c r="I1941" s="12" t="s">
        <v>55</v>
      </c>
      <c r="J1941" s="10" t="n">
        <v>1012266</v>
      </c>
      <c r="L1941" s="10" t="n">
        <v>133812</v>
      </c>
      <c r="M1941" s="12" t="s">
        <v>1481</v>
      </c>
      <c r="N1941" s="12" t="s">
        <v>50</v>
      </c>
      <c r="P1941" s="10" t="n">
        <v>101</v>
      </c>
      <c r="Q1941" s="12" t="s">
        <v>56</v>
      </c>
      <c r="R1941" s="12" t="s">
        <v>333</v>
      </c>
      <c r="S1941" s="10" t="n">
        <v>2110901</v>
      </c>
      <c r="T1941" s="12" t="s">
        <v>334</v>
      </c>
      <c r="U1941" s="13" t="n">
        <v>4168.41</v>
      </c>
      <c r="W1941" s="13" t="n">
        <v>0</v>
      </c>
      <c r="X1941" s="12" t="s">
        <v>1652</v>
      </c>
      <c r="Z1941" s="1" t="str">
        <f aca="false">IF($T1941="","",IFERROR(INDEX('Resumo Grupos'!$AC$3:$AC$200,MATCH($T1941,'Resumo Grupos'!$AB$3:$AB$200,0)),"n/d"))</f>
        <v>Empréstimo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45.75" hidden="false" customHeight="true" outlineLevel="0" collapsed="false">
      <c r="A1942" s="10" t="n">
        <v>2</v>
      </c>
      <c r="B1942" s="11" t="n">
        <v>46265</v>
      </c>
      <c r="C1942" s="11" t="n">
        <v>46325</v>
      </c>
      <c r="D1942" s="10" t="n">
        <v>1150</v>
      </c>
      <c r="E1942" s="12" t="s">
        <v>1593</v>
      </c>
      <c r="F1942" s="10" t="n">
        <v>46</v>
      </c>
      <c r="G1942" s="12" t="s">
        <v>323</v>
      </c>
      <c r="H1942" s="10" t="n">
        <v>2110405</v>
      </c>
      <c r="I1942" s="12" t="s">
        <v>55</v>
      </c>
      <c r="J1942" s="10" t="n">
        <v>1656987</v>
      </c>
      <c r="L1942" s="10" t="n">
        <v>87916</v>
      </c>
      <c r="M1942" s="12" t="s">
        <v>88</v>
      </c>
      <c r="N1942" s="12" t="s">
        <v>50</v>
      </c>
      <c r="P1942" s="10" t="n">
        <v>101</v>
      </c>
      <c r="Q1942" s="12" t="s">
        <v>56</v>
      </c>
      <c r="R1942" s="12" t="s">
        <v>70</v>
      </c>
      <c r="S1942" s="10" t="n">
        <v>4210227</v>
      </c>
      <c r="T1942" s="12" t="s">
        <v>77</v>
      </c>
      <c r="U1942" s="13" t="n">
        <v>241.82</v>
      </c>
      <c r="W1942" s="13" t="n">
        <v>0</v>
      </c>
      <c r="X1942" s="12"/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45.75" hidden="false" customHeight="true" outlineLevel="0" collapsed="false">
      <c r="A1943" s="10" t="n">
        <v>2</v>
      </c>
      <c r="B1943" s="11" t="n">
        <v>46055</v>
      </c>
      <c r="C1943" s="11" t="n">
        <v>46327</v>
      </c>
      <c r="D1943" s="10" t="n">
        <v>10039</v>
      </c>
      <c r="E1943" s="12" t="s">
        <v>84</v>
      </c>
      <c r="F1943" s="10" t="n">
        <v>47</v>
      </c>
      <c r="G1943" s="12" t="s">
        <v>47</v>
      </c>
      <c r="H1943" s="10" t="n">
        <v>2110405</v>
      </c>
      <c r="I1943" s="12" t="s">
        <v>55</v>
      </c>
      <c r="J1943" s="10" t="n">
        <v>846832</v>
      </c>
      <c r="L1943" s="10" t="n">
        <v>111506</v>
      </c>
      <c r="M1943" s="12" t="s">
        <v>1118</v>
      </c>
      <c r="N1943" s="12" t="s">
        <v>50</v>
      </c>
      <c r="P1943" s="10" t="n">
        <v>113</v>
      </c>
      <c r="Q1943" s="12" t="s">
        <v>38</v>
      </c>
      <c r="R1943" s="12" t="s">
        <v>70</v>
      </c>
      <c r="S1943" s="10" t="n">
        <v>4210227</v>
      </c>
      <c r="T1943" s="12" t="s">
        <v>77</v>
      </c>
      <c r="U1943" s="13" t="n">
        <v>378.82</v>
      </c>
      <c r="W1943" s="13" t="n">
        <v>0</v>
      </c>
      <c r="X1943" s="12" t="s">
        <v>1653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nao encontrado</v>
      </c>
      <c r="AC1943" s="1" t="n">
        <v>258</v>
      </c>
    </row>
    <row r="1944" customFormat="false" ht="36.75" hidden="false" customHeight="true" outlineLevel="0" collapsed="false">
      <c r="A1944" s="10" t="n">
        <v>2</v>
      </c>
      <c r="B1944" s="11" t="n">
        <v>46244</v>
      </c>
      <c r="C1944" s="11" t="n">
        <v>46331</v>
      </c>
      <c r="D1944" s="10" t="n">
        <v>33</v>
      </c>
      <c r="E1944" s="12" t="s">
        <v>305</v>
      </c>
      <c r="F1944" s="10" t="n">
        <v>34</v>
      </c>
      <c r="G1944" s="12" t="s">
        <v>110</v>
      </c>
      <c r="H1944" s="10" t="n">
        <v>2110405</v>
      </c>
      <c r="I1944" s="12" t="s">
        <v>55</v>
      </c>
      <c r="J1944" s="10" t="n">
        <v>1530158</v>
      </c>
      <c r="L1944" s="10" t="n">
        <v>208205</v>
      </c>
      <c r="M1944" s="12" t="s">
        <v>76</v>
      </c>
      <c r="N1944" s="12" t="s">
        <v>50</v>
      </c>
      <c r="P1944" s="10" t="n">
        <v>101</v>
      </c>
      <c r="Q1944" s="12" t="s">
        <v>56</v>
      </c>
      <c r="R1944" s="12" t="s">
        <v>39</v>
      </c>
      <c r="S1944" s="10" t="n">
        <v>4210301</v>
      </c>
      <c r="T1944" s="12" t="s">
        <v>253</v>
      </c>
      <c r="U1944" s="13" t="n">
        <v>250.1</v>
      </c>
      <c r="W1944" s="13" t="n">
        <v>0</v>
      </c>
      <c r="X1944" s="12" t="s">
        <v>1555</v>
      </c>
      <c r="Z1944" s="1" t="str">
        <f aca="false">IF($T1944="","",IFERROR(INDEX('Resumo Grupos'!$AC$3:$AC$200,MATCH($T1944,'Resumo Grupos'!$AB$3:$AB$200,0)),"n/d"))</f>
        <v>Salários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4.75" hidden="false" customHeight="true" outlineLevel="0" collapsed="false">
      <c r="A1945" s="10" t="n">
        <v>2</v>
      </c>
      <c r="B1945" s="11" t="n">
        <v>46211</v>
      </c>
      <c r="C1945" s="11" t="n">
        <v>46336</v>
      </c>
      <c r="D1945" s="10" t="n">
        <v>33</v>
      </c>
      <c r="E1945" s="12" t="s">
        <v>305</v>
      </c>
      <c r="F1945" s="10" t="n">
        <v>34</v>
      </c>
      <c r="G1945" s="12" t="s">
        <v>110</v>
      </c>
      <c r="H1945" s="10" t="n">
        <v>2110405</v>
      </c>
      <c r="I1945" s="12" t="s">
        <v>55</v>
      </c>
      <c r="J1945" s="10" t="n">
        <v>1370733</v>
      </c>
      <c r="L1945" s="10" t="n">
        <v>184338</v>
      </c>
      <c r="M1945" s="12" t="s">
        <v>85</v>
      </c>
      <c r="N1945" s="12" t="s">
        <v>50</v>
      </c>
      <c r="P1945" s="10" t="n">
        <v>101</v>
      </c>
      <c r="Q1945" s="12" t="s">
        <v>56</v>
      </c>
      <c r="R1945" s="12" t="s">
        <v>70</v>
      </c>
      <c r="S1945" s="10" t="n">
        <v>4210222</v>
      </c>
      <c r="T1945" s="12" t="s">
        <v>1220</v>
      </c>
      <c r="U1945" s="13" t="n">
        <v>666.67</v>
      </c>
      <c r="W1945" s="13" t="n">
        <v>0</v>
      </c>
      <c r="X1945" s="12" t="s">
        <v>1221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45.75" hidden="false" customHeight="true" outlineLevel="0" collapsed="false">
      <c r="A1946" s="10" t="n">
        <v>2</v>
      </c>
      <c r="B1946" s="11" t="n">
        <v>46097</v>
      </c>
      <c r="C1946" s="11" t="n">
        <v>46341</v>
      </c>
      <c r="D1946" s="10" t="n">
        <v>1867</v>
      </c>
      <c r="E1946" s="12" t="s">
        <v>406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808550</v>
      </c>
      <c r="L1946" s="10" t="n">
        <v>2026</v>
      </c>
      <c r="M1946" s="12" t="s">
        <v>1118</v>
      </c>
      <c r="N1946" s="12" t="s">
        <v>50</v>
      </c>
      <c r="P1946" s="10" t="n">
        <v>101</v>
      </c>
      <c r="Q1946" s="12" t="s">
        <v>56</v>
      </c>
      <c r="R1946" s="12" t="s">
        <v>407</v>
      </c>
      <c r="S1946" s="10" t="n">
        <v>4210401</v>
      </c>
      <c r="T1946" s="12" t="s">
        <v>408</v>
      </c>
      <c r="U1946" s="13" t="n">
        <v>228.88</v>
      </c>
      <c r="W1946" s="13" t="n">
        <v>0</v>
      </c>
      <c r="X1946" s="12" t="s">
        <v>1654</v>
      </c>
      <c r="Z1946" s="1" t="str">
        <f aca="false">IF($T1946="","",IFERROR(INDEX('Resumo Grupos'!$AC$3:$AC$200,MATCH($T1946,'Resumo Grupos'!$AB$3:$AB$200,0)),"n/d"))</f>
        <v>Impostos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27.75" hidden="false" customHeight="true" outlineLevel="0" collapsed="false">
      <c r="A1947" s="10" t="n">
        <v>2</v>
      </c>
      <c r="B1947" s="11" t="n">
        <v>46127</v>
      </c>
      <c r="C1947" s="11" t="n">
        <v>46341</v>
      </c>
      <c r="D1947" s="10" t="n">
        <v>512</v>
      </c>
      <c r="E1947" s="12" t="s">
        <v>410</v>
      </c>
      <c r="F1947" s="10" t="n">
        <v>34</v>
      </c>
      <c r="G1947" s="12" t="s">
        <v>110</v>
      </c>
      <c r="H1947" s="10" t="n">
        <v>2110405</v>
      </c>
      <c r="I1947" s="12" t="s">
        <v>55</v>
      </c>
      <c r="J1947" s="10" t="n">
        <v>954215</v>
      </c>
      <c r="L1947" s="10" t="n">
        <v>126220</v>
      </c>
      <c r="M1947" s="12" t="s">
        <v>678</v>
      </c>
      <c r="N1947" s="12" t="s">
        <v>50</v>
      </c>
      <c r="P1947" s="10" t="n">
        <v>101</v>
      </c>
      <c r="Q1947" s="12" t="s">
        <v>56</v>
      </c>
      <c r="R1947" s="12" t="s">
        <v>411</v>
      </c>
      <c r="S1947" s="10" t="n">
        <v>4210111</v>
      </c>
      <c r="T1947" s="12" t="s">
        <v>412</v>
      </c>
      <c r="U1947" s="13" t="n">
        <v>5700</v>
      </c>
      <c r="W1947" s="13" t="n">
        <v>0</v>
      </c>
      <c r="X1947" s="12" t="s">
        <v>413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45.75" hidden="false" customHeight="true" outlineLevel="0" collapsed="false">
      <c r="A1948" s="10" t="n">
        <v>2</v>
      </c>
      <c r="B1948" s="11" t="n">
        <v>46206</v>
      </c>
      <c r="C1948" s="11" t="n">
        <v>46344</v>
      </c>
      <c r="D1948" s="10" t="n">
        <v>33</v>
      </c>
      <c r="E1948" s="12" t="s">
        <v>305</v>
      </c>
      <c r="F1948" s="10" t="n">
        <v>34</v>
      </c>
      <c r="G1948" s="12" t="s">
        <v>110</v>
      </c>
      <c r="H1948" s="10" t="n">
        <v>2110405</v>
      </c>
      <c r="I1948" s="12" t="s">
        <v>55</v>
      </c>
      <c r="J1948" s="10" t="n">
        <v>1345312</v>
      </c>
      <c r="L1948" s="10" t="n">
        <v>180690</v>
      </c>
      <c r="M1948" s="12" t="s">
        <v>67</v>
      </c>
      <c r="N1948" s="12" t="s">
        <v>50</v>
      </c>
      <c r="P1948" s="10" t="n">
        <v>101</v>
      </c>
      <c r="Q1948" s="12" t="s">
        <v>56</v>
      </c>
      <c r="R1948" s="12" t="s">
        <v>70</v>
      </c>
      <c r="S1948" s="10" t="n">
        <v>4210203</v>
      </c>
      <c r="T1948" s="12" t="s">
        <v>750</v>
      </c>
      <c r="U1948" s="13" t="n">
        <v>247.27</v>
      </c>
      <c r="W1948" s="13" t="n">
        <v>0</v>
      </c>
      <c r="X1948" s="12" t="s">
        <v>935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4.75" hidden="false" customHeight="true" outlineLevel="0" collapsed="false">
      <c r="A1949" s="10" t="n">
        <v>2</v>
      </c>
      <c r="B1949" s="11" t="n">
        <v>46256</v>
      </c>
      <c r="C1949" s="11" t="n">
        <v>46351</v>
      </c>
      <c r="D1949" s="10" t="n">
        <v>1782</v>
      </c>
      <c r="E1949" s="12" t="s">
        <v>1639</v>
      </c>
      <c r="F1949" s="10" t="n">
        <v>48</v>
      </c>
      <c r="G1949" s="12" t="s">
        <v>569</v>
      </c>
      <c r="H1949" s="10" t="n">
        <v>2110405</v>
      </c>
      <c r="I1949" s="12" t="s">
        <v>55</v>
      </c>
      <c r="J1949" s="10" t="n">
        <v>1595448</v>
      </c>
      <c r="L1949" s="10" t="n">
        <v>2208</v>
      </c>
      <c r="M1949" s="12" t="s">
        <v>76</v>
      </c>
      <c r="N1949" s="12" t="s">
        <v>50</v>
      </c>
      <c r="P1949" s="10" t="n">
        <v>101</v>
      </c>
      <c r="Q1949" s="12" t="s">
        <v>56</v>
      </c>
      <c r="R1949" s="12" t="s">
        <v>70</v>
      </c>
      <c r="S1949" s="10" t="n">
        <v>4210232</v>
      </c>
      <c r="T1949" s="12" t="s">
        <v>324</v>
      </c>
      <c r="U1949" s="13" t="n">
        <v>79.9</v>
      </c>
      <c r="W1949" s="13" t="n">
        <v>0</v>
      </c>
      <c r="X1949" s="12" t="s">
        <v>1655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45.75" hidden="false" customHeight="true" outlineLevel="0" collapsed="false">
      <c r="A1950" s="10" t="n">
        <v>2</v>
      </c>
      <c r="B1950" s="11" t="n">
        <v>46023</v>
      </c>
      <c r="C1950" s="11" t="n">
        <v>46352</v>
      </c>
      <c r="D1950" s="10" t="n">
        <v>515</v>
      </c>
      <c r="E1950" s="12" t="s">
        <v>157</v>
      </c>
      <c r="F1950" s="10" t="n">
        <v>34</v>
      </c>
      <c r="G1950" s="12" t="s">
        <v>110</v>
      </c>
      <c r="H1950" s="10" t="n">
        <v>2110405</v>
      </c>
      <c r="I1950" s="12" t="s">
        <v>55</v>
      </c>
      <c r="J1950" s="10" t="n">
        <v>1012266</v>
      </c>
      <c r="L1950" s="10" t="n">
        <v>133812</v>
      </c>
      <c r="M1950" s="12" t="s">
        <v>1656</v>
      </c>
      <c r="N1950" s="12" t="s">
        <v>50</v>
      </c>
      <c r="P1950" s="10" t="n">
        <v>101</v>
      </c>
      <c r="Q1950" s="12" t="s">
        <v>56</v>
      </c>
      <c r="R1950" s="12" t="s">
        <v>333</v>
      </c>
      <c r="S1950" s="10" t="n">
        <v>2110901</v>
      </c>
      <c r="T1950" s="12" t="s">
        <v>334</v>
      </c>
      <c r="U1950" s="13" t="n">
        <v>4168.41</v>
      </c>
      <c r="W1950" s="13" t="n">
        <v>0</v>
      </c>
      <c r="X1950" s="12" t="s">
        <v>1657</v>
      </c>
      <c r="Z1950" s="1" t="str">
        <f aca="false">IF($T1950="","",IFERROR(INDEX('Resumo Grupos'!$AC$3:$AC$200,MATCH($T1950,'Resumo Grupos'!$AB$3:$AB$200,0)),"n/d"))</f>
        <v>Empréstimo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45.75" hidden="false" customHeight="true" outlineLevel="0" collapsed="false">
      <c r="A1951" s="10" t="n">
        <v>2</v>
      </c>
      <c r="B1951" s="11" t="n">
        <v>46265</v>
      </c>
      <c r="C1951" s="11" t="n">
        <v>46355</v>
      </c>
      <c r="D1951" s="10" t="n">
        <v>1150</v>
      </c>
      <c r="E1951" s="12" t="s">
        <v>1593</v>
      </c>
      <c r="F1951" s="10" t="n">
        <v>46</v>
      </c>
      <c r="G1951" s="12" t="s">
        <v>323</v>
      </c>
      <c r="H1951" s="10" t="n">
        <v>2110405</v>
      </c>
      <c r="I1951" s="12" t="s">
        <v>55</v>
      </c>
      <c r="J1951" s="10" t="n">
        <v>1656987</v>
      </c>
      <c r="L1951" s="10" t="n">
        <v>87916</v>
      </c>
      <c r="M1951" s="12" t="s">
        <v>76</v>
      </c>
      <c r="N1951" s="12" t="s">
        <v>50</v>
      </c>
      <c r="P1951" s="10" t="n">
        <v>101</v>
      </c>
      <c r="Q1951" s="12" t="s">
        <v>56</v>
      </c>
      <c r="R1951" s="12" t="s">
        <v>70</v>
      </c>
      <c r="S1951" s="10" t="n">
        <v>4210227</v>
      </c>
      <c r="T1951" s="12" t="s">
        <v>77</v>
      </c>
      <c r="U1951" s="13" t="n">
        <v>241.83</v>
      </c>
      <c r="W1951" s="13" t="n">
        <v>0</v>
      </c>
      <c r="X1951" s="12"/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46055</v>
      </c>
      <c r="C1952" s="11" t="n">
        <v>46357</v>
      </c>
      <c r="D1952" s="10" t="n">
        <v>10039</v>
      </c>
      <c r="E1952" s="12" t="s">
        <v>84</v>
      </c>
      <c r="F1952" s="10" t="n">
        <v>47</v>
      </c>
      <c r="G1952" s="12" t="s">
        <v>47</v>
      </c>
      <c r="H1952" s="10" t="n">
        <v>2110405</v>
      </c>
      <c r="I1952" s="12" t="s">
        <v>55</v>
      </c>
      <c r="J1952" s="10" t="n">
        <v>846832</v>
      </c>
      <c r="L1952" s="10" t="n">
        <v>111506</v>
      </c>
      <c r="M1952" s="12" t="s">
        <v>1481</v>
      </c>
      <c r="N1952" s="12" t="s">
        <v>50</v>
      </c>
      <c r="P1952" s="10" t="n">
        <v>113</v>
      </c>
      <c r="Q1952" s="12" t="s">
        <v>38</v>
      </c>
      <c r="R1952" s="12" t="s">
        <v>70</v>
      </c>
      <c r="S1952" s="10" t="n">
        <v>4210227</v>
      </c>
      <c r="T1952" s="12" t="s">
        <v>77</v>
      </c>
      <c r="U1952" s="13" t="n">
        <v>378.82</v>
      </c>
      <c r="W1952" s="13" t="n">
        <v>0</v>
      </c>
      <c r="X1952" s="12" t="s">
        <v>1658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nao encontrado</v>
      </c>
      <c r="AC1952" s="1" t="n">
        <v>258</v>
      </c>
    </row>
    <row r="1953" customFormat="false" ht="36.75" hidden="false" customHeight="true" outlineLevel="0" collapsed="false">
      <c r="A1953" s="10" t="n">
        <v>2</v>
      </c>
      <c r="B1953" s="11" t="n">
        <v>46244</v>
      </c>
      <c r="C1953" s="11" t="n">
        <v>46361</v>
      </c>
      <c r="D1953" s="10" t="n">
        <v>33</v>
      </c>
      <c r="E1953" s="12" t="s">
        <v>305</v>
      </c>
      <c r="F1953" s="10" t="n">
        <v>34</v>
      </c>
      <c r="G1953" s="12" t="s">
        <v>110</v>
      </c>
      <c r="H1953" s="10" t="n">
        <v>2110405</v>
      </c>
      <c r="I1953" s="12" t="s">
        <v>55</v>
      </c>
      <c r="J1953" s="10" t="n">
        <v>1530158</v>
      </c>
      <c r="L1953" s="10" t="n">
        <v>208205</v>
      </c>
      <c r="M1953" s="12" t="s">
        <v>85</v>
      </c>
      <c r="N1953" s="12" t="s">
        <v>50</v>
      </c>
      <c r="P1953" s="10" t="n">
        <v>101</v>
      </c>
      <c r="Q1953" s="12" t="s">
        <v>56</v>
      </c>
      <c r="R1953" s="12" t="s">
        <v>39</v>
      </c>
      <c r="S1953" s="10" t="n">
        <v>4210301</v>
      </c>
      <c r="T1953" s="12" t="s">
        <v>253</v>
      </c>
      <c r="U1953" s="13" t="n">
        <v>250.1</v>
      </c>
      <c r="W1953" s="13" t="n">
        <v>0</v>
      </c>
      <c r="X1953" s="12" t="s">
        <v>1555</v>
      </c>
      <c r="Z1953" s="1" t="str">
        <f aca="false">IF($T1953="","",IFERROR(INDEX('Resumo Grupos'!$AC$3:$AC$200,MATCH($T1953,'Resumo Grupos'!$AB$3:$AB$200,0)),"n/d"))</f>
        <v>Salários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46211</v>
      </c>
      <c r="C1954" s="11" t="n">
        <v>46366</v>
      </c>
      <c r="D1954" s="10" t="n">
        <v>33</v>
      </c>
      <c r="E1954" s="12" t="s">
        <v>305</v>
      </c>
      <c r="F1954" s="10" t="n">
        <v>34</v>
      </c>
      <c r="G1954" s="12" t="s">
        <v>110</v>
      </c>
      <c r="H1954" s="10" t="n">
        <v>2110405</v>
      </c>
      <c r="I1954" s="12" t="s">
        <v>55</v>
      </c>
      <c r="J1954" s="10" t="n">
        <v>1370733</v>
      </c>
      <c r="L1954" s="10" t="n">
        <v>184338</v>
      </c>
      <c r="M1954" s="12" t="s">
        <v>67</v>
      </c>
      <c r="N1954" s="12" t="s">
        <v>50</v>
      </c>
      <c r="P1954" s="10" t="n">
        <v>101</v>
      </c>
      <c r="Q1954" s="12" t="s">
        <v>56</v>
      </c>
      <c r="R1954" s="12" t="s">
        <v>70</v>
      </c>
      <c r="S1954" s="10" t="n">
        <v>4210222</v>
      </c>
      <c r="T1954" s="12" t="s">
        <v>1220</v>
      </c>
      <c r="U1954" s="13" t="n">
        <v>666.67</v>
      </c>
      <c r="W1954" s="13" t="n">
        <v>0</v>
      </c>
      <c r="X1954" s="12" t="s">
        <v>1221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46097</v>
      </c>
      <c r="C1955" s="11" t="n">
        <v>46371</v>
      </c>
      <c r="D1955" s="10" t="n">
        <v>1867</v>
      </c>
      <c r="E1955" s="12" t="s">
        <v>406</v>
      </c>
      <c r="F1955" s="10" t="n">
        <v>24</v>
      </c>
      <c r="G1955" s="12" t="s">
        <v>91</v>
      </c>
      <c r="H1955" s="10" t="n">
        <v>2110405</v>
      </c>
      <c r="I1955" s="12" t="s">
        <v>55</v>
      </c>
      <c r="J1955" s="10" t="n">
        <v>808550</v>
      </c>
      <c r="L1955" s="10" t="n">
        <v>2026</v>
      </c>
      <c r="M1955" s="12" t="s">
        <v>1481</v>
      </c>
      <c r="N1955" s="12" t="s">
        <v>50</v>
      </c>
      <c r="P1955" s="10" t="n">
        <v>101</v>
      </c>
      <c r="Q1955" s="12" t="s">
        <v>56</v>
      </c>
      <c r="R1955" s="12" t="s">
        <v>407</v>
      </c>
      <c r="S1955" s="10" t="n">
        <v>4210401</v>
      </c>
      <c r="T1955" s="12" t="s">
        <v>408</v>
      </c>
      <c r="U1955" s="13" t="n">
        <v>228.88</v>
      </c>
      <c r="W1955" s="13" t="n">
        <v>0</v>
      </c>
      <c r="X1955" s="12" t="s">
        <v>1659</v>
      </c>
      <c r="Z1955" s="1" t="str">
        <f aca="false">IF($T1955="","",IFERROR(INDEX('Resumo Grupos'!$AC$3:$AC$200,MATCH($T1955,'Resumo Grupos'!$AB$3:$AB$200,0)),"n/d"))</f>
        <v>Impostos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46127</v>
      </c>
      <c r="C1956" s="11" t="n">
        <v>46371</v>
      </c>
      <c r="D1956" s="10" t="n">
        <v>512</v>
      </c>
      <c r="E1956" s="12" t="s">
        <v>410</v>
      </c>
      <c r="F1956" s="10" t="n">
        <v>34</v>
      </c>
      <c r="G1956" s="12" t="s">
        <v>110</v>
      </c>
      <c r="H1956" s="10" t="n">
        <v>2110405</v>
      </c>
      <c r="I1956" s="12" t="s">
        <v>55</v>
      </c>
      <c r="J1956" s="10" t="n">
        <v>954215</v>
      </c>
      <c r="L1956" s="10" t="n">
        <v>126220</v>
      </c>
      <c r="M1956" s="12" t="s">
        <v>1118</v>
      </c>
      <c r="N1956" s="12" t="s">
        <v>50</v>
      </c>
      <c r="P1956" s="10" t="n">
        <v>101</v>
      </c>
      <c r="Q1956" s="12" t="s">
        <v>56</v>
      </c>
      <c r="R1956" s="12" t="s">
        <v>411</v>
      </c>
      <c r="S1956" s="10" t="n">
        <v>4210111</v>
      </c>
      <c r="T1956" s="12" t="s">
        <v>412</v>
      </c>
      <c r="U1956" s="13" t="n">
        <v>5700</v>
      </c>
      <c r="W1956" s="13" t="n">
        <v>0</v>
      </c>
      <c r="X1956" s="12" t="s">
        <v>413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46206</v>
      </c>
      <c r="C1957" s="11" t="n">
        <v>46374</v>
      </c>
      <c r="D1957" s="10" t="n">
        <v>33</v>
      </c>
      <c r="E1957" s="12" t="s">
        <v>305</v>
      </c>
      <c r="F1957" s="10" t="n">
        <v>34</v>
      </c>
      <c r="G1957" s="12" t="s">
        <v>110</v>
      </c>
      <c r="H1957" s="10" t="n">
        <v>2110405</v>
      </c>
      <c r="I1957" s="12" t="s">
        <v>55</v>
      </c>
      <c r="J1957" s="10" t="n">
        <v>1345312</v>
      </c>
      <c r="L1957" s="10" t="n">
        <v>180690</v>
      </c>
      <c r="M1957" s="12" t="s">
        <v>61</v>
      </c>
      <c r="N1957" s="12" t="s">
        <v>50</v>
      </c>
      <c r="P1957" s="10" t="n">
        <v>101</v>
      </c>
      <c r="Q1957" s="12" t="s">
        <v>56</v>
      </c>
      <c r="R1957" s="12" t="s">
        <v>70</v>
      </c>
      <c r="S1957" s="10" t="n">
        <v>4210203</v>
      </c>
      <c r="T1957" s="12" t="s">
        <v>750</v>
      </c>
      <c r="U1957" s="13" t="n">
        <v>247.27</v>
      </c>
      <c r="W1957" s="13" t="n">
        <v>0</v>
      </c>
      <c r="X1957" s="12" t="s">
        <v>935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46011</v>
      </c>
      <c r="C1958" s="11" t="n">
        <v>46376</v>
      </c>
      <c r="D1958" s="10" t="n">
        <v>10028</v>
      </c>
      <c r="E1958" s="12" t="s">
        <v>495</v>
      </c>
      <c r="F1958" s="10" t="n">
        <v>24</v>
      </c>
      <c r="G1958" s="12" t="s">
        <v>91</v>
      </c>
      <c r="H1958" s="10" t="n">
        <v>2110405</v>
      </c>
      <c r="I1958" s="12" t="s">
        <v>55</v>
      </c>
      <c r="J1958" s="10" t="n">
        <v>375619</v>
      </c>
      <c r="L1958" s="10" t="n">
        <v>664</v>
      </c>
      <c r="M1958" s="12" t="s">
        <v>88</v>
      </c>
      <c r="N1958" s="12" t="s">
        <v>50</v>
      </c>
      <c r="P1958" s="10" t="n">
        <v>101</v>
      </c>
      <c r="Q1958" s="12" t="s">
        <v>56</v>
      </c>
      <c r="R1958" s="12" t="s">
        <v>39</v>
      </c>
      <c r="S1958" s="10" t="n">
        <v>4210315</v>
      </c>
      <c r="T1958" s="12" t="s">
        <v>283</v>
      </c>
      <c r="U1958" s="13" t="n">
        <v>595.9</v>
      </c>
      <c r="W1958" s="13" t="n">
        <v>0</v>
      </c>
      <c r="X1958" s="12" t="s">
        <v>1660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46256</v>
      </c>
      <c r="C1959" s="11" t="n">
        <v>46381</v>
      </c>
      <c r="D1959" s="10" t="n">
        <v>1782</v>
      </c>
      <c r="E1959" s="12" t="s">
        <v>1639</v>
      </c>
      <c r="F1959" s="10" t="n">
        <v>48</v>
      </c>
      <c r="G1959" s="12" t="s">
        <v>569</v>
      </c>
      <c r="H1959" s="10" t="n">
        <v>2110405</v>
      </c>
      <c r="I1959" s="12" t="s">
        <v>55</v>
      </c>
      <c r="J1959" s="10" t="n">
        <v>1595448</v>
      </c>
      <c r="L1959" s="10" t="n">
        <v>2208</v>
      </c>
      <c r="M1959" s="12" t="s">
        <v>85</v>
      </c>
      <c r="N1959" s="12" t="s">
        <v>50</v>
      </c>
      <c r="P1959" s="10" t="n">
        <v>101</v>
      </c>
      <c r="Q1959" s="12" t="s">
        <v>56</v>
      </c>
      <c r="R1959" s="12" t="s">
        <v>70</v>
      </c>
      <c r="S1959" s="10" t="n">
        <v>4210232</v>
      </c>
      <c r="T1959" s="12" t="s">
        <v>324</v>
      </c>
      <c r="U1959" s="13" t="n">
        <v>79.9</v>
      </c>
      <c r="W1959" s="13" t="n">
        <v>0</v>
      </c>
      <c r="X1959" s="12" t="s">
        <v>1661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46023</v>
      </c>
      <c r="C1960" s="11" t="n">
        <v>46383</v>
      </c>
      <c r="D1960" s="10" t="n">
        <v>515</v>
      </c>
      <c r="E1960" s="12" t="s">
        <v>157</v>
      </c>
      <c r="F1960" s="10" t="n">
        <v>34</v>
      </c>
      <c r="G1960" s="12" t="s">
        <v>110</v>
      </c>
      <c r="H1960" s="10" t="n">
        <v>2110405</v>
      </c>
      <c r="I1960" s="12" t="s">
        <v>55</v>
      </c>
      <c r="J1960" s="10" t="n">
        <v>1012266</v>
      </c>
      <c r="L1960" s="10" t="n">
        <v>133812</v>
      </c>
      <c r="M1960" s="12" t="s">
        <v>1662</v>
      </c>
      <c r="N1960" s="12" t="s">
        <v>50</v>
      </c>
      <c r="P1960" s="10" t="n">
        <v>101</v>
      </c>
      <c r="Q1960" s="12" t="s">
        <v>56</v>
      </c>
      <c r="R1960" s="12" t="s">
        <v>333</v>
      </c>
      <c r="S1960" s="10" t="n">
        <v>2110901</v>
      </c>
      <c r="T1960" s="12" t="s">
        <v>334</v>
      </c>
      <c r="U1960" s="13" t="n">
        <v>4168.41</v>
      </c>
      <c r="W1960" s="13" t="n">
        <v>0</v>
      </c>
      <c r="X1960" s="12" t="s">
        <v>1663</v>
      </c>
      <c r="Z1960" s="1" t="str">
        <f aca="false">IF($T1960="","",IFERROR(INDEX('Resumo Grupos'!$AC$3:$AC$200,MATCH($T1960,'Resumo Grupos'!$AB$3:$AB$200,0)),"n/d"))</f>
        <v>Empréstimo</v>
      </c>
      <c r="AA1960" s="1" t="str">
        <f aca="false">IF($T1960="","",IF(COUNTIF('Resumo Grupos'!$AE$3:$AE$40,$T1960)&gt;0,"NAO","SIM"))</f>
        <v>SIM</v>
      </c>
      <c r="AB1960" s="1"/>
      <c r="AC1960" s="1"/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1664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EDSON AGUIAR DE SOUZA</v>
      </c>
      <c r="C1072" s="16" t="n">
        <f aca="false">Report!U1660</f>
        <v>137</v>
      </c>
      <c r="D1072" s="1" t="str">
        <f aca="false">Report!X1660</f>
        <v>COMPRAS - CHEIRO-VERDE -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MARQUES &amp; MELO LTDA - FILIAL</v>
      </c>
      <c r="C1073" s="16" t="n">
        <f aca="false">Report!U1661</f>
        <v>470.34</v>
      </c>
      <c r="D1073" s="1" t="str">
        <f aca="false">Report!X1661</f>
        <v>NF 508442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431.3</v>
      </c>
      <c r="D1074" s="1" t="str">
        <f aca="false">Report!X1662</f>
        <v>NF 654908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DURAES DISTRIBUIDORA DE ESTIVAS LTDA</v>
      </c>
      <c r="C1075" s="16" t="n">
        <f aca="false">Report!U1663</f>
        <v>606.55</v>
      </c>
      <c r="D1075" s="1" t="str">
        <f aca="false">Report!X1663</f>
        <v>NF 654907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156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100.5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EDSON AGUIAR DE SOUZA</v>
      </c>
      <c r="C1078" s="16" t="n">
        <f aca="false">Report!U1666</f>
        <v>140</v>
      </c>
      <c r="D1078" s="1" t="str">
        <f aca="false">Report!X1666</f>
        <v>COMPRAS - CHEIRO-VERDE -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NORTELAC DISTRIBUIDORA DE FRIOS LTDA</v>
      </c>
      <c r="C1079" s="16" t="n">
        <f aca="false">Report!U1667</f>
        <v>460</v>
      </c>
      <c r="D1079" s="1" t="str">
        <f aca="false">Report!X1667</f>
        <v>NF 46622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NOVA FRIOS COMERCIO ATACADISTA DE LATICINIOS LTDA</v>
      </c>
      <c r="C1080" s="16" t="n">
        <f aca="false">Report!U1668</f>
        <v>215.9</v>
      </c>
      <c r="D1080" s="1" t="str">
        <f aca="false">Report!X1668</f>
        <v>NF 4446 ELLEN</v>
      </c>
    </row>
    <row r="1081" customFormat="false" ht="12.75" hidden="false" customHeight="true" outlineLevel="0" collapsed="false">
      <c r="A1081" s="15" t="n">
        <f aca="false">Report!C1669</f>
        <v>46265</v>
      </c>
      <c r="B1081" s="1" t="str">
        <f aca="false">Report!E1669</f>
        <v>EDSON AGUIAR DE SOUZA</v>
      </c>
      <c r="C1081" s="16" t="n">
        <f aca="false">Report!U1669</f>
        <v>126</v>
      </c>
      <c r="D1081" s="1" t="str">
        <f aca="false">Report!X1669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793.81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Report!C1757</f>
        <v>46269</v>
      </c>
      <c r="B1135" s="1" t="str">
        <f aca="false">Report!E1757</f>
        <v>VIA CERTA IMPORTACAO E DISTRIBUICAO DE A</v>
      </c>
      <c r="C1135" s="16" t="n">
        <f aca="false">Report!U1757</f>
        <v>1393.49</v>
      </c>
      <c r="D1135" s="1" t="str">
        <f aca="false">Report!X1757</f>
        <v>NF 53859 ELLEN</v>
      </c>
    </row>
    <row r="1136" customFormat="false" ht="12.75" hidden="false" customHeight="true" outlineLevel="0" collapsed="false">
      <c r="A1136" s="15" t="n">
        <f aca="false">Report!C1758</f>
        <v>46269</v>
      </c>
      <c r="B1136" s="1" t="str">
        <f aca="false">Report!E1758</f>
        <v>DUNORTE DISTRIBUIDORA DE PRODUTOS DE CONSUMO LTDA</v>
      </c>
      <c r="C1136" s="16" t="n">
        <f aca="false">Report!U1758</f>
        <v>748.32</v>
      </c>
      <c r="D1136" s="1" t="str">
        <f aca="false">Report!X1758</f>
        <v>NF 3237036 ELLEN</v>
      </c>
    </row>
    <row r="1137" customFormat="false" ht="12.75" hidden="false" customHeight="true" outlineLevel="0" collapsed="false">
      <c r="A1137" s="15" t="n">
        <f aca="false">Report!C1759</f>
        <v>46269</v>
      </c>
      <c r="B1137" s="1" t="str">
        <f aca="false">Report!E1759</f>
        <v>L S M COMERCIO DE ALIMENTOS E NAVEGACAO</v>
      </c>
      <c r="C1137" s="16" t="n">
        <f aca="false">Report!U1759</f>
        <v>474.75</v>
      </c>
      <c r="D1137" s="1" t="str">
        <f aca="false">Report!X1759</f>
        <v>NF 311351 ELLEN</v>
      </c>
    </row>
    <row r="1138" customFormat="false" ht="12.75" hidden="false" customHeight="true" outlineLevel="0" collapsed="false">
      <c r="A1138" s="15" t="n">
        <f aca="false">Report!C1760</f>
        <v>46269</v>
      </c>
      <c r="B1138" s="1" t="str">
        <f aca="false">Report!E1760</f>
        <v>SOUZA CRUZ LTDA.</v>
      </c>
      <c r="C1138" s="16" t="n">
        <f aca="false">Report!U1760</f>
        <v>5720.74</v>
      </c>
      <c r="D1138" s="1" t="str">
        <f aca="false">Report!X1760</f>
        <v>NF 570907 ELLEN</v>
      </c>
    </row>
    <row r="1139" customFormat="false" ht="12.75" hidden="false" customHeight="true" outlineLevel="0" collapsed="false">
      <c r="A1139" s="15" t="n">
        <f aca="false">Report!C1761</f>
        <v>46269</v>
      </c>
      <c r="B1139" s="1" t="str">
        <f aca="false">Report!E1761</f>
        <v>LIMA E BARANDA COMERCIO DE PRODUTOS REGI</v>
      </c>
      <c r="C1139" s="16" t="n">
        <f aca="false">Report!U1761</f>
        <v>264</v>
      </c>
      <c r="D1139" s="1" t="str">
        <f aca="false">Report!X1761</f>
        <v>NF 32154 ELLEN</v>
      </c>
    </row>
    <row r="1140" customFormat="false" ht="12.75" hidden="false" customHeight="true" outlineLevel="0" collapsed="false">
      <c r="A1140" s="15" t="n">
        <f aca="false">Report!C1762</f>
        <v>46269</v>
      </c>
      <c r="B1140" s="1" t="str">
        <f aca="false">Report!E1762</f>
        <v>MAXFRI DISTRIUIDORA LTDA</v>
      </c>
      <c r="C1140" s="16" t="n">
        <f aca="false">Report!U1762</f>
        <v>2771.2</v>
      </c>
      <c r="D1140" s="1" t="str">
        <f aca="false">Report!X1762</f>
        <v>NF 15192 ELLEN</v>
      </c>
    </row>
    <row r="1141" customFormat="false" ht="12.75" hidden="false" customHeight="true" outlineLevel="0" collapsed="false">
      <c r="A1141" s="15" t="n">
        <f aca="false">Report!C1763</f>
        <v>46269</v>
      </c>
      <c r="B1141" s="1" t="str">
        <f aca="false">Report!E1763</f>
        <v>NOVA FRIOS COMERCIO ATACADISTA DE LATICINIOS LTDA</v>
      </c>
      <c r="C1141" s="16" t="n">
        <f aca="false">Report!U1763</f>
        <v>300</v>
      </c>
      <c r="D1141" s="1" t="str">
        <f aca="false">Report!X1763</f>
        <v>NF 4492 ELLEN</v>
      </c>
    </row>
    <row r="1142" customFormat="false" ht="12.75" hidden="false" customHeight="true" outlineLevel="0" collapsed="false">
      <c r="A1142" s="15" t="n">
        <f aca="false">Report!C1764</f>
        <v>46269</v>
      </c>
      <c r="B1142" s="1" t="str">
        <f aca="false">Report!E1764</f>
        <v>PANIFICADORA E CONFEITARIA REAL MADRI LTDA</v>
      </c>
      <c r="C1142" s="16" t="n">
        <f aca="false">Report!U1764</f>
        <v>90</v>
      </c>
      <c r="D1142" s="1" t="str">
        <f aca="false">Report!X1764</f>
        <v>NF 782 ELLEN</v>
      </c>
    </row>
    <row r="1143" customFormat="false" ht="12.75" hidden="false" customHeight="true" outlineLevel="0" collapsed="false">
      <c r="A1143" s="15" t="n">
        <f aca="false">Report!C1766</f>
        <v>46269</v>
      </c>
      <c r="B1143" s="1" t="str">
        <f aca="false">Report!E1766</f>
        <v>NEYLIANE S DE OLIVEIRA &amp; CIA LTDA</v>
      </c>
      <c r="C1143" s="16" t="n">
        <f aca="false">Report!U1766</f>
        <v>300</v>
      </c>
      <c r="D1143" s="1" t="str">
        <f aca="false">Report!X1766</f>
        <v>20L DE AÇAI - PG NO P 4/9/26 - ELLEN</v>
      </c>
    </row>
    <row r="1144" customFormat="false" ht="12.75" hidden="false" customHeight="true" outlineLevel="0" collapsed="false">
      <c r="A1144" s="15" t="n">
        <f aca="false">Report!C1768</f>
        <v>46269</v>
      </c>
      <c r="B1144" s="1" t="str">
        <f aca="false">Report!E1768</f>
        <v>NEYLIANE S DE OLIVEIRA &amp; CIA LTDA</v>
      </c>
      <c r="C1144" s="16" t="n">
        <f aca="false">Report!U1768</f>
        <v>340</v>
      </c>
      <c r="D1144" s="1" t="str">
        <f aca="false">Report!X1768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Report!C1769</f>
        <v>46269</v>
      </c>
      <c r="B1145" s="1" t="str">
        <f aca="false">Report!E1769</f>
        <v>NEYLIANE S DE OLIVEIRA &amp; CIA LTDA</v>
      </c>
      <c r="C1145" s="16" t="n">
        <f aca="false">Report!U1769</f>
        <v>1972</v>
      </c>
      <c r="D1145" s="1" t="str">
        <f aca="false">Report!X1769</f>
        <v>FEIRA-PG P C6-BANK/RENATO - ELLEN</v>
      </c>
    </row>
    <row r="1146" customFormat="false" ht="12.75" hidden="false" customHeight="true" outlineLevel="0" collapsed="false">
      <c r="A1146" s="15" t="n">
        <f aca="false">Report!C1770</f>
        <v>46269</v>
      </c>
      <c r="B1146" s="1" t="str">
        <f aca="false">Report!E1770</f>
        <v>FEIRA</v>
      </c>
      <c r="C1146" s="16" t="n">
        <f aca="false">Report!U1770</f>
        <v>200</v>
      </c>
      <c r="D1146" s="1" t="str">
        <f aca="false">Report!X1770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Report!C1773</f>
        <v>46270</v>
      </c>
      <c r="B1147" s="1" t="str">
        <f aca="false">Report!E1773</f>
        <v>DISTRIBUIDORA FARIAS LTDA.</v>
      </c>
      <c r="C1147" s="16" t="n">
        <f aca="false">Report!U1773</f>
        <v>706.56</v>
      </c>
      <c r="D1147" s="1" t="str">
        <f aca="false">Report!X1773</f>
        <v>NF 689222 ELLEN</v>
      </c>
    </row>
    <row r="1148" customFormat="false" ht="12.75" hidden="false" customHeight="true" outlineLevel="0" collapsed="false">
      <c r="A1148" s="15" t="n">
        <f aca="false">Report!C1774</f>
        <v>46270</v>
      </c>
      <c r="B1148" s="1" t="str">
        <f aca="false">Report!E1774</f>
        <v>DISTRIBUIDORA FARIAS LTDA.</v>
      </c>
      <c r="C1148" s="16" t="n">
        <f aca="false">Report!U1774</f>
        <v>1422.67</v>
      </c>
      <c r="D1148" s="1" t="str">
        <f aca="false">Report!X1774</f>
        <v>NF 689224 ELLEN</v>
      </c>
    </row>
    <row r="1149" customFormat="false" ht="12.75" hidden="false" customHeight="true" outlineLevel="0" collapsed="false">
      <c r="A1149" s="15" t="n">
        <f aca="false">Report!C1776</f>
        <v>46270</v>
      </c>
      <c r="B1149" s="1" t="str">
        <f aca="false">Report!E1776</f>
        <v>JAB COMERCIO DE PRODUTOS ALIMENTICIOS LT</v>
      </c>
      <c r="C1149" s="16" t="n">
        <f aca="false">Report!U1776</f>
        <v>125</v>
      </c>
      <c r="D1149" s="1" t="str">
        <f aca="false">Report!X1776</f>
        <v>NF 3829 ELLEN</v>
      </c>
    </row>
    <row r="1150" customFormat="false" ht="12.75" hidden="false" customHeight="true" outlineLevel="0" collapsed="false">
      <c r="A1150" s="15" t="n">
        <f aca="false">Report!C1777</f>
        <v>46270</v>
      </c>
      <c r="B1150" s="1" t="str">
        <f aca="false">Report!E1777</f>
        <v>MAXFRI DISTRIUIDORA LTDA</v>
      </c>
      <c r="C1150" s="16" t="n">
        <f aca="false">Report!U1777</f>
        <v>1557.6</v>
      </c>
      <c r="D1150" s="1" t="str">
        <f aca="false">Report!X1777</f>
        <v>NF 15213 ELLEN</v>
      </c>
    </row>
    <row r="1151" customFormat="false" ht="12.75" hidden="false" customHeight="true" outlineLevel="0" collapsed="false">
      <c r="A1151" s="15" t="n">
        <f aca="false">Report!C1779</f>
        <v>46272</v>
      </c>
      <c r="B1151" s="1" t="str">
        <f aca="false">Report!E1779</f>
        <v>NATUREZA COMERCIO DE DESCARTAVEIS LTDA</v>
      </c>
      <c r="C1151" s="16" t="n">
        <f aca="false">Report!U1779</f>
        <v>509.85</v>
      </c>
      <c r="D1151" s="1" t="str">
        <f aca="false">Report!X1779</f>
        <v>NF 747704 ELLEN</v>
      </c>
    </row>
    <row r="1152" customFormat="false" ht="12.75" hidden="false" customHeight="true" outlineLevel="0" collapsed="false">
      <c r="A1152" s="15" t="n">
        <f aca="false">Report!C1780</f>
        <v>46272</v>
      </c>
      <c r="B1152" s="1" t="str">
        <f aca="false">Report!E1780</f>
        <v>TAPAJOS COM DE PERFUMARIA COSMETICOS E G</v>
      </c>
      <c r="C1152" s="16" t="n">
        <f aca="false">Report!U1780</f>
        <v>271.2</v>
      </c>
      <c r="D1152" s="1" t="str">
        <f aca="false">Report!X1780</f>
        <v>NF 586317 ELLEN</v>
      </c>
    </row>
    <row r="1153" customFormat="false" ht="12.75" hidden="false" customHeight="true" outlineLevel="0" collapsed="false">
      <c r="A1153" s="15" t="n">
        <f aca="false">Report!C1781</f>
        <v>46272</v>
      </c>
      <c r="B1153" s="1" t="str">
        <f aca="false">Report!E1781</f>
        <v>BF COMERCIO DE ALIMENTOS REPRESENTACAO L</v>
      </c>
      <c r="C1153" s="16" t="n">
        <f aca="false">Report!U1781</f>
        <v>691.91</v>
      </c>
      <c r="D1153" s="1" t="str">
        <f aca="false">Report!X1781</f>
        <v>NF 21279 ELLEN</v>
      </c>
    </row>
    <row r="1154" customFormat="false" ht="12.75" hidden="false" customHeight="true" outlineLevel="0" collapsed="false">
      <c r="A1154" s="15" t="n">
        <f aca="false">Report!C1782</f>
        <v>46272</v>
      </c>
      <c r="B1154" s="1" t="str">
        <f aca="false">Report!E1782</f>
        <v>DUNORTE DISTRIBUIDORA DE PRODUTOS DE CONSUMO LTDA</v>
      </c>
      <c r="C1154" s="16" t="n">
        <f aca="false">Report!U1782</f>
        <v>1352.12</v>
      </c>
      <c r="D1154" s="1" t="str">
        <f aca="false">Report!X1782</f>
        <v>NF 3237634 ELLEN</v>
      </c>
    </row>
    <row r="1155" customFormat="false" ht="12.75" hidden="false" customHeight="true" outlineLevel="0" collapsed="false">
      <c r="A1155" s="15" t="n">
        <f aca="false">Report!C1783</f>
        <v>46272</v>
      </c>
      <c r="B1155" s="1" t="str">
        <f aca="false">Report!E1783</f>
        <v>DURAES DISTRIBUIDORA DE ESTIVAS LTDA</v>
      </c>
      <c r="C1155" s="16" t="n">
        <f aca="false">Report!U1783</f>
        <v>606.56</v>
      </c>
      <c r="D1155" s="1" t="str">
        <f aca="false">Report!X1783</f>
        <v>NF 654907 ELLEN</v>
      </c>
    </row>
    <row r="1156" customFormat="false" ht="12.75" hidden="false" customHeight="true" outlineLevel="0" collapsed="false">
      <c r="A1156" s="15" t="n">
        <f aca="false">Report!C1784</f>
        <v>46272</v>
      </c>
      <c r="B1156" s="1" t="str">
        <f aca="false">Report!E1784</f>
        <v>MAXPEL COMERCIAL LTDA</v>
      </c>
      <c r="C1156" s="16" t="n">
        <f aca="false">Report!U1784</f>
        <v>983.76</v>
      </c>
      <c r="D1156" s="1" t="str">
        <f aca="false">Report!X1784</f>
        <v>NFS 319296/319297 - ELLEN</v>
      </c>
    </row>
    <row r="1157" customFormat="false" ht="12.75" hidden="false" customHeight="true" outlineLevel="0" collapsed="false">
      <c r="A1157" s="15" t="n">
        <f aca="false">Report!C1785</f>
        <v>46272</v>
      </c>
      <c r="B1157" s="1" t="str">
        <f aca="false">Report!E1785</f>
        <v>SB COMERCIO LTDA</v>
      </c>
      <c r="C1157" s="16" t="n">
        <f aca="false">Report!U1785</f>
        <v>521.58</v>
      </c>
      <c r="D1157" s="1" t="str">
        <f aca="false">Report!X1785</f>
        <v>NF 1966312 ELLEN</v>
      </c>
    </row>
    <row r="1158" customFormat="false" ht="12.75" hidden="false" customHeight="true" outlineLevel="0" collapsed="false">
      <c r="A1158" s="15" t="n">
        <f aca="false">Report!C1786</f>
        <v>46272</v>
      </c>
      <c r="B1158" s="1" t="str">
        <f aca="false">Report!E1786</f>
        <v>PANIFICADORA E CONFEITARIA REAL MADRI LTDA</v>
      </c>
      <c r="C1158" s="16" t="n">
        <f aca="false">Report!U1786</f>
        <v>204.77</v>
      </c>
      <c r="D1158" s="1" t="str">
        <f aca="false">Report!X1786</f>
        <v>NF 790 ELLEN</v>
      </c>
    </row>
    <row r="1159" customFormat="false" ht="12.75" hidden="false" customHeight="true" outlineLevel="0" collapsed="false">
      <c r="A1159" s="15" t="n">
        <f aca="false">Report!C1787</f>
        <v>46273</v>
      </c>
      <c r="B1159" s="1" t="str">
        <f aca="false">Report!E1787</f>
        <v>ATACADAO S.A.</v>
      </c>
      <c r="C1159" s="16" t="n">
        <f aca="false">Report!U1787</f>
        <v>1184.7</v>
      </c>
      <c r="D1159" s="1" t="str">
        <f aca="false">Report!X1787</f>
        <v>NF 1915876 ELLEN</v>
      </c>
    </row>
    <row r="1160" customFormat="false" ht="12.75" hidden="false" customHeight="true" outlineLevel="0" collapsed="false">
      <c r="A1160" s="15" t="n">
        <f aca="false">Report!C1788</f>
        <v>46273</v>
      </c>
      <c r="B1160" s="1" t="str">
        <f aca="false">Report!E1788</f>
        <v>PIARARA COMERCIO, IMPORTACAO E EXPORTACAO LTDA</v>
      </c>
      <c r="C1160" s="16" t="n">
        <f aca="false">Report!U1788</f>
        <v>599.85</v>
      </c>
      <c r="D1160" s="1" t="str">
        <f aca="false">Report!X1788</f>
        <v>NF 195597 ELLEN</v>
      </c>
    </row>
    <row r="1161" customFormat="false" ht="12.75" hidden="false" customHeight="true" outlineLevel="0" collapsed="false">
      <c r="A1161" s="15" t="n">
        <f aca="false">Report!C1789</f>
        <v>46273</v>
      </c>
      <c r="B1161" s="1" t="str">
        <f aca="false">Report!E1789</f>
        <v>ROCHA E PAIVA LTDA</v>
      </c>
      <c r="C1161" s="16" t="n">
        <f aca="false">Report!U1789</f>
        <v>584.64</v>
      </c>
      <c r="D1161" s="1" t="str">
        <f aca="false">Report!X1789</f>
        <v>NF 211355 ELLEN</v>
      </c>
    </row>
    <row r="1162" customFormat="false" ht="12.75" hidden="false" customHeight="true" outlineLevel="0" collapsed="false">
      <c r="A1162" s="15" t="n">
        <f aca="false">Report!C1790</f>
        <v>46273</v>
      </c>
      <c r="B1162" s="1" t="str">
        <f aca="false">Report!E1790</f>
        <v>J. A. F. DE LIMA</v>
      </c>
      <c r="C1162" s="16" t="n">
        <f aca="false">Report!U1790</f>
        <v>645.71</v>
      </c>
      <c r="D1162" s="1" t="str">
        <f aca="false">Report!X1790</f>
        <v>NF 160332 ELLEN</v>
      </c>
    </row>
    <row r="1163" customFormat="false" ht="12.75" hidden="false" customHeight="true" outlineLevel="0" collapsed="false">
      <c r="A1163" s="15" t="n">
        <f aca="false">Report!C1791</f>
        <v>46273</v>
      </c>
      <c r="B1163" s="1" t="str">
        <f aca="false">Report!E1791</f>
        <v>SUPER CANCUN COMERCIO DE PRODUTOS ALIMEN</v>
      </c>
      <c r="C1163" s="16" t="n">
        <f aca="false">Report!U1791</f>
        <v>548.18</v>
      </c>
      <c r="D1163" s="1" t="str">
        <f aca="false">Report!X1791</f>
        <v>NF 265359 ELLEN</v>
      </c>
    </row>
    <row r="1164" customFormat="false" ht="12.75" hidden="false" customHeight="true" outlineLevel="0" collapsed="false">
      <c r="A1164" s="15" t="n">
        <f aca="false">Report!C1792</f>
        <v>46273</v>
      </c>
      <c r="B1164" s="1" t="str">
        <f aca="false">Report!E1792</f>
        <v>L. J. DA SILVA LTDA</v>
      </c>
      <c r="C1164" s="16" t="n">
        <f aca="false">Report!U1792</f>
        <v>421</v>
      </c>
      <c r="D1164" s="1" t="str">
        <f aca="false">Report!X1792</f>
        <v>NF 37213 ELLEN</v>
      </c>
    </row>
    <row r="1165" customFormat="false" ht="12.75" hidden="false" customHeight="true" outlineLevel="0" collapsed="false">
      <c r="A1165" s="15" t="n">
        <f aca="false">Report!C1793</f>
        <v>46273</v>
      </c>
      <c r="B1165" s="1" t="str">
        <f aca="false">Report!E1793</f>
        <v>BRASIL NORTE BEBIDAS S/A</v>
      </c>
      <c r="C1165" s="16" t="n">
        <f aca="false">Report!U1793</f>
        <v>639.05</v>
      </c>
      <c r="D1165" s="1" t="str">
        <f aca="false">Report!X1793</f>
        <v>NF 1262093 ELLEN</v>
      </c>
    </row>
    <row r="1166" customFormat="false" ht="12.75" hidden="false" customHeight="true" outlineLevel="0" collapsed="false">
      <c r="A1166" s="15" t="n">
        <f aca="false">Report!C1794</f>
        <v>46273</v>
      </c>
      <c r="B1166" s="1" t="str">
        <f aca="false">Report!E1794</f>
        <v>BRASIL NORTE BEBIDAS S/A</v>
      </c>
      <c r="C1166" s="16" t="n">
        <f aca="false">Report!U1794</f>
        <v>3064.41</v>
      </c>
      <c r="D1166" s="1" t="str">
        <f aca="false">Report!X1794</f>
        <v>NF 2004983 ELLEN</v>
      </c>
    </row>
    <row r="1167" customFormat="false" ht="12.75" hidden="false" customHeight="true" outlineLevel="0" collapsed="false">
      <c r="A1167" s="15" t="n">
        <f aca="false">Report!C1795</f>
        <v>46273</v>
      </c>
      <c r="B1167" s="1" t="str">
        <f aca="false">Report!E1795</f>
        <v>NESTLÉ BRASIL LTDA.</v>
      </c>
      <c r="C1167" s="16" t="n">
        <f aca="false">Report!U1795</f>
        <v>1509.12</v>
      </c>
      <c r="D1167" s="1" t="str">
        <f aca="false">Report!X1795</f>
        <v>NF 1442202 ELLEN</v>
      </c>
    </row>
    <row r="1168" customFormat="false" ht="12.75" hidden="false" customHeight="true" outlineLevel="0" collapsed="false">
      <c r="A1168" s="15" t="n">
        <f aca="false">Report!C1796</f>
        <v>46273</v>
      </c>
      <c r="B1168" s="1" t="str">
        <f aca="false">Report!E1796</f>
        <v>NESTLÉ BRASIL LTDA.</v>
      </c>
      <c r="C1168" s="16" t="n">
        <f aca="false">Report!U1796</f>
        <v>202.95</v>
      </c>
      <c r="D1168" s="1" t="str">
        <f aca="false">Report!X1796</f>
        <v>NF 1441732 ELLEN</v>
      </c>
    </row>
    <row r="1169" customFormat="false" ht="12.75" hidden="false" customHeight="true" outlineLevel="0" collapsed="false">
      <c r="A1169" s="15" t="n">
        <f aca="false">Report!C1797</f>
        <v>46273</v>
      </c>
      <c r="B1169" s="1" t="str">
        <f aca="false">Report!E1797</f>
        <v>CB COMERCIO E DISTRIBUIDORA DE ALIMENTOS</v>
      </c>
      <c r="C1169" s="16" t="n">
        <f aca="false">Report!U1797</f>
        <v>843.65</v>
      </c>
      <c r="D1169" s="1" t="str">
        <f aca="false">Report!X1797</f>
        <v>NF 866347 ELLEN</v>
      </c>
    </row>
    <row r="1170" customFormat="false" ht="12.75" hidden="false" customHeight="true" outlineLevel="0" collapsed="false">
      <c r="A1170" s="15" t="n">
        <f aca="false">Report!C1798</f>
        <v>46273</v>
      </c>
      <c r="B1170" s="1" t="str">
        <f aca="false">Report!E1798</f>
        <v>EDMARA COMERCIO DE HIGIENE PESSOAL LTDA</v>
      </c>
      <c r="C1170" s="16" t="n">
        <f aca="false">Report!U1798</f>
        <v>873.08</v>
      </c>
      <c r="D1170" s="1" t="str">
        <f aca="false">Report!X1798</f>
        <v>NF 8744 ELLEN</v>
      </c>
    </row>
    <row r="1171" customFormat="false" ht="12.75" hidden="false" customHeight="true" outlineLevel="0" collapsed="false">
      <c r="A1171" s="15" t="n">
        <f aca="false">Report!C1799</f>
        <v>46273</v>
      </c>
      <c r="B1171" s="1" t="str">
        <f aca="false">Report!E1799</f>
        <v>VICTORIA COMERCIO INTERNACIONAL DE ALIME</v>
      </c>
      <c r="C1171" s="16" t="n">
        <f aca="false">Report!U1799</f>
        <v>410</v>
      </c>
      <c r="D1171" s="1" t="str">
        <f aca="false">Report!X1799</f>
        <v>NF 13095 ELLEN</v>
      </c>
    </row>
    <row r="1172" customFormat="false" ht="12.75" hidden="false" customHeight="true" outlineLevel="0" collapsed="false">
      <c r="A1172" s="15" t="n">
        <f aca="false">Report!C1800</f>
        <v>46273</v>
      </c>
      <c r="B1172" s="1" t="str">
        <f aca="false">Report!E1800</f>
        <v>CRBS S/A</v>
      </c>
      <c r="C1172" s="16" t="n">
        <f aca="false">Report!U1800</f>
        <v>1825.37</v>
      </c>
      <c r="D1172" s="1" t="str">
        <f aca="false">Report!X1800</f>
        <v>NF 982558 ELLEN</v>
      </c>
    </row>
    <row r="1173" customFormat="false" ht="12.75" hidden="false" customHeight="true" outlineLevel="0" collapsed="false">
      <c r="A1173" s="15" t="n">
        <f aca="false">Report!C1801</f>
        <v>46273</v>
      </c>
      <c r="B1173" s="1" t="str">
        <f aca="false">Report!E1801</f>
        <v>BROTHERS  INDUSTRIA DE ALIMENTOS LTDA</v>
      </c>
      <c r="C1173" s="16" t="n">
        <f aca="false">Report!U1801</f>
        <v>492.29</v>
      </c>
      <c r="D1173" s="1" t="str">
        <f aca="false">Report!X1801</f>
        <v>NF 1039683 ELLEN</v>
      </c>
    </row>
    <row r="1174" customFormat="false" ht="12.75" hidden="false" customHeight="true" outlineLevel="0" collapsed="false">
      <c r="A1174" s="15" t="n">
        <f aca="false">Report!C1802</f>
        <v>46273</v>
      </c>
      <c r="B1174" s="1" t="str">
        <f aca="false">Report!E1802</f>
        <v>KAROLINY RODRIGUES SOUZA VENANCIO 915783</v>
      </c>
      <c r="C1174" s="16" t="n">
        <f aca="false">Report!U1802</f>
        <v>250</v>
      </c>
      <c r="D1174" s="1" t="str">
        <f aca="false">Report!X1802</f>
        <v>NF 2142 ELLEN</v>
      </c>
    </row>
    <row r="1175" customFormat="false" ht="12.75" hidden="false" customHeight="true" outlineLevel="0" collapsed="false">
      <c r="A1175" s="15" t="n">
        <f aca="false">Report!C1803</f>
        <v>46273</v>
      </c>
      <c r="B1175" s="1" t="str">
        <f aca="false">Report!E1803</f>
        <v>L S M COMERCIO DE ALIMENTOS E NAVEGACAO</v>
      </c>
      <c r="C1175" s="16" t="n">
        <f aca="false">Report!U1803</f>
        <v>658.8</v>
      </c>
      <c r="D1175" s="1" t="str">
        <f aca="false">Report!X1803</f>
        <v>NF 311270 ELLEN</v>
      </c>
    </row>
    <row r="1176" customFormat="false" ht="12.75" hidden="false" customHeight="true" outlineLevel="0" collapsed="false">
      <c r="A1176" s="15" t="n">
        <f aca="false">Report!C1804</f>
        <v>46273</v>
      </c>
      <c r="B1176" s="1" t="str">
        <f aca="false">Report!E1804</f>
        <v>MAXFRI DISTRIUIDORA LTDA</v>
      </c>
      <c r="C1176" s="16" t="n">
        <f aca="false">Report!U1804</f>
        <v>4886.4</v>
      </c>
      <c r="D1176" s="1" t="str">
        <f aca="false">Report!X1804</f>
        <v>NF 15237 ELLEN</v>
      </c>
    </row>
    <row r="1177" customFormat="false" ht="12.75" hidden="false" customHeight="true" outlineLevel="0" collapsed="false">
      <c r="A1177" s="15" t="n">
        <f aca="false">Report!C1805</f>
        <v>46273</v>
      </c>
      <c r="B1177" s="1" t="str">
        <f aca="false">Report!E1805</f>
        <v>NOVA FRIOS COMERCIO ATACADISTA DE LATICINIOS LTDA</v>
      </c>
      <c r="C1177" s="16" t="n">
        <f aca="false">Report!U1805</f>
        <v>133.5</v>
      </c>
      <c r="D1177" s="1" t="str">
        <f aca="false">Report!X1805</f>
        <v>NF 4523 ELLEN</v>
      </c>
    </row>
    <row r="1178" customFormat="false" ht="12.75" hidden="false" customHeight="true" outlineLevel="0" collapsed="false">
      <c r="A1178" s="15" t="n">
        <f aca="false">Report!C1806</f>
        <v>46273</v>
      </c>
      <c r="B1178" s="1" t="str">
        <f aca="false">Report!E1806</f>
        <v>J W N DOS SANTOS</v>
      </c>
      <c r="C1178" s="16" t="n">
        <f aca="false">Report!U1806</f>
        <v>177.5</v>
      </c>
      <c r="D1178" s="1" t="str">
        <f aca="false">Report!X1806</f>
        <v>NF 427 ELLEN</v>
      </c>
    </row>
    <row r="1179" customFormat="false" ht="12.75" hidden="false" customHeight="true" outlineLevel="0" collapsed="false">
      <c r="A1179" s="15" t="n">
        <f aca="false">Report!C1807</f>
        <v>46274</v>
      </c>
      <c r="B1179" s="1" t="str">
        <f aca="false">Report!E1807</f>
        <v>DISTRIBUIDORA LOPES LTDA</v>
      </c>
      <c r="C1179" s="16" t="n">
        <f aca="false">Report!U1807</f>
        <v>1279.58</v>
      </c>
      <c r="D1179" s="1" t="str">
        <f aca="false">Report!X1807</f>
        <v>NF 1709601 ELLEN</v>
      </c>
    </row>
    <row r="1180" customFormat="false" ht="12.75" hidden="false" customHeight="true" outlineLevel="0" collapsed="false">
      <c r="A1180" s="15" t="n">
        <f aca="false">Report!C1808</f>
        <v>46274</v>
      </c>
      <c r="B1180" s="1" t="str">
        <f aca="false">Report!E1808</f>
        <v>RISADINHA LTDA</v>
      </c>
      <c r="C1180" s="16" t="n">
        <f aca="false">Report!U1808</f>
        <v>830.13</v>
      </c>
      <c r="D1180" s="1" t="str">
        <f aca="false">Report!X1808</f>
        <v>NF 668739 ELLEN</v>
      </c>
    </row>
    <row r="1181" customFormat="false" ht="12.75" hidden="false" customHeight="true" outlineLevel="0" collapsed="false">
      <c r="A1181" s="15" t="n">
        <f aca="false">Report!C1809</f>
        <v>46274</v>
      </c>
      <c r="B1181" s="1" t="str">
        <f aca="false">Report!E1809</f>
        <v>EMPRESA BRASILEIRA DE DISTRIBUICAO LTDA</v>
      </c>
      <c r="C1181" s="16" t="n">
        <f aca="false">Report!U1809</f>
        <v>1154.65</v>
      </c>
      <c r="D1181" s="1" t="str">
        <f aca="false">Report!X1809</f>
        <v>NF 2310769 ELLEN</v>
      </c>
    </row>
    <row r="1182" customFormat="false" ht="12.75" hidden="false" customHeight="true" outlineLevel="0" collapsed="false">
      <c r="A1182" s="15" t="n">
        <f aca="false">Report!C1810</f>
        <v>46274</v>
      </c>
      <c r="B1182" s="1" t="str">
        <f aca="false">Report!E1810</f>
        <v>BRASIL NORTE BEBIDAS S/A</v>
      </c>
      <c r="C1182" s="16" t="n">
        <f aca="false">Report!U1810</f>
        <v>264.36</v>
      </c>
      <c r="D1182" s="1" t="str">
        <f aca="false">Report!X1810</f>
        <v>NF 1263938 ELLEN</v>
      </c>
    </row>
    <row r="1183" customFormat="false" ht="12.75" hidden="false" customHeight="true" outlineLevel="0" collapsed="false">
      <c r="A1183" s="15" t="n">
        <f aca="false">Report!C1811</f>
        <v>46274</v>
      </c>
      <c r="B1183" s="1" t="str">
        <f aca="false">Report!E1811</f>
        <v>BRASIL NORTE BEBIDAS S/A</v>
      </c>
      <c r="C1183" s="16" t="n">
        <f aca="false">Report!U1811</f>
        <v>3257.14</v>
      </c>
      <c r="D1183" s="1" t="str">
        <f aca="false">Report!X1811</f>
        <v>NF 2007955 ELLEN</v>
      </c>
    </row>
    <row r="1184" customFormat="false" ht="12.75" hidden="false" customHeight="true" outlineLevel="0" collapsed="false">
      <c r="A1184" s="15" t="n">
        <f aca="false">Report!C1812</f>
        <v>46274</v>
      </c>
      <c r="B1184" s="1" t="str">
        <f aca="false">Report!E1812</f>
        <v>FALCAO INDUSTRIA DE ALIMENTOS LTDA</v>
      </c>
      <c r="C1184" s="16" t="n">
        <f aca="false">Report!U1812</f>
        <v>2752.16</v>
      </c>
      <c r="D1184" s="1" t="str">
        <f aca="false">Report!X1812</f>
        <v>NF 33028 ELLEN</v>
      </c>
    </row>
    <row r="1185" customFormat="false" ht="12.75" hidden="false" customHeight="true" outlineLevel="0" collapsed="false">
      <c r="A1185" s="15" t="n">
        <f aca="false">Report!C1813</f>
        <v>46274</v>
      </c>
      <c r="B1185" s="1" t="str">
        <f aca="false">Report!E1813</f>
        <v>OESA COMERCIO E REPRESENTACOES S/A</v>
      </c>
      <c r="C1185" s="16" t="n">
        <f aca="false">Report!U1813</f>
        <v>1510.33</v>
      </c>
      <c r="D1185" s="1" t="str">
        <f aca="false">Report!X1813</f>
        <v>NF 447609 ELLEN</v>
      </c>
    </row>
    <row r="1186" customFormat="false" ht="12.75" hidden="false" customHeight="true" outlineLevel="0" collapsed="false">
      <c r="A1186" s="15" t="n">
        <f aca="false">Report!C1814</f>
        <v>46274</v>
      </c>
      <c r="B1186" s="1" t="str">
        <f aca="false">Report!E1814</f>
        <v>FENNIX BRASIL DISTRIBUIDORA DE PRODUTOS</v>
      </c>
      <c r="C1186" s="16" t="n">
        <f aca="false">Report!U1814</f>
        <v>679.16</v>
      </c>
      <c r="D1186" s="1" t="str">
        <f aca="false">Report!X1814</f>
        <v>NF 319020 ELLEN</v>
      </c>
    </row>
    <row r="1187" customFormat="false" ht="12.75" hidden="false" customHeight="true" outlineLevel="0" collapsed="false">
      <c r="A1187" s="15" t="n">
        <f aca="false">Report!C1815</f>
        <v>46274</v>
      </c>
      <c r="B1187" s="1" t="str">
        <f aca="false">Report!E1815</f>
        <v>DUNORTE DISTRIBUIDORA DE PRODUTOS DE CONSUMO LTDA</v>
      </c>
      <c r="C1187" s="16" t="n">
        <f aca="false">Report!U1815</f>
        <v>733.77</v>
      </c>
      <c r="D1187" s="1" t="str">
        <f aca="false">Report!X1815</f>
        <v>NF 3242273 ELLEN</v>
      </c>
    </row>
    <row r="1188" customFormat="false" ht="12.75" hidden="false" customHeight="true" outlineLevel="0" collapsed="false">
      <c r="A1188" s="15" t="n">
        <f aca="false">Report!C1816</f>
        <v>46274</v>
      </c>
      <c r="B1188" s="1" t="str">
        <f aca="false">Report!E1816</f>
        <v>BONNA VITTA INDUSTRIA E COMERCIO LTDA.</v>
      </c>
      <c r="C1188" s="16" t="n">
        <f aca="false">Report!U1816</f>
        <v>938.06</v>
      </c>
      <c r="D1188" s="1" t="str">
        <f aca="false">Report!X1816</f>
        <v>NF 4363 ELLEN</v>
      </c>
    </row>
    <row r="1189" customFormat="false" ht="12.75" hidden="false" customHeight="true" outlineLevel="0" collapsed="false">
      <c r="A1189" s="15" t="n">
        <f aca="false">Report!C1817</f>
        <v>46274</v>
      </c>
      <c r="B1189" s="1" t="str">
        <f aca="false">Report!E1817</f>
        <v>NSB COMERCIO ATACADISTA E VAREJISTA DE P</v>
      </c>
      <c r="C1189" s="16" t="n">
        <f aca="false">Report!U1817</f>
        <v>260.83</v>
      </c>
      <c r="D1189" s="1" t="str">
        <f aca="false">Report!X1817</f>
        <v>NF 8180 ELLEN</v>
      </c>
    </row>
    <row r="1190" customFormat="false" ht="12.75" hidden="false" customHeight="true" outlineLevel="0" collapsed="false">
      <c r="A1190" s="15" t="n">
        <f aca="false">Report!C1818</f>
        <v>46274</v>
      </c>
      <c r="B1190" s="1" t="str">
        <f aca="false">Report!E1818</f>
        <v>ADF DISTRIBUIDORA DE BEBIDAS LTDA</v>
      </c>
      <c r="C1190" s="16" t="n">
        <f aca="false">Report!U1818</f>
        <v>229.85</v>
      </c>
      <c r="D1190" s="1" t="str">
        <f aca="false">Report!X1818</f>
        <v>NF 491629 ELLEN</v>
      </c>
    </row>
    <row r="1191" customFormat="false" ht="12.75" hidden="false" customHeight="true" outlineLevel="0" collapsed="false">
      <c r="A1191" s="15" t="n">
        <f aca="false">Report!C1819</f>
        <v>46275</v>
      </c>
      <c r="B1191" s="1" t="str">
        <f aca="false">Report!E1819</f>
        <v>FUNNY PET DISTRIBUIDORA DE ALIMENTOS PAR</v>
      </c>
      <c r="C1191" s="16" t="n">
        <f aca="false">Report!U1819</f>
        <v>128.85</v>
      </c>
      <c r="D1191" s="1" t="str">
        <f aca="false">Report!X1819</f>
        <v>NF 20440 ELLEN</v>
      </c>
    </row>
    <row r="1192" customFormat="false" ht="12.75" hidden="false" customHeight="true" outlineLevel="0" collapsed="false">
      <c r="A1192" s="15" t="n">
        <f aca="false">Report!C1823</f>
        <v>46275</v>
      </c>
      <c r="B1192" s="1" t="str">
        <f aca="false">Report!E1823</f>
        <v>DISTRIBUIDORA LOPES LTDA</v>
      </c>
      <c r="C1192" s="16" t="n">
        <f aca="false">Report!U1823</f>
        <v>692.26</v>
      </c>
      <c r="D1192" s="1" t="str">
        <f aca="false">Report!X1823</f>
        <v>NF 1710665 ELLEN</v>
      </c>
    </row>
    <row r="1193" customFormat="false" ht="12.75" hidden="false" customHeight="true" outlineLevel="0" collapsed="false">
      <c r="A1193" s="15" t="n">
        <f aca="false">Report!C1824</f>
        <v>46275</v>
      </c>
      <c r="B1193" s="1" t="str">
        <f aca="false">Report!E1824</f>
        <v>AGM COMERCIO E DISTRIBUIDORA DE MATERIAS DE PERFUMARIA E LIMPEZA LTDA</v>
      </c>
      <c r="C1193" s="16" t="n">
        <f aca="false">Report!U1824</f>
        <v>2153.25</v>
      </c>
      <c r="D1193" s="1" t="str">
        <f aca="false">Report!X1824</f>
        <v>NF 163912 ELLEN</v>
      </c>
    </row>
    <row r="1194" customFormat="false" ht="12.75" hidden="false" customHeight="true" outlineLevel="0" collapsed="false">
      <c r="A1194" s="15" t="n">
        <f aca="false">Report!C1825</f>
        <v>46275</v>
      </c>
      <c r="B1194" s="1" t="str">
        <f aca="false">Report!E1825</f>
        <v>ATACADAO S.A.</v>
      </c>
      <c r="C1194" s="16" t="n">
        <f aca="false">Report!U1825</f>
        <v>561.84</v>
      </c>
      <c r="D1194" s="1" t="str">
        <f aca="false">Report!X1825</f>
        <v>NF 1919900 ELLEN</v>
      </c>
    </row>
    <row r="1195" customFormat="false" ht="12.75" hidden="false" customHeight="true" outlineLevel="0" collapsed="false">
      <c r="A1195" s="15" t="n">
        <f aca="false">Report!C1826</f>
        <v>46275</v>
      </c>
      <c r="B1195" s="1" t="str">
        <f aca="false">Report!E1826</f>
        <v>TAPAJOS COM DE PERFUMARIA COSMETICOS E G</v>
      </c>
      <c r="C1195" s="16" t="n">
        <f aca="false">Report!U1826</f>
        <v>793.81</v>
      </c>
      <c r="D1195" s="1" t="str">
        <f aca="false">Report!X1826</f>
        <v>NF 586415 ELLEN</v>
      </c>
    </row>
    <row r="1196" customFormat="false" ht="12.75" hidden="false" customHeight="true" outlineLevel="0" collapsed="false">
      <c r="A1196" s="15" t="n">
        <f aca="false">Report!C1827</f>
        <v>46275</v>
      </c>
      <c r="B1196" s="1" t="str">
        <f aca="false">Report!E1827</f>
        <v>TRES CORACOES ALIMENTOS S.A.</v>
      </c>
      <c r="C1196" s="16" t="n">
        <f aca="false">Report!U1827</f>
        <v>182.8</v>
      </c>
      <c r="D1196" s="1" t="str">
        <f aca="false">Report!X1827</f>
        <v>NF 357892 ELLEN</v>
      </c>
    </row>
    <row r="1197" customFormat="false" ht="12.75" hidden="false" customHeight="true" outlineLevel="0" collapsed="false">
      <c r="A1197" s="15" t="n">
        <f aca="false">Report!C1830</f>
        <v>46275</v>
      </c>
      <c r="B1197" s="1" t="str">
        <f aca="false">Report!E1830</f>
        <v>MARE DISTRIBUIDORA DE BEBIDAS E DE PRODUTOS ALIMENTICIOS LTDA</v>
      </c>
      <c r="C1197" s="16" t="n">
        <f aca="false">Report!U1830</f>
        <v>1515.2</v>
      </c>
      <c r="D1197" s="1" t="str">
        <f aca="false">Report!X1830</f>
        <v>NF 1430146 ELLEN</v>
      </c>
    </row>
    <row r="1198" customFormat="false" ht="12.75" hidden="false" customHeight="true" outlineLevel="0" collapsed="false">
      <c r="A1198" s="15" t="n">
        <f aca="false">Report!C1832</f>
        <v>46275</v>
      </c>
      <c r="B1198" s="1" t="str">
        <f aca="false">Report!E1832</f>
        <v>AMAZON MILK IND. E COMERCIO LTDA</v>
      </c>
      <c r="C1198" s="16" t="n">
        <f aca="false">Report!U1832</f>
        <v>805.4</v>
      </c>
      <c r="D1198" s="1" t="str">
        <f aca="false">Report!X1832</f>
        <v>NF 206697 ELLEN</v>
      </c>
    </row>
    <row r="1199" customFormat="false" ht="12.75" hidden="false" customHeight="true" outlineLevel="0" collapsed="false">
      <c r="A1199" s="15" t="n">
        <f aca="false">Report!C1834</f>
        <v>46275</v>
      </c>
      <c r="B1199" s="1" t="str">
        <f aca="false">Report!E1834</f>
        <v>T A DE MATTOS COMIM EIRELI</v>
      </c>
      <c r="C1199" s="16" t="n">
        <f aca="false">Report!U1834</f>
        <v>228</v>
      </c>
      <c r="D1199" s="1" t="str">
        <f aca="false">Report!X1834</f>
        <v>NF 10951 ELLEN</v>
      </c>
    </row>
    <row r="1200" customFormat="false" ht="12.75" hidden="false" customHeight="true" outlineLevel="0" collapsed="false">
      <c r="A1200" s="15" t="n">
        <f aca="false">Report!C1835</f>
        <v>46275</v>
      </c>
      <c r="B1200" s="1" t="str">
        <f aca="false">Report!E1835</f>
        <v>J. S. MOREIRA ALVES LTDA</v>
      </c>
      <c r="C1200" s="16" t="n">
        <f aca="false">Report!U1835</f>
        <v>190</v>
      </c>
      <c r="D1200" s="1" t="str">
        <f aca="false">Report!X1835</f>
        <v>NF 2859 ELLEN</v>
      </c>
    </row>
    <row r="1201" customFormat="false" ht="12.75" hidden="false" customHeight="true" outlineLevel="0" collapsed="false">
      <c r="A1201" s="15" t="n">
        <f aca="false">Report!C1836</f>
        <v>46275</v>
      </c>
      <c r="B1201" s="1" t="str">
        <f aca="false">Report!E1836</f>
        <v>BRAGA TABACARIA EIRELI ME</v>
      </c>
      <c r="C1201" s="16" t="n">
        <f aca="false">Report!U1836</f>
        <v>1063.84</v>
      </c>
      <c r="D1201" s="1" t="str">
        <f aca="false">Report!X1836</f>
        <v>NF 20104 ELLEN</v>
      </c>
    </row>
    <row r="1202" customFormat="false" ht="12.75" hidden="false" customHeight="true" outlineLevel="0" collapsed="false">
      <c r="A1202" s="15" t="n">
        <f aca="false">Report!C1837</f>
        <v>46275</v>
      </c>
      <c r="B1202" s="1" t="str">
        <f aca="false">Report!E1837</f>
        <v>VICTORIA COMERCIO INTERNACIONAL DE ALIME</v>
      </c>
      <c r="C1202" s="16" t="n">
        <f aca="false">Report!U1837</f>
        <v>1213.95</v>
      </c>
      <c r="D1202" s="1" t="str">
        <f aca="false">Report!X1837</f>
        <v>NF 13070 ELLEN</v>
      </c>
    </row>
    <row r="1203" customFormat="false" ht="12.75" hidden="false" customHeight="true" outlineLevel="0" collapsed="false">
      <c r="A1203" s="15" t="n">
        <f aca="false">Report!C1838</f>
        <v>46275</v>
      </c>
      <c r="B1203" s="1" t="str">
        <f aca="false">Report!E1838</f>
        <v>ALEXSANDRO BEZERRA DA SILVA</v>
      </c>
      <c r="C1203" s="16" t="n">
        <f aca="false">Report!U1838</f>
        <v>1012.43</v>
      </c>
      <c r="D1203" s="1" t="str">
        <f aca="false">Report!X1838</f>
        <v>NF 299 ELLEN</v>
      </c>
    </row>
    <row r="1204" customFormat="false" ht="12.75" hidden="false" customHeight="true" outlineLevel="0" collapsed="false">
      <c r="A1204" s="15" t="n">
        <f aca="false">Report!C1839</f>
        <v>46275</v>
      </c>
      <c r="B1204" s="1" t="str">
        <f aca="false">Report!E1839</f>
        <v>JAB COMERCIO DE PRODUTOS ALIMENTICIOS LT</v>
      </c>
      <c r="C1204" s="16" t="n">
        <f aca="false">Report!U1839</f>
        <v>125</v>
      </c>
      <c r="D1204" s="1" t="str">
        <f aca="false">Report!X1839</f>
        <v>NF 3867 ELLEN</v>
      </c>
    </row>
    <row r="1205" customFormat="false" ht="12.75" hidden="false" customHeight="true" outlineLevel="0" collapsed="false">
      <c r="A1205" s="15" t="n">
        <f aca="false">Report!C1840</f>
        <v>46275</v>
      </c>
      <c r="B1205" s="1" t="str">
        <f aca="false">Report!E1840</f>
        <v>ADRIANO FEITOSA OLIVEIRA LTDA</v>
      </c>
      <c r="C1205" s="16" t="n">
        <f aca="false">Report!U1840</f>
        <v>1045</v>
      </c>
      <c r="D1205" s="1" t="str">
        <f aca="false">Report!X1840</f>
        <v>NF 378 ELLEN</v>
      </c>
    </row>
    <row r="1206" customFormat="false" ht="12.75" hidden="false" customHeight="true" outlineLevel="0" collapsed="false">
      <c r="A1206" s="15" t="n">
        <f aca="false">Report!C1841</f>
        <v>46275</v>
      </c>
      <c r="B1206" s="1" t="str">
        <f aca="false">Report!E1841</f>
        <v>MAXFRI DISTRIUIDORA LTDA</v>
      </c>
      <c r="C1206" s="16" t="n">
        <f aca="false">Report!U1841</f>
        <v>4057.6</v>
      </c>
      <c r="D1206" s="1" t="str">
        <f aca="false">Report!X1841</f>
        <v>NF 15256 ELLEN</v>
      </c>
    </row>
    <row r="1207" customFormat="false" ht="12.75" hidden="false" customHeight="true" outlineLevel="0" collapsed="false">
      <c r="A1207" s="15" t="n">
        <f aca="false">Report!C1842</f>
        <v>46276</v>
      </c>
      <c r="B1207" s="1" t="str">
        <f aca="false">Report!E1842</f>
        <v>SOUZA CRUZ LTDA.</v>
      </c>
      <c r="C1207" s="16" t="n">
        <f aca="false">Report!U1842</f>
        <v>5894.1</v>
      </c>
      <c r="D1207" s="1" t="str">
        <f aca="false">Report!X1842</f>
        <v>NF 570907 ELLEN</v>
      </c>
    </row>
    <row r="1208" customFormat="false" ht="12.75" hidden="false" customHeight="true" outlineLevel="0" collapsed="false">
      <c r="A1208" s="15" t="n">
        <f aca="false">Report!C1843</f>
        <v>46276</v>
      </c>
      <c r="B1208" s="1" t="str">
        <f aca="false">Report!E1843</f>
        <v>DA FRUTA DISTRIBUIDORA LTDA</v>
      </c>
      <c r="C1208" s="16" t="n">
        <f aca="false">Report!U1843</f>
        <v>624.41</v>
      </c>
      <c r="D1208" s="1" t="str">
        <f aca="false">Report!X1843</f>
        <v>NF 197945 ELLEN</v>
      </c>
    </row>
    <row r="1209" customFormat="false" ht="12.75" hidden="false" customHeight="true" outlineLevel="0" collapsed="false">
      <c r="A1209" s="15" t="n">
        <f aca="false">Report!C1844</f>
        <v>46276</v>
      </c>
      <c r="B1209" s="1" t="str">
        <f aca="false">Report!E1844</f>
        <v>DURAES DISTRIBUIDORA DE ESTIVAS LTDA</v>
      </c>
      <c r="C1209" s="16" t="n">
        <f aca="false">Report!U1844</f>
        <v>610.2</v>
      </c>
      <c r="D1209" s="1" t="str">
        <f aca="false">Report!X1844</f>
        <v>NF 656817 ELLEN</v>
      </c>
    </row>
    <row r="1210" customFormat="false" ht="12.75" hidden="false" customHeight="true" outlineLevel="0" collapsed="false">
      <c r="A1210" s="15" t="n">
        <f aca="false">Report!C1845</f>
        <v>46276</v>
      </c>
      <c r="B1210" s="1" t="str">
        <f aca="false">Report!E1845</f>
        <v>FEMAR IND E COM DE BEBIDAS LTDA</v>
      </c>
      <c r="C1210" s="16" t="n">
        <f aca="false">Report!U1845</f>
        <v>247.55</v>
      </c>
      <c r="D1210" s="1" t="str">
        <f aca="false">Report!X1845</f>
        <v>NF 58376 ELLEN</v>
      </c>
    </row>
    <row r="1211" customFormat="false" ht="12.75" hidden="false" customHeight="true" outlineLevel="0" collapsed="false">
      <c r="A1211" s="15" t="n">
        <f aca="false">Report!C1846</f>
        <v>46276</v>
      </c>
      <c r="B1211" s="1" t="str">
        <f aca="false">Report!E1846</f>
        <v>DISTRIBUIDORA LOPES LTDA</v>
      </c>
      <c r="C1211" s="16" t="n">
        <f aca="false">Report!U1846</f>
        <v>832.2</v>
      </c>
      <c r="D1211" s="1" t="str">
        <f aca="false">Report!X1846</f>
        <v>NF 1724730 ELLEN</v>
      </c>
    </row>
    <row r="1212" customFormat="false" ht="12.75" hidden="false" customHeight="true" outlineLevel="0" collapsed="false">
      <c r="A1212" s="15" t="n">
        <f aca="false">Report!C1847</f>
        <v>46276</v>
      </c>
      <c r="B1212" s="1" t="str">
        <f aca="false">Report!E1847</f>
        <v>J G COMERCIO DE PRODUTOS ALIMENTICIOS LTDA</v>
      </c>
      <c r="C1212" s="16" t="n">
        <f aca="false">Report!U1847</f>
        <v>474.45</v>
      </c>
      <c r="D1212" s="1" t="str">
        <f aca="false">Report!X1847</f>
        <v>NF 401423 ELLEN</v>
      </c>
    </row>
    <row r="1213" customFormat="false" ht="12.75" hidden="false" customHeight="true" outlineLevel="0" collapsed="false">
      <c r="A1213" s="15" t="n">
        <f aca="false">Report!C1849</f>
        <v>46277</v>
      </c>
      <c r="B1213" s="1" t="str">
        <f aca="false">Report!E1849</f>
        <v>DISTRIBUIDORA FARIAS LTDA.</v>
      </c>
      <c r="C1213" s="16" t="n">
        <f aca="false">Report!U1849</f>
        <v>706.55</v>
      </c>
      <c r="D1213" s="1" t="str">
        <f aca="false">Report!X1849</f>
        <v>NF 689222 ELLEN</v>
      </c>
    </row>
    <row r="1214" customFormat="false" ht="12.75" hidden="false" customHeight="true" outlineLevel="0" collapsed="false">
      <c r="A1214" s="15" t="n">
        <f aca="false">Report!C1850</f>
        <v>46277</v>
      </c>
      <c r="B1214" s="1" t="str">
        <f aca="false">Report!E1850</f>
        <v>DISTRIBUIDORA FARIAS LTDA.</v>
      </c>
      <c r="C1214" s="16" t="n">
        <f aca="false">Report!U1850</f>
        <v>1422.68</v>
      </c>
      <c r="D1214" s="1" t="str">
        <f aca="false">Report!X1850</f>
        <v>NF 689224 ELLEN</v>
      </c>
    </row>
    <row r="1215" customFormat="false" ht="12.75" hidden="false" customHeight="true" outlineLevel="0" collapsed="false">
      <c r="A1215" s="15" t="n">
        <f aca="false">Report!C1851</f>
        <v>46277</v>
      </c>
      <c r="B1215" s="1" t="str">
        <f aca="false">Report!E1851</f>
        <v>TAPAJOS COM DE PERFUMARIA COSMETICOS E G</v>
      </c>
      <c r="C1215" s="16" t="n">
        <f aca="false">Report!U1851</f>
        <v>271.46</v>
      </c>
      <c r="D1215" s="1" t="str">
        <f aca="false">Report!X1851</f>
        <v>NF 588254 ELLEN</v>
      </c>
    </row>
    <row r="1216" customFormat="false" ht="12.75" hidden="false" customHeight="true" outlineLevel="0" collapsed="false">
      <c r="A1216" s="15" t="n">
        <f aca="false">Report!C1852</f>
        <v>46277</v>
      </c>
      <c r="B1216" s="1" t="str">
        <f aca="false">Report!E1852</f>
        <v>ADRIANA DISTRIBUIDORA DE PRODUTOS ALIMEN</v>
      </c>
      <c r="C1216" s="16" t="n">
        <f aca="false">Report!U1852</f>
        <v>365</v>
      </c>
      <c r="D1216" s="1" t="str">
        <f aca="false">Report!X1852</f>
        <v>NF 894544 ELLEN</v>
      </c>
    </row>
    <row r="1217" customFormat="false" ht="12.75" hidden="false" customHeight="true" outlineLevel="0" collapsed="false">
      <c r="A1217" s="15" t="n">
        <f aca="false">Report!C1853</f>
        <v>46279</v>
      </c>
      <c r="B1217" s="1" t="str">
        <f aca="false">Report!E1853</f>
        <v>MAXPEL COMERCIAL LTDA</v>
      </c>
      <c r="C1217" s="16" t="n">
        <f aca="false">Report!U1853</f>
        <v>983.77</v>
      </c>
      <c r="D1217" s="1" t="str">
        <f aca="false">Report!X1853</f>
        <v>NFS 319296/319297 - ELLEN</v>
      </c>
    </row>
    <row r="1218" customFormat="false" ht="12.75" hidden="false" customHeight="true" outlineLevel="0" collapsed="false">
      <c r="A1218" s="15" t="n">
        <f aca="false">Report!C1854</f>
        <v>46279</v>
      </c>
      <c r="B1218" s="1" t="str">
        <f aca="false">Report!E1854</f>
        <v>SB COMERCIO LTDA</v>
      </c>
      <c r="C1218" s="16" t="n">
        <f aca="false">Report!U1854</f>
        <v>521.58</v>
      </c>
      <c r="D1218" s="1" t="str">
        <f aca="false">Report!X1854</f>
        <v>NF 1966312 ELLEN</v>
      </c>
    </row>
    <row r="1219" customFormat="false" ht="12.75" hidden="false" customHeight="true" outlineLevel="0" collapsed="false">
      <c r="A1219" s="15" t="n">
        <f aca="false">Report!C1855</f>
        <v>46279</v>
      </c>
      <c r="B1219" s="1" t="str">
        <f aca="false">Report!E1855</f>
        <v>NESTLÉ BRASIL LTDA.</v>
      </c>
      <c r="C1219" s="16" t="n">
        <f aca="false">Report!U1855</f>
        <v>1268.78</v>
      </c>
      <c r="D1219" s="1" t="str">
        <f aca="false">Report!X1855</f>
        <v>NF 1442200 ELLEN</v>
      </c>
    </row>
    <row r="1220" customFormat="false" ht="12.75" hidden="false" customHeight="true" outlineLevel="0" collapsed="false">
      <c r="A1220" s="15" t="n">
        <f aca="false">Report!C1856</f>
        <v>46279</v>
      </c>
      <c r="B1220" s="1" t="str">
        <f aca="false">Report!E1856</f>
        <v>NESTLÉ BRASIL LTDA.</v>
      </c>
      <c r="C1220" s="16" t="n">
        <f aca="false">Report!U1856</f>
        <v>2477.62</v>
      </c>
      <c r="D1220" s="1" t="str">
        <f aca="false">Report!X1856</f>
        <v>NF 1442668 ELLEN</v>
      </c>
    </row>
    <row r="1221" customFormat="false" ht="12.75" hidden="false" customHeight="true" outlineLevel="0" collapsed="false">
      <c r="A1221" s="15" t="n">
        <f aca="false">Report!C1858</f>
        <v>46279</v>
      </c>
      <c r="B1221" s="1" t="str">
        <f aca="false">Report!E1858</f>
        <v>MARTINS COM SERV DISTR SA</v>
      </c>
      <c r="C1221" s="16" t="n">
        <f aca="false">Report!U1858</f>
        <v>176.58</v>
      </c>
      <c r="D1221" s="1" t="str">
        <f aca="false">Report!X1858</f>
        <v>NF'S 1796899/1796900 ELLEN</v>
      </c>
    </row>
    <row r="1222" customFormat="false" ht="12.75" hidden="false" customHeight="true" outlineLevel="0" collapsed="false">
      <c r="A1222" s="15" t="n">
        <f aca="false">Report!C1859</f>
        <v>46279</v>
      </c>
      <c r="B1222" s="1" t="str">
        <f aca="false">Report!E1859</f>
        <v>CRBS S/A</v>
      </c>
      <c r="C1222" s="16" t="n">
        <f aca="false">Report!U1859</f>
        <v>489.74</v>
      </c>
      <c r="D1222" s="1" t="str">
        <f aca="false">Report!X1859</f>
        <v>NF 993555 ELLEN</v>
      </c>
    </row>
    <row r="1223" customFormat="false" ht="12.75" hidden="false" customHeight="true" outlineLevel="0" collapsed="false">
      <c r="A1223" s="15" t="n">
        <f aca="false">Report!C1862</f>
        <v>46280</v>
      </c>
      <c r="B1223" s="1" t="str">
        <f aca="false">Report!E1862</f>
        <v>ROCHA E PAIVA LTDA</v>
      </c>
      <c r="C1223" s="16" t="n">
        <f aca="false">Report!U1862</f>
        <v>584.64</v>
      </c>
      <c r="D1223" s="1" t="str">
        <f aca="false">Report!X1862</f>
        <v>NF 211355 ELLEN</v>
      </c>
    </row>
    <row r="1224" customFormat="false" ht="12.75" hidden="false" customHeight="true" outlineLevel="0" collapsed="false">
      <c r="A1224" s="15" t="n">
        <f aca="false">Report!C1863</f>
        <v>46280</v>
      </c>
      <c r="B1224" s="1" t="str">
        <f aca="false">Report!E1863</f>
        <v>J. A. F. DE LIMA</v>
      </c>
      <c r="C1224" s="16" t="n">
        <f aca="false">Report!U1863</f>
        <v>645.71</v>
      </c>
      <c r="D1224" s="1" t="str">
        <f aca="false">Report!X1863</f>
        <v>NF 160332 ELLEN</v>
      </c>
    </row>
    <row r="1225" customFormat="false" ht="12.75" hidden="false" customHeight="true" outlineLevel="0" collapsed="false">
      <c r="A1225" s="15" t="n">
        <f aca="false">Report!C1864</f>
        <v>46280</v>
      </c>
      <c r="B1225" s="1" t="str">
        <f aca="false">Report!E1864</f>
        <v>SUPER CANCUN COMERCIO DE PRODUTOS ALIMEN</v>
      </c>
      <c r="C1225" s="16" t="n">
        <f aca="false">Report!U1864</f>
        <v>548.18</v>
      </c>
      <c r="D1225" s="1" t="str">
        <f aca="false">Report!X1864</f>
        <v>NF 265359 ELLEN</v>
      </c>
    </row>
    <row r="1226" customFormat="false" ht="12.75" hidden="false" customHeight="true" outlineLevel="0" collapsed="false">
      <c r="A1226" s="15" t="n">
        <f aca="false">Report!C1865</f>
        <v>46280</v>
      </c>
      <c r="B1226" s="1" t="str">
        <f aca="false">Report!E1865</f>
        <v>CB COMERCIO E DISTRIBUIDORA DE ALIMENTOS</v>
      </c>
      <c r="C1226" s="16" t="n">
        <f aca="false">Report!U1865</f>
        <v>843.65</v>
      </c>
      <c r="D1226" s="1" t="str">
        <f aca="false">Report!X1865</f>
        <v>NF 866347 ELLEN</v>
      </c>
    </row>
    <row r="1227" customFormat="false" ht="12.75" hidden="false" customHeight="true" outlineLevel="0" collapsed="false">
      <c r="A1227" s="15" t="n">
        <f aca="false">Report!C1866</f>
        <v>46280</v>
      </c>
      <c r="B1227" s="1" t="str">
        <f aca="false">Report!E1866</f>
        <v>EDMARA COMERCIO DE HIGIENE PESSOAL LTDA</v>
      </c>
      <c r="C1227" s="16" t="n">
        <f aca="false">Report!U1866</f>
        <v>873.08</v>
      </c>
      <c r="D1227" s="1" t="str">
        <f aca="false">Report!X1866</f>
        <v>NF 8744 ELLEN</v>
      </c>
    </row>
    <row r="1228" customFormat="false" ht="12.75" hidden="false" customHeight="true" outlineLevel="0" collapsed="false">
      <c r="A1228" s="15" t="n">
        <f aca="false">Report!C1867</f>
        <v>46280</v>
      </c>
      <c r="B1228" s="1" t="str">
        <f aca="false">Report!E1867</f>
        <v>ATACADAO S.A.</v>
      </c>
      <c r="C1228" s="16" t="n">
        <f aca="false">Report!U1867</f>
        <v>974.55</v>
      </c>
      <c r="D1228" s="1" t="str">
        <f aca="false">Report!X1867</f>
        <v>NF 1925382 ELLEN</v>
      </c>
    </row>
    <row r="1229" customFormat="false" ht="12.75" hidden="false" customHeight="true" outlineLevel="0" collapsed="false">
      <c r="A1229" s="15" t="n">
        <f aca="false">Report!C1868</f>
        <v>46280</v>
      </c>
      <c r="B1229" s="1" t="str">
        <f aca="false">Report!E1868</f>
        <v>VICTORIA COMERCIO INTERNACIONAL DE ALIME</v>
      </c>
      <c r="C1229" s="16" t="n">
        <f aca="false">Report!U1868</f>
        <v>410</v>
      </c>
      <c r="D1229" s="1" t="str">
        <f aca="false">Report!X1868</f>
        <v>NF 13095 ELLEN</v>
      </c>
    </row>
    <row r="1230" customFormat="false" ht="12.75" hidden="false" customHeight="true" outlineLevel="0" collapsed="false">
      <c r="A1230" s="15" t="n">
        <f aca="false">Report!C1869</f>
        <v>46280</v>
      </c>
      <c r="B1230" s="1" t="str">
        <f aca="false">Report!E1869</f>
        <v>BRASIL NORTE BEBIDAS S/A</v>
      </c>
      <c r="C1230" s="16" t="n">
        <f aca="false">Report!U1869</f>
        <v>1139.35</v>
      </c>
      <c r="D1230" s="1" t="str">
        <f aca="false">Report!X1869</f>
        <v>NF 1272321 ELLEN</v>
      </c>
    </row>
    <row r="1231" customFormat="false" ht="12.75" hidden="false" customHeight="true" outlineLevel="0" collapsed="false">
      <c r="A1231" s="15" t="n">
        <f aca="false">Report!C1870</f>
        <v>46280</v>
      </c>
      <c r="B1231" s="1" t="str">
        <f aca="false">Report!E1870</f>
        <v>BF COMERCIO DE ALIMENTOS REPRESENTACAO L</v>
      </c>
      <c r="C1231" s="16" t="n">
        <f aca="false">Report!U1870</f>
        <v>540.99</v>
      </c>
      <c r="D1231" s="1" t="str">
        <f aca="false">Report!X1870</f>
        <v>NF 21345 ELLEN</v>
      </c>
    </row>
    <row r="1232" customFormat="false" ht="12.75" hidden="false" customHeight="true" outlineLevel="0" collapsed="false">
      <c r="A1232" s="15" t="n">
        <f aca="false">Report!C1871</f>
        <v>46280</v>
      </c>
      <c r="B1232" s="1" t="str">
        <f aca="false">Report!E1871</f>
        <v>EDSON AGUIAR DE SOUZA</v>
      </c>
      <c r="C1232" s="16" t="n">
        <f aca="false">Report!U1871</f>
        <v>96</v>
      </c>
      <c r="D1232" s="1" t="str">
        <f aca="false">Report!X1871</f>
        <v>COMPRAS - CHEIRO-VERDE - ELLEN</v>
      </c>
    </row>
    <row r="1233" customFormat="false" ht="12.75" hidden="false" customHeight="true" outlineLevel="0" collapsed="false">
      <c r="A1233" s="15" t="n">
        <f aca="false">Report!C1872</f>
        <v>46280</v>
      </c>
      <c r="B1233" s="1" t="str">
        <f aca="false">Report!E1872</f>
        <v>EDSON AGUIAR DE SOUZA</v>
      </c>
      <c r="C1233" s="16" t="n">
        <f aca="false">Report!U1872</f>
        <v>166.5</v>
      </c>
      <c r="D1233" s="1" t="str">
        <f aca="false">Report!X1872</f>
        <v>COMPRAS - CHEIRO-VERDE - ELLEN</v>
      </c>
    </row>
    <row r="1234" customFormat="false" ht="12.75" hidden="false" customHeight="true" outlineLevel="0" collapsed="false">
      <c r="A1234" s="15" t="n">
        <f aca="false">Report!C1873</f>
        <v>46281</v>
      </c>
      <c r="B1234" s="1" t="str">
        <f aca="false">Report!E1873</f>
        <v>FUNNY PET DISTRIBUIDORA DE ALIMENTOS PAR</v>
      </c>
      <c r="C1234" s="16" t="n">
        <f aca="false">Report!U1873</f>
        <v>1501.38</v>
      </c>
      <c r="D1234" s="1" t="str">
        <f aca="false">Report!X1873</f>
        <v>NF 21189 ELLEN</v>
      </c>
    </row>
    <row r="1235" customFormat="false" ht="12.75" hidden="false" customHeight="true" outlineLevel="0" collapsed="false">
      <c r="A1235" s="15" t="n">
        <f aca="false">Report!C1874</f>
        <v>46281</v>
      </c>
      <c r="B1235" s="1" t="str">
        <f aca="false">Report!E1874</f>
        <v>RISADINHA LTDA</v>
      </c>
      <c r="C1235" s="16" t="n">
        <f aca="false">Report!U1874</f>
        <v>830.13</v>
      </c>
      <c r="D1235" s="1" t="str">
        <f aca="false">Report!X1874</f>
        <v>NF 668739 ELLEN</v>
      </c>
    </row>
    <row r="1236" customFormat="false" ht="12.75" hidden="false" customHeight="true" outlineLevel="0" collapsed="false">
      <c r="A1236" s="15" t="n">
        <f aca="false">Report!C1875</f>
        <v>46281</v>
      </c>
      <c r="B1236" s="1" t="str">
        <f aca="false">Report!E1875</f>
        <v>EMPRESA BRASILEIRA DE DISTRIBUICAO LTDA</v>
      </c>
      <c r="C1236" s="16" t="n">
        <f aca="false">Report!U1875</f>
        <v>1154.65</v>
      </c>
      <c r="D1236" s="1" t="str">
        <f aca="false">Report!X1875</f>
        <v>NF 2310769 ELLEN</v>
      </c>
    </row>
    <row r="1237" customFormat="false" ht="12.75" hidden="false" customHeight="true" outlineLevel="0" collapsed="false">
      <c r="A1237" s="15" t="n">
        <f aca="false">Report!C1877</f>
        <v>46281</v>
      </c>
      <c r="B1237" s="1" t="str">
        <f aca="false">Report!E1877</f>
        <v>OESA COMERCIO E REPRESENTACOES S/A</v>
      </c>
      <c r="C1237" s="16" t="n">
        <f aca="false">Report!U1877</f>
        <v>1510.34</v>
      </c>
      <c r="D1237" s="1" t="str">
        <f aca="false">Report!X1877</f>
        <v>NF 447609 ELLEN</v>
      </c>
    </row>
    <row r="1238" customFormat="false" ht="12.75" hidden="false" customHeight="true" outlineLevel="0" collapsed="false">
      <c r="A1238" s="15" t="n">
        <f aca="false">Report!C1878</f>
        <v>46281</v>
      </c>
      <c r="B1238" s="1" t="str">
        <f aca="false">Report!E1878</f>
        <v>FENNIX BRASIL DISTRIBUIDORA DE PRODUTOS</v>
      </c>
      <c r="C1238" s="16" t="n">
        <f aca="false">Report!U1878</f>
        <v>679.16</v>
      </c>
      <c r="D1238" s="1" t="str">
        <f aca="false">Report!X1878</f>
        <v>NF 319020 ELLEN</v>
      </c>
    </row>
    <row r="1239" customFormat="false" ht="12.75" hidden="false" customHeight="true" outlineLevel="0" collapsed="false">
      <c r="A1239" s="15" t="n">
        <f aca="false">Report!C1879</f>
        <v>46281</v>
      </c>
      <c r="B1239" s="1" t="str">
        <f aca="false">Report!E1879</f>
        <v>DUNORTE DISTRIBUIDORA DE PRODUTOS DE CONSUMO LTDA</v>
      </c>
      <c r="C1239" s="16" t="n">
        <f aca="false">Report!U1879</f>
        <v>733.77</v>
      </c>
      <c r="D1239" s="1" t="str">
        <f aca="false">Report!X1879</f>
        <v>NF 3242273 ELLEN</v>
      </c>
    </row>
    <row r="1240" customFormat="false" ht="12.75" hidden="false" customHeight="true" outlineLevel="0" collapsed="false">
      <c r="A1240" s="15" t="n">
        <f aca="false">Report!C1880</f>
        <v>46281</v>
      </c>
      <c r="B1240" s="1" t="str">
        <f aca="false">Report!E1880</f>
        <v>BONNA VITTA INDUSTRIA E COMERCIO LTDA.</v>
      </c>
      <c r="C1240" s="16" t="n">
        <f aca="false">Report!U1880</f>
        <v>278.1</v>
      </c>
      <c r="D1240" s="1" t="str">
        <f aca="false">Report!X1880</f>
        <v>NF 4884 ELLEN</v>
      </c>
    </row>
    <row r="1241" customFormat="false" ht="12.75" hidden="false" customHeight="true" outlineLevel="0" collapsed="false">
      <c r="A1241" s="15" t="n">
        <f aca="false">Report!C1881</f>
        <v>46281</v>
      </c>
      <c r="B1241" s="1" t="str">
        <f aca="false">Report!E1881</f>
        <v>BRF S A</v>
      </c>
      <c r="C1241" s="16" t="n">
        <f aca="false">Report!U1881</f>
        <v>2296</v>
      </c>
      <c r="D1241" s="1" t="str">
        <f aca="false">Report!X1881</f>
        <v>NF 1627324 ELLEN</v>
      </c>
    </row>
    <row r="1242" customFormat="false" ht="12.75" hidden="false" customHeight="true" outlineLevel="0" collapsed="false">
      <c r="A1242" s="15" t="n">
        <f aca="false">Report!C1882</f>
        <v>46282</v>
      </c>
      <c r="B1242" s="1" t="str">
        <f aca="false">Report!E1882</f>
        <v>OPPORTUNITY ALIMENTOS PARA ANIMAIS LTDA</v>
      </c>
      <c r="C1242" s="16" t="n">
        <f aca="false">Report!U1882</f>
        <v>685.15</v>
      </c>
      <c r="D1242" s="1" t="str">
        <f aca="false">Report!X1882</f>
        <v>NF 35161 ELLEN</v>
      </c>
    </row>
    <row r="1243" customFormat="false" ht="12.75" hidden="false" customHeight="true" outlineLevel="0" collapsed="false">
      <c r="A1243" s="15" t="n">
        <f aca="false">Report!C1883</f>
        <v>46282</v>
      </c>
      <c r="B1243" s="1" t="str">
        <f aca="false">Report!E1883</f>
        <v>TAPAJOS COM DE PERFUMARIA COSMETICOS E G</v>
      </c>
      <c r="C1243" s="16" t="n">
        <f aca="false">Report!U1883</f>
        <v>793.81</v>
      </c>
      <c r="D1243" s="1" t="str">
        <f aca="false">Report!X1883</f>
        <v>NF 586415 ELLEN</v>
      </c>
    </row>
    <row r="1244" customFormat="false" ht="12.75" hidden="false" customHeight="true" outlineLevel="0" collapsed="false">
      <c r="A1244" s="15" t="n">
        <f aca="false">Report!C1884</f>
        <v>46282</v>
      </c>
      <c r="B1244" s="1" t="str">
        <f aca="false">Report!E1884</f>
        <v>TRES CORACOES ALIMENTOS S.A.</v>
      </c>
      <c r="C1244" s="16" t="n">
        <f aca="false">Report!U1884</f>
        <v>182.82</v>
      </c>
      <c r="D1244" s="1" t="str">
        <f aca="false">Report!X1884</f>
        <v>NF 357892 ELLEN</v>
      </c>
    </row>
    <row r="1245" customFormat="false" ht="12.75" hidden="false" customHeight="true" outlineLevel="0" collapsed="false">
      <c r="A1245" s="15" t="n">
        <f aca="false">Report!C1885</f>
        <v>46282</v>
      </c>
      <c r="B1245" s="1" t="str">
        <f aca="false">Report!E1885</f>
        <v>AMAZON MILK IND. E COMERCIO LTDA</v>
      </c>
      <c r="C1245" s="16" t="n">
        <f aca="false">Report!U1885</f>
        <v>805.4</v>
      </c>
      <c r="D1245" s="1" t="str">
        <f aca="false">Report!X1885</f>
        <v>NF 206697 ELLEN</v>
      </c>
    </row>
    <row r="1246" customFormat="false" ht="12.75" hidden="false" customHeight="true" outlineLevel="0" collapsed="false">
      <c r="A1246" s="15" t="n">
        <f aca="false">Report!C1886</f>
        <v>46282</v>
      </c>
      <c r="B1246" s="1" t="str">
        <f aca="false">Report!E1886</f>
        <v>BRAGA TABACARIA EIRELI ME</v>
      </c>
      <c r="C1246" s="16" t="n">
        <f aca="false">Report!U1886</f>
        <v>1063.84</v>
      </c>
      <c r="D1246" s="1" t="str">
        <f aca="false">Report!X1886</f>
        <v>NF 20104 ELLEN</v>
      </c>
    </row>
    <row r="1247" customFormat="false" ht="12.75" hidden="false" customHeight="true" outlineLevel="0" collapsed="false">
      <c r="A1247" s="15" t="n">
        <f aca="false">Report!C1887</f>
        <v>46282</v>
      </c>
      <c r="B1247" s="1" t="str">
        <f aca="false">Report!E1887</f>
        <v>VICTORIA COMERCIO INTERNACIONAL DE ALIME</v>
      </c>
      <c r="C1247" s="16" t="n">
        <f aca="false">Report!U1887</f>
        <v>1213.95</v>
      </c>
      <c r="D1247" s="1" t="str">
        <f aca="false">Report!X1887</f>
        <v>NF 13070 ELLEN</v>
      </c>
    </row>
    <row r="1248" customFormat="false" ht="12.75" hidden="false" customHeight="true" outlineLevel="0" collapsed="false">
      <c r="A1248" s="15" t="n">
        <f aca="false">Report!C1888</f>
        <v>46282</v>
      </c>
      <c r="B1248" s="1" t="str">
        <f aca="false">Report!E1888</f>
        <v>SOUZA CRUZ LTDA.</v>
      </c>
      <c r="C1248" s="16" t="n">
        <f aca="false">Report!U1888</f>
        <v>4761.77</v>
      </c>
      <c r="D1248" s="1" t="str">
        <f aca="false">Report!X1888</f>
        <v>NF 572518 ELLEN</v>
      </c>
    </row>
    <row r="1249" customFormat="false" ht="12.75" hidden="false" customHeight="true" outlineLevel="0" collapsed="false">
      <c r="A1249" s="15" t="n">
        <f aca="false">Report!C1890</f>
        <v>46283</v>
      </c>
      <c r="B1249" s="1" t="str">
        <f aca="false">Report!E1890</f>
        <v>DURAES DISTRIBUIDORA DE ESTIVAS LTDA</v>
      </c>
      <c r="C1249" s="16" t="n">
        <f aca="false">Report!U1890</f>
        <v>610.19</v>
      </c>
      <c r="D1249" s="1" t="str">
        <f aca="false">Report!X1890</f>
        <v>NF 656817 ELLEN</v>
      </c>
    </row>
    <row r="1250" customFormat="false" ht="12.75" hidden="false" customHeight="true" outlineLevel="0" collapsed="false">
      <c r="A1250" s="15" t="n">
        <f aca="false">Report!C1891</f>
        <v>46283</v>
      </c>
      <c r="B1250" s="1" t="str">
        <f aca="false">Report!E1891</f>
        <v>FEMAR IND E COM DE BEBIDAS LTDA</v>
      </c>
      <c r="C1250" s="16" t="n">
        <f aca="false">Report!U1891</f>
        <v>247.56</v>
      </c>
      <c r="D1250" s="1" t="str">
        <f aca="false">Report!X1891</f>
        <v>NF 58376 ELLEN</v>
      </c>
    </row>
    <row r="1251" customFormat="false" ht="12.75" hidden="false" customHeight="true" outlineLevel="0" collapsed="false">
      <c r="A1251" s="15" t="n">
        <f aca="false">Report!C1892</f>
        <v>46283</v>
      </c>
      <c r="B1251" s="1" t="str">
        <f aca="false">Report!E1892</f>
        <v>DISTRIBUIDORA LOPES LTDA</v>
      </c>
      <c r="C1251" s="16" t="n">
        <f aca="false">Report!U1892</f>
        <v>1333.11</v>
      </c>
      <c r="D1251" s="1" t="str">
        <f aca="false">Report!X1892</f>
        <v>NF 1724435 ELLEN</v>
      </c>
    </row>
    <row r="1252" customFormat="false" ht="12.75" hidden="false" customHeight="true" outlineLevel="0" collapsed="false">
      <c r="A1252" s="15" t="n">
        <f aca="false">Report!C1895</f>
        <v>46286</v>
      </c>
      <c r="B1252" s="1" t="str">
        <f aca="false">Report!E1895</f>
        <v>MAXPEL COMERCIAL LTDA</v>
      </c>
      <c r="C1252" s="16" t="n">
        <f aca="false">Report!U1895</f>
        <v>983.77</v>
      </c>
      <c r="D1252" s="1" t="str">
        <f aca="false">Report!X1895</f>
        <v>NFS 319296/319297 - ELLEN</v>
      </c>
    </row>
    <row r="1253" customFormat="false" ht="12.75" hidden="false" customHeight="true" outlineLevel="0" collapsed="false">
      <c r="A1253" s="15" t="n">
        <f aca="false">Report!C1896</f>
        <v>46286</v>
      </c>
      <c r="B1253" s="1" t="str">
        <f aca="false">Report!E1896</f>
        <v>SB COMERCIO LTDA</v>
      </c>
      <c r="C1253" s="16" t="n">
        <f aca="false">Report!U1896</f>
        <v>521.74</v>
      </c>
      <c r="D1253" s="1" t="str">
        <f aca="false">Report!X1896</f>
        <v>NF 1966312 ELLEN</v>
      </c>
    </row>
    <row r="1254" customFormat="false" ht="12.75" hidden="false" customHeight="true" outlineLevel="0" collapsed="false">
      <c r="A1254" s="15" t="n">
        <f aca="false">Report!C1897</f>
        <v>46286</v>
      </c>
      <c r="B1254" s="1" t="str">
        <f aca="false">Report!E1897</f>
        <v>NESTLÉ BRASIL LTDA.</v>
      </c>
      <c r="C1254" s="16" t="n">
        <f aca="false">Report!U1897</f>
        <v>1255.7</v>
      </c>
      <c r="D1254" s="1" t="str">
        <f aca="false">Report!X1897</f>
        <v>NF NF 1441731 ELLEN</v>
      </c>
    </row>
    <row r="1255" customFormat="false" ht="12.75" hidden="false" customHeight="true" outlineLevel="0" collapsed="false">
      <c r="A1255" s="15" t="n">
        <f aca="false">Report!C1899</f>
        <v>46286</v>
      </c>
      <c r="B1255" s="1" t="str">
        <f aca="false">Report!E1899</f>
        <v>MARTINS COM SERV DISTR SA</v>
      </c>
      <c r="C1255" s="16" t="n">
        <f aca="false">Report!U1899</f>
        <v>176.57</v>
      </c>
      <c r="D1255" s="1" t="str">
        <f aca="false">Report!X1899</f>
        <v>NF'S 1796899/1796900 ELLEN</v>
      </c>
    </row>
    <row r="1256" customFormat="false" ht="12.75" hidden="false" customHeight="true" outlineLevel="0" collapsed="false">
      <c r="A1256" s="15" t="n">
        <f aca="false">Report!C1900</f>
        <v>46287</v>
      </c>
      <c r="B1256" s="1" t="str">
        <f aca="false">Report!E1900</f>
        <v>CB COMERCIO E DISTRIBUIDORA DE ALIMENTOS</v>
      </c>
      <c r="C1256" s="16" t="n">
        <f aca="false">Report!U1900</f>
        <v>843.65</v>
      </c>
      <c r="D1256" s="1" t="str">
        <f aca="false">Report!X1900</f>
        <v>NF 866347 ELLEN</v>
      </c>
    </row>
    <row r="1257" customFormat="false" ht="12.75" hidden="false" customHeight="true" outlineLevel="0" collapsed="false">
      <c r="A1257" s="15" t="n">
        <f aca="false">Report!C1901</f>
        <v>46287</v>
      </c>
      <c r="B1257" s="1" t="str">
        <f aca="false">Report!E1901</f>
        <v>EDMARA COMERCIO DE HIGIENE PESSOAL LTDA</v>
      </c>
      <c r="C1257" s="16" t="n">
        <f aca="false">Report!U1901</f>
        <v>873.08</v>
      </c>
      <c r="D1257" s="1" t="str">
        <f aca="false">Report!X1901</f>
        <v>NF 8744 ELLEN</v>
      </c>
    </row>
    <row r="1258" customFormat="false" ht="12.75" hidden="false" customHeight="true" outlineLevel="0" collapsed="false">
      <c r="A1258" s="15" t="n">
        <f aca="false">Report!C1902</f>
        <v>46287</v>
      </c>
      <c r="B1258" s="1" t="str">
        <f aca="false">Report!E1902</f>
        <v>ATACADAO S.A.</v>
      </c>
      <c r="C1258" s="16" t="n">
        <f aca="false">Report!U1902</f>
        <v>942.69</v>
      </c>
      <c r="D1258" s="1" t="str">
        <f aca="false">Report!X1902</f>
        <v>NF 1925381 ELLEN</v>
      </c>
    </row>
    <row r="1259" customFormat="false" ht="12.75" hidden="false" customHeight="true" outlineLevel="0" collapsed="false">
      <c r="A1259" s="15" t="n">
        <f aca="false">Report!C1903</f>
        <v>46287</v>
      </c>
      <c r="B1259" s="1" t="str">
        <f aca="false">Report!E1903</f>
        <v>MARE DISTRIBUIDORA DE BEBIDAS E DE PRODUTOS ALIMENTICIOS LTDA</v>
      </c>
      <c r="C1259" s="16" t="n">
        <f aca="false">Report!U1903</f>
        <v>1917.5</v>
      </c>
      <c r="D1259" s="1" t="str">
        <f aca="false">Report!X1903</f>
        <v>NF 1440541 ELLEN</v>
      </c>
    </row>
    <row r="1260" customFormat="false" ht="12.75" hidden="false" customHeight="true" outlineLevel="0" collapsed="false">
      <c r="A1260" s="15" t="n">
        <f aca="false">Report!C1904</f>
        <v>46288</v>
      </c>
      <c r="B1260" s="1" t="str">
        <f aca="false">Report!E1904</f>
        <v>OESA COMERCIO E REPRESENTACOES S/A</v>
      </c>
      <c r="C1260" s="16" t="n">
        <f aca="false">Report!U1904</f>
        <v>1510.34</v>
      </c>
      <c r="D1260" s="1" t="str">
        <f aca="false">Report!X1904</f>
        <v>NF 447609 ELLEN</v>
      </c>
    </row>
    <row r="1261" customFormat="false" ht="12.75" hidden="false" customHeight="true" outlineLevel="0" collapsed="false">
      <c r="A1261" s="15" t="n">
        <f aca="false">Report!C1905</f>
        <v>46288</v>
      </c>
      <c r="B1261" s="1" t="str">
        <f aca="false">Report!E1905</f>
        <v>BRF S A</v>
      </c>
      <c r="C1261" s="16" t="n">
        <f aca="false">Report!U1905</f>
        <v>2295.99</v>
      </c>
      <c r="D1261" s="1" t="str">
        <f aca="false">Report!X1905</f>
        <v>NF 1627324 ELLEN</v>
      </c>
    </row>
    <row r="1262" customFormat="false" ht="12.75" hidden="false" customHeight="true" outlineLevel="0" collapsed="false">
      <c r="A1262" s="15" t="n">
        <f aca="false">Report!C1907</f>
        <v>46289</v>
      </c>
      <c r="B1262" s="1" t="str">
        <f aca="false">Report!E1907</f>
        <v>AMAZON MILK IND. E COMERCIO LTDA</v>
      </c>
      <c r="C1262" s="16" t="n">
        <f aca="false">Report!U1907</f>
        <v>805.4</v>
      </c>
      <c r="D1262" s="1" t="str">
        <f aca="false">Report!X1907</f>
        <v>NF 206697 ELLEN</v>
      </c>
    </row>
    <row r="1263" customFormat="false" ht="12.75" hidden="false" customHeight="true" outlineLevel="0" collapsed="false">
      <c r="A1263" s="15" t="n">
        <f aca="false">Report!C1908</f>
        <v>46289</v>
      </c>
      <c r="B1263" s="1" t="str">
        <f aca="false">Report!E1908</f>
        <v>VICTORIA COMERCIO INTERNACIONAL DE ALIME</v>
      </c>
      <c r="C1263" s="16" t="n">
        <f aca="false">Report!U1908</f>
        <v>1213.96</v>
      </c>
      <c r="D1263" s="1" t="str">
        <f aca="false">Report!X1908</f>
        <v>NF 13070 ELLEN</v>
      </c>
    </row>
    <row r="1264" customFormat="false" ht="12.75" hidden="false" customHeight="true" outlineLevel="0" collapsed="false">
      <c r="A1264" s="15" t="n">
        <f aca="false">Report!C1909</f>
        <v>46289</v>
      </c>
      <c r="B1264" s="1" t="str">
        <f aca="false">Report!E1909</f>
        <v>SOUZA CRUZ LTDA.</v>
      </c>
      <c r="C1264" s="16" t="n">
        <f aca="false">Report!U1909</f>
        <v>4761.78</v>
      </c>
      <c r="D1264" s="1" t="str">
        <f aca="false">Report!X1909</f>
        <v>NF 572518 ELLEN</v>
      </c>
    </row>
    <row r="1265" customFormat="false" ht="12.75" hidden="false" customHeight="true" outlineLevel="0" collapsed="false">
      <c r="A1265" s="15" t="n">
        <f aca="false">Report!C1914</f>
        <v>46290</v>
      </c>
      <c r="B1265" s="1" t="str">
        <f aca="false">Report!E1914</f>
        <v>DURAES DISTRIBUIDORA DE ESTIVAS LTDA</v>
      </c>
      <c r="C1265" s="16" t="n">
        <f aca="false">Report!U1914</f>
        <v>610.19</v>
      </c>
      <c r="D1265" s="1" t="str">
        <f aca="false">Report!X1914</f>
        <v>NF 656817 ELLEN</v>
      </c>
    </row>
    <row r="1266" customFormat="false" ht="12.75" hidden="false" customHeight="true" outlineLevel="0" collapsed="false">
      <c r="A1266" s="15" t="n">
        <f aca="false">Report!C1915</f>
        <v>46290</v>
      </c>
      <c r="B1266" s="1" t="str">
        <f aca="false">Report!E1915</f>
        <v>DISTRIBUIDORA LOPES LTDA</v>
      </c>
      <c r="C1266" s="16" t="n">
        <f aca="false">Report!U1915</f>
        <v>1333.12</v>
      </c>
      <c r="D1266" s="1" t="str">
        <f aca="false">Report!X1915</f>
        <v>NF 1724435 ELLEN</v>
      </c>
    </row>
    <row r="1267" customFormat="false" ht="12.75" hidden="false" customHeight="true" outlineLevel="0" collapsed="false">
      <c r="A1267" s="15" t="n">
        <f aca="false">Report!C1917</f>
        <v>46293</v>
      </c>
      <c r="B1267" s="1" t="str">
        <f aca="false">Report!E1917</f>
        <v>ATACADAO S.A.</v>
      </c>
      <c r="C1267" s="16" t="n">
        <f aca="false">Report!U1917</f>
        <v>1348.29</v>
      </c>
      <c r="D1267" s="1" t="str">
        <f aca="false">Report!X1917</f>
        <v>NF 1927745 ELLEN</v>
      </c>
    </row>
    <row r="1268" customFormat="false" ht="12.75" hidden="false" customHeight="true" outlineLevel="0" collapsed="false">
      <c r="A1268" s="15" t="n">
        <f aca="false">Report!C1919</f>
        <v>46293</v>
      </c>
      <c r="B1268" s="1" t="str">
        <f aca="false">Report!E1919</f>
        <v>MARTINS COM SERV DISTR SA</v>
      </c>
      <c r="C1268" s="16" t="n">
        <f aca="false">Report!U1919</f>
        <v>176.57</v>
      </c>
      <c r="D1268" s="1" t="str">
        <f aca="false">Report!X1919</f>
        <v>NF'S 1796899/1796900 ELLEN</v>
      </c>
    </row>
    <row r="1269" customFormat="false" ht="12.75" hidden="false" customHeight="true" outlineLevel="0" collapsed="false">
      <c r="A1269" s="15" t="n">
        <f aca="false">Report!C1920</f>
        <v>46294</v>
      </c>
      <c r="B1269" s="1" t="str">
        <f aca="false">Report!E1920</f>
        <v>SMV COMERCIO DE PRODUTOS ALIMENTICIOS LT</v>
      </c>
      <c r="C1269" s="16" t="n">
        <f aca="false">Report!U1920</f>
        <v>348.18</v>
      </c>
      <c r="D1269" s="1" t="str">
        <f aca="false">Report!X1920</f>
        <v>NF 7287 ELLEN</v>
      </c>
    </row>
    <row r="1270" customFormat="false" ht="12.75" hidden="false" customHeight="true" outlineLevel="0" collapsed="false">
      <c r="A1270" s="15" t="n">
        <f aca="false">Report!C1921</f>
        <v>46294</v>
      </c>
      <c r="B1270" s="1" t="str">
        <f aca="false">Report!E1921</f>
        <v>EDMARA COMERCIO DE HIGIENE PESSOAL LTDA</v>
      </c>
      <c r="C1270" s="16" t="n">
        <f aca="false">Report!U1921</f>
        <v>873.06</v>
      </c>
      <c r="D1270" s="1" t="str">
        <f aca="false">Report!X1921</f>
        <v>NF 8744 ELLEN</v>
      </c>
    </row>
    <row r="1271" customFormat="false" ht="12.75" hidden="false" customHeight="true" outlineLevel="0" collapsed="false">
      <c r="A1271" s="15" t="n">
        <f aca="false">Report!C1925</f>
        <v>46296</v>
      </c>
      <c r="B1271" s="1" t="str">
        <f aca="false">Report!E1925</f>
        <v>A. CORREA JUNIOR</v>
      </c>
      <c r="C1271" s="16" t="n">
        <f aca="false">Report!U1925</f>
        <v>638.75</v>
      </c>
      <c r="D1271" s="1" t="str">
        <f aca="false">Report!X1925</f>
        <v>NF 1898 CT DIA 1 - PARC 2/2 - ELLEN</v>
      </c>
    </row>
    <row r="1272" customFormat="false" ht="12.75" hidden="false" customHeight="true" outlineLevel="0" collapsed="false">
      <c r="A1272" s="15" t="n">
        <f aca="false">Report!C1926</f>
        <v>46297</v>
      </c>
      <c r="B1272" s="1" t="str">
        <f aca="false">Report!E1926</f>
        <v>DISTRIBUIDORA LOPES LTDA</v>
      </c>
      <c r="C1272" s="16" t="n">
        <f aca="false">Report!U1926</f>
        <v>1333.12</v>
      </c>
      <c r="D1272" s="1" t="str">
        <f aca="false">Report!X1926</f>
        <v>NF 1724435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1665</v>
      </c>
      <c r="B1" s="21" t="s">
        <v>1666</v>
      </c>
      <c r="C1" s="21" t="s">
        <v>1667</v>
      </c>
      <c r="D1" s="21" t="s">
        <v>1668</v>
      </c>
    </row>
    <row r="2" customFormat="false" ht="12.75" hidden="false" customHeight="true" outlineLevel="0" collapsed="false">
      <c r="A2" s="22" t="s">
        <v>1669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1670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1671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1672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1673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1674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1675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1676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1677</v>
      </c>
      <c r="B10" s="16" t="n">
        <f aca="false">SUMIFS(Report!$U:$U,Report!$T:$T,"&lt;&gt;"&amp;"MERCADORIAS P/REVENDA",Report!$AA:$AA,"SIM",Report!$C:$C,"&gt;="&amp;DATE(2026,9,1),Report!$C:$C,"&lt;="&amp;DATE(2026,9,30))</f>
        <v>44592.05</v>
      </c>
      <c r="C10" s="16" t="n">
        <f aca="false">SUMIFS(Report!$U:$U,Report!$T:$T,"MERCADORIAS P/REVENDA",Report!$AA:$AA,"SIM",Report!$C:$C,"&gt;="&amp;DATE(2026,9,1),Report!$C:$C,"&lt;="&amp;DATE(2026,9,30))</f>
        <v>184301.09</v>
      </c>
      <c r="D10" s="16" t="n">
        <f aca="false">B10+C10</f>
        <v>228893.14</v>
      </c>
    </row>
    <row r="11" customFormat="false" ht="12.75" hidden="false" customHeight="true" outlineLevel="0" collapsed="false">
      <c r="A11" s="22" t="s">
        <v>1678</v>
      </c>
      <c r="B11" s="16" t="n">
        <f aca="false">SUMIFS(Report!$U:$U,Report!$T:$T,"&lt;&gt;"&amp;"MERCADORIAS P/REVENDA",Report!$AA:$AA,"SIM",Report!$C:$C,"&gt;="&amp;DATE(2026,10,1),Report!$C:$C,"&lt;="&amp;DATE(2026,10,31))</f>
        <v>15097.45</v>
      </c>
      <c r="C11" s="16" t="n">
        <f aca="false">SUMIFS(Report!$U:$U,Report!$T:$T,"MERCADORIAS P/REVENDA",Report!$AA:$AA,"SIM",Report!$C:$C,"&gt;="&amp;DATE(2026,10,1),Report!$C:$C,"&lt;="&amp;DATE(2026,10,31))</f>
        <v>1971.87</v>
      </c>
      <c r="D11" s="16" t="n">
        <f aca="false">B11+C11</f>
        <v>17069.32</v>
      </c>
    </row>
    <row r="12" customFormat="false" ht="12.75" hidden="false" customHeight="true" outlineLevel="0" collapsed="false">
      <c r="A12" s="22" t="s">
        <v>1679</v>
      </c>
      <c r="B12" s="16" t="n">
        <f aca="false">SUMIFS(Report!$U:$U,Report!$T:$T,"&lt;&gt;"&amp;"MERCADORIAS P/REVENDA",Report!$AA:$AA,"SIM",Report!$C:$C,"&gt;="&amp;DATE(2026,11,1),Report!$C:$C,"&lt;="&amp;DATE(2026,11,30))</f>
        <v>11961.88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11961.88</v>
      </c>
    </row>
    <row r="13" customFormat="false" ht="12.75" hidden="false" customHeight="true" outlineLevel="0" collapsed="false">
      <c r="A13" s="22" t="s">
        <v>1680</v>
      </c>
      <c r="B13" s="16" t="n">
        <f aca="false">SUMIFS(Report!$U:$U,Report!$T:$T,"&lt;&gt;"&amp;"MERCADORIAS P/REVENDA",Report!$AA:$AA,"SIM",Report!$C:$C,"&gt;="&amp;DATE(2026,12,1),Report!$C:$C,"&lt;="&amp;DATE(2026,12,31))</f>
        <v>12315.95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12315.95</v>
      </c>
    </row>
    <row r="14" customFormat="false" ht="12.75" hidden="false" customHeight="true" outlineLevel="0" collapsed="false">
      <c r="A14" s="22" t="s">
        <v>1681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1682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1683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1684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1685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1686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1687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1688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1689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1690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1691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1692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1693</v>
      </c>
      <c r="B26" s="25" t="n">
        <f aca="false">SUM(B2:B25)</f>
        <v>508358.99</v>
      </c>
      <c r="C26" s="25" t="n">
        <f aca="false">SUM(C2:C25)</f>
        <v>1050588.2</v>
      </c>
      <c r="D26" s="25" t="n">
        <f aca="false">SUM(D2:D25)</f>
        <v>1558947.19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1694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1668</v>
      </c>
      <c r="AA2" s="27"/>
      <c r="AB2" s="28" t="s">
        <v>1695</v>
      </c>
      <c r="AC2" s="28" t="s">
        <v>1696</v>
      </c>
      <c r="AE2" s="28" t="s">
        <v>1697</v>
      </c>
    </row>
    <row r="3" customFormat="false" ht="12.75" hidden="false" customHeight="true" outlineLevel="0" collapsed="false">
      <c r="A3" s="29" t="s">
        <v>1698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228893.14</v>
      </c>
      <c r="K3" s="25" t="n">
        <f aca="false">SUMIFS(Report!$U:$U,Report!$AA:$AA,"SIM",Report!$C:$C,"&gt;="&amp;DATE(2026,10,1),Report!$C:$C,"&lt;="&amp;DATE(2026,10,31))</f>
        <v>17069.32</v>
      </c>
      <c r="L3" s="25" t="n">
        <f aca="false">SUMIFS(Report!$U:$U,Report!$AA:$AA,"SIM",Report!$C:$C,"&gt;="&amp;DATE(2026,11,1),Report!$C:$C,"&lt;="&amp;DATE(2026,11,30))</f>
        <v>11961.88</v>
      </c>
      <c r="M3" s="25" t="n">
        <f aca="false">SUMIFS(Report!$U:$U,Report!$AA:$AA,"SIM",Report!$C:$C,"&gt;="&amp;DATE(2026,12,1),Report!$C:$C,"&lt;="&amp;DATE(2026,12,31))</f>
        <v>12315.95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1558947.19</v>
      </c>
      <c r="AB3" s="1" t="s">
        <v>209</v>
      </c>
      <c r="AC3" s="1" t="s">
        <v>1699</v>
      </c>
      <c r="AE3" s="1" t="s">
        <v>1700</v>
      </c>
    </row>
    <row r="4" customFormat="false" ht="12.75" hidden="false" customHeight="true" outlineLevel="0" collapsed="false">
      <c r="A4" s="1" t="s">
        <v>1699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35074.4</v>
      </c>
      <c r="K4" s="16" t="n">
        <f aca="false">SUMIFS(Report!$U:$U,Report!$Z:$Z,"Despesa",Report!$AA:$AA,"SIM",Report!$C:$C,"&gt;="&amp;DATE(2026,10,1),Report!$C:$C,"&lt;="&amp;DATE(2026,10,31))</f>
        <v>10003.89</v>
      </c>
      <c r="L4" s="16" t="n">
        <f aca="false">SUMIFS(Report!$U:$U,Report!$Z:$Z,"Despesa",Report!$AA:$AA,"SIM",Report!$C:$C,"&gt;="&amp;DATE(2026,11,1),Report!$C:$C,"&lt;="&amp;DATE(2026,11,30))</f>
        <v>7314.49</v>
      </c>
      <c r="M4" s="16" t="n">
        <f aca="false">SUMIFS(Report!$U:$U,Report!$Z:$Z,"Despesa",Report!$AA:$AA,"SIM",Report!$C:$C,"&gt;="&amp;DATE(2026,12,1),Report!$C:$C,"&lt;="&amp;DATE(2026,12,31))</f>
        <v>7668.56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344651.24</v>
      </c>
      <c r="AB4" s="1" t="s">
        <v>150</v>
      </c>
      <c r="AC4" s="1" t="s">
        <v>1699</v>
      </c>
    </row>
    <row r="5" customFormat="false" ht="12.75" hidden="false" customHeight="true" outlineLevel="0" collapsed="false">
      <c r="A5" s="1" t="s">
        <v>1701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47784.24</v>
      </c>
      <c r="AB5" s="1" t="s">
        <v>412</v>
      </c>
      <c r="AC5" s="1" t="s">
        <v>1699</v>
      </c>
    </row>
    <row r="6" customFormat="false" ht="12.75" hidden="false" customHeight="true" outlineLevel="0" collapsed="false">
      <c r="A6" s="1" t="s">
        <v>1702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3542.45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22257.05</v>
      </c>
      <c r="AB6" s="1" t="s">
        <v>525</v>
      </c>
      <c r="AC6" s="1" t="s">
        <v>1699</v>
      </c>
    </row>
    <row r="7" customFormat="false" ht="12.75" hidden="false" customHeight="true" outlineLevel="0" collapsed="false">
      <c r="A7" s="1" t="s">
        <v>1703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184301.09</v>
      </c>
      <c r="K7" s="16" t="n">
        <f aca="false">SUMIFS(Report!$U:$U,Report!$Z:$Z,"Mercadoria",Report!$AA:$AA,"SIM",Report!$C:$C,"&gt;="&amp;DATE(2026,10,1),Report!$C:$C,"&lt;="&amp;DATE(2026,10,31))</f>
        <v>1971.87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1050588.2</v>
      </c>
      <c r="AB7" s="1" t="s">
        <v>508</v>
      </c>
      <c r="AC7" s="1" t="s">
        <v>1704</v>
      </c>
    </row>
    <row r="8" customFormat="false" ht="12.75" hidden="false" customHeight="true" outlineLevel="0" collapsed="false">
      <c r="A8" s="1" t="s">
        <v>1705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1699</v>
      </c>
    </row>
    <row r="9" customFormat="false" ht="12.75" hidden="false" customHeight="true" outlineLevel="0" collapsed="false">
      <c r="A9" s="1" t="s">
        <v>1704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1108.1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63828.83</v>
      </c>
      <c r="AB9" s="1" t="s">
        <v>606</v>
      </c>
      <c r="AC9" s="1" t="s">
        <v>1699</v>
      </c>
    </row>
    <row r="10" customFormat="false" ht="12.75" hidden="false" customHeight="true" outlineLevel="0" collapsed="false">
      <c r="A10" s="29" t="s">
        <v>1706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0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1776.82</v>
      </c>
      <c r="AB10" s="1" t="s">
        <v>687</v>
      </c>
      <c r="AC10" s="1" t="s">
        <v>1699</v>
      </c>
    </row>
    <row r="11" customFormat="false" ht="12.75" hidden="false" customHeight="true" outlineLevel="0" collapsed="false">
      <c r="A11" s="1" t="s">
        <v>1707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1699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1708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44592.05</v>
      </c>
      <c r="K13" s="16" t="n">
        <f aca="false">SUM(K4,K5,K6,K8,K9,K10)</f>
        <v>15097.45</v>
      </c>
      <c r="L13" s="16" t="n">
        <f aca="false">SUM(L4,L5,L6,L8,L9,L10)</f>
        <v>11961.88</v>
      </c>
      <c r="M13" s="16" t="n">
        <f aca="false">SUM(M4,M5,M6,M8,M9,M10)</f>
        <v>12315.95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508358.99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1699</v>
      </c>
    </row>
    <row r="16" customFormat="false" ht="12.75" hidden="false" customHeight="true" outlineLevel="0" collapsed="false">
      <c r="A16" s="1" t="s">
        <v>1709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1699</v>
      </c>
    </row>
    <row r="17" customFormat="false" ht="12.75" hidden="false" customHeight="true" outlineLevel="0" collapsed="false">
      <c r="A17" s="1" t="s">
        <v>1710</v>
      </c>
      <c r="AB17" s="1" t="s">
        <v>163</v>
      </c>
      <c r="AC17" s="1" t="s">
        <v>1699</v>
      </c>
    </row>
    <row r="18" customFormat="false" ht="12.75" hidden="false" customHeight="true" outlineLevel="0" collapsed="false">
      <c r="AB18" s="1" t="s">
        <v>77</v>
      </c>
      <c r="AC18" s="1" t="s">
        <v>1699</v>
      </c>
    </row>
    <row r="19" customFormat="false" ht="12.75" hidden="false" customHeight="true" outlineLevel="0" collapsed="false">
      <c r="AB19" s="1" t="s">
        <v>123</v>
      </c>
      <c r="AC19" s="1" t="s">
        <v>1704</v>
      </c>
    </row>
    <row r="20" customFormat="false" ht="12.75" hidden="false" customHeight="true" outlineLevel="0" collapsed="false">
      <c r="AB20" s="1" t="s">
        <v>334</v>
      </c>
      <c r="AC20" s="1" t="s">
        <v>1701</v>
      </c>
    </row>
    <row r="21" customFormat="false" ht="12.75" hidden="false" customHeight="true" outlineLevel="0" collapsed="false">
      <c r="AB21" s="1" t="s">
        <v>550</v>
      </c>
      <c r="AC21" s="1" t="s">
        <v>1699</v>
      </c>
    </row>
    <row r="22" customFormat="false" ht="12.75" hidden="false" customHeight="true" outlineLevel="0" collapsed="false">
      <c r="AB22" s="1" t="s">
        <v>847</v>
      </c>
      <c r="AC22" s="1" t="s">
        <v>1704</v>
      </c>
    </row>
    <row r="23" customFormat="false" ht="12.75" hidden="false" customHeight="true" outlineLevel="0" collapsed="false">
      <c r="AB23" s="1" t="s">
        <v>1112</v>
      </c>
      <c r="AC23" s="1" t="s">
        <v>1704</v>
      </c>
    </row>
    <row r="24" customFormat="false" ht="12.75" hidden="false" customHeight="true" outlineLevel="0" collapsed="false">
      <c r="AB24" s="1" t="s">
        <v>483</v>
      </c>
      <c r="AC24" s="1" t="s">
        <v>1702</v>
      </c>
    </row>
    <row r="25" customFormat="false" ht="12.75" hidden="false" customHeight="true" outlineLevel="0" collapsed="false">
      <c r="AB25" s="1" t="s">
        <v>48</v>
      </c>
      <c r="AC25" s="1" t="s">
        <v>1699</v>
      </c>
    </row>
    <row r="26" customFormat="false" ht="12.75" hidden="false" customHeight="true" outlineLevel="0" collapsed="false">
      <c r="AB26" s="1" t="s">
        <v>387</v>
      </c>
      <c r="AC26" s="1" t="s">
        <v>1699</v>
      </c>
    </row>
    <row r="27" customFormat="false" ht="12.75" hidden="false" customHeight="true" outlineLevel="0" collapsed="false">
      <c r="AB27" s="1" t="s">
        <v>750</v>
      </c>
      <c r="AC27" s="1" t="s">
        <v>1699</v>
      </c>
    </row>
    <row r="28" customFormat="false" ht="12.75" hidden="false" customHeight="true" outlineLevel="0" collapsed="false">
      <c r="AB28" s="1" t="s">
        <v>1614</v>
      </c>
      <c r="AC28" s="1" t="s">
        <v>1702</v>
      </c>
    </row>
    <row r="29" customFormat="false" ht="12.75" hidden="false" customHeight="true" outlineLevel="0" collapsed="false">
      <c r="AB29" s="1" t="s">
        <v>770</v>
      </c>
      <c r="AC29" s="1" t="s">
        <v>1699</v>
      </c>
    </row>
    <row r="30" customFormat="false" ht="12.75" hidden="false" customHeight="true" outlineLevel="0" collapsed="false">
      <c r="AB30" s="1" t="s">
        <v>481</v>
      </c>
      <c r="AC30" s="1" t="s">
        <v>1702</v>
      </c>
    </row>
    <row r="31" customFormat="false" ht="12.75" hidden="false" customHeight="true" outlineLevel="0" collapsed="false">
      <c r="AB31" s="1" t="s">
        <v>283</v>
      </c>
      <c r="AC31" s="1" t="s">
        <v>1699</v>
      </c>
    </row>
    <row r="32" customFormat="false" ht="12.75" hidden="false" customHeight="true" outlineLevel="0" collapsed="false">
      <c r="AB32" s="1" t="s">
        <v>159</v>
      </c>
      <c r="AC32" s="1" t="s">
        <v>1699</v>
      </c>
    </row>
    <row r="33" customFormat="false" ht="12.75" hidden="false" customHeight="true" outlineLevel="0" collapsed="false">
      <c r="AB33" s="1" t="s">
        <v>408</v>
      </c>
      <c r="AC33" s="1" t="s">
        <v>1702</v>
      </c>
    </row>
    <row r="34" customFormat="false" ht="12.75" hidden="false" customHeight="true" outlineLevel="0" collapsed="false">
      <c r="AB34" s="1" t="s">
        <v>1084</v>
      </c>
      <c r="AC34" s="1" t="s">
        <v>1699</v>
      </c>
    </row>
    <row r="35" customFormat="false" ht="12.75" hidden="false" customHeight="true" outlineLevel="0" collapsed="false">
      <c r="AB35" s="1" t="s">
        <v>266</v>
      </c>
      <c r="AC35" s="1" t="s">
        <v>1701</v>
      </c>
    </row>
    <row r="36" customFormat="false" ht="12.75" hidden="false" customHeight="true" outlineLevel="0" collapsed="false">
      <c r="AB36" s="1" t="s">
        <v>746</v>
      </c>
      <c r="AC36" s="1" t="s">
        <v>1699</v>
      </c>
    </row>
    <row r="37" customFormat="false" ht="12.75" hidden="false" customHeight="true" outlineLevel="0" collapsed="false">
      <c r="AB37" s="1" t="s">
        <v>324</v>
      </c>
      <c r="AC37" s="1" t="s">
        <v>1699</v>
      </c>
    </row>
    <row r="38" customFormat="false" ht="12.75" hidden="false" customHeight="true" outlineLevel="0" collapsed="false">
      <c r="AB38" s="1" t="s">
        <v>52</v>
      </c>
      <c r="AC38" s="1" t="s">
        <v>1699</v>
      </c>
    </row>
    <row r="39" customFormat="false" ht="12.75" hidden="false" customHeight="true" outlineLevel="0" collapsed="false">
      <c r="AB39" s="1" t="s">
        <v>71</v>
      </c>
      <c r="AC39" s="1" t="s">
        <v>1699</v>
      </c>
    </row>
    <row r="40" customFormat="false" ht="12.75" hidden="false" customHeight="true" outlineLevel="0" collapsed="false">
      <c r="AB40" s="1" t="s">
        <v>609</v>
      </c>
      <c r="AC40" s="1" t="s">
        <v>1699</v>
      </c>
    </row>
    <row r="41" customFormat="false" ht="12.75" hidden="false" customHeight="true" outlineLevel="0" collapsed="false">
      <c r="AB41" s="1" t="s">
        <v>203</v>
      </c>
      <c r="AC41" s="1" t="s">
        <v>1699</v>
      </c>
    </row>
    <row r="42" customFormat="false" ht="12.75" hidden="false" customHeight="true" outlineLevel="0" collapsed="false">
      <c r="AB42" s="1" t="s">
        <v>63</v>
      </c>
      <c r="AC42" s="1" t="s">
        <v>1703</v>
      </c>
    </row>
    <row r="43" customFormat="false" ht="12.75" hidden="false" customHeight="true" outlineLevel="0" collapsed="false">
      <c r="AB43" s="1" t="s">
        <v>488</v>
      </c>
      <c r="AC43" s="1" t="s">
        <v>1699</v>
      </c>
    </row>
    <row r="44" customFormat="false" ht="12.75" hidden="false" customHeight="true" outlineLevel="0" collapsed="false">
      <c r="AB44" s="1" t="s">
        <v>58</v>
      </c>
      <c r="AC44" s="1" t="s">
        <v>1705</v>
      </c>
    </row>
    <row r="45" customFormat="false" ht="12.75" hidden="false" customHeight="true" outlineLevel="0" collapsed="false">
      <c r="AB45" s="1" t="s">
        <v>1086</v>
      </c>
      <c r="AC45" s="1" t="s">
        <v>1699</v>
      </c>
    </row>
    <row r="46" customFormat="false" ht="12.75" hidden="false" customHeight="true" outlineLevel="0" collapsed="false">
      <c r="AB46" s="1" t="s">
        <v>456</v>
      </c>
      <c r="AC46" s="1" t="s">
        <v>1704</v>
      </c>
    </row>
    <row r="47" customFormat="false" ht="12.75" hidden="false" customHeight="true" outlineLevel="0" collapsed="false">
      <c r="AB47" s="1" t="s">
        <v>497</v>
      </c>
      <c r="AC47" s="1" t="s">
        <v>1699</v>
      </c>
    </row>
    <row r="48" customFormat="false" ht="12.75" hidden="false" customHeight="true" outlineLevel="0" collapsed="false">
      <c r="AB48" s="1" t="s">
        <v>248</v>
      </c>
      <c r="AC48" s="1" t="s">
        <v>1704</v>
      </c>
    </row>
    <row r="49" customFormat="false" ht="12.75" hidden="false" customHeight="true" outlineLevel="0" collapsed="false">
      <c r="AB49" s="1" t="s">
        <v>253</v>
      </c>
      <c r="AC49" s="1" t="s">
        <v>1704</v>
      </c>
    </row>
    <row r="50" customFormat="false" ht="12.75" hidden="false" customHeight="true" outlineLevel="0" collapsed="false">
      <c r="AB50" s="1" t="s">
        <v>513</v>
      </c>
      <c r="AC50" s="1" t="s">
        <v>1702</v>
      </c>
    </row>
    <row r="51" customFormat="false" ht="12.75" hidden="false" customHeight="true" outlineLevel="0" collapsed="false">
      <c r="AB51" s="1" t="s">
        <v>121</v>
      </c>
      <c r="AC51" s="1" t="s">
        <v>1699</v>
      </c>
    </row>
    <row r="52" customFormat="false" ht="12.75" hidden="false" customHeight="true" outlineLevel="0" collapsed="false">
      <c r="AB52" s="1" t="s">
        <v>1220</v>
      </c>
      <c r="AC52" s="1" t="s">
        <v>1699</v>
      </c>
    </row>
    <row r="53" customFormat="false" ht="12.75" hidden="false" customHeight="true" outlineLevel="0" collapsed="false">
      <c r="AB53" s="1" t="s">
        <v>113</v>
      </c>
      <c r="AC53" s="1" t="s">
        <v>1704</v>
      </c>
    </row>
    <row r="54" customFormat="false" ht="12.75" hidden="false" customHeight="true" outlineLevel="0" collapsed="false">
      <c r="AB54" s="1" t="s">
        <v>1367</v>
      </c>
      <c r="AC54" s="1" t="s">
        <v>1699</v>
      </c>
    </row>
    <row r="55" customFormat="false" ht="12.75" hidden="false" customHeight="true" outlineLevel="0" collapsed="false">
      <c r="AB55" s="1" t="s">
        <v>40</v>
      </c>
      <c r="AC55" s="1" t="s">
        <v>1699</v>
      </c>
    </row>
    <row r="56" customFormat="false" ht="12.75" hidden="false" customHeight="true" outlineLevel="0" collapsed="false">
      <c r="AB56" s="1" t="s">
        <v>543</v>
      </c>
      <c r="AC56" s="1" t="s">
        <v>1704</v>
      </c>
    </row>
    <row r="57" customFormat="false" ht="12.75" hidden="false" customHeight="true" outlineLevel="0" collapsed="false">
      <c r="AB57" s="1" t="s">
        <v>44</v>
      </c>
      <c r="AC57" s="1" t="s">
        <v>1699</v>
      </c>
    </row>
    <row r="58" customFormat="false" ht="12.75" hidden="false" customHeight="true" outlineLevel="0" collapsed="false">
      <c r="AB58" s="1" t="s">
        <v>55</v>
      </c>
      <c r="AC58" s="1" t="s">
        <v>1706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1711</v>
      </c>
      <c r="B1" s="20" t="s">
        <v>1694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1668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0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3086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0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1776.82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203.8</v>
      </c>
      <c r="L15" s="16" t="n">
        <f aca="false">SUMIFS(Report!$U:$U,Report!$T:$T,$A15,Report!$C:$C,"&gt;="&amp;DATE(2026,10,1),Report!$C:$C,"&lt;"&amp;DATE(2026,11,1))</f>
        <v>0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1727.94</v>
      </c>
      <c r="L17" s="16" t="n">
        <f aca="false">SUMIFS(Report!$U:$U,Report!$T:$T,$A17,Report!$C:$C,"&gt;="&amp;DATE(2026,10,1),Report!$C:$C,"&lt;"&amp;DATE(2026,11,1))</f>
        <v>1064.13</v>
      </c>
      <c r="M17" s="16" t="n">
        <f aca="false">SUMIFS(Report!$U:$U,Report!$T:$T,$A17,Report!$C:$C,"&gt;="&amp;DATE(2026,11,1),Report!$C:$C,"&lt;"&amp;DATE(2026,12,1))</f>
        <v>620.65</v>
      </c>
      <c r="N17" s="16" t="n">
        <f aca="false">SUMIFS(Report!$U:$U,Report!$T:$T,$A17,Report!$C:$C,"&gt;="&amp;DATE(2026,12,1),Report!$C:$C,"&lt;"&amp;DATE(2027,1,1))</f>
        <v>378.82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19391.72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3460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4168.41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36187.98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10645.93</v>
      </c>
      <c r="L21" s="16" t="n">
        <f aca="false">SUMIFS(Report!$U:$U,Report!$T:$T,$A21,Report!$C:$C,"&gt;="&amp;DATE(2026,10,1),Report!$C:$C,"&lt;"&amp;DATE(2026,11,1))</f>
        <v>0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38112.58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300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12279.14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220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9250</v>
      </c>
    </row>
    <row r="29" customFormat="false" ht="12.75" hidden="false" customHeight="true" outlineLevel="0" collapsed="false">
      <c r="A29" s="1" t="s">
        <v>1614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3313.57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3313.57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875.87</v>
      </c>
      <c r="L32" s="16" t="n">
        <f aca="false">SUMIFS(Report!$U:$U,Report!$T:$T,$A32,Report!$C:$C,"&gt;="&amp;DATE(2026,10,1),Report!$C:$C,"&lt;"&amp;DATE(2026,11,1))</f>
        <v>119.97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4219.35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0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11596.26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184301.09</v>
      </c>
      <c r="L43" s="16" t="n">
        <f aca="false">SUMIFS(Report!$U:$U,Report!$T:$T,$A43,Report!$C:$C,"&gt;="&amp;DATE(2026,10,1),Report!$C:$C,"&lt;"&amp;DATE(2026,11,1))</f>
        <v>1971.87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1050588.2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250.1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50295.23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5019.97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800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3160</v>
      </c>
    </row>
    <row r="55" customFormat="false" ht="12.75" hidden="false" customHeight="true" outlineLevel="0" collapsed="false">
      <c r="A55" s="1" t="s">
        <v>1693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228893.14</v>
      </c>
      <c r="L55" s="16" t="n">
        <f aca="false">SUM(L2:L54)</f>
        <v>17069.32</v>
      </c>
      <c r="M55" s="16" t="n">
        <f aca="false">SUM(M2:M54)</f>
        <v>11961.88</v>
      </c>
      <c r="N55" s="16" t="n">
        <f aca="false">SUM(N2:N54)</f>
        <v>12315.95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SUM(Z2:Z54)</f>
        <v>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1712</v>
      </c>
      <c r="B1" s="32" t="n">
        <f aca="false">SUMIFS(Report!$U:$U,Report!$T:$T,"&lt;&gt;"&amp;"MERCADORIAS P/REVENDA",Report!$AA:$AA,"SIM",Report!$C:$C,"&gt;="&amp;DATE(2026,1,1),Report!$C:$C,"&lt;="&amp;DATE(2027,12,31))</f>
        <v>508358.99</v>
      </c>
      <c r="C1" s="32" t="n">
        <f aca="false">SUMIFS(Report!$U:$U,Report!$T:$T,"MERCADORIAS P/REVENDA",Report!$AA:$AA,"SIM",Report!$C:$C,"&gt;="&amp;DATE(2026,1,1),Report!$C:$C,"&lt;="&amp;DATE(2027,12,31))</f>
        <v>1050588.2</v>
      </c>
      <c r="D1" s="33" t="s">
        <v>1713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1558947.19</v>
      </c>
      <c r="H1" s="1"/>
      <c r="I1" s="16"/>
    </row>
    <row r="2" customFormat="false" ht="12.75" hidden="false" customHeight="true" outlineLevel="0" collapsed="false">
      <c r="A2" s="19" t="s">
        <v>1714</v>
      </c>
      <c r="B2" s="21" t="s">
        <v>1666</v>
      </c>
      <c r="C2" s="21" t="s">
        <v>1667</v>
      </c>
      <c r="D2" s="33" t="s">
        <v>1715</v>
      </c>
      <c r="E2" s="32" t="n">
        <f aca="false">F1+E1</f>
        <v>1558947.19</v>
      </c>
      <c r="F2" s="21" t="s">
        <v>1716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11978.56</v>
      </c>
      <c r="F283" s="16" t="n">
        <f aca="false">B283+C283</f>
        <v>12583.02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2023.76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16598.26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3302.48</v>
      </c>
      <c r="C285" s="35" t="n">
        <f aca="false">SUMIFS(Report!$U:$U,Report!$T:$T,"MERCADORIAS P/REVENDA",Report!$AA:$AA,"SIM",Report!$C:$C,A285)</f>
        <v>3811.83</v>
      </c>
      <c r="D285" s="36"/>
      <c r="E285" s="36"/>
      <c r="F285" s="35" t="n">
        <f aca="false">B285+C285</f>
        <v>7114.31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0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119.97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5261.72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12603.96</v>
      </c>
      <c r="C288" s="25" t="n">
        <f aca="false">SUM(C281:C287)</f>
        <v>67029.61</v>
      </c>
      <c r="D288" s="29"/>
      <c r="E288" s="29"/>
      <c r="F288" s="25" t="n">
        <f aca="false">B288+C288</f>
        <v>79633.57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19950.2</v>
      </c>
      <c r="F289" s="16" t="n">
        <f aca="false">B289+C289</f>
        <v>19950.2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13890.02</v>
      </c>
      <c r="F290" s="16" t="n">
        <f aca="false">B290+C290</f>
        <v>13890.02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15769.23</v>
      </c>
      <c r="F291" s="16" t="n">
        <f aca="false">B291+C291</f>
        <v>17423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3313.57</v>
      </c>
      <c r="C292" s="16" t="n">
        <f aca="false">SUMIFS(Report!$U:$U,Report!$T:$T,"MERCADORIAS P/REVENDA",Report!$AA:$AA,"SIM",Report!$C:$C,A292)</f>
        <v>8682.91</v>
      </c>
      <c r="F292" s="16" t="n">
        <f aca="false">B292+C292</f>
        <v>11996.48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2765.69</v>
      </c>
      <c r="D293" s="36"/>
      <c r="E293" s="36"/>
      <c r="F293" s="35" t="n">
        <f aca="false">B293+C293</f>
        <v>2765.69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0</v>
      </c>
      <c r="D294" s="36"/>
      <c r="E294" s="36"/>
      <c r="F294" s="35" t="n">
        <f aca="false">B294+C294</f>
        <v>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5918.07</v>
      </c>
      <c r="D295" s="36"/>
      <c r="E295" s="36"/>
      <c r="F295" s="35" t="n">
        <f aca="false">B295+C295</f>
        <v>7250.62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6299.89</v>
      </c>
      <c r="C296" s="25" t="n">
        <f aca="false">SUM(C289:C295)</f>
        <v>66976.12</v>
      </c>
      <c r="D296" s="29"/>
      <c r="E296" s="29"/>
      <c r="F296" s="25" t="n">
        <f aca="false">B296+C296</f>
        <v>73276.01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6822.65</v>
      </c>
      <c r="F297" s="16" t="n">
        <f aca="false">B297+C297</f>
        <v>12751.53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8983.53</v>
      </c>
      <c r="F298" s="16" t="n">
        <f aca="false">B298+C298</f>
        <v>9041.53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9506.74</v>
      </c>
      <c r="F299" s="16" t="n">
        <f aca="false">B299+C299</f>
        <v>9506.74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2190.86</v>
      </c>
      <c r="F300" s="16" t="n">
        <f aca="false">B300+C300</f>
        <v>2438.13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0</v>
      </c>
      <c r="D301" s="36"/>
      <c r="E301" s="36"/>
      <c r="F301" s="35" t="n">
        <f aca="false">B301+C301</f>
        <v>0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2937.78</v>
      </c>
      <c r="D303" s="36"/>
      <c r="E303" s="36"/>
      <c r="F303" s="35" t="n">
        <f aca="false">B303+C303</f>
        <v>4270.33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30441.56</v>
      </c>
      <c r="D304" s="29"/>
      <c r="E304" s="29"/>
      <c r="F304" s="25" t="n">
        <f aca="false">B304+C304</f>
        <v>38742.46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4576.92</v>
      </c>
      <c r="F305" s="16" t="n">
        <f aca="false">B305+C305</f>
        <v>4576.92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3806.33</v>
      </c>
      <c r="F306" s="16" t="n">
        <f aca="false">B306+C306</f>
        <v>3806.33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6781.14</v>
      </c>
      <c r="F307" s="16" t="n">
        <f aca="false">B307+C307</f>
        <v>17427.07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1943.31</v>
      </c>
      <c r="F308" s="16" t="n">
        <f aca="false">B308+C308</f>
        <v>2521.9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1524.86</v>
      </c>
      <c r="D311" s="36"/>
      <c r="E311" s="36"/>
      <c r="F311" s="35" t="n">
        <f aca="false">B311+C311</f>
        <v>7025.82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16725.48</v>
      </c>
      <c r="C312" s="25" t="n">
        <f aca="false">SUM(C305:C311)</f>
        <v>18632.56</v>
      </c>
      <c r="D312" s="29"/>
      <c r="E312" s="29"/>
      <c r="F312" s="25" t="n">
        <f aca="false">B312+C312</f>
        <v>35358.04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661.82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0</v>
      </c>
      <c r="D319" s="36"/>
      <c r="E319" s="36"/>
      <c r="F319" s="35" t="n">
        <f aca="false">B319+C319</f>
        <v>1582.65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2894.19</v>
      </c>
      <c r="C320" s="25" t="n">
        <f aca="false">SUM(C313:C319)</f>
        <v>3193.11</v>
      </c>
      <c r="D320" s="29"/>
      <c r="E320" s="29"/>
      <c r="F320" s="25" t="n">
        <f aca="false">B320+C320</f>
        <v>6087.3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1110.16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1110.16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1230.13</v>
      </c>
      <c r="C328" s="25" t="n">
        <f aca="false">SUM(C321:C327)</f>
        <v>0</v>
      </c>
      <c r="D328" s="29"/>
      <c r="E328" s="29"/>
      <c r="F328" s="25" t="n">
        <f aca="false">B328+C328</f>
        <v>1230.13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0</v>
      </c>
      <c r="D336" s="29"/>
      <c r="E336" s="29"/>
      <c r="F336" s="25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4694.48</v>
      </c>
      <c r="C344" s="25" t="n">
        <f aca="false">SUM(C337:C343)</f>
        <v>0</v>
      </c>
      <c r="D344" s="29"/>
      <c r="E344" s="29"/>
      <c r="F344" s="25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378.82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378.82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620.64</v>
      </c>
      <c r="C352" s="25" t="n">
        <f aca="false">SUM(C345:C351)</f>
        <v>0</v>
      </c>
      <c r="D352" s="29"/>
      <c r="E352" s="29"/>
      <c r="F352" s="25" t="n">
        <f aca="false">B352+C352</f>
        <v>620.64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0</v>
      </c>
      <c r="D360" s="29"/>
      <c r="E360" s="29"/>
      <c r="F360" s="25" t="n">
        <f aca="false">B360+C360</f>
        <v>250.1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666.67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666.67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6595.55</v>
      </c>
      <c r="C368" s="25" t="n">
        <f aca="false">SUM(C361:C367)</f>
        <v>0</v>
      </c>
      <c r="D368" s="29"/>
      <c r="E368" s="29"/>
      <c r="F368" s="25" t="n">
        <f aca="false">B368+C368</f>
        <v>6595.55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0</v>
      </c>
      <c r="D384" s="29"/>
      <c r="E384" s="29"/>
      <c r="F384" s="25" t="n">
        <f aca="false">B384+C384</f>
        <v>4490.14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378.82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378.82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628.92</v>
      </c>
      <c r="C392" s="25" t="n">
        <f aca="false">SUM(C385:C391)</f>
        <v>0</v>
      </c>
      <c r="D392" s="29"/>
      <c r="E392" s="29"/>
      <c r="F392" s="25" t="n">
        <f aca="false">B392+C392</f>
        <v>628.92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666.67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666.67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666.67</v>
      </c>
      <c r="C400" s="25" t="n">
        <f aca="false">SUM(C393:C399)</f>
        <v>0</v>
      </c>
      <c r="D400" s="29"/>
      <c r="E400" s="29"/>
      <c r="F400" s="25" t="n">
        <f aca="false">B400+C400</f>
        <v>666.67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1717</v>
      </c>
      <c r="B1" s="38"/>
      <c r="C1" s="38"/>
      <c r="D1" s="38"/>
    </row>
    <row r="2" customFormat="false" ht="12.75" hidden="false" customHeight="true" outlineLevel="0" collapsed="false">
      <c r="A2" s="39" t="s">
        <v>1718</v>
      </c>
      <c r="B2" s="39"/>
      <c r="C2" s="39"/>
      <c r="D2" s="39"/>
    </row>
    <row r="4" customFormat="false" ht="24.75" hidden="false" customHeight="true" outlineLevel="0" collapsed="false">
      <c r="A4" s="40" t="s">
        <v>1665</v>
      </c>
      <c r="B4" s="40" t="s">
        <v>1719</v>
      </c>
      <c r="C4" s="40" t="s">
        <v>1720</v>
      </c>
    </row>
    <row r="5" customFormat="false" ht="12.75" hidden="false" customHeight="true" outlineLevel="0" collapsed="false">
      <c r="A5" s="41" t="s">
        <v>1669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1670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1671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1672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1673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1674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1675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1676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1677</v>
      </c>
      <c r="B13" s="41" t="n">
        <v>2026</v>
      </c>
      <c r="C13" s="43" t="n">
        <v>94149.04</v>
      </c>
    </row>
    <row r="14" customFormat="false" ht="13.5" hidden="false" customHeight="true" outlineLevel="0" collapsed="false">
      <c r="A14" s="41" t="s">
        <v>1678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1679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1680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1721</v>
      </c>
      <c r="B18" s="44"/>
      <c r="C18" s="45" t="n">
        <v>46273.4046759259</v>
      </c>
    </row>
    <row r="19" customFormat="false" ht="12.75" hidden="false" customHeight="true" outlineLevel="0" collapsed="false">
      <c r="A19" s="1" t="s">
        <v>1722</v>
      </c>
      <c r="C19" s="46" t="n">
        <f aca="false">IF(ISNUMBER(INDEX($C$5:$C$16,MONTH($C$18))),(INDEX($C$5:$C$16,MONTH($C$18))/DAY($C$18))*DAY(EOMONTH($C$18,0)),"")</f>
        <v>353058.9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1723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1724</v>
      </c>
    </row>
    <row r="3" customFormat="false" ht="12.75" hidden="false" customHeight="true" outlineLevel="0" collapsed="false">
      <c r="A3" s="22" t="s">
        <v>1725</v>
      </c>
      <c r="E3" s="50" t="n">
        <v>0.7</v>
      </c>
      <c r="F3" s="51" t="s">
        <v>1726</v>
      </c>
      <c r="G3" s="51" t="s">
        <v>1727</v>
      </c>
      <c r="H3" s="51" t="s">
        <v>1728</v>
      </c>
      <c r="I3" s="51" t="s">
        <v>1729</v>
      </c>
      <c r="J3" s="51" t="s">
        <v>1730</v>
      </c>
      <c r="K3" s="51" t="s">
        <v>1731</v>
      </c>
      <c r="L3" s="51" t="s">
        <v>1732</v>
      </c>
      <c r="M3" s="51" t="s">
        <v>1733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1665</v>
      </c>
      <c r="B6" s="27" t="s">
        <v>1734</v>
      </c>
      <c r="C6" s="27" t="s">
        <v>1735</v>
      </c>
      <c r="D6" s="27" t="s">
        <v>1736</v>
      </c>
      <c r="E6" s="27" t="s">
        <v>1737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1669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</row>
    <row r="8" customFormat="false" ht="12.75" hidden="false" customHeight="true" outlineLevel="0" collapsed="false">
      <c r="A8" s="22" t="s">
        <v>1670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</row>
    <row r="9" customFormat="false" ht="12.75" hidden="false" customHeight="true" outlineLevel="0" collapsed="false">
      <c r="A9" s="22" t="s">
        <v>1671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</row>
    <row r="10" customFormat="false" ht="12.75" hidden="false" customHeight="true" outlineLevel="0" collapsed="false">
      <c r="A10" s="22" t="s">
        <v>1672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</row>
    <row r="11" customFormat="false" ht="12.75" hidden="false" customHeight="true" outlineLevel="0" collapsed="false">
      <c r="A11" s="22" t="s">
        <v>1673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</row>
    <row r="12" customFormat="false" ht="12.75" hidden="false" customHeight="true" outlineLevel="0" collapsed="false">
      <c r="A12" s="22" t="s">
        <v>1674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19)'!$E:$E,"&gt;="&amp;DATE(2026,6,1),'Notas Fiscais (Rel 19)'!$E:$E,"&lt;="&amp;DATE(2026,6,30))</f>
        <v>323354.67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</row>
    <row r="13" customFormat="false" ht="12.75" hidden="false" customHeight="true" outlineLevel="0" collapsed="false">
      <c r="A13" s="22" t="s">
        <v>1675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19)'!$E:$E,"&gt;="&amp;DATE(2026,7,1),'Notas Fiscais (Rel 19)'!$E:$E,"&lt;="&amp;DATE(2026,7,31))</f>
        <v>293314.78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</row>
    <row r="14" customFormat="false" ht="12.75" hidden="false" customHeight="true" outlineLevel="0" collapsed="false">
      <c r="A14" s="22" t="s">
        <v>1676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19)'!$E:$E,"&gt;="&amp;DATE(2026,8,1),'Notas Fiscais (Rel 19)'!$E:$E,"&lt;="&amp;DATE(2026,8,31))</f>
        <v>301419.67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</row>
    <row r="15" customFormat="false" ht="12.75" hidden="false" customHeight="true" outlineLevel="0" collapsed="false">
      <c r="A15" s="22" t="s">
        <v>1677</v>
      </c>
      <c r="B15" s="16" t="n">
        <f aca="false">IFERROR(INDEX('Venda Anual (Base)'!$C$5:$C$16,MATCH($A15,'Venda Anual (Base)'!$A$5:$A$16,0)),"")</f>
        <v>94149.04</v>
      </c>
      <c r="C15" s="16" t="n">
        <f aca="false">(B14*$E$3)</f>
        <v>276163.832</v>
      </c>
      <c r="D15" s="16" t="n">
        <f aca="false">IFERROR(INDEX('Resumo Mensal'!$C$2:$C$25,MATCH($A15,'Resumo Mensal'!$A$2:$A$25,0)),0)</f>
        <v>184301.09</v>
      </c>
      <c r="E15" s="16" t="n">
        <f aca="false">IF(AND(ISNUMBER(C15),D15&gt;0),D15-C15,"")</f>
        <v>-91862.742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58.7263842520327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19)'!$E:$E,"&gt;="&amp;DATE(2026,9,1),'Notas Fiscais (Rel 19)'!$E:$E,"&lt;="&amp;DATE(2026,9,30))</f>
        <v>42334.16</v>
      </c>
      <c r="K15" s="16" t="n">
        <f aca="false">IF($A15=INDEX('Venda Anual (Base)'!$A$5:$A$16,MONTH('Venda Anual (Base)'!$C$18)),IFERROR(B15/DAY('Venda Anual (Base)'!$C$18)*DAY(EOMONTH('Venda Anual (Base)'!$C$18,0)),""),"")</f>
        <v>353058.9</v>
      </c>
      <c r="L15" s="16" t="n">
        <f aca="false">('Resumo Grupos'!J13)</f>
        <v>44592.05</v>
      </c>
      <c r="M15" s="16" t="n">
        <f aca="false">IFERROR(B15-D15-L15,"")</f>
        <v>-134744.1</v>
      </c>
    </row>
    <row r="16" customFormat="false" ht="12.75" hidden="false" customHeight="true" outlineLevel="0" collapsed="false">
      <c r="A16" s="22" t="s">
        <v>1678</v>
      </c>
      <c r="B16" s="16" t="n">
        <f aca="false">IFERROR(INDEX('Venda Anual (Base)'!$C$5:$C$16,MATCH($A16,'Venda Anual (Base)'!$A$5:$A$16,0)),"")</f>
        <v>0</v>
      </c>
      <c r="C16" s="16" t="n">
        <f aca="false">(B15*$E$3)</f>
        <v>65904.328</v>
      </c>
      <c r="D16" s="16" t="n">
        <f aca="false">IFERROR(INDEX('Resumo Mensal'!$C$2:$C$25,MATCH($A16,'Resumo Mensal'!$A$2:$A$25,0)),0)</f>
        <v>1971.87</v>
      </c>
      <c r="E16" s="16" t="n">
        <f aca="false">IF(AND(ISNUMBER(C16),D16&gt;0),D16-C16,"")</f>
        <v>-63932.458</v>
      </c>
      <c r="F16" s="60" t="n">
        <f aca="false">IF(AND(ISNUMBER(B15),ISNUMBER(B14),B14&lt;&gt;0),B15/B14,"")</f>
        <v>0.238642140510275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15727.5499028113</v>
      </c>
      <c r="J16" s="63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15097.45</v>
      </c>
      <c r="M16" s="16" t="n">
        <f aca="false">IFERROR(B16-D16-L16,"")</f>
        <v>-17069.32</v>
      </c>
    </row>
    <row r="17" customFormat="false" ht="12.75" hidden="false" customHeight="true" outlineLevel="0" collapsed="false">
      <c r="A17" s="22" t="s">
        <v>1679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11961.88</v>
      </c>
      <c r="M17" s="16" t="n">
        <f aca="false">IFERROR(B17-D17-L17,"")</f>
        <v>-11961.88</v>
      </c>
    </row>
    <row r="18" customFormat="false" ht="12.75" hidden="false" customHeight="true" outlineLevel="0" collapsed="false">
      <c r="A18" s="22" t="s">
        <v>1680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12315.95</v>
      </c>
      <c r="M18" s="16" t="n">
        <f aca="false">IFERROR(B18-D18-L18,"")</f>
        <v>-12315.95</v>
      </c>
    </row>
    <row r="19" customFormat="false" ht="12.75" hidden="false" customHeight="true" outlineLevel="0" collapsed="false">
      <c r="A19" s="58" t="s">
        <v>1693</v>
      </c>
      <c r="B19" s="30" t="n">
        <f aca="false">SUM(B7:B18)</f>
        <v>2879587.38</v>
      </c>
      <c r="C19" s="30" t="n">
        <f aca="false">SUM(C7:C18)</f>
        <v>2015711.166</v>
      </c>
      <c r="D19" s="30" t="n">
        <f aca="false">SUM(D7:D18)</f>
        <v>1050588.2</v>
      </c>
      <c r="E19" s="30" t="n">
        <f aca="false">IF(COUNT(E7:E18)=0,"sem dados comparaveis ainda",SUM(E7:E18))</f>
        <v>-66511.455</v>
      </c>
      <c r="F19" s="65" t="n">
        <f aca="false">SUM(F7:F18)</f>
        <v>7.51222542313965</v>
      </c>
      <c r="G19" s="64"/>
      <c r="I19" s="16" t="n">
        <f aca="false">SUM(I7:I18)</f>
        <v>1945367.250493</v>
      </c>
      <c r="J19" s="16" t="n">
        <f aca="false">SUM(J7:J18)</f>
        <v>960423.28</v>
      </c>
      <c r="K19" s="16" t="n">
        <f aca="false">SUM(K7:K18)</f>
        <v>353058.9</v>
      </c>
      <c r="L19" s="16" t="n">
        <f aca="false">SUM(L7:L18)</f>
        <v>508358.99</v>
      </c>
      <c r="M19" s="16" t="n">
        <f aca="false">SUM(M7:M18)</f>
        <v>1320640.19</v>
      </c>
    </row>
    <row r="21" customFormat="false" ht="12.75" hidden="false" customHeight="true" outlineLevel="0" collapsed="false">
      <c r="A21" s="22" t="s">
        <v>1738</v>
      </c>
    </row>
    <row r="23" customFormat="false" ht="12.75" hidden="false" customHeight="true" outlineLevel="0" collapsed="false">
      <c r="A23" s="22" t="s">
        <v>1739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1740</v>
      </c>
      <c r="B1" s="1" t="s">
        <v>1741</v>
      </c>
      <c r="C1" s="1" t="s">
        <v>1742</v>
      </c>
      <c r="D1" s="1" t="s">
        <v>1743</v>
      </c>
      <c r="E1" s="1" t="s">
        <v>1744</v>
      </c>
      <c r="F1" s="1" t="s">
        <v>1745</v>
      </c>
      <c r="G1" s="1" t="s">
        <v>1746</v>
      </c>
      <c r="H1" s="1" t="s">
        <v>1747</v>
      </c>
      <c r="I1" s="1" t="s">
        <v>1748</v>
      </c>
      <c r="J1" s="1" t="s">
        <v>1749</v>
      </c>
      <c r="K1" s="1" t="s">
        <v>1750</v>
      </c>
      <c r="N1" s="66" t="s">
        <v>1714</v>
      </c>
      <c r="O1" s="66" t="s">
        <v>1751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88</v>
      </c>
      <c r="D2" s="1" t="s">
        <v>1752</v>
      </c>
      <c r="E2" s="15" t="n">
        <v>46174</v>
      </c>
      <c r="F2" s="15" t="n">
        <v>46171</v>
      </c>
      <c r="G2" s="1" t="s">
        <v>239</v>
      </c>
      <c r="H2" s="1" t="n">
        <v>1187025</v>
      </c>
      <c r="I2" s="1" t="n">
        <v>11</v>
      </c>
      <c r="J2" s="1" t="s">
        <v>1753</v>
      </c>
      <c r="K2" s="46" t="n">
        <v>672.85</v>
      </c>
      <c r="N2" s="15" t="n">
        <v>46174</v>
      </c>
      <c r="O2" s="46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49</v>
      </c>
      <c r="D3" s="1" t="s">
        <v>1754</v>
      </c>
      <c r="E3" s="15" t="n">
        <v>46174</v>
      </c>
      <c r="F3" s="15" t="n">
        <v>46171</v>
      </c>
      <c r="G3" s="1" t="s">
        <v>131</v>
      </c>
      <c r="H3" s="1" t="n">
        <v>1188052</v>
      </c>
      <c r="I3" s="1" t="n">
        <v>1</v>
      </c>
      <c r="J3" s="1" t="s">
        <v>1753</v>
      </c>
      <c r="K3" s="46" t="n">
        <v>305.12</v>
      </c>
      <c r="N3" s="15" t="n">
        <v>46174</v>
      </c>
      <c r="O3" s="46" t="n">
        <f aca="false">SUMIFS($K:$K,$E:$E,N3)</f>
        <v>6182.02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67</v>
      </c>
      <c r="D4" s="1" t="s">
        <v>1754</v>
      </c>
      <c r="E4" s="15" t="n">
        <v>46174</v>
      </c>
      <c r="F4" s="15" t="n">
        <v>46171</v>
      </c>
      <c r="G4" s="1" t="s">
        <v>131</v>
      </c>
      <c r="H4" s="1" t="n">
        <v>1188066</v>
      </c>
      <c r="I4" s="1" t="n">
        <v>11</v>
      </c>
      <c r="J4" s="1" t="s">
        <v>1753</v>
      </c>
      <c r="K4" s="46" t="n">
        <v>319.14</v>
      </c>
      <c r="N4" s="15" t="n">
        <v>46174</v>
      </c>
      <c r="O4" s="46" t="n">
        <f aca="false">SUMIFS($K:$K,$E:$E,N4)</f>
        <v>6182.02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67</v>
      </c>
      <c r="D5" s="1" t="s">
        <v>1754</v>
      </c>
      <c r="E5" s="15" t="n">
        <v>46174</v>
      </c>
      <c r="F5" s="15" t="n">
        <v>46171</v>
      </c>
      <c r="G5" s="1" t="s">
        <v>131</v>
      </c>
      <c r="H5" s="1" t="n">
        <v>1188049</v>
      </c>
      <c r="I5" s="1" t="n">
        <v>1</v>
      </c>
      <c r="J5" s="1" t="s">
        <v>1753</v>
      </c>
      <c r="K5" s="46" t="n">
        <v>225.8</v>
      </c>
      <c r="N5" s="15" t="n">
        <v>46174</v>
      </c>
      <c r="O5" s="46" t="n">
        <f aca="false">SUMIFS($K:$K,$E:$E,N5)</f>
        <v>6182.02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1755</v>
      </c>
      <c r="D6" s="1" t="s">
        <v>1756</v>
      </c>
      <c r="E6" s="15" t="n">
        <v>46174</v>
      </c>
      <c r="F6" s="15" t="n">
        <v>46172</v>
      </c>
      <c r="G6" s="1" t="s">
        <v>416</v>
      </c>
      <c r="H6" s="1" t="n">
        <v>1187101</v>
      </c>
      <c r="I6" s="1" t="n">
        <v>1</v>
      </c>
      <c r="J6" s="1" t="s">
        <v>1753</v>
      </c>
      <c r="K6" s="46" t="n">
        <v>172</v>
      </c>
      <c r="N6" s="15" t="n">
        <v>46174</v>
      </c>
      <c r="O6" s="46" t="n">
        <f aca="false">SUMIFS($K:$K,$E:$E,N6)</f>
        <v>6182.02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36</v>
      </c>
      <c r="D7" s="1" t="s">
        <v>1757</v>
      </c>
      <c r="E7" s="15" t="n">
        <v>46174</v>
      </c>
      <c r="F7" s="15" t="n">
        <v>46172</v>
      </c>
      <c r="G7" s="1" t="s">
        <v>272</v>
      </c>
      <c r="H7" s="1" t="n">
        <v>1188021</v>
      </c>
      <c r="I7" s="1" t="n">
        <v>1</v>
      </c>
      <c r="J7" s="1" t="s">
        <v>1753</v>
      </c>
      <c r="K7" s="46" t="n">
        <v>3329</v>
      </c>
      <c r="N7" s="15" t="n">
        <v>46174</v>
      </c>
      <c r="O7" s="46" t="n">
        <f aca="false">SUMIFS($K:$K,$E:$E,N7)</f>
        <v>6182.02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88</v>
      </c>
      <c r="D8" s="1" t="s">
        <v>1758</v>
      </c>
      <c r="E8" s="15" t="n">
        <v>46174</v>
      </c>
      <c r="F8" s="15" t="n">
        <v>46174</v>
      </c>
      <c r="G8" s="1" t="s">
        <v>211</v>
      </c>
      <c r="H8" s="1" t="n">
        <v>1188208</v>
      </c>
      <c r="I8" s="1" t="n">
        <v>1</v>
      </c>
      <c r="J8" s="1" t="s">
        <v>1753</v>
      </c>
      <c r="K8" s="46" t="n">
        <v>334.6</v>
      </c>
      <c r="N8" s="15" t="n">
        <v>46174</v>
      </c>
      <c r="O8" s="46" t="n">
        <f aca="false">SUMIFS($K:$K,$E:$E,N8)</f>
        <v>6182.02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36</v>
      </c>
      <c r="D9" s="1" t="s">
        <v>1759</v>
      </c>
      <c r="E9" s="15" t="n">
        <v>46174</v>
      </c>
      <c r="F9" s="15" t="n">
        <v>46172</v>
      </c>
      <c r="G9" s="1" t="s">
        <v>205</v>
      </c>
      <c r="H9" s="1" t="n">
        <v>1187124</v>
      </c>
      <c r="I9" s="1" t="n">
        <v>1</v>
      </c>
      <c r="J9" s="1" t="s">
        <v>1753</v>
      </c>
      <c r="K9" s="46" t="n">
        <v>449.5</v>
      </c>
      <c r="N9" s="15" t="n">
        <v>46174</v>
      </c>
      <c r="O9" s="46" t="n">
        <f aca="false">SUMIFS($K:$K,$E:$E,N9)</f>
        <v>6182.02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36</v>
      </c>
      <c r="D10" s="1" t="s">
        <v>1760</v>
      </c>
      <c r="E10" s="15" t="n">
        <v>46174</v>
      </c>
      <c r="F10" s="15" t="n">
        <v>46174</v>
      </c>
      <c r="G10" s="1" t="s">
        <v>296</v>
      </c>
      <c r="H10" s="1" t="n">
        <v>1187978</v>
      </c>
      <c r="I10" s="1" t="n">
        <v>1</v>
      </c>
      <c r="J10" s="1" t="s">
        <v>1753</v>
      </c>
      <c r="K10" s="46" t="n">
        <v>374.01</v>
      </c>
      <c r="N10" s="15" t="n">
        <v>46174</v>
      </c>
      <c r="O10" s="46" t="n">
        <f aca="false">SUMIFS($K:$K,$E:$E,N10)</f>
        <v>6182.02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36</v>
      </c>
      <c r="D11" s="1" t="s">
        <v>1761</v>
      </c>
      <c r="E11" s="15" t="n">
        <v>46175</v>
      </c>
      <c r="F11" s="15" t="n">
        <v>46174</v>
      </c>
      <c r="G11" s="1" t="s">
        <v>144</v>
      </c>
      <c r="H11" s="1" t="n">
        <v>1192348</v>
      </c>
      <c r="I11" s="1" t="n">
        <v>1</v>
      </c>
      <c r="J11" s="1" t="s">
        <v>1753</v>
      </c>
      <c r="K11" s="46" t="n">
        <v>180</v>
      </c>
      <c r="N11" s="15" t="n">
        <v>46175</v>
      </c>
      <c r="O11" s="46" t="n">
        <f aca="false">SUMIFS($K:$K,$E:$E,N11)</f>
        <v>5231.59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36</v>
      </c>
      <c r="D12" s="1" t="s">
        <v>1762</v>
      </c>
      <c r="E12" s="15" t="n">
        <v>46175</v>
      </c>
      <c r="F12" s="15" t="n">
        <v>46170</v>
      </c>
      <c r="G12" s="1" t="s">
        <v>243</v>
      </c>
      <c r="H12" s="1" t="n">
        <v>1193359</v>
      </c>
      <c r="I12" s="1" t="n">
        <v>1</v>
      </c>
      <c r="J12" s="1" t="s">
        <v>1753</v>
      </c>
      <c r="K12" s="46" t="n">
        <v>570</v>
      </c>
      <c r="N12" s="15" t="n">
        <v>46175</v>
      </c>
      <c r="O12" s="46" t="n">
        <f aca="false">SUMIFS($K:$K,$E:$E,N12)</f>
        <v>5231.59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36</v>
      </c>
      <c r="D13" s="1" t="s">
        <v>1763</v>
      </c>
      <c r="E13" s="15" t="n">
        <v>46175</v>
      </c>
      <c r="F13" s="15" t="n">
        <v>46174</v>
      </c>
      <c r="G13" s="1" t="s">
        <v>233</v>
      </c>
      <c r="H13" s="1" t="n">
        <v>1191352</v>
      </c>
      <c r="I13" s="1" t="n">
        <v>1</v>
      </c>
      <c r="J13" s="1" t="s">
        <v>1753</v>
      </c>
      <c r="K13" s="46" t="n">
        <v>337.08</v>
      </c>
      <c r="N13" s="15" t="n">
        <v>46175</v>
      </c>
      <c r="O13" s="46" t="n">
        <f aca="false">SUMIFS($K:$K,$E:$E,N13)</f>
        <v>5231.59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36</v>
      </c>
      <c r="D14" s="1" t="s">
        <v>1764</v>
      </c>
      <c r="E14" s="15" t="n">
        <v>46175</v>
      </c>
      <c r="F14" s="15" t="n">
        <v>46170</v>
      </c>
      <c r="G14" s="1" t="s">
        <v>224</v>
      </c>
      <c r="H14" s="1" t="n">
        <v>1191332</v>
      </c>
      <c r="I14" s="1" t="n">
        <v>1</v>
      </c>
      <c r="J14" s="1" t="s">
        <v>1753</v>
      </c>
      <c r="K14" s="46" t="n">
        <v>342.59</v>
      </c>
      <c r="N14" s="15" t="n">
        <v>46175</v>
      </c>
      <c r="O14" s="46" t="n">
        <f aca="false">SUMIFS($K:$K,$E:$E,N14)</f>
        <v>5231.59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1755</v>
      </c>
      <c r="D15" s="1" t="s">
        <v>1756</v>
      </c>
      <c r="E15" s="15" t="n">
        <v>46175</v>
      </c>
      <c r="F15" s="15" t="n">
        <v>46174</v>
      </c>
      <c r="G15" s="1" t="s">
        <v>416</v>
      </c>
      <c r="H15" s="1" t="n">
        <v>1192343</v>
      </c>
      <c r="I15" s="1" t="n">
        <v>1</v>
      </c>
      <c r="J15" s="1" t="s">
        <v>1753</v>
      </c>
      <c r="K15" s="46" t="n">
        <v>130.5</v>
      </c>
      <c r="N15" s="15" t="n">
        <v>46175</v>
      </c>
      <c r="O15" s="46" t="n">
        <f aca="false">SUMIFS($K:$K,$E:$E,N15)</f>
        <v>5231.59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88</v>
      </c>
      <c r="D16" s="1" t="s">
        <v>1765</v>
      </c>
      <c r="E16" s="15" t="n">
        <v>46175</v>
      </c>
      <c r="F16" s="15" t="n">
        <v>46175</v>
      </c>
      <c r="G16" s="1" t="s">
        <v>155</v>
      </c>
      <c r="H16" s="1" t="n">
        <v>1193349</v>
      </c>
      <c r="I16" s="1" t="n">
        <v>1</v>
      </c>
      <c r="J16" s="1" t="s">
        <v>1753</v>
      </c>
      <c r="K16" s="46" t="n">
        <v>140</v>
      </c>
      <c r="N16" s="15" t="n">
        <v>46175</v>
      </c>
      <c r="O16" s="46" t="n">
        <f aca="false">SUMIFS($K:$K,$E:$E,N16)</f>
        <v>5231.59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1766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1753</v>
      </c>
      <c r="K17" s="46" t="n">
        <v>195</v>
      </c>
      <c r="N17" s="15" t="n">
        <v>46175</v>
      </c>
      <c r="O17" s="46" t="n">
        <f aca="false">SUMIFS($K:$K,$E:$E,N17)</f>
        <v>5231.59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36</v>
      </c>
      <c r="D18" s="1" t="s">
        <v>1766</v>
      </c>
      <c r="E18" s="15" t="n">
        <v>46175</v>
      </c>
      <c r="F18" s="15" t="n">
        <v>46175</v>
      </c>
      <c r="G18" s="1" t="s">
        <v>146</v>
      </c>
      <c r="H18" s="1" t="n">
        <v>1193292</v>
      </c>
      <c r="I18" s="1" t="n">
        <v>6</v>
      </c>
      <c r="J18" s="1" t="s">
        <v>1753</v>
      </c>
      <c r="K18" s="46" t="n">
        <v>1465.86</v>
      </c>
      <c r="N18" s="15" t="n">
        <v>46175</v>
      </c>
      <c r="O18" s="46" t="n">
        <f aca="false">SUMIFS($K:$K,$E:$E,N18)</f>
        <v>5231.59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36</v>
      </c>
      <c r="D19" s="1" t="s">
        <v>1766</v>
      </c>
      <c r="E19" s="15" t="n">
        <v>46175</v>
      </c>
      <c r="F19" s="15" t="n">
        <v>46175</v>
      </c>
      <c r="G19" s="1" t="s">
        <v>146</v>
      </c>
      <c r="H19" s="1" t="n">
        <v>1192361</v>
      </c>
      <c r="I19" s="1" t="n">
        <v>2</v>
      </c>
      <c r="J19" s="1" t="s">
        <v>1753</v>
      </c>
      <c r="K19" s="46" t="n">
        <v>195</v>
      </c>
      <c r="N19" s="15" t="n">
        <v>46175</v>
      </c>
      <c r="O19" s="46" t="n">
        <f aca="false">SUMIFS($K:$K,$E:$E,N19)</f>
        <v>5231.59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36</v>
      </c>
      <c r="D20" s="1" t="s">
        <v>1766</v>
      </c>
      <c r="E20" s="15" t="n">
        <v>46175</v>
      </c>
      <c r="F20" s="15" t="n">
        <v>46175</v>
      </c>
      <c r="G20" s="1" t="s">
        <v>146</v>
      </c>
      <c r="H20" s="1" t="n">
        <v>1193282</v>
      </c>
      <c r="I20" s="1" t="n">
        <v>2</v>
      </c>
      <c r="J20" s="1" t="s">
        <v>1753</v>
      </c>
      <c r="K20" s="46" t="n">
        <v>1465.86</v>
      </c>
      <c r="N20" s="15" t="n">
        <v>46175</v>
      </c>
      <c r="O20" s="46" t="n">
        <f aca="false">SUMIFS($K:$K,$E:$E,N20)</f>
        <v>5231.59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36</v>
      </c>
      <c r="D21" s="1" t="s">
        <v>1767</v>
      </c>
      <c r="E21" s="15" t="n">
        <v>46175</v>
      </c>
      <c r="F21" s="15" t="n">
        <v>46174</v>
      </c>
      <c r="G21" s="1" t="s">
        <v>105</v>
      </c>
      <c r="H21" s="1" t="n">
        <v>1193352</v>
      </c>
      <c r="I21" s="1" t="n">
        <v>1</v>
      </c>
      <c r="J21" s="1" t="s">
        <v>1753</v>
      </c>
      <c r="K21" s="46" t="n">
        <v>209.7</v>
      </c>
      <c r="N21" s="15" t="n">
        <v>46175</v>
      </c>
      <c r="O21" s="46" t="n">
        <f aca="false">SUMIFS($K:$K,$E:$E,N21)</f>
        <v>5231.59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36</v>
      </c>
      <c r="D22" s="1" t="s">
        <v>1768</v>
      </c>
      <c r="E22" s="15" t="n">
        <v>46176</v>
      </c>
      <c r="F22" s="15" t="n">
        <v>46175</v>
      </c>
      <c r="G22" s="1" t="s">
        <v>129</v>
      </c>
      <c r="H22" s="1" t="n">
        <v>1197279</v>
      </c>
      <c r="I22" s="1" t="n">
        <v>1</v>
      </c>
      <c r="J22" s="1" t="s">
        <v>1753</v>
      </c>
      <c r="K22" s="46" t="n">
        <v>431.22</v>
      </c>
      <c r="N22" s="15" t="n">
        <v>46176</v>
      </c>
      <c r="O22" s="46" t="n">
        <f aca="false">SUMIFS($K:$K,$E:$E,N22)</f>
        <v>4583.25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49</v>
      </c>
      <c r="D23" s="1" t="s">
        <v>1754</v>
      </c>
      <c r="E23" s="15" t="n">
        <v>46176</v>
      </c>
      <c r="F23" s="15" t="n">
        <v>46175</v>
      </c>
      <c r="G23" s="1" t="s">
        <v>131</v>
      </c>
      <c r="H23" s="1" t="n">
        <v>1197727</v>
      </c>
      <c r="I23" s="1" t="n">
        <v>1</v>
      </c>
      <c r="J23" s="1" t="s">
        <v>1753</v>
      </c>
      <c r="K23" s="46" t="n">
        <v>552.17</v>
      </c>
      <c r="N23" s="15" t="n">
        <v>46176</v>
      </c>
      <c r="O23" s="46" t="n">
        <f aca="false">SUMIFS($K:$K,$E:$E,N23)</f>
        <v>4583.25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67</v>
      </c>
      <c r="D24" s="1" t="s">
        <v>1754</v>
      </c>
      <c r="E24" s="15" t="n">
        <v>46176</v>
      </c>
      <c r="F24" s="15" t="n">
        <v>46175</v>
      </c>
      <c r="G24" s="1" t="s">
        <v>131</v>
      </c>
      <c r="H24" s="1" t="n">
        <v>1197731</v>
      </c>
      <c r="I24" s="1" t="n">
        <v>11</v>
      </c>
      <c r="J24" s="1" t="s">
        <v>1753</v>
      </c>
      <c r="K24" s="46" t="n">
        <v>182.54</v>
      </c>
      <c r="N24" s="15" t="n">
        <v>46176</v>
      </c>
      <c r="O24" s="46" t="n">
        <f aca="false">SUMIFS($K:$K,$E:$E,N24)</f>
        <v>4583.25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67</v>
      </c>
      <c r="D25" s="1" t="s">
        <v>1754</v>
      </c>
      <c r="E25" s="15" t="n">
        <v>46176</v>
      </c>
      <c r="F25" s="15" t="n">
        <v>46175</v>
      </c>
      <c r="G25" s="1" t="s">
        <v>131</v>
      </c>
      <c r="H25" s="1" t="n">
        <v>1197719</v>
      </c>
      <c r="I25" s="1" t="n">
        <v>1</v>
      </c>
      <c r="J25" s="1" t="s">
        <v>1753</v>
      </c>
      <c r="K25" s="46" t="n">
        <v>953.47</v>
      </c>
      <c r="N25" s="15" t="n">
        <v>46176</v>
      </c>
      <c r="O25" s="46" t="n">
        <f aca="false">SUMIFS($K:$K,$E:$E,N25)</f>
        <v>4583.25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36</v>
      </c>
      <c r="D26" s="1" t="s">
        <v>1769</v>
      </c>
      <c r="E26" s="15" t="n">
        <v>46176</v>
      </c>
      <c r="F26" s="15" t="n">
        <v>46175</v>
      </c>
      <c r="G26" s="1" t="s">
        <v>373</v>
      </c>
      <c r="H26" s="1" t="n">
        <v>1197015</v>
      </c>
      <c r="I26" s="1" t="n">
        <v>1</v>
      </c>
      <c r="J26" s="1" t="s">
        <v>1753</v>
      </c>
      <c r="K26" s="46" t="n">
        <v>2264.85</v>
      </c>
      <c r="N26" s="15" t="n">
        <v>46176</v>
      </c>
      <c r="O26" s="46" t="n">
        <f aca="false">SUMIFS($K:$K,$E:$E,N26)</f>
        <v>4583.25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36</v>
      </c>
      <c r="D27" s="1" t="s">
        <v>1770</v>
      </c>
      <c r="E27" s="15" t="n">
        <v>46176</v>
      </c>
      <c r="F27" s="15" t="n">
        <v>46176</v>
      </c>
      <c r="G27" s="1" t="s">
        <v>140</v>
      </c>
      <c r="H27" s="1" t="n">
        <v>1198387</v>
      </c>
      <c r="I27" s="1" t="n">
        <v>11</v>
      </c>
      <c r="J27" s="1" t="s">
        <v>1753</v>
      </c>
      <c r="K27" s="46" t="n">
        <v>199</v>
      </c>
      <c r="N27" s="15" t="n">
        <v>46176</v>
      </c>
      <c r="O27" s="46" t="n">
        <f aca="false">SUMIFS($K:$K,$E:$E,N27)</f>
        <v>4583.25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36</v>
      </c>
      <c r="D28" s="1" t="s">
        <v>1762</v>
      </c>
      <c r="E28" s="15" t="n">
        <v>46177</v>
      </c>
      <c r="F28" s="15" t="n">
        <v>46177</v>
      </c>
      <c r="G28" s="1" t="s">
        <v>243</v>
      </c>
      <c r="H28" s="1" t="n">
        <v>1202289</v>
      </c>
      <c r="I28" s="1" t="n">
        <v>11</v>
      </c>
      <c r="J28" s="1" t="s">
        <v>1753</v>
      </c>
      <c r="K28" s="46" t="n">
        <v>950</v>
      </c>
      <c r="N28" s="15" t="n">
        <v>46177</v>
      </c>
      <c r="O28" s="46" t="n">
        <f aca="false">SUMIFS($K:$K,$E:$E,N28)</f>
        <v>2550.8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36</v>
      </c>
      <c r="D29" s="1" t="s">
        <v>1771</v>
      </c>
      <c r="E29" s="15" t="n">
        <v>46177</v>
      </c>
      <c r="F29" s="15" t="n">
        <v>46176</v>
      </c>
      <c r="G29" s="1" t="s">
        <v>142</v>
      </c>
      <c r="H29" s="1" t="n">
        <v>1201508</v>
      </c>
      <c r="I29" s="1" t="n">
        <v>11</v>
      </c>
      <c r="J29" s="1" t="s">
        <v>1753</v>
      </c>
      <c r="K29" s="46" t="n">
        <v>1600.8</v>
      </c>
      <c r="N29" s="15" t="n">
        <v>46177</v>
      </c>
      <c r="O29" s="46" t="n">
        <f aca="false">SUMIFS($K:$K,$E:$E,N29)</f>
        <v>2550.8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36</v>
      </c>
      <c r="D30" s="1" t="s">
        <v>1772</v>
      </c>
      <c r="E30" s="15" t="n">
        <v>46178</v>
      </c>
      <c r="F30" s="15" t="n">
        <v>46178</v>
      </c>
      <c r="G30" s="1" t="s">
        <v>196</v>
      </c>
      <c r="H30" s="1" t="n">
        <v>1206913</v>
      </c>
      <c r="I30" s="1" t="n">
        <v>1</v>
      </c>
      <c r="J30" s="1" t="s">
        <v>1753</v>
      </c>
      <c r="K30" s="46" t="n">
        <v>618.56</v>
      </c>
      <c r="N30" s="15" t="n">
        <v>46178</v>
      </c>
      <c r="O30" s="46" t="n">
        <f aca="false">SUMIFS($K:$K,$E:$E,N30)</f>
        <v>5859.98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1755</v>
      </c>
      <c r="D31" s="1" t="s">
        <v>1756</v>
      </c>
      <c r="E31" s="15" t="n">
        <v>46178</v>
      </c>
      <c r="F31" s="15" t="n">
        <v>46176</v>
      </c>
      <c r="G31" s="1" t="s">
        <v>416</v>
      </c>
      <c r="H31" s="1" t="n">
        <v>1206599</v>
      </c>
      <c r="I31" s="1" t="n">
        <v>1</v>
      </c>
      <c r="J31" s="1" t="s">
        <v>1753</v>
      </c>
      <c r="K31" s="46" t="n">
        <v>133.5</v>
      </c>
      <c r="N31" s="15" t="n">
        <v>46178</v>
      </c>
      <c r="O31" s="46" t="n">
        <f aca="false">SUMIFS($K:$K,$E:$E,N31)</f>
        <v>5859.98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1755</v>
      </c>
      <c r="D32" s="1" t="s">
        <v>1756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1753</v>
      </c>
      <c r="K32" s="46" t="n">
        <v>90</v>
      </c>
      <c r="N32" s="15" t="n">
        <v>46178</v>
      </c>
      <c r="O32" s="46" t="n">
        <f aca="false">SUMIFS($K:$K,$E:$E,N32)</f>
        <v>5859.98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1755</v>
      </c>
      <c r="D33" s="1" t="s">
        <v>1756</v>
      </c>
      <c r="E33" s="15" t="n">
        <v>46178</v>
      </c>
      <c r="F33" s="15" t="n">
        <v>46178</v>
      </c>
      <c r="G33" s="1" t="s">
        <v>416</v>
      </c>
      <c r="H33" s="1" t="n">
        <v>1208237</v>
      </c>
      <c r="I33" s="1" t="n">
        <v>1</v>
      </c>
      <c r="J33" s="1" t="s">
        <v>1753</v>
      </c>
      <c r="K33" s="46" t="n">
        <v>81.5</v>
      </c>
      <c r="N33" s="15" t="n">
        <v>46178</v>
      </c>
      <c r="O33" s="46" t="n">
        <f aca="false">SUMIFS($K:$K,$E:$E,N33)</f>
        <v>5859.98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1773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1753</v>
      </c>
      <c r="K34" s="46" t="n">
        <v>1169.23</v>
      </c>
      <c r="N34" s="15" t="n">
        <v>46178</v>
      </c>
      <c r="O34" s="46" t="n">
        <f aca="false">SUMIFS($K:$K,$E:$E,N34)</f>
        <v>5859.98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36</v>
      </c>
      <c r="D35" s="1" t="s">
        <v>1774</v>
      </c>
      <c r="E35" s="15" t="n">
        <v>46178</v>
      </c>
      <c r="F35" s="15" t="n">
        <v>46178</v>
      </c>
      <c r="G35" s="1" t="s">
        <v>187</v>
      </c>
      <c r="H35" s="1" t="n">
        <v>1208207</v>
      </c>
      <c r="I35" s="1" t="n">
        <v>1</v>
      </c>
      <c r="J35" s="1" t="s">
        <v>1753</v>
      </c>
      <c r="K35" s="46" t="n">
        <v>161</v>
      </c>
      <c r="N35" s="15" t="n">
        <v>46178</v>
      </c>
      <c r="O35" s="46" t="n">
        <f aca="false">SUMIFS($K:$K,$E:$E,N35)</f>
        <v>5859.98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88</v>
      </c>
      <c r="D36" s="1" t="s">
        <v>1765</v>
      </c>
      <c r="E36" s="15" t="n">
        <v>46178</v>
      </c>
      <c r="F36" s="15" t="n">
        <v>46178</v>
      </c>
      <c r="G36" s="1" t="s">
        <v>155</v>
      </c>
      <c r="H36" s="1" t="n">
        <v>1221476</v>
      </c>
      <c r="I36" s="1" t="n">
        <v>1</v>
      </c>
      <c r="J36" s="1" t="s">
        <v>1753</v>
      </c>
      <c r="K36" s="46" t="n">
        <v>140</v>
      </c>
      <c r="N36" s="15" t="n">
        <v>46178</v>
      </c>
      <c r="O36" s="46" t="n">
        <f aca="false">SUMIFS($K:$K,$E:$E,N36)</f>
        <v>5859.98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36</v>
      </c>
      <c r="D37" s="1" t="s">
        <v>1766</v>
      </c>
      <c r="E37" s="15" t="n">
        <v>46178</v>
      </c>
      <c r="F37" s="15" t="n">
        <v>46178</v>
      </c>
      <c r="G37" s="1" t="s">
        <v>146</v>
      </c>
      <c r="H37" s="1" t="n">
        <v>1207974</v>
      </c>
      <c r="I37" s="1" t="n">
        <v>6</v>
      </c>
      <c r="J37" s="1" t="s">
        <v>1753</v>
      </c>
      <c r="K37" s="46" t="n">
        <v>1281.95</v>
      </c>
      <c r="N37" s="15" t="n">
        <v>46178</v>
      </c>
      <c r="O37" s="46" t="n">
        <f aca="false">SUMIFS($K:$K,$E:$E,N37)</f>
        <v>5859.98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36</v>
      </c>
      <c r="D38" s="1" t="s">
        <v>1766</v>
      </c>
      <c r="E38" s="15" t="n">
        <v>46178</v>
      </c>
      <c r="F38" s="15" t="n">
        <v>46178</v>
      </c>
      <c r="G38" s="1" t="s">
        <v>146</v>
      </c>
      <c r="H38" s="1" t="n">
        <v>1208155</v>
      </c>
      <c r="I38" s="1" t="n">
        <v>6</v>
      </c>
      <c r="J38" s="1" t="s">
        <v>1753</v>
      </c>
      <c r="K38" s="46" t="n">
        <v>247</v>
      </c>
      <c r="N38" s="15" t="n">
        <v>46178</v>
      </c>
      <c r="O38" s="46" t="n">
        <f aca="false">SUMIFS($K:$K,$E:$E,N38)</f>
        <v>5859.98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36</v>
      </c>
      <c r="D39" s="1" t="s">
        <v>1766</v>
      </c>
      <c r="E39" s="15" t="n">
        <v>46178</v>
      </c>
      <c r="F39" s="15" t="n">
        <v>46178</v>
      </c>
      <c r="G39" s="1" t="s">
        <v>146</v>
      </c>
      <c r="H39" s="1" t="n">
        <v>1207963</v>
      </c>
      <c r="I39" s="1" t="n">
        <v>2</v>
      </c>
      <c r="J39" s="1" t="s">
        <v>1753</v>
      </c>
      <c r="K39" s="46" t="n">
        <v>1281.95</v>
      </c>
      <c r="N39" s="15" t="n">
        <v>46178</v>
      </c>
      <c r="O39" s="46" t="n">
        <f aca="false">SUMIFS($K:$K,$E:$E,N39)</f>
        <v>5859.98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36</v>
      </c>
      <c r="D40" s="1" t="s">
        <v>1766</v>
      </c>
      <c r="E40" s="15" t="n">
        <v>46178</v>
      </c>
      <c r="F40" s="15" t="n">
        <v>46178</v>
      </c>
      <c r="G40" s="1" t="s">
        <v>146</v>
      </c>
      <c r="H40" s="1" t="n">
        <v>1208124</v>
      </c>
      <c r="I40" s="1" t="n">
        <v>2</v>
      </c>
      <c r="J40" s="1" t="s">
        <v>1753</v>
      </c>
      <c r="K40" s="46" t="n">
        <v>247</v>
      </c>
      <c r="N40" s="15" t="n">
        <v>46178</v>
      </c>
      <c r="O40" s="46" t="n">
        <f aca="false">SUMIFS($K:$K,$E:$E,N40)</f>
        <v>5859.98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36</v>
      </c>
      <c r="D41" s="1" t="s">
        <v>1767</v>
      </c>
      <c r="E41" s="15" t="n">
        <v>46178</v>
      </c>
      <c r="F41" s="15" t="n">
        <v>46177</v>
      </c>
      <c r="G41" s="1" t="s">
        <v>105</v>
      </c>
      <c r="H41" s="1" t="n">
        <v>1208198</v>
      </c>
      <c r="I41" s="1" t="n">
        <v>1</v>
      </c>
      <c r="J41" s="1" t="s">
        <v>1753</v>
      </c>
      <c r="K41" s="46" t="n">
        <v>126.04</v>
      </c>
      <c r="N41" s="15" t="n">
        <v>46178</v>
      </c>
      <c r="O41" s="46" t="n">
        <f aca="false">SUMIFS($K:$K,$E:$E,N41)</f>
        <v>5859.98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88</v>
      </c>
      <c r="D42" s="1" t="s">
        <v>1758</v>
      </c>
      <c r="E42" s="15" t="n">
        <v>46178</v>
      </c>
      <c r="F42" s="15" t="n">
        <v>46178</v>
      </c>
      <c r="G42" s="1" t="s">
        <v>211</v>
      </c>
      <c r="H42" s="1" t="n">
        <v>1208221</v>
      </c>
      <c r="I42" s="1" t="n">
        <v>1</v>
      </c>
      <c r="J42" s="1" t="s">
        <v>1753</v>
      </c>
      <c r="K42" s="46" t="n">
        <v>282.25</v>
      </c>
      <c r="N42" s="15" t="n">
        <v>46178</v>
      </c>
      <c r="O42" s="46" t="n">
        <f aca="false">SUMIFS($K:$K,$E:$E,N42)</f>
        <v>5859.98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36</v>
      </c>
      <c r="D43" s="1" t="s">
        <v>1761</v>
      </c>
      <c r="E43" s="15" t="n">
        <v>46181</v>
      </c>
      <c r="F43" s="15" t="n">
        <v>46178</v>
      </c>
      <c r="G43" s="1" t="s">
        <v>144</v>
      </c>
      <c r="H43" s="1" t="n">
        <v>1221458</v>
      </c>
      <c r="I43" s="1" t="n">
        <v>1</v>
      </c>
      <c r="J43" s="1" t="s">
        <v>1753</v>
      </c>
      <c r="K43" s="46" t="n">
        <v>180</v>
      </c>
      <c r="N43" s="15" t="n">
        <v>46181</v>
      </c>
      <c r="O43" s="46" t="n">
        <f aca="false">SUMIFS($K:$K,$E:$E,N43)</f>
        <v>16305.14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67</v>
      </c>
      <c r="D44" s="1" t="s">
        <v>1754</v>
      </c>
      <c r="E44" s="15" t="n">
        <v>46181</v>
      </c>
      <c r="F44" s="15" t="n">
        <v>46178</v>
      </c>
      <c r="G44" s="1" t="s">
        <v>131</v>
      </c>
      <c r="H44" s="1" t="n">
        <v>1222918</v>
      </c>
      <c r="I44" s="1" t="n">
        <v>11</v>
      </c>
      <c r="J44" s="1" t="s">
        <v>1753</v>
      </c>
      <c r="K44" s="46" t="n">
        <v>219.97</v>
      </c>
      <c r="N44" s="15" t="n">
        <v>46181</v>
      </c>
      <c r="O44" s="46" t="n">
        <f aca="false">SUMIFS($K:$K,$E:$E,N44)</f>
        <v>16305.14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67</v>
      </c>
      <c r="D45" s="1" t="s">
        <v>1754</v>
      </c>
      <c r="E45" s="15" t="n">
        <v>46181</v>
      </c>
      <c r="F45" s="15" t="n">
        <v>46178</v>
      </c>
      <c r="G45" s="1" t="s">
        <v>131</v>
      </c>
      <c r="H45" s="1" t="n">
        <v>1222988</v>
      </c>
      <c r="I45" s="1" t="n">
        <v>1</v>
      </c>
      <c r="J45" s="1" t="s">
        <v>1753</v>
      </c>
      <c r="K45" s="46" t="n">
        <v>1134.74</v>
      </c>
      <c r="N45" s="15" t="n">
        <v>46181</v>
      </c>
      <c r="O45" s="46" t="n">
        <f aca="false">SUMIFS($K:$K,$E:$E,N45)</f>
        <v>16305.14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36</v>
      </c>
      <c r="D46" s="1" t="s">
        <v>1769</v>
      </c>
      <c r="E46" s="15" t="n">
        <v>46181</v>
      </c>
      <c r="F46" s="15" t="n">
        <v>46178</v>
      </c>
      <c r="G46" s="1" t="s">
        <v>373</v>
      </c>
      <c r="H46" s="1" t="n">
        <v>1221695</v>
      </c>
      <c r="I46" s="1" t="n">
        <v>1</v>
      </c>
      <c r="J46" s="1" t="s">
        <v>1753</v>
      </c>
      <c r="K46" s="46" t="n">
        <v>1068</v>
      </c>
      <c r="N46" s="15" t="n">
        <v>46181</v>
      </c>
      <c r="O46" s="46" t="n">
        <f aca="false">SUMIFS($K:$K,$E:$E,N46)</f>
        <v>16305.14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36</v>
      </c>
      <c r="D47" s="1" t="s">
        <v>1764</v>
      </c>
      <c r="E47" s="15" t="n">
        <v>46181</v>
      </c>
      <c r="F47" s="15" t="n">
        <v>46178</v>
      </c>
      <c r="G47" s="1" t="s">
        <v>224</v>
      </c>
      <c r="H47" s="1" t="n">
        <v>1221613</v>
      </c>
      <c r="I47" s="1" t="n">
        <v>1</v>
      </c>
      <c r="J47" s="1" t="s">
        <v>1753</v>
      </c>
      <c r="K47" s="46" t="n">
        <v>333.54</v>
      </c>
      <c r="N47" s="15" t="n">
        <v>46181</v>
      </c>
      <c r="O47" s="46" t="n">
        <f aca="false">SUMIFS($K:$K,$E:$E,N47)</f>
        <v>16305.14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1755</v>
      </c>
      <c r="D48" s="1" t="s">
        <v>1756</v>
      </c>
      <c r="E48" s="15" t="n">
        <v>46181</v>
      </c>
      <c r="F48" s="15" t="n">
        <v>46181</v>
      </c>
      <c r="G48" s="1" t="s">
        <v>416</v>
      </c>
      <c r="H48" s="1" t="n">
        <v>1222859</v>
      </c>
      <c r="I48" s="1" t="n">
        <v>1</v>
      </c>
      <c r="J48" s="1" t="s">
        <v>1753</v>
      </c>
      <c r="K48" s="46" t="n">
        <v>232</v>
      </c>
      <c r="N48" s="15" t="n">
        <v>46181</v>
      </c>
      <c r="O48" s="46" t="n">
        <f aca="false">SUMIFS($K:$K,$E:$E,N48)</f>
        <v>16305.14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1755</v>
      </c>
      <c r="D49" s="1" t="s">
        <v>1756</v>
      </c>
      <c r="E49" s="15" t="n">
        <v>46181</v>
      </c>
      <c r="F49" s="15" t="n">
        <v>46181</v>
      </c>
      <c r="G49" s="1" t="s">
        <v>416</v>
      </c>
      <c r="H49" s="1" t="n">
        <v>1222861</v>
      </c>
      <c r="I49" s="1" t="n">
        <v>1</v>
      </c>
      <c r="J49" s="1" t="s">
        <v>1753</v>
      </c>
      <c r="K49" s="46" t="n">
        <v>72</v>
      </c>
      <c r="N49" s="15" t="n">
        <v>46181</v>
      </c>
      <c r="O49" s="46" t="n">
        <f aca="false">SUMIFS($K:$K,$E:$E,N49)</f>
        <v>16305.14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1775</v>
      </c>
      <c r="E50" s="15" t="n">
        <v>46181</v>
      </c>
      <c r="F50" s="15" t="n">
        <v>46180</v>
      </c>
      <c r="G50" s="1" t="s">
        <v>1776</v>
      </c>
      <c r="H50" s="1" t="n">
        <v>1223267</v>
      </c>
      <c r="I50" s="1" t="n">
        <v>1</v>
      </c>
      <c r="J50" s="1" t="s">
        <v>1753</v>
      </c>
      <c r="K50" s="46" t="n">
        <v>688.3</v>
      </c>
      <c r="N50" s="15" t="n">
        <v>46181</v>
      </c>
      <c r="O50" s="46" t="n">
        <f aca="false">SUMIFS($K:$K,$E:$E,N50)</f>
        <v>16305.14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1777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1753</v>
      </c>
      <c r="K51" s="46" t="n">
        <v>1049.39</v>
      </c>
      <c r="N51" s="15" t="n">
        <v>46181</v>
      </c>
      <c r="O51" s="46" t="n">
        <f aca="false">SUMIFS($K:$K,$E:$E,N51)</f>
        <v>16305.14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36</v>
      </c>
      <c r="D52" s="1" t="s">
        <v>1778</v>
      </c>
      <c r="E52" s="15" t="n">
        <v>46181</v>
      </c>
      <c r="F52" s="15" t="n">
        <v>46178</v>
      </c>
      <c r="G52" s="1" t="s">
        <v>231</v>
      </c>
      <c r="H52" s="1" t="n">
        <v>1222609</v>
      </c>
      <c r="I52" s="1" t="n">
        <v>1</v>
      </c>
      <c r="J52" s="1" t="s">
        <v>1753</v>
      </c>
      <c r="K52" s="46" t="n">
        <v>5728.5</v>
      </c>
      <c r="N52" s="15" t="n">
        <v>46181</v>
      </c>
      <c r="O52" s="46" t="n">
        <f aca="false">SUMIFS($K:$K,$E:$E,N52)</f>
        <v>16305.14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88</v>
      </c>
      <c r="D53" s="1" t="s">
        <v>1765</v>
      </c>
      <c r="E53" s="15" t="n">
        <v>46181</v>
      </c>
      <c r="F53" s="15" t="n">
        <v>46181</v>
      </c>
      <c r="G53" s="1" t="s">
        <v>155</v>
      </c>
      <c r="H53" s="1" t="n">
        <v>1226536</v>
      </c>
      <c r="I53" s="1" t="n">
        <v>1</v>
      </c>
      <c r="J53" s="1" t="s">
        <v>1753</v>
      </c>
      <c r="K53" s="46" t="n">
        <v>140</v>
      </c>
      <c r="N53" s="15" t="n">
        <v>46181</v>
      </c>
      <c r="O53" s="46" t="n">
        <f aca="false">SUMIFS($K:$K,$E:$E,N53)</f>
        <v>16305.14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36</v>
      </c>
      <c r="D54" s="1" t="s">
        <v>1766</v>
      </c>
      <c r="E54" s="15" t="n">
        <v>46181</v>
      </c>
      <c r="F54" s="15" t="n">
        <v>46181</v>
      </c>
      <c r="G54" s="1" t="s">
        <v>146</v>
      </c>
      <c r="H54" s="1" t="n">
        <v>1221843</v>
      </c>
      <c r="I54" s="1" t="n">
        <v>6</v>
      </c>
      <c r="J54" s="1" t="s">
        <v>1753</v>
      </c>
      <c r="K54" s="46" t="n">
        <v>180</v>
      </c>
      <c r="N54" s="15" t="n">
        <v>46181</v>
      </c>
      <c r="O54" s="46" t="n">
        <f aca="false">SUMIFS($K:$K,$E:$E,N54)</f>
        <v>16305.14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36</v>
      </c>
      <c r="D55" s="1" t="s">
        <v>1766</v>
      </c>
      <c r="E55" s="15" t="n">
        <v>46181</v>
      </c>
      <c r="F55" s="15" t="n">
        <v>46181</v>
      </c>
      <c r="G55" s="1" t="s">
        <v>146</v>
      </c>
      <c r="H55" s="1" t="n">
        <v>1222855</v>
      </c>
      <c r="I55" s="1" t="n">
        <v>6</v>
      </c>
      <c r="J55" s="1" t="s">
        <v>1753</v>
      </c>
      <c r="K55" s="46" t="n">
        <v>195</v>
      </c>
      <c r="N55" s="15" t="n">
        <v>46181</v>
      </c>
      <c r="O55" s="46" t="n">
        <f aca="false">SUMIFS($K:$K,$E:$E,N55)</f>
        <v>16305.14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36</v>
      </c>
      <c r="D56" s="1" t="s">
        <v>1766</v>
      </c>
      <c r="E56" s="15" t="n">
        <v>46181</v>
      </c>
      <c r="F56" s="15" t="n">
        <v>46181</v>
      </c>
      <c r="G56" s="1" t="s">
        <v>146</v>
      </c>
      <c r="H56" s="1" t="n">
        <v>1221834</v>
      </c>
      <c r="I56" s="1" t="n">
        <v>2</v>
      </c>
      <c r="J56" s="1" t="s">
        <v>1753</v>
      </c>
      <c r="K56" s="46" t="n">
        <v>180</v>
      </c>
      <c r="N56" s="15" t="n">
        <v>46181</v>
      </c>
      <c r="O56" s="46" t="n">
        <f aca="false">SUMIFS($K:$K,$E:$E,N56)</f>
        <v>16305.14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36</v>
      </c>
      <c r="D57" s="1" t="s">
        <v>1766</v>
      </c>
      <c r="E57" s="15" t="n">
        <v>46181</v>
      </c>
      <c r="F57" s="15" t="n">
        <v>46181</v>
      </c>
      <c r="G57" s="1" t="s">
        <v>146</v>
      </c>
      <c r="H57" s="1" t="n">
        <v>1222854</v>
      </c>
      <c r="I57" s="1" t="n">
        <v>2</v>
      </c>
      <c r="J57" s="1" t="s">
        <v>1753</v>
      </c>
      <c r="K57" s="46" t="n">
        <v>195</v>
      </c>
      <c r="N57" s="15" t="n">
        <v>46181</v>
      </c>
      <c r="O57" s="46" t="n">
        <f aca="false">SUMIFS($K:$K,$E:$E,N57)</f>
        <v>16305.14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88</v>
      </c>
      <c r="D58" s="1" t="s">
        <v>1758</v>
      </c>
      <c r="E58" s="15" t="n">
        <v>46181</v>
      </c>
      <c r="F58" s="15" t="n">
        <v>46181</v>
      </c>
      <c r="G58" s="1" t="s">
        <v>211</v>
      </c>
      <c r="H58" s="1" t="n">
        <v>1223311</v>
      </c>
      <c r="I58" s="1" t="n">
        <v>1</v>
      </c>
      <c r="J58" s="1" t="s">
        <v>1753</v>
      </c>
      <c r="K58" s="46" t="n">
        <v>307.2</v>
      </c>
      <c r="N58" s="15" t="n">
        <v>46181</v>
      </c>
      <c r="O58" s="46" t="n">
        <f aca="false">SUMIFS($K:$K,$E:$E,N58)</f>
        <v>16305.14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36</v>
      </c>
      <c r="D59" s="1" t="s">
        <v>1759</v>
      </c>
      <c r="E59" s="15" t="n">
        <v>46181</v>
      </c>
      <c r="F59" s="15" t="n">
        <v>46181</v>
      </c>
      <c r="G59" s="1" t="s">
        <v>205</v>
      </c>
      <c r="H59" s="1" t="n">
        <v>1222883</v>
      </c>
      <c r="I59" s="1" t="n">
        <v>1</v>
      </c>
      <c r="J59" s="1" t="s">
        <v>1753</v>
      </c>
      <c r="K59" s="46" t="n">
        <v>561.5</v>
      </c>
      <c r="N59" s="15" t="n">
        <v>46181</v>
      </c>
      <c r="O59" s="46" t="n">
        <f aca="false">SUMIFS($K:$K,$E:$E,N59)</f>
        <v>16305.14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36</v>
      </c>
      <c r="D60" s="1" t="s">
        <v>1771</v>
      </c>
      <c r="E60" s="15" t="n">
        <v>46181</v>
      </c>
      <c r="F60" s="15" t="n">
        <v>46178</v>
      </c>
      <c r="G60" s="1" t="s">
        <v>142</v>
      </c>
      <c r="H60" s="1" t="n">
        <v>1221751</v>
      </c>
      <c r="I60" s="1" t="n">
        <v>1</v>
      </c>
      <c r="J60" s="1" t="s">
        <v>1753</v>
      </c>
      <c r="K60" s="46" t="n">
        <v>3840</v>
      </c>
      <c r="N60" s="15" t="n">
        <v>46181</v>
      </c>
      <c r="O60" s="46" t="n">
        <f aca="false">SUMIFS($K:$K,$E:$E,N60)</f>
        <v>16305.14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36</v>
      </c>
      <c r="D61" s="1" t="s">
        <v>1761</v>
      </c>
      <c r="E61" s="15" t="n">
        <v>46182</v>
      </c>
      <c r="F61" s="15" t="n">
        <v>46181</v>
      </c>
      <c r="G61" s="1" t="s">
        <v>144</v>
      </c>
      <c r="H61" s="1" t="n">
        <v>1227245</v>
      </c>
      <c r="I61" s="1" t="n">
        <v>1</v>
      </c>
      <c r="J61" s="1" t="s">
        <v>1753</v>
      </c>
      <c r="K61" s="46" t="n">
        <v>180</v>
      </c>
      <c r="N61" s="15" t="n">
        <v>46182</v>
      </c>
      <c r="O61" s="46" t="n">
        <f aca="false">SUMIFS($K:$K,$E:$E,N61)</f>
        <v>7762.03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36</v>
      </c>
      <c r="D62" s="1" t="s">
        <v>1779</v>
      </c>
      <c r="E62" s="15" t="n">
        <v>46182</v>
      </c>
      <c r="F62" s="15" t="n">
        <v>46182</v>
      </c>
      <c r="G62" s="1" t="s">
        <v>182</v>
      </c>
      <c r="H62" s="1" t="n">
        <v>1227446</v>
      </c>
      <c r="I62" s="1" t="n">
        <v>1</v>
      </c>
      <c r="J62" s="1" t="s">
        <v>1753</v>
      </c>
      <c r="K62" s="46" t="n">
        <v>909.57</v>
      </c>
      <c r="N62" s="15" t="n">
        <v>46182</v>
      </c>
      <c r="O62" s="46" t="n">
        <f aca="false">SUMIFS($K:$K,$E:$E,N62)</f>
        <v>7762.03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88</v>
      </c>
      <c r="D63" s="1" t="s">
        <v>1780</v>
      </c>
      <c r="E63" s="15" t="n">
        <v>46182</v>
      </c>
      <c r="F63" s="15" t="n">
        <v>46182</v>
      </c>
      <c r="G63" s="1" t="s">
        <v>439</v>
      </c>
      <c r="H63" s="1" t="n">
        <v>1228116</v>
      </c>
      <c r="I63" s="1" t="n">
        <v>1</v>
      </c>
      <c r="J63" s="1" t="s">
        <v>1753</v>
      </c>
      <c r="K63" s="46" t="n">
        <v>796.16</v>
      </c>
      <c r="N63" s="15" t="n">
        <v>46182</v>
      </c>
      <c r="O63" s="46" t="n">
        <f aca="false">SUMIFS($K:$K,$E:$E,N63)</f>
        <v>7762.03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1766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1753</v>
      </c>
      <c r="K64" s="46" t="n">
        <v>1926.18</v>
      </c>
      <c r="N64" s="15" t="n">
        <v>46182</v>
      </c>
      <c r="O64" s="46" t="n">
        <f aca="false">SUMIFS($K:$K,$E:$E,N64)</f>
        <v>7762.03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36</v>
      </c>
      <c r="D65" s="1" t="s">
        <v>1766</v>
      </c>
      <c r="E65" s="15" t="n">
        <v>46182</v>
      </c>
      <c r="F65" s="15" t="n">
        <v>46182</v>
      </c>
      <c r="G65" s="1" t="s">
        <v>146</v>
      </c>
      <c r="H65" s="1" t="n">
        <v>1227727</v>
      </c>
      <c r="I65" s="1" t="n">
        <v>2</v>
      </c>
      <c r="J65" s="1" t="s">
        <v>1753</v>
      </c>
      <c r="K65" s="46" t="n">
        <v>1926.18</v>
      </c>
      <c r="N65" s="15" t="n">
        <v>46182</v>
      </c>
      <c r="O65" s="46" t="n">
        <f aca="false">SUMIFS($K:$K,$E:$E,N65)</f>
        <v>7762.03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36</v>
      </c>
      <c r="D66" s="1" t="s">
        <v>1781</v>
      </c>
      <c r="E66" s="15" t="n">
        <v>46182</v>
      </c>
      <c r="F66" s="15" t="n">
        <v>46182</v>
      </c>
      <c r="G66" s="1" t="s">
        <v>437</v>
      </c>
      <c r="H66" s="1" t="n">
        <v>1228096</v>
      </c>
      <c r="I66" s="1" t="n">
        <v>1</v>
      </c>
      <c r="J66" s="1" t="s">
        <v>1753</v>
      </c>
      <c r="K66" s="46" t="n">
        <v>460</v>
      </c>
      <c r="N66" s="15" t="n">
        <v>46182</v>
      </c>
      <c r="O66" s="46" t="n">
        <f aca="false">SUMIFS($K:$K,$E:$E,N66)</f>
        <v>7762.03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36</v>
      </c>
      <c r="D67" s="1" t="s">
        <v>1767</v>
      </c>
      <c r="E67" s="15" t="n">
        <v>46182</v>
      </c>
      <c r="F67" s="15" t="n">
        <v>46181</v>
      </c>
      <c r="G67" s="1" t="s">
        <v>105</v>
      </c>
      <c r="H67" s="1" t="n">
        <v>1226545</v>
      </c>
      <c r="I67" s="1" t="n">
        <v>1</v>
      </c>
      <c r="J67" s="1" t="s">
        <v>1753</v>
      </c>
      <c r="K67" s="46" t="n">
        <v>186.94</v>
      </c>
      <c r="N67" s="15" t="n">
        <v>46182</v>
      </c>
      <c r="O67" s="46" t="n">
        <f aca="false">SUMIFS($K:$K,$E:$E,N67)</f>
        <v>7762.03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36</v>
      </c>
      <c r="D68" s="1" t="s">
        <v>1782</v>
      </c>
      <c r="E68" s="15" t="n">
        <v>46182</v>
      </c>
      <c r="F68" s="15" t="n">
        <v>46176</v>
      </c>
      <c r="G68" s="1" t="s">
        <v>696</v>
      </c>
      <c r="H68" s="1" t="n">
        <v>1226736</v>
      </c>
      <c r="I68" s="1" t="n">
        <v>11</v>
      </c>
      <c r="J68" s="1" t="s">
        <v>1753</v>
      </c>
      <c r="K68" s="46" t="n">
        <v>1377</v>
      </c>
      <c r="N68" s="15" t="n">
        <v>46182</v>
      </c>
      <c r="O68" s="46" t="n">
        <f aca="false">SUMIFS($K:$K,$E:$E,N68)</f>
        <v>7762.03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36</v>
      </c>
      <c r="D69" s="1" t="s">
        <v>1783</v>
      </c>
      <c r="E69" s="15" t="n">
        <v>46183</v>
      </c>
      <c r="F69" s="15" t="n">
        <v>46179</v>
      </c>
      <c r="G69" s="1" t="s">
        <v>1784</v>
      </c>
      <c r="H69" s="1" t="n">
        <v>1231085</v>
      </c>
      <c r="I69" s="1" t="n">
        <v>1</v>
      </c>
      <c r="J69" s="1" t="s">
        <v>1753</v>
      </c>
      <c r="K69" s="46" t="n">
        <v>190.5</v>
      </c>
      <c r="N69" s="15" t="n">
        <v>46183</v>
      </c>
      <c r="O69" s="46" t="n">
        <f aca="false">SUMIFS($K:$K,$E:$E,N69)</f>
        <v>40343.17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36</v>
      </c>
      <c r="D70" s="1" t="s">
        <v>1785</v>
      </c>
      <c r="E70" s="15" t="n">
        <v>46183</v>
      </c>
      <c r="F70" s="15" t="n">
        <v>46181</v>
      </c>
      <c r="G70" s="1" t="s">
        <v>400</v>
      </c>
      <c r="H70" s="1" t="n">
        <v>1232206</v>
      </c>
      <c r="I70" s="1" t="n">
        <v>11</v>
      </c>
      <c r="J70" s="1" t="s">
        <v>1753</v>
      </c>
      <c r="K70" s="46" t="n">
        <v>338</v>
      </c>
      <c r="N70" s="15" t="n">
        <v>46183</v>
      </c>
      <c r="O70" s="46" t="n">
        <f aca="false">SUMIFS($K:$K,$E:$E,N70)</f>
        <v>40343.17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36</v>
      </c>
      <c r="D71" s="1" t="s">
        <v>1768</v>
      </c>
      <c r="E71" s="15" t="n">
        <v>46183</v>
      </c>
      <c r="F71" s="15" t="n">
        <v>46182</v>
      </c>
      <c r="G71" s="1" t="s">
        <v>129</v>
      </c>
      <c r="H71" s="1" t="n">
        <v>1231128</v>
      </c>
      <c r="I71" s="1" t="n">
        <v>1</v>
      </c>
      <c r="J71" s="1" t="s">
        <v>1753</v>
      </c>
      <c r="K71" s="46" t="n">
        <v>1927.2</v>
      </c>
      <c r="N71" s="15" t="n">
        <v>46183</v>
      </c>
      <c r="O71" s="46" t="n">
        <f aca="false">SUMIFS($K:$K,$E:$E,N71)</f>
        <v>40343.17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36</v>
      </c>
      <c r="D72" s="1" t="s">
        <v>1786</v>
      </c>
      <c r="E72" s="15" t="n">
        <v>46183</v>
      </c>
      <c r="F72" s="15" t="n">
        <v>46170</v>
      </c>
      <c r="G72" s="1" t="s">
        <v>222</v>
      </c>
      <c r="H72" s="1" t="n">
        <v>1231901</v>
      </c>
      <c r="I72" s="1" t="n">
        <v>1</v>
      </c>
      <c r="J72" s="1" t="s">
        <v>1753</v>
      </c>
      <c r="K72" s="46" t="n">
        <v>715.2</v>
      </c>
      <c r="N72" s="15" t="n">
        <v>46183</v>
      </c>
      <c r="O72" s="46" t="n">
        <f aca="false">SUMIFS($K:$K,$E:$E,N72)</f>
        <v>40343.17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1755</v>
      </c>
      <c r="D73" s="1" t="s">
        <v>1756</v>
      </c>
      <c r="E73" s="15" t="n">
        <v>46183</v>
      </c>
      <c r="F73" s="15" t="n">
        <v>46183</v>
      </c>
      <c r="G73" s="1" t="s">
        <v>416</v>
      </c>
      <c r="H73" s="1" t="n">
        <v>1231783</v>
      </c>
      <c r="I73" s="1" t="n">
        <v>1</v>
      </c>
      <c r="J73" s="1" t="s">
        <v>1753</v>
      </c>
      <c r="K73" s="46" t="n">
        <v>171.5</v>
      </c>
      <c r="N73" s="15" t="n">
        <v>46183</v>
      </c>
      <c r="O73" s="46" t="n">
        <f aca="false">SUMIFS($K:$K,$E:$E,N73)</f>
        <v>40343.17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1787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1753</v>
      </c>
      <c r="K74" s="46" t="n">
        <v>1101.98</v>
      </c>
      <c r="N74" s="15" t="n">
        <v>46183</v>
      </c>
      <c r="O74" s="46" t="n">
        <f aca="false">SUMIFS($K:$K,$E:$E,N74)</f>
        <v>40343.17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1662</v>
      </c>
      <c r="D75" s="1" t="s">
        <v>1787</v>
      </c>
      <c r="E75" s="15" t="n">
        <v>46183</v>
      </c>
      <c r="F75" s="15" t="n">
        <v>46183</v>
      </c>
      <c r="G75" s="1" t="s">
        <v>274</v>
      </c>
      <c r="H75" s="1" t="n">
        <v>1231766</v>
      </c>
      <c r="I75" s="1" t="n">
        <v>1</v>
      </c>
      <c r="J75" s="1" t="s">
        <v>1753</v>
      </c>
      <c r="K75" s="46" t="n">
        <v>1844.15</v>
      </c>
      <c r="N75" s="15" t="n">
        <v>46183</v>
      </c>
      <c r="O75" s="46" t="n">
        <f aca="false">SUMIFS($K:$K,$E:$E,N75)</f>
        <v>40343.17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36</v>
      </c>
      <c r="D76" s="1" t="s">
        <v>1777</v>
      </c>
      <c r="E76" s="15" t="n">
        <v>46183</v>
      </c>
      <c r="F76" s="15" t="n">
        <v>46182</v>
      </c>
      <c r="G76" s="1" t="s">
        <v>180</v>
      </c>
      <c r="H76" s="1" t="n">
        <v>1230947</v>
      </c>
      <c r="I76" s="1" t="n">
        <v>1</v>
      </c>
      <c r="J76" s="1" t="s">
        <v>1753</v>
      </c>
      <c r="K76" s="46" t="n">
        <v>1474.13</v>
      </c>
      <c r="N76" s="15" t="n">
        <v>46183</v>
      </c>
      <c r="O76" s="46" t="n">
        <f aca="false">SUMIFS($K:$K,$E:$E,N76)</f>
        <v>40343.17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36</v>
      </c>
      <c r="D77" s="1" t="s">
        <v>1788</v>
      </c>
      <c r="E77" s="15" t="n">
        <v>46183</v>
      </c>
      <c r="F77" s="15" t="n">
        <v>46183</v>
      </c>
      <c r="G77" s="1" t="s">
        <v>451</v>
      </c>
      <c r="H77" s="1" t="n">
        <v>1231978</v>
      </c>
      <c r="I77" s="1" t="n">
        <v>1</v>
      </c>
      <c r="J77" s="1" t="s">
        <v>1753</v>
      </c>
      <c r="K77" s="46" t="n">
        <v>250</v>
      </c>
      <c r="N77" s="15" t="n">
        <v>46183</v>
      </c>
      <c r="O77" s="46" t="n">
        <f aca="false">SUMIFS($K:$K,$E:$E,N77)</f>
        <v>40343.17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36</v>
      </c>
      <c r="D78" s="1" t="s">
        <v>1789</v>
      </c>
      <c r="E78" s="15" t="n">
        <v>46183</v>
      </c>
      <c r="F78" s="15" t="n">
        <v>46183</v>
      </c>
      <c r="G78" s="1" t="s">
        <v>356</v>
      </c>
      <c r="H78" s="1" t="n">
        <v>1231225</v>
      </c>
      <c r="I78" s="1" t="n">
        <v>1</v>
      </c>
      <c r="J78" s="1" t="s">
        <v>1753</v>
      </c>
      <c r="K78" s="46" t="n">
        <v>160.32</v>
      </c>
      <c r="N78" s="15" t="n">
        <v>46183</v>
      </c>
      <c r="O78" s="46" t="n">
        <f aca="false">SUMIFS($K:$K,$E:$E,N78)</f>
        <v>40343.17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88</v>
      </c>
      <c r="D79" s="1" t="s">
        <v>1765</v>
      </c>
      <c r="E79" s="15" t="n">
        <v>46183</v>
      </c>
      <c r="F79" s="15" t="n">
        <v>46183</v>
      </c>
      <c r="G79" s="1" t="s">
        <v>155</v>
      </c>
      <c r="H79" s="1" t="n">
        <v>1232441</v>
      </c>
      <c r="I79" s="1" t="n">
        <v>1</v>
      </c>
      <c r="J79" s="1" t="s">
        <v>1753</v>
      </c>
      <c r="K79" s="46" t="n">
        <v>200</v>
      </c>
      <c r="N79" s="15" t="n">
        <v>46183</v>
      </c>
      <c r="O79" s="46" t="n">
        <f aca="false">SUMIFS($K:$K,$E:$E,N79)</f>
        <v>40343.17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36</v>
      </c>
      <c r="D80" s="1" t="s">
        <v>1790</v>
      </c>
      <c r="E80" s="15" t="n">
        <v>46183</v>
      </c>
      <c r="F80" s="15" t="n">
        <v>46182</v>
      </c>
      <c r="G80" s="1" t="s">
        <v>1791</v>
      </c>
      <c r="H80" s="1" t="n">
        <v>1232476</v>
      </c>
      <c r="I80" s="1" t="n">
        <v>1</v>
      </c>
      <c r="J80" s="1" t="s">
        <v>1753</v>
      </c>
      <c r="K80" s="46" t="n">
        <v>1837.1</v>
      </c>
      <c r="N80" s="15" t="n">
        <v>46183</v>
      </c>
      <c r="O80" s="46" t="n">
        <f aca="false">SUMIFS($K:$K,$E:$E,N80)</f>
        <v>40343.17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36</v>
      </c>
      <c r="D81" s="1" t="s">
        <v>1757</v>
      </c>
      <c r="E81" s="15" t="n">
        <v>46183</v>
      </c>
      <c r="F81" s="15" t="n">
        <v>46182</v>
      </c>
      <c r="G81" s="1" t="s">
        <v>272</v>
      </c>
      <c r="H81" s="1" t="n">
        <v>1231585</v>
      </c>
      <c r="I81" s="1" t="n">
        <v>1</v>
      </c>
      <c r="J81" s="1" t="s">
        <v>1753</v>
      </c>
      <c r="K81" s="46" t="n">
        <v>4433</v>
      </c>
      <c r="N81" s="15" t="n">
        <v>46183</v>
      </c>
      <c r="O81" s="46" t="n">
        <f aca="false">SUMIFS($K:$K,$E:$E,N81)</f>
        <v>40343.17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36</v>
      </c>
      <c r="D82" s="1" t="s">
        <v>1766</v>
      </c>
      <c r="E82" s="15" t="n">
        <v>46183</v>
      </c>
      <c r="F82" s="15" t="n">
        <v>46183</v>
      </c>
      <c r="G82" s="1" t="s">
        <v>146</v>
      </c>
      <c r="H82" s="1" t="n">
        <v>1231001</v>
      </c>
      <c r="I82" s="1" t="n">
        <v>6</v>
      </c>
      <c r="J82" s="1" t="s">
        <v>1753</v>
      </c>
      <c r="K82" s="46" t="n">
        <v>1094</v>
      </c>
      <c r="N82" s="15" t="n">
        <v>46183</v>
      </c>
      <c r="O82" s="46" t="n">
        <f aca="false">SUMIFS($K:$K,$E:$E,N82)</f>
        <v>40343.17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36</v>
      </c>
      <c r="D83" s="1" t="s">
        <v>1766</v>
      </c>
      <c r="E83" s="15" t="n">
        <v>46183</v>
      </c>
      <c r="F83" s="15" t="n">
        <v>46183</v>
      </c>
      <c r="G83" s="1" t="s">
        <v>146</v>
      </c>
      <c r="H83" s="1" t="n">
        <v>1231255</v>
      </c>
      <c r="I83" s="1" t="n">
        <v>6</v>
      </c>
      <c r="J83" s="1" t="s">
        <v>1753</v>
      </c>
      <c r="K83" s="46" t="n">
        <v>600</v>
      </c>
      <c r="N83" s="15" t="n">
        <v>46183</v>
      </c>
      <c r="O83" s="46" t="n">
        <f aca="false">SUMIFS($K:$K,$E:$E,N83)</f>
        <v>40343.17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36</v>
      </c>
      <c r="D84" s="1" t="s">
        <v>1766</v>
      </c>
      <c r="E84" s="15" t="n">
        <v>46183</v>
      </c>
      <c r="F84" s="15" t="n">
        <v>46183</v>
      </c>
      <c r="G84" s="1" t="s">
        <v>146</v>
      </c>
      <c r="H84" s="1" t="n">
        <v>1231437</v>
      </c>
      <c r="I84" s="1" t="n">
        <v>6</v>
      </c>
      <c r="J84" s="1" t="s">
        <v>1753</v>
      </c>
      <c r="K84" s="46" t="n">
        <v>1800</v>
      </c>
      <c r="N84" s="15" t="n">
        <v>46183</v>
      </c>
      <c r="O84" s="46" t="n">
        <f aca="false">SUMIFS($K:$K,$E:$E,N84)</f>
        <v>40343.17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36</v>
      </c>
      <c r="D85" s="1" t="s">
        <v>1766</v>
      </c>
      <c r="E85" s="15" t="n">
        <v>46183</v>
      </c>
      <c r="F85" s="15" t="n">
        <v>46183</v>
      </c>
      <c r="G85" s="1" t="s">
        <v>146</v>
      </c>
      <c r="H85" s="1" t="n">
        <v>1231753</v>
      </c>
      <c r="I85" s="1" t="n">
        <v>6</v>
      </c>
      <c r="J85" s="1" t="s">
        <v>1753</v>
      </c>
      <c r="K85" s="46" t="n">
        <v>195</v>
      </c>
      <c r="N85" s="15" t="n">
        <v>46183</v>
      </c>
      <c r="O85" s="46" t="n">
        <f aca="false">SUMIFS($K:$K,$E:$E,N85)</f>
        <v>40343.17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36</v>
      </c>
      <c r="D86" s="1" t="s">
        <v>1766</v>
      </c>
      <c r="E86" s="15" t="n">
        <v>46183</v>
      </c>
      <c r="F86" s="15" t="n">
        <v>46183</v>
      </c>
      <c r="G86" s="1" t="s">
        <v>146</v>
      </c>
      <c r="H86" s="1" t="n">
        <v>1230995</v>
      </c>
      <c r="I86" s="1" t="n">
        <v>2</v>
      </c>
      <c r="J86" s="1" t="s">
        <v>1753</v>
      </c>
      <c r="K86" s="46" t="n">
        <v>1094</v>
      </c>
      <c r="N86" s="15" t="n">
        <v>46183</v>
      </c>
      <c r="O86" s="46" t="n">
        <f aca="false">SUMIFS($K:$K,$E:$E,N86)</f>
        <v>40343.17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36</v>
      </c>
      <c r="D87" s="1" t="s">
        <v>1766</v>
      </c>
      <c r="E87" s="15" t="n">
        <v>46183</v>
      </c>
      <c r="F87" s="15" t="n">
        <v>46183</v>
      </c>
      <c r="G87" s="1" t="s">
        <v>146</v>
      </c>
      <c r="H87" s="1" t="n">
        <v>1231739</v>
      </c>
      <c r="I87" s="1" t="n">
        <v>2</v>
      </c>
      <c r="J87" s="1" t="s">
        <v>1753</v>
      </c>
      <c r="K87" s="46" t="n">
        <v>195</v>
      </c>
      <c r="N87" s="15" t="n">
        <v>46183</v>
      </c>
      <c r="O87" s="46" t="n">
        <f aca="false">SUMIFS($K:$K,$E:$E,N87)</f>
        <v>40343.17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36</v>
      </c>
      <c r="D88" s="1" t="s">
        <v>1766</v>
      </c>
      <c r="E88" s="15" t="n">
        <v>46183</v>
      </c>
      <c r="F88" s="15" t="n">
        <v>46183</v>
      </c>
      <c r="G88" s="1" t="s">
        <v>146</v>
      </c>
      <c r="H88" s="1" t="n">
        <v>1231248</v>
      </c>
      <c r="I88" s="1" t="n">
        <v>2</v>
      </c>
      <c r="J88" s="1" t="s">
        <v>1753</v>
      </c>
      <c r="K88" s="46" t="n">
        <v>600</v>
      </c>
      <c r="N88" s="15" t="n">
        <v>46183</v>
      </c>
      <c r="O88" s="46" t="n">
        <f aca="false">SUMIFS($K:$K,$E:$E,N88)</f>
        <v>40343.17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36</v>
      </c>
      <c r="D89" s="1" t="s">
        <v>1766</v>
      </c>
      <c r="E89" s="15" t="n">
        <v>46183</v>
      </c>
      <c r="F89" s="15" t="n">
        <v>46183</v>
      </c>
      <c r="G89" s="1" t="s">
        <v>146</v>
      </c>
      <c r="H89" s="1" t="n">
        <v>1231424</v>
      </c>
      <c r="I89" s="1" t="n">
        <v>2</v>
      </c>
      <c r="J89" s="1" t="s">
        <v>1753</v>
      </c>
      <c r="K89" s="46" t="n">
        <v>1800</v>
      </c>
      <c r="N89" s="15" t="n">
        <v>46183</v>
      </c>
      <c r="O89" s="46" t="n">
        <f aca="false">SUMIFS($K:$K,$E:$E,N89)</f>
        <v>40343.17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1792</v>
      </c>
      <c r="D90" s="1" t="s">
        <v>1793</v>
      </c>
      <c r="E90" s="15" t="n">
        <v>46183</v>
      </c>
      <c r="F90" s="15" t="n">
        <v>46176</v>
      </c>
      <c r="G90" s="1" t="s">
        <v>229</v>
      </c>
      <c r="H90" s="1" t="n">
        <v>1231205</v>
      </c>
      <c r="I90" s="1" t="n">
        <v>11</v>
      </c>
      <c r="J90" s="1" t="s">
        <v>1753</v>
      </c>
      <c r="K90" s="46" t="n">
        <v>18322.09</v>
      </c>
      <c r="N90" s="15" t="n">
        <v>46183</v>
      </c>
      <c r="O90" s="46" t="n">
        <f aca="false">SUMIFS($K:$K,$E:$E,N90)</f>
        <v>40343.17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36</v>
      </c>
      <c r="D91" s="1" t="s">
        <v>1794</v>
      </c>
      <c r="E91" s="15" t="n">
        <v>46184</v>
      </c>
      <c r="F91" s="15" t="n">
        <v>46176</v>
      </c>
      <c r="G91" s="1" t="s">
        <v>87</v>
      </c>
      <c r="H91" s="1" t="n">
        <v>1235276</v>
      </c>
      <c r="I91" s="1" t="n">
        <v>11</v>
      </c>
      <c r="J91" s="1" t="s">
        <v>1753</v>
      </c>
      <c r="K91" s="46" t="n">
        <v>3870.5</v>
      </c>
      <c r="N91" s="15" t="n">
        <v>46184</v>
      </c>
      <c r="O91" s="46" t="n">
        <f aca="false">SUMIFS($K:$K,$E:$E,N91)</f>
        <v>15020.9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85</v>
      </c>
      <c r="D92" s="1" t="s">
        <v>1795</v>
      </c>
      <c r="E92" s="15" t="n">
        <v>46184</v>
      </c>
      <c r="F92" s="15" t="n">
        <v>46179</v>
      </c>
      <c r="G92" s="1" t="s">
        <v>392</v>
      </c>
      <c r="H92" s="1" t="n">
        <v>1236453</v>
      </c>
      <c r="I92" s="1" t="n">
        <v>1</v>
      </c>
      <c r="J92" s="1" t="s">
        <v>1753</v>
      </c>
      <c r="K92" s="46" t="n">
        <v>2512.45</v>
      </c>
      <c r="N92" s="15" t="n">
        <v>46184</v>
      </c>
      <c r="O92" s="46" t="n">
        <f aca="false">SUMIFS($K:$K,$E:$E,N92)</f>
        <v>15020.9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36</v>
      </c>
      <c r="D93" s="1" t="s">
        <v>1796</v>
      </c>
      <c r="E93" s="15" t="n">
        <v>46184</v>
      </c>
      <c r="F93" s="15" t="n">
        <v>46183</v>
      </c>
      <c r="G93" s="1" t="s">
        <v>192</v>
      </c>
      <c r="H93" s="1" t="n">
        <v>1236541</v>
      </c>
      <c r="I93" s="1" t="n">
        <v>1</v>
      </c>
      <c r="J93" s="1" t="s">
        <v>1753</v>
      </c>
      <c r="K93" s="46" t="n">
        <v>433.35</v>
      </c>
      <c r="N93" s="15" t="n">
        <v>46184</v>
      </c>
      <c r="O93" s="46" t="n">
        <f aca="false">SUMIFS($K:$K,$E:$E,N93)</f>
        <v>15020.9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36</v>
      </c>
      <c r="D94" s="1" t="s">
        <v>1796</v>
      </c>
      <c r="E94" s="15" t="n">
        <v>46184</v>
      </c>
      <c r="F94" s="15" t="n">
        <v>46183</v>
      </c>
      <c r="G94" s="1" t="s">
        <v>192</v>
      </c>
      <c r="H94" s="1" t="n">
        <v>1236598</v>
      </c>
      <c r="I94" s="1" t="n">
        <v>1</v>
      </c>
      <c r="J94" s="1" t="s">
        <v>1753</v>
      </c>
      <c r="K94" s="46" t="n">
        <v>1689.49</v>
      </c>
      <c r="N94" s="67" t="n">
        <v>46184</v>
      </c>
      <c r="O94" s="1" t="n">
        <f aca="false">SUMIFS($K:$K,$E:$E,N94)</f>
        <v>15020.9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36</v>
      </c>
      <c r="D95" s="1" t="s">
        <v>1764</v>
      </c>
      <c r="E95" s="15" t="n">
        <v>46184</v>
      </c>
      <c r="F95" s="15" t="n">
        <v>46183</v>
      </c>
      <c r="G95" s="1" t="s">
        <v>224</v>
      </c>
      <c r="H95" s="1" t="n">
        <v>1234920</v>
      </c>
      <c r="I95" s="1" t="n">
        <v>1</v>
      </c>
      <c r="J95" s="1" t="s">
        <v>1753</v>
      </c>
      <c r="K95" s="46" t="n">
        <v>478.8</v>
      </c>
      <c r="N95" s="67" t="n">
        <v>46184</v>
      </c>
      <c r="O95" s="1" t="n">
        <f aca="false">SUMIFS($K:$K,$E:$E,N95)</f>
        <v>15020.9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36</v>
      </c>
      <c r="D96" s="1" t="s">
        <v>1797</v>
      </c>
      <c r="E96" s="15" t="n">
        <v>46184</v>
      </c>
      <c r="F96" s="15" t="n">
        <v>46183</v>
      </c>
      <c r="G96" s="1" t="s">
        <v>98</v>
      </c>
      <c r="H96" s="1" t="n">
        <v>1236667</v>
      </c>
      <c r="I96" s="1" t="n">
        <v>11</v>
      </c>
      <c r="J96" s="1" t="s">
        <v>1753</v>
      </c>
      <c r="K96" s="46" t="n">
        <v>3312.16</v>
      </c>
      <c r="N96" s="68" t="n">
        <v>46184</v>
      </c>
      <c r="O96" s="1" t="n">
        <f aca="false">SUMIFS($K:$K,$E:$E,N96)</f>
        <v>15020.9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36</v>
      </c>
      <c r="D97" s="1" t="s">
        <v>1798</v>
      </c>
      <c r="E97" s="15" t="n">
        <v>46184</v>
      </c>
      <c r="F97" s="15" t="n">
        <v>46184</v>
      </c>
      <c r="G97" s="1" t="s">
        <v>462</v>
      </c>
      <c r="H97" s="1" t="n">
        <v>1235244</v>
      </c>
      <c r="I97" s="1" t="n">
        <v>1</v>
      </c>
      <c r="J97" s="1" t="s">
        <v>1753</v>
      </c>
      <c r="K97" s="46" t="n">
        <v>345.7</v>
      </c>
      <c r="N97" s="69" t="n">
        <v>46184</v>
      </c>
      <c r="O97" s="66" t="n">
        <f aca="false">SUMIFS($K:$K,$E:$E,N97)</f>
        <v>15020.9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61</v>
      </c>
      <c r="D98" s="1" t="s">
        <v>1799</v>
      </c>
      <c r="E98" s="15" t="n">
        <v>46184</v>
      </c>
      <c r="F98" s="15" t="n">
        <v>46183</v>
      </c>
      <c r="G98" s="1" t="s">
        <v>464</v>
      </c>
      <c r="H98" s="1" t="n">
        <v>1236954</v>
      </c>
      <c r="I98" s="1" t="n">
        <v>1</v>
      </c>
      <c r="J98" s="1" t="s">
        <v>1753</v>
      </c>
      <c r="K98" s="46" t="n">
        <v>278</v>
      </c>
      <c r="N98" s="17" t="n">
        <v>46184</v>
      </c>
      <c r="O98" s="46" t="n">
        <f aca="false">SUMIFS($K:$K,$E:$E,N98)</f>
        <v>15020.9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36</v>
      </c>
      <c r="D99" s="1" t="s">
        <v>1800</v>
      </c>
      <c r="E99" s="15" t="n">
        <v>46184</v>
      </c>
      <c r="F99" s="15" t="n">
        <v>46183</v>
      </c>
      <c r="G99" s="1" t="s">
        <v>553</v>
      </c>
      <c r="H99" s="1" t="n">
        <v>1236653</v>
      </c>
      <c r="I99" s="1" t="n">
        <v>1</v>
      </c>
      <c r="J99" s="1" t="s">
        <v>1753</v>
      </c>
      <c r="K99" s="46" t="n">
        <v>734.33</v>
      </c>
      <c r="N99" s="17" t="n">
        <v>46184</v>
      </c>
      <c r="O99" s="46" t="n">
        <f aca="false">SUMIFS($K:$K,$E:$E,N99)</f>
        <v>15020.9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36</v>
      </c>
      <c r="D100" s="1" t="s">
        <v>1801</v>
      </c>
      <c r="E100" s="15" t="n">
        <v>46184</v>
      </c>
      <c r="F100" s="15" t="n">
        <v>46176</v>
      </c>
      <c r="G100" s="1" t="s">
        <v>698</v>
      </c>
      <c r="H100" s="1" t="n">
        <v>1235087</v>
      </c>
      <c r="I100" s="1" t="n">
        <v>11</v>
      </c>
      <c r="J100" s="1" t="s">
        <v>1753</v>
      </c>
      <c r="K100" s="46" t="n">
        <v>1366.12</v>
      </c>
      <c r="N100" s="17" t="n">
        <v>46184</v>
      </c>
      <c r="O100" s="46" t="n">
        <f aca="false">SUMIFS($K:$K,$E:$E,N100)</f>
        <v>15020.9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49</v>
      </c>
      <c r="D101" s="1" t="s">
        <v>1754</v>
      </c>
      <c r="E101" s="15" t="n">
        <v>46185</v>
      </c>
      <c r="F101" s="15" t="n">
        <v>46184</v>
      </c>
      <c r="G101" s="1" t="s">
        <v>131</v>
      </c>
      <c r="H101" s="1" t="n">
        <v>1241797</v>
      </c>
      <c r="I101" s="1" t="n">
        <v>1</v>
      </c>
      <c r="J101" s="1" t="s">
        <v>1753</v>
      </c>
      <c r="K101" s="46" t="n">
        <v>192.43</v>
      </c>
      <c r="N101" s="70" t="n">
        <v>46185</v>
      </c>
      <c r="O101" s="71" t="n">
        <f aca="false">SUMIFS($K:$K,$E:$E,N101)</f>
        <v>13241.82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49</v>
      </c>
      <c r="D102" s="1" t="s">
        <v>1754</v>
      </c>
      <c r="E102" s="15" t="n">
        <v>46185</v>
      </c>
      <c r="F102" s="15" t="n">
        <v>46184</v>
      </c>
      <c r="G102" s="1" t="s">
        <v>131</v>
      </c>
      <c r="H102" s="1" t="n">
        <v>1241801</v>
      </c>
      <c r="I102" s="1" t="n">
        <v>1</v>
      </c>
      <c r="J102" s="1" t="s">
        <v>1753</v>
      </c>
      <c r="K102" s="46" t="n">
        <v>544.32</v>
      </c>
      <c r="N102" s="67" t="n">
        <v>46185</v>
      </c>
      <c r="O102" s="1" t="n">
        <f aca="false">SUMIFS($K:$K,$E:$E,N102)</f>
        <v>13241.82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67</v>
      </c>
      <c r="D103" s="1" t="s">
        <v>1754</v>
      </c>
      <c r="E103" s="15" t="n">
        <v>46185</v>
      </c>
      <c r="F103" s="15" t="n">
        <v>46184</v>
      </c>
      <c r="G103" s="1" t="s">
        <v>131</v>
      </c>
      <c r="H103" s="1" t="n">
        <v>1241783</v>
      </c>
      <c r="I103" s="1" t="n">
        <v>1</v>
      </c>
      <c r="J103" s="1" t="s">
        <v>1753</v>
      </c>
      <c r="K103" s="46" t="n">
        <v>16.61</v>
      </c>
      <c r="N103" s="67" t="n">
        <v>46185</v>
      </c>
      <c r="O103" s="1" t="n">
        <f aca="false">SUMIFS($K:$K,$E:$E,N103)</f>
        <v>13241.82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67</v>
      </c>
      <c r="D104" s="1" t="s">
        <v>1754</v>
      </c>
      <c r="E104" s="15" t="n">
        <v>46185</v>
      </c>
      <c r="F104" s="15" t="n">
        <v>46184</v>
      </c>
      <c r="G104" s="1" t="s">
        <v>131</v>
      </c>
      <c r="H104" s="1" t="n">
        <v>1241857</v>
      </c>
      <c r="I104" s="1" t="n">
        <v>1</v>
      </c>
      <c r="J104" s="1" t="s">
        <v>1753</v>
      </c>
      <c r="K104" s="46" t="n">
        <v>1081.08</v>
      </c>
      <c r="N104" s="67" t="n">
        <v>46185</v>
      </c>
      <c r="O104" s="1" t="n">
        <f aca="false">SUMIFS($K:$K,$E:$E,N104)</f>
        <v>13241.82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36</v>
      </c>
      <c r="D105" s="1" t="s">
        <v>1802</v>
      </c>
      <c r="E105" s="15" t="n">
        <v>46185</v>
      </c>
      <c r="F105" s="15" t="n">
        <v>46185</v>
      </c>
      <c r="G105" s="1" t="s">
        <v>107</v>
      </c>
      <c r="H105" s="1" t="n">
        <v>1239822</v>
      </c>
      <c r="I105" s="1" t="n">
        <v>1</v>
      </c>
      <c r="J105" s="1" t="s">
        <v>1753</v>
      </c>
      <c r="K105" s="46" t="n">
        <v>2208.28</v>
      </c>
      <c r="N105" s="67" t="n">
        <v>46185</v>
      </c>
      <c r="O105" s="1" t="n">
        <f aca="false">SUMIFS($K:$K,$E:$E,N105)</f>
        <v>13241.82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36</v>
      </c>
      <c r="D106" s="1" t="s">
        <v>1763</v>
      </c>
      <c r="E106" s="15" t="n">
        <v>46185</v>
      </c>
      <c r="F106" s="15" t="n">
        <v>46184</v>
      </c>
      <c r="G106" s="1" t="s">
        <v>233</v>
      </c>
      <c r="H106" s="1" t="n">
        <v>1241572</v>
      </c>
      <c r="I106" s="1" t="n">
        <v>1</v>
      </c>
      <c r="J106" s="1" t="s">
        <v>1753</v>
      </c>
      <c r="K106" s="46" t="n">
        <v>440.45</v>
      </c>
      <c r="N106" s="67" t="n">
        <v>46185</v>
      </c>
      <c r="O106" s="1" t="n">
        <f aca="false">SUMIFS($K:$K,$E:$E,N106)</f>
        <v>13241.82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36</v>
      </c>
      <c r="D107" s="1" t="s">
        <v>1764</v>
      </c>
      <c r="E107" s="15" t="n">
        <v>46185</v>
      </c>
      <c r="F107" s="15" t="n">
        <v>46185</v>
      </c>
      <c r="G107" s="1" t="s">
        <v>224</v>
      </c>
      <c r="H107" s="1" t="n">
        <v>1240331</v>
      </c>
      <c r="I107" s="1" t="n">
        <v>1</v>
      </c>
      <c r="J107" s="1" t="s">
        <v>1753</v>
      </c>
      <c r="K107" s="46" t="n">
        <v>767.16</v>
      </c>
      <c r="N107" s="67" t="n">
        <v>46185</v>
      </c>
      <c r="O107" s="1" t="n">
        <f aca="false">SUMIFS($K:$K,$E:$E,N107)</f>
        <v>13241.82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36</v>
      </c>
      <c r="D108" s="1" t="s">
        <v>1803</v>
      </c>
      <c r="E108" s="15" t="n">
        <v>46185</v>
      </c>
      <c r="F108" s="15" t="n">
        <v>46183</v>
      </c>
      <c r="G108" s="1" t="s">
        <v>94</v>
      </c>
      <c r="H108" s="1" t="n">
        <v>1241897</v>
      </c>
      <c r="I108" s="1" t="n">
        <v>1</v>
      </c>
      <c r="J108" s="1" t="s">
        <v>1753</v>
      </c>
      <c r="K108" s="46" t="n">
        <v>1150.4</v>
      </c>
      <c r="N108" s="67" t="n">
        <v>46185</v>
      </c>
      <c r="O108" s="1" t="n">
        <f aca="false">SUMIFS($K:$K,$E:$E,N108)</f>
        <v>13241.82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36</v>
      </c>
      <c r="D109" s="1" t="s">
        <v>1804</v>
      </c>
      <c r="E109" s="15" t="n">
        <v>46185</v>
      </c>
      <c r="F109" s="15" t="n">
        <v>46184</v>
      </c>
      <c r="G109" s="1" t="s">
        <v>96</v>
      </c>
      <c r="H109" s="1" t="n">
        <v>1240497</v>
      </c>
      <c r="I109" s="1" t="n">
        <v>11</v>
      </c>
      <c r="J109" s="1" t="s">
        <v>1753</v>
      </c>
      <c r="K109" s="46" t="n">
        <v>1727.71</v>
      </c>
      <c r="N109" s="67" t="n">
        <v>46185</v>
      </c>
      <c r="O109" s="1" t="n">
        <f aca="false">SUMIFS($K:$K,$E:$E,N109)</f>
        <v>13241.82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36</v>
      </c>
      <c r="D110" s="1" t="s">
        <v>1770</v>
      </c>
      <c r="E110" s="15" t="n">
        <v>46185</v>
      </c>
      <c r="F110" s="15" t="n">
        <v>46184</v>
      </c>
      <c r="G110" s="1" t="s">
        <v>140</v>
      </c>
      <c r="H110" s="1" t="n">
        <v>1241605</v>
      </c>
      <c r="I110" s="1" t="n">
        <v>1</v>
      </c>
      <c r="J110" s="1" t="s">
        <v>1753</v>
      </c>
      <c r="K110" s="46" t="n">
        <v>231.5</v>
      </c>
      <c r="N110" s="67" t="n">
        <v>46185</v>
      </c>
      <c r="O110" s="1" t="n">
        <f aca="false">SUMIFS($K:$K,$E:$E,N110)</f>
        <v>13241.82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36</v>
      </c>
      <c r="D111" s="1" t="s">
        <v>1766</v>
      </c>
      <c r="E111" s="15" t="n">
        <v>46185</v>
      </c>
      <c r="F111" s="15" t="n">
        <v>46185</v>
      </c>
      <c r="G111" s="1" t="s">
        <v>146</v>
      </c>
      <c r="H111" s="1" t="n">
        <v>1240627</v>
      </c>
      <c r="I111" s="1" t="n">
        <v>6</v>
      </c>
      <c r="J111" s="1" t="s">
        <v>1753</v>
      </c>
      <c r="K111" s="46" t="n">
        <v>260</v>
      </c>
      <c r="N111" s="67" t="n">
        <v>46185</v>
      </c>
      <c r="O111" s="1" t="n">
        <f aca="false">SUMIFS($K:$K,$E:$E,N111)</f>
        <v>13241.82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36</v>
      </c>
      <c r="D112" s="1" t="s">
        <v>1766</v>
      </c>
      <c r="E112" s="15" t="n">
        <v>46185</v>
      </c>
      <c r="F112" s="15" t="n">
        <v>46185</v>
      </c>
      <c r="G112" s="1" t="s">
        <v>146</v>
      </c>
      <c r="H112" s="1" t="n">
        <v>1241673</v>
      </c>
      <c r="I112" s="1" t="n">
        <v>6</v>
      </c>
      <c r="J112" s="1" t="s">
        <v>1753</v>
      </c>
      <c r="K112" s="46" t="n">
        <v>1323.79</v>
      </c>
      <c r="N112" s="67" t="n">
        <v>46185</v>
      </c>
      <c r="O112" s="1" t="n">
        <f aca="false">SUMIFS($K:$K,$E:$E,N112)</f>
        <v>13241.82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36</v>
      </c>
      <c r="D113" s="1" t="s">
        <v>1766</v>
      </c>
      <c r="E113" s="15" t="n">
        <v>46185</v>
      </c>
      <c r="F113" s="15" t="n">
        <v>46185</v>
      </c>
      <c r="G113" s="1" t="s">
        <v>146</v>
      </c>
      <c r="H113" s="1" t="n">
        <v>1240618</v>
      </c>
      <c r="I113" s="1" t="n">
        <v>2</v>
      </c>
      <c r="J113" s="1" t="s">
        <v>1753</v>
      </c>
      <c r="K113" s="46" t="n">
        <v>260</v>
      </c>
      <c r="N113" s="67" t="n">
        <v>46185</v>
      </c>
      <c r="O113" s="1" t="n">
        <f aca="false">SUMIFS($K:$K,$E:$E,N113)</f>
        <v>13241.82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36</v>
      </c>
      <c r="D114" s="1" t="s">
        <v>1766</v>
      </c>
      <c r="E114" s="15" t="n">
        <v>46185</v>
      </c>
      <c r="F114" s="15" t="n">
        <v>46185</v>
      </c>
      <c r="G114" s="1" t="s">
        <v>146</v>
      </c>
      <c r="H114" s="1" t="n">
        <v>1241650</v>
      </c>
      <c r="I114" s="1" t="n">
        <v>2</v>
      </c>
      <c r="J114" s="1" t="s">
        <v>1753</v>
      </c>
      <c r="K114" s="46" t="n">
        <v>1323.79</v>
      </c>
      <c r="N114" s="67" t="n">
        <v>46185</v>
      </c>
      <c r="O114" s="1" t="n">
        <f aca="false">SUMIFS($K:$K,$E:$E,N114)</f>
        <v>13241.82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36</v>
      </c>
      <c r="D115" s="1" t="s">
        <v>1767</v>
      </c>
      <c r="E115" s="15" t="n">
        <v>46185</v>
      </c>
      <c r="F115" s="15" t="n">
        <v>46184</v>
      </c>
      <c r="G115" s="1" t="s">
        <v>105</v>
      </c>
      <c r="H115" s="1" t="n">
        <v>1241587</v>
      </c>
      <c r="I115" s="1" t="n">
        <v>1</v>
      </c>
      <c r="J115" s="1" t="s">
        <v>1753</v>
      </c>
      <c r="K115" s="46" t="n">
        <v>184.96</v>
      </c>
      <c r="N115" s="67" t="n">
        <v>46185</v>
      </c>
      <c r="O115" s="1" t="n">
        <f aca="false">SUMIFS($K:$K,$E:$E,N115)</f>
        <v>13241.82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1805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1753</v>
      </c>
      <c r="K116" s="46" t="n">
        <v>1149.74</v>
      </c>
      <c r="N116" s="67" t="n">
        <v>46185</v>
      </c>
      <c r="O116" s="1" t="n">
        <f aca="false">SUMIFS($K:$K,$E:$E,N116)</f>
        <v>13241.82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88</v>
      </c>
      <c r="D117" s="1" t="s">
        <v>1758</v>
      </c>
      <c r="E117" s="15" t="n">
        <v>46185</v>
      </c>
      <c r="F117" s="15" t="n">
        <v>46185</v>
      </c>
      <c r="G117" s="1" t="s">
        <v>211</v>
      </c>
      <c r="H117" s="1" t="n">
        <v>1241529</v>
      </c>
      <c r="I117" s="1" t="n">
        <v>1</v>
      </c>
      <c r="J117" s="1" t="s">
        <v>1753</v>
      </c>
      <c r="K117" s="46" t="n">
        <v>379.6</v>
      </c>
      <c r="N117" s="67" t="n">
        <v>46185</v>
      </c>
      <c r="O117" s="1" t="n">
        <f aca="false">SUMIFS($K:$K,$E:$E,N117)</f>
        <v>13241.82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36</v>
      </c>
      <c r="D118" s="1" t="s">
        <v>1761</v>
      </c>
      <c r="E118" s="15" t="n">
        <v>46186</v>
      </c>
      <c r="F118" s="15" t="n">
        <v>46185</v>
      </c>
      <c r="G118" s="1" t="s">
        <v>144</v>
      </c>
      <c r="H118" s="1" t="n">
        <v>1244039</v>
      </c>
      <c r="I118" s="1" t="n">
        <v>1</v>
      </c>
      <c r="J118" s="1" t="s">
        <v>1753</v>
      </c>
      <c r="K118" s="46" t="n">
        <v>180</v>
      </c>
      <c r="N118" s="67" t="n">
        <v>46186</v>
      </c>
      <c r="O118" s="1" t="n">
        <f aca="false">SUMIFS($K:$K,$E:$E,N118)</f>
        <v>10011.79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36</v>
      </c>
      <c r="D119" s="1" t="s">
        <v>1762</v>
      </c>
      <c r="E119" s="15" t="n">
        <v>46186</v>
      </c>
      <c r="F119" s="15" t="n">
        <v>46185</v>
      </c>
      <c r="G119" s="1" t="s">
        <v>243</v>
      </c>
      <c r="H119" s="1" t="n">
        <v>1244883</v>
      </c>
      <c r="I119" s="1" t="n">
        <v>1</v>
      </c>
      <c r="J119" s="1" t="s">
        <v>1753</v>
      </c>
      <c r="K119" s="46" t="n">
        <v>950</v>
      </c>
      <c r="N119" s="67" t="n">
        <v>46186</v>
      </c>
      <c r="O119" s="1" t="n">
        <f aca="false">SUMIFS($K:$K,$E:$E,N119)</f>
        <v>10011.79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36</v>
      </c>
      <c r="D120" s="1" t="s">
        <v>1797</v>
      </c>
      <c r="E120" s="15" t="n">
        <v>46186</v>
      </c>
      <c r="F120" s="15" t="n">
        <v>46184</v>
      </c>
      <c r="G120" s="1" t="s">
        <v>98</v>
      </c>
      <c r="H120" s="1" t="n">
        <v>1244627</v>
      </c>
      <c r="I120" s="1" t="n">
        <v>1</v>
      </c>
      <c r="J120" s="1" t="s">
        <v>1753</v>
      </c>
      <c r="K120" s="46" t="n">
        <v>892.08</v>
      </c>
      <c r="N120" s="67" t="n">
        <v>46186</v>
      </c>
      <c r="O120" s="1" t="n">
        <f aca="false">SUMIFS($K:$K,$E:$E,N120)</f>
        <v>10011.79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1755</v>
      </c>
      <c r="D121" s="1" t="s">
        <v>1756</v>
      </c>
      <c r="E121" s="15" t="n">
        <v>46186</v>
      </c>
      <c r="F121" s="15" t="n">
        <v>46185</v>
      </c>
      <c r="G121" s="1" t="s">
        <v>416</v>
      </c>
      <c r="H121" s="1" t="n">
        <v>1244024</v>
      </c>
      <c r="I121" s="1" t="n">
        <v>1</v>
      </c>
      <c r="J121" s="1" t="s">
        <v>1753</v>
      </c>
      <c r="K121" s="46" t="n">
        <v>64</v>
      </c>
      <c r="N121" s="67" t="n">
        <v>46186</v>
      </c>
      <c r="O121" s="1" t="n">
        <f aca="false">SUMIFS($K:$K,$E:$E,N121)</f>
        <v>10011.79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36</v>
      </c>
      <c r="D122" s="1" t="s">
        <v>1806</v>
      </c>
      <c r="E122" s="15" t="n">
        <v>46186</v>
      </c>
      <c r="F122" s="15" t="n">
        <v>46185</v>
      </c>
      <c r="G122" s="1" t="s">
        <v>477</v>
      </c>
      <c r="H122" s="1" t="n">
        <v>1244029</v>
      </c>
      <c r="I122" s="1" t="n">
        <v>1</v>
      </c>
      <c r="J122" s="1" t="s">
        <v>1753</v>
      </c>
      <c r="K122" s="46" t="n">
        <v>246.96</v>
      </c>
      <c r="N122" s="67" t="n">
        <v>46186</v>
      </c>
      <c r="O122" s="1" t="n">
        <f aca="false">SUMIFS($K:$K,$E:$E,N122)</f>
        <v>10011.79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36</v>
      </c>
      <c r="D123" s="1" t="s">
        <v>1807</v>
      </c>
      <c r="E123" s="15" t="n">
        <v>46186</v>
      </c>
      <c r="F123" s="15" t="n">
        <v>46184</v>
      </c>
      <c r="G123" s="1" t="s">
        <v>469</v>
      </c>
      <c r="H123" s="1" t="n">
        <v>1244221</v>
      </c>
      <c r="I123" s="1" t="n">
        <v>1</v>
      </c>
      <c r="J123" s="1" t="s">
        <v>1753</v>
      </c>
      <c r="K123" s="46" t="n">
        <v>2215.88</v>
      </c>
      <c r="N123" s="67" t="n">
        <v>46186</v>
      </c>
      <c r="O123" s="1" t="n">
        <f aca="false">SUMIFS($K:$K,$E:$E,N123)</f>
        <v>10011.79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76</v>
      </c>
      <c r="D124" s="1" t="s">
        <v>1808</v>
      </c>
      <c r="E124" s="15" t="n">
        <v>46186</v>
      </c>
      <c r="F124" s="15" t="n">
        <v>46184</v>
      </c>
      <c r="G124" s="1" t="s">
        <v>578</v>
      </c>
      <c r="H124" s="1" t="n">
        <v>1244274</v>
      </c>
      <c r="I124" s="1" t="n">
        <v>1</v>
      </c>
      <c r="J124" s="1" t="s">
        <v>1753</v>
      </c>
      <c r="K124" s="46" t="n">
        <v>1783.9</v>
      </c>
      <c r="N124" s="67" t="n">
        <v>46186</v>
      </c>
      <c r="O124" s="1" t="n">
        <f aca="false">SUMIFS($K:$K,$E:$E,N124)</f>
        <v>10011.79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76</v>
      </c>
      <c r="D125" s="1" t="s">
        <v>1809</v>
      </c>
      <c r="E125" s="15" t="n">
        <v>46186</v>
      </c>
      <c r="F125" s="15" t="n">
        <v>46183</v>
      </c>
      <c r="G125" s="1" t="s">
        <v>184</v>
      </c>
      <c r="H125" s="1" t="n">
        <v>1244256</v>
      </c>
      <c r="I125" s="1" t="n">
        <v>1</v>
      </c>
      <c r="J125" s="1" t="s">
        <v>1753</v>
      </c>
      <c r="K125" s="46" t="n">
        <v>540.3</v>
      </c>
      <c r="N125" s="67" t="n">
        <v>46186</v>
      </c>
      <c r="O125" s="1" t="n">
        <f aca="false">SUMIFS($K:$K,$E:$E,N125)</f>
        <v>10011.79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1792</v>
      </c>
      <c r="D126" s="1" t="s">
        <v>1793</v>
      </c>
      <c r="E126" s="15" t="n">
        <v>46186</v>
      </c>
      <c r="F126" s="15" t="n">
        <v>46183</v>
      </c>
      <c r="G126" s="1" t="s">
        <v>229</v>
      </c>
      <c r="H126" s="1" t="n">
        <v>1244689</v>
      </c>
      <c r="I126" s="1" t="n">
        <v>1</v>
      </c>
      <c r="J126" s="1" t="s">
        <v>1753</v>
      </c>
      <c r="K126" s="46" t="n">
        <v>3138.67</v>
      </c>
      <c r="N126" s="67" t="n">
        <v>46186</v>
      </c>
      <c r="O126" s="1" t="n">
        <f aca="false">SUMIFS($K:$K,$E:$E,N126)</f>
        <v>10011.79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36</v>
      </c>
      <c r="D127" s="1" t="s">
        <v>1810</v>
      </c>
      <c r="E127" s="15" t="n">
        <v>46188</v>
      </c>
      <c r="F127" s="15" t="n">
        <v>46184</v>
      </c>
      <c r="G127" s="1" t="s">
        <v>220</v>
      </c>
      <c r="H127" s="1" t="n">
        <v>1255113</v>
      </c>
      <c r="I127" s="1" t="n">
        <v>1</v>
      </c>
      <c r="J127" s="1" t="s">
        <v>1753</v>
      </c>
      <c r="K127" s="46" t="n">
        <v>2373.94</v>
      </c>
      <c r="N127" s="67" t="n">
        <v>46188</v>
      </c>
      <c r="O127" s="1" t="n">
        <f aca="false">SUMIFS($K:$K,$E:$E,N127)</f>
        <v>24005.35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36</v>
      </c>
      <c r="D128" s="1" t="s">
        <v>1810</v>
      </c>
      <c r="E128" s="15" t="n">
        <v>46188</v>
      </c>
      <c r="F128" s="15" t="n">
        <v>46185</v>
      </c>
      <c r="G128" s="1" t="s">
        <v>220</v>
      </c>
      <c r="H128" s="1" t="n">
        <v>1257254</v>
      </c>
      <c r="I128" s="1" t="n">
        <v>1</v>
      </c>
      <c r="J128" s="1" t="s">
        <v>1753</v>
      </c>
      <c r="K128" s="46" t="n">
        <v>1767.24</v>
      </c>
      <c r="N128" s="67" t="n">
        <v>46188</v>
      </c>
      <c r="O128" s="1" t="n">
        <f aca="false">SUMIFS($K:$K,$E:$E,N128)</f>
        <v>24005.35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36</v>
      </c>
      <c r="D129" s="1" t="s">
        <v>1769</v>
      </c>
      <c r="E129" s="15" t="n">
        <v>46188</v>
      </c>
      <c r="F129" s="15" t="n">
        <v>46186</v>
      </c>
      <c r="G129" s="1" t="s">
        <v>373</v>
      </c>
      <c r="H129" s="1" t="n">
        <v>1257108</v>
      </c>
      <c r="I129" s="1" t="n">
        <v>1</v>
      </c>
      <c r="J129" s="1" t="s">
        <v>1753</v>
      </c>
      <c r="K129" s="46" t="n">
        <v>4757.6</v>
      </c>
      <c r="N129" s="67" t="n">
        <v>46188</v>
      </c>
      <c r="O129" s="1" t="n">
        <f aca="false">SUMIFS($K:$K,$E:$E,N129)</f>
        <v>24005.35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1811</v>
      </c>
      <c r="D130" s="1" t="s">
        <v>1812</v>
      </c>
      <c r="E130" s="15" t="n">
        <v>46188</v>
      </c>
      <c r="F130" s="15" t="n">
        <v>46184</v>
      </c>
      <c r="G130" s="1" t="s">
        <v>235</v>
      </c>
      <c r="H130" s="1" t="n">
        <v>1257356</v>
      </c>
      <c r="I130" s="1" t="n">
        <v>1</v>
      </c>
      <c r="J130" s="1" t="s">
        <v>1753</v>
      </c>
      <c r="K130" s="46" t="n">
        <v>4705.7</v>
      </c>
      <c r="N130" s="67" t="n">
        <v>46188</v>
      </c>
      <c r="O130" s="1" t="n">
        <f aca="false">SUMIFS($K:$K,$E:$E,N130)</f>
        <v>24005.35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1813</v>
      </c>
      <c r="E131" s="15" t="n">
        <v>46188</v>
      </c>
      <c r="F131" s="15" t="n">
        <v>46178</v>
      </c>
      <c r="G131" s="1" t="s">
        <v>1814</v>
      </c>
      <c r="H131" s="1" t="n">
        <v>1255758</v>
      </c>
      <c r="I131" s="1" t="n">
        <v>11</v>
      </c>
      <c r="J131" s="1" t="s">
        <v>1753</v>
      </c>
      <c r="K131" s="46" t="n">
        <v>503</v>
      </c>
      <c r="N131" s="67" t="n">
        <v>46188</v>
      </c>
      <c r="O131" s="1" t="n">
        <f aca="false">SUMIFS($K:$K,$E:$E,N131)</f>
        <v>24005.35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1755</v>
      </c>
      <c r="D132" s="1" t="s">
        <v>1756</v>
      </c>
      <c r="E132" s="15" t="n">
        <v>46188</v>
      </c>
      <c r="F132" s="15" t="n">
        <v>46186</v>
      </c>
      <c r="G132" s="1" t="s">
        <v>416</v>
      </c>
      <c r="H132" s="1" t="n">
        <v>1255081</v>
      </c>
      <c r="I132" s="1" t="n">
        <v>1</v>
      </c>
      <c r="J132" s="1" t="s">
        <v>1753</v>
      </c>
      <c r="K132" s="46" t="n">
        <v>161</v>
      </c>
      <c r="N132" s="67" t="n">
        <v>46188</v>
      </c>
      <c r="O132" s="1" t="n">
        <f aca="false">SUMIFS($K:$K,$E:$E,N132)</f>
        <v>24005.35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1755</v>
      </c>
      <c r="D133" s="1" t="s">
        <v>1756</v>
      </c>
      <c r="E133" s="15" t="n">
        <v>46188</v>
      </c>
      <c r="F133" s="15" t="n">
        <v>46188</v>
      </c>
      <c r="G133" s="1" t="s">
        <v>416</v>
      </c>
      <c r="H133" s="1" t="n">
        <v>1257021</v>
      </c>
      <c r="I133" s="1" t="n">
        <v>1</v>
      </c>
      <c r="J133" s="1" t="s">
        <v>1753</v>
      </c>
      <c r="K133" s="46" t="n">
        <v>86</v>
      </c>
      <c r="N133" s="67" t="n">
        <v>46188</v>
      </c>
      <c r="O133" s="1" t="n">
        <f aca="false">SUMIFS($K:$K,$E:$E,N133)</f>
        <v>24005.35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36</v>
      </c>
      <c r="D134" s="1" t="s">
        <v>1815</v>
      </c>
      <c r="E134" s="15" t="n">
        <v>46188</v>
      </c>
      <c r="F134" s="15" t="n">
        <v>46178</v>
      </c>
      <c r="G134" s="1" t="s">
        <v>700</v>
      </c>
      <c r="H134" s="1" t="n">
        <v>1255668</v>
      </c>
      <c r="I134" s="1" t="n">
        <v>11</v>
      </c>
      <c r="J134" s="1" t="s">
        <v>1753</v>
      </c>
      <c r="K134" s="46" t="n">
        <v>1195</v>
      </c>
      <c r="N134" s="67" t="n">
        <v>46188</v>
      </c>
      <c r="O134" s="1" t="n">
        <f aca="false">SUMIFS($K:$K,$E:$E,N134)</f>
        <v>24005.35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1816</v>
      </c>
      <c r="D135" s="1" t="s">
        <v>1817</v>
      </c>
      <c r="E135" s="15" t="n">
        <v>46188</v>
      </c>
      <c r="F135" s="15" t="n">
        <v>46184</v>
      </c>
      <c r="G135" s="1" t="s">
        <v>172</v>
      </c>
      <c r="H135" s="1" t="n">
        <v>1255460</v>
      </c>
      <c r="I135" s="1" t="n">
        <v>1</v>
      </c>
      <c r="J135" s="1" t="s">
        <v>1753</v>
      </c>
      <c r="K135" s="46" t="n">
        <v>1839.99</v>
      </c>
      <c r="N135" s="67" t="n">
        <v>46188</v>
      </c>
      <c r="O135" s="1" t="n">
        <f aca="false">SUMIFS($K:$K,$E:$E,N135)</f>
        <v>24005.35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36</v>
      </c>
      <c r="D136" s="1" t="s">
        <v>1807</v>
      </c>
      <c r="E136" s="15" t="n">
        <v>46188</v>
      </c>
      <c r="F136" s="15" t="n">
        <v>46184</v>
      </c>
      <c r="G136" s="1" t="s">
        <v>469</v>
      </c>
      <c r="H136" s="1" t="n">
        <v>1255566</v>
      </c>
      <c r="I136" s="1" t="n">
        <v>11</v>
      </c>
      <c r="J136" s="1" t="s">
        <v>1753</v>
      </c>
      <c r="K136" s="46" t="n">
        <v>33.84</v>
      </c>
      <c r="N136" s="67" t="n">
        <v>46188</v>
      </c>
      <c r="O136" s="1" t="n">
        <f aca="false">SUMIFS($K:$K,$E:$E,N136)</f>
        <v>24005.35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36</v>
      </c>
      <c r="D137" s="1" t="s">
        <v>1807</v>
      </c>
      <c r="E137" s="15" t="n">
        <v>46188</v>
      </c>
      <c r="F137" s="15" t="n">
        <v>46184</v>
      </c>
      <c r="G137" s="1" t="s">
        <v>469</v>
      </c>
      <c r="H137" s="1" t="n">
        <v>1255613</v>
      </c>
      <c r="I137" s="1" t="n">
        <v>11</v>
      </c>
      <c r="J137" s="1" t="s">
        <v>1753</v>
      </c>
      <c r="K137" s="46" t="n">
        <v>98.61</v>
      </c>
      <c r="N137" s="67" t="n">
        <v>46188</v>
      </c>
      <c r="O137" s="1" t="n">
        <f aca="false">SUMIFS($K:$K,$E:$E,N137)</f>
        <v>24005.35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36</v>
      </c>
      <c r="D138" s="1" t="s">
        <v>1807</v>
      </c>
      <c r="E138" s="15" t="n">
        <v>46188</v>
      </c>
      <c r="F138" s="15" t="n">
        <v>46184</v>
      </c>
      <c r="G138" s="1" t="s">
        <v>469</v>
      </c>
      <c r="H138" s="1" t="n">
        <v>1255250</v>
      </c>
      <c r="I138" s="1" t="n">
        <v>1</v>
      </c>
      <c r="J138" s="1" t="s">
        <v>1753</v>
      </c>
      <c r="K138" s="46" t="n">
        <v>4498.56</v>
      </c>
      <c r="N138" s="67" t="n">
        <v>46188</v>
      </c>
      <c r="O138" s="1" t="n">
        <f aca="false">SUMIFS($K:$K,$E:$E,N138)</f>
        <v>24005.35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36</v>
      </c>
      <c r="D139" s="1" t="s">
        <v>1807</v>
      </c>
      <c r="E139" s="15" t="n">
        <v>46188</v>
      </c>
      <c r="F139" s="15" t="n">
        <v>46188</v>
      </c>
      <c r="G139" s="1" t="s">
        <v>469</v>
      </c>
      <c r="H139" s="1" t="n">
        <v>1257189</v>
      </c>
      <c r="I139" s="1" t="n">
        <v>1</v>
      </c>
      <c r="J139" s="1" t="s">
        <v>1753</v>
      </c>
      <c r="K139" s="46" t="n">
        <v>1537.8</v>
      </c>
      <c r="N139" s="67" t="n">
        <v>46188</v>
      </c>
      <c r="O139" s="1" t="n">
        <f aca="false">SUMIFS($K:$K,$E:$E,N139)</f>
        <v>24005.35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36</v>
      </c>
      <c r="D140" s="1" t="s">
        <v>1807</v>
      </c>
      <c r="E140" s="15" t="n">
        <v>46188</v>
      </c>
      <c r="F140" s="15" t="n">
        <v>46188</v>
      </c>
      <c r="G140" s="1" t="s">
        <v>469</v>
      </c>
      <c r="H140" s="1" t="n">
        <v>1257210</v>
      </c>
      <c r="I140" s="1" t="n">
        <v>11</v>
      </c>
      <c r="J140" s="1" t="s">
        <v>1753</v>
      </c>
      <c r="K140" s="46" t="n">
        <v>27.07</v>
      </c>
      <c r="N140" s="67" t="n">
        <v>46188</v>
      </c>
      <c r="O140" s="1" t="n">
        <f aca="false">SUMIFS($K:$K,$E:$E,N140)</f>
        <v>24005.35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36</v>
      </c>
      <c r="D141" s="1" t="s">
        <v>1766</v>
      </c>
      <c r="E141" s="15" t="n">
        <v>46188</v>
      </c>
      <c r="F141" s="15" t="n">
        <v>46188</v>
      </c>
      <c r="G141" s="1" t="s">
        <v>146</v>
      </c>
      <c r="H141" s="1" t="n">
        <v>1255540</v>
      </c>
      <c r="I141" s="1" t="n">
        <v>6</v>
      </c>
      <c r="J141" s="1" t="s">
        <v>1753</v>
      </c>
      <c r="K141" s="46" t="n">
        <v>210</v>
      </c>
      <c r="N141" s="67" t="n">
        <v>46188</v>
      </c>
      <c r="O141" s="1" t="n">
        <f aca="false">SUMIFS($K:$K,$E:$E,N141)</f>
        <v>24005.35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36</v>
      </c>
      <c r="D142" s="1" t="s">
        <v>1766</v>
      </c>
      <c r="E142" s="15" t="n">
        <v>46188</v>
      </c>
      <c r="F142" s="15" t="n">
        <v>46188</v>
      </c>
      <c r="G142" s="1" t="s">
        <v>146</v>
      </c>
      <c r="H142" s="1" t="n">
        <v>1255530</v>
      </c>
      <c r="I142" s="1" t="n">
        <v>2</v>
      </c>
      <c r="J142" s="1" t="s">
        <v>1753</v>
      </c>
      <c r="K142" s="46" t="n">
        <v>210</v>
      </c>
      <c r="N142" s="67" t="n">
        <v>46188</v>
      </c>
      <c r="O142" s="1" t="n">
        <f aca="false">SUMIFS($K:$K,$E:$E,N142)</f>
        <v>24005.35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49</v>
      </c>
      <c r="D143" s="1" t="s">
        <v>1754</v>
      </c>
      <c r="E143" s="15" t="n">
        <v>46189</v>
      </c>
      <c r="F143" s="15" t="n">
        <v>46185</v>
      </c>
      <c r="G143" s="1" t="s">
        <v>131</v>
      </c>
      <c r="H143" s="1" t="n">
        <v>1261517</v>
      </c>
      <c r="I143" s="1" t="n">
        <v>11</v>
      </c>
      <c r="J143" s="1" t="s">
        <v>1753</v>
      </c>
      <c r="K143" s="46" t="n">
        <v>1009.81</v>
      </c>
      <c r="N143" s="67" t="n">
        <v>46189</v>
      </c>
      <c r="O143" s="1" t="n">
        <f aca="false">SUMIFS($K:$K,$E:$E,N143)</f>
        <v>19889.6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49</v>
      </c>
      <c r="D144" s="1" t="s">
        <v>1754</v>
      </c>
      <c r="E144" s="15" t="n">
        <v>46189</v>
      </c>
      <c r="F144" s="15" t="n">
        <v>46185</v>
      </c>
      <c r="G144" s="1" t="s">
        <v>131</v>
      </c>
      <c r="H144" s="1" t="n">
        <v>1261488</v>
      </c>
      <c r="I144" s="1" t="n">
        <v>1</v>
      </c>
      <c r="J144" s="1" t="s">
        <v>1753</v>
      </c>
      <c r="K144" s="46" t="n">
        <v>203.42</v>
      </c>
      <c r="N144" s="67" t="n">
        <v>46189</v>
      </c>
      <c r="O144" s="1" t="n">
        <f aca="false">SUMIFS($K:$K,$E:$E,N144)</f>
        <v>19889.6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49</v>
      </c>
      <c r="D145" s="1" t="s">
        <v>1754</v>
      </c>
      <c r="E145" s="15" t="n">
        <v>46189</v>
      </c>
      <c r="F145" s="15" t="n">
        <v>46185</v>
      </c>
      <c r="G145" s="1" t="s">
        <v>131</v>
      </c>
      <c r="H145" s="1" t="n">
        <v>1261495</v>
      </c>
      <c r="I145" s="1" t="n">
        <v>1</v>
      </c>
      <c r="J145" s="1" t="s">
        <v>1753</v>
      </c>
      <c r="K145" s="46" t="n">
        <v>639.86</v>
      </c>
      <c r="N145" s="67" t="n">
        <v>46189</v>
      </c>
      <c r="O145" s="1" t="n">
        <f aca="false">SUMIFS($K:$K,$E:$E,N145)</f>
        <v>19889.6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67</v>
      </c>
      <c r="D146" s="1" t="s">
        <v>1754</v>
      </c>
      <c r="E146" s="15" t="n">
        <v>46189</v>
      </c>
      <c r="F146" s="15" t="n">
        <v>46185</v>
      </c>
      <c r="G146" s="1" t="s">
        <v>131</v>
      </c>
      <c r="H146" s="1" t="n">
        <v>1261504</v>
      </c>
      <c r="I146" s="1" t="n">
        <v>1</v>
      </c>
      <c r="J146" s="1" t="s">
        <v>1753</v>
      </c>
      <c r="K146" s="46" t="n">
        <v>2177.76</v>
      </c>
      <c r="N146" s="67" t="n">
        <v>46189</v>
      </c>
      <c r="O146" s="1" t="n">
        <f aca="false">SUMIFS($K:$K,$E:$E,N146)</f>
        <v>19889.6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76</v>
      </c>
      <c r="D147" s="1" t="s">
        <v>1818</v>
      </c>
      <c r="E147" s="15" t="n">
        <v>46189</v>
      </c>
      <c r="F147" s="15" t="n">
        <v>46136</v>
      </c>
      <c r="G147" s="1" t="s">
        <v>1819</v>
      </c>
      <c r="H147" s="1" t="n">
        <v>1261713</v>
      </c>
      <c r="I147" s="1" t="n">
        <v>11</v>
      </c>
      <c r="J147" s="1" t="s">
        <v>1753</v>
      </c>
      <c r="K147" s="46" t="n">
        <v>390</v>
      </c>
      <c r="N147" s="67" t="n">
        <v>46189</v>
      </c>
      <c r="O147" s="1" t="n">
        <f aca="false">SUMIFS($K:$K,$E:$E,N147)</f>
        <v>19889.6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36</v>
      </c>
      <c r="D148" s="1" t="s">
        <v>1797</v>
      </c>
      <c r="E148" s="15" t="n">
        <v>46189</v>
      </c>
      <c r="F148" s="15" t="n">
        <v>46142</v>
      </c>
      <c r="G148" s="1" t="s">
        <v>98</v>
      </c>
      <c r="H148" s="1" t="n">
        <v>1260789</v>
      </c>
      <c r="I148" s="1" t="n">
        <v>11</v>
      </c>
      <c r="J148" s="1" t="s">
        <v>1753</v>
      </c>
      <c r="K148" s="46" t="n">
        <v>14.13</v>
      </c>
      <c r="N148" s="67" t="n">
        <v>46189</v>
      </c>
      <c r="O148" s="1" t="n">
        <f aca="false">SUMIFS($K:$K,$E:$E,N148)</f>
        <v>19889.6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36</v>
      </c>
      <c r="D149" s="1" t="s">
        <v>1797</v>
      </c>
      <c r="E149" s="15" t="n">
        <v>46189</v>
      </c>
      <c r="F149" s="15" t="n">
        <v>46185</v>
      </c>
      <c r="G149" s="1" t="s">
        <v>98</v>
      </c>
      <c r="H149" s="1" t="n">
        <v>1260856</v>
      </c>
      <c r="I149" s="1" t="n">
        <v>11</v>
      </c>
      <c r="J149" s="1" t="s">
        <v>1753</v>
      </c>
      <c r="K149" s="46" t="n">
        <v>1923.44</v>
      </c>
      <c r="N149" s="67" t="n">
        <v>46189</v>
      </c>
      <c r="O149" s="1" t="n">
        <f aca="false">SUMIFS($K:$K,$E:$E,N149)</f>
        <v>19889.6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85</v>
      </c>
      <c r="D150" s="1" t="s">
        <v>1820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1753</v>
      </c>
      <c r="K150" s="46" t="n">
        <v>6357.12</v>
      </c>
      <c r="N150" s="67" t="n">
        <v>46189</v>
      </c>
      <c r="O150" s="1" t="n">
        <f aca="false">SUMIFS($K:$K,$E:$E,N150)</f>
        <v>19889.6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85</v>
      </c>
      <c r="D151" s="1" t="s">
        <v>1821</v>
      </c>
      <c r="E151" s="15" t="n">
        <v>46189</v>
      </c>
      <c r="F151" s="15" t="n">
        <v>46188</v>
      </c>
      <c r="G151" s="1" t="s">
        <v>649</v>
      </c>
      <c r="H151" s="1" t="n">
        <v>1260463</v>
      </c>
      <c r="I151" s="1" t="n">
        <v>1</v>
      </c>
      <c r="J151" s="1" t="s">
        <v>1753</v>
      </c>
      <c r="K151" s="46" t="n">
        <v>720.48</v>
      </c>
      <c r="N151" s="67" t="n">
        <v>46189</v>
      </c>
      <c r="O151" s="1" t="n">
        <f aca="false">SUMIFS($K:$K,$E:$E,N151)</f>
        <v>19889.6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36</v>
      </c>
      <c r="D152" s="1" t="s">
        <v>1766</v>
      </c>
      <c r="E152" s="15" t="n">
        <v>46189</v>
      </c>
      <c r="F152" s="15" t="n">
        <v>46189</v>
      </c>
      <c r="G152" s="1" t="s">
        <v>146</v>
      </c>
      <c r="H152" s="1" t="n">
        <v>1261940</v>
      </c>
      <c r="I152" s="1" t="n">
        <v>6</v>
      </c>
      <c r="J152" s="1" t="s">
        <v>1753</v>
      </c>
      <c r="K152" s="46" t="n">
        <v>1513.16</v>
      </c>
      <c r="N152" s="67" t="n">
        <v>46189</v>
      </c>
      <c r="O152" s="1" t="n">
        <f aca="false">SUMIFS($K:$K,$E:$E,N152)</f>
        <v>19889.6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36</v>
      </c>
      <c r="D153" s="1" t="s">
        <v>1766</v>
      </c>
      <c r="E153" s="15" t="n">
        <v>46189</v>
      </c>
      <c r="F153" s="15" t="n">
        <v>46189</v>
      </c>
      <c r="G153" s="1" t="s">
        <v>146</v>
      </c>
      <c r="H153" s="1" t="n">
        <v>1261929</v>
      </c>
      <c r="I153" s="1" t="n">
        <v>2</v>
      </c>
      <c r="J153" s="1" t="s">
        <v>1753</v>
      </c>
      <c r="K153" s="46" t="n">
        <v>1513.16</v>
      </c>
      <c r="N153" s="67" t="n">
        <v>46189</v>
      </c>
      <c r="O153" s="1" t="n">
        <f aca="false">SUMIFS($K:$K,$E:$E,N153)</f>
        <v>19889.6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36</v>
      </c>
      <c r="D154" s="1" t="s">
        <v>1767</v>
      </c>
      <c r="E154" s="15" t="n">
        <v>46189</v>
      </c>
      <c r="F154" s="15" t="n">
        <v>46188</v>
      </c>
      <c r="G154" s="1" t="s">
        <v>105</v>
      </c>
      <c r="H154" s="1" t="n">
        <v>1261465</v>
      </c>
      <c r="I154" s="1" t="n">
        <v>1</v>
      </c>
      <c r="J154" s="1" t="s">
        <v>1753</v>
      </c>
      <c r="K154" s="46" t="n">
        <v>185.2</v>
      </c>
      <c r="N154" s="67" t="n">
        <v>46189</v>
      </c>
      <c r="O154" s="1" t="n">
        <f aca="false">SUMIFS($K:$K,$E:$E,N154)</f>
        <v>19889.6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36</v>
      </c>
      <c r="D155" s="1" t="s">
        <v>1822</v>
      </c>
      <c r="E155" s="15" t="n">
        <v>46189</v>
      </c>
      <c r="F155" s="15" t="n">
        <v>46139</v>
      </c>
      <c r="G155" s="1" t="s">
        <v>1823</v>
      </c>
      <c r="H155" s="1" t="n">
        <v>1261588</v>
      </c>
      <c r="I155" s="1" t="n">
        <v>39</v>
      </c>
      <c r="J155" s="1" t="s">
        <v>1753</v>
      </c>
      <c r="K155" s="46" t="n">
        <v>545</v>
      </c>
      <c r="N155" s="67" t="n">
        <v>46189</v>
      </c>
      <c r="O155" s="1" t="n">
        <f aca="false">SUMIFS($K:$K,$E:$E,N155)</f>
        <v>19889.6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36</v>
      </c>
      <c r="D156" s="1" t="s">
        <v>1824</v>
      </c>
      <c r="E156" s="15" t="n">
        <v>46189</v>
      </c>
      <c r="F156" s="15" t="n">
        <v>46142</v>
      </c>
      <c r="G156" s="1" t="s">
        <v>1825</v>
      </c>
      <c r="H156" s="1" t="n">
        <v>1261842</v>
      </c>
      <c r="I156" s="1" t="n">
        <v>39</v>
      </c>
      <c r="J156" s="1" t="s">
        <v>1753</v>
      </c>
      <c r="K156" s="46" t="n">
        <v>13.1</v>
      </c>
      <c r="N156" s="67" t="n">
        <v>46189</v>
      </c>
      <c r="O156" s="1" t="n">
        <f aca="false">SUMIFS($K:$K,$E:$E,N156)</f>
        <v>19889.6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36</v>
      </c>
      <c r="D157" s="1" t="s">
        <v>1826</v>
      </c>
      <c r="E157" s="15" t="n">
        <v>46189</v>
      </c>
      <c r="F157" s="15" t="n">
        <v>46184</v>
      </c>
      <c r="G157" s="1" t="s">
        <v>338</v>
      </c>
      <c r="H157" s="1" t="n">
        <v>1261007</v>
      </c>
      <c r="I157" s="1" t="n">
        <v>1</v>
      </c>
      <c r="J157" s="1" t="s">
        <v>1753</v>
      </c>
      <c r="K157" s="46" t="n">
        <v>2201.6</v>
      </c>
      <c r="N157" s="67" t="n">
        <v>46189</v>
      </c>
      <c r="O157" s="1" t="n">
        <f aca="false">SUMIFS($K:$K,$E:$E,N157)</f>
        <v>19889.6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36</v>
      </c>
      <c r="D158" s="1" t="s">
        <v>1827</v>
      </c>
      <c r="E158" s="15" t="n">
        <v>46189</v>
      </c>
      <c r="F158" s="15" t="n">
        <v>46183</v>
      </c>
      <c r="G158" s="1" t="s">
        <v>269</v>
      </c>
      <c r="H158" s="1" t="n">
        <v>1260710</v>
      </c>
      <c r="I158" s="1" t="n">
        <v>1</v>
      </c>
      <c r="J158" s="1" t="s">
        <v>1753</v>
      </c>
      <c r="K158" s="46" t="n">
        <v>482.36</v>
      </c>
      <c r="N158" s="67" t="n">
        <v>46189</v>
      </c>
      <c r="O158" s="1" t="n">
        <f aca="false">SUMIFS($K:$K,$E:$E,N158)</f>
        <v>19889.6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36</v>
      </c>
      <c r="D159" s="1" t="s">
        <v>1762</v>
      </c>
      <c r="E159" s="15" t="n">
        <v>46190</v>
      </c>
      <c r="F159" s="15" t="n">
        <v>46190</v>
      </c>
      <c r="G159" s="1" t="s">
        <v>243</v>
      </c>
      <c r="H159" s="1" t="n">
        <v>1266335</v>
      </c>
      <c r="I159" s="1" t="n">
        <v>1</v>
      </c>
      <c r="J159" s="1" t="s">
        <v>1753</v>
      </c>
      <c r="K159" s="46" t="n">
        <v>925</v>
      </c>
      <c r="N159" s="67" t="n">
        <v>46190</v>
      </c>
      <c r="O159" s="1" t="n">
        <f aca="false">SUMIFS($K:$K,$E:$E,N159)</f>
        <v>10797.21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36</v>
      </c>
      <c r="D160" s="1" t="s">
        <v>1768</v>
      </c>
      <c r="E160" s="15" t="n">
        <v>46190</v>
      </c>
      <c r="F160" s="15" t="n">
        <v>46189</v>
      </c>
      <c r="G160" s="1" t="s">
        <v>129</v>
      </c>
      <c r="H160" s="1" t="n">
        <v>1264969</v>
      </c>
      <c r="I160" s="1" t="n">
        <v>1</v>
      </c>
      <c r="J160" s="1" t="s">
        <v>1753</v>
      </c>
      <c r="K160" s="46" t="n">
        <v>684</v>
      </c>
      <c r="N160" s="67" t="n">
        <v>46190</v>
      </c>
      <c r="O160" s="1" t="n">
        <f aca="false">SUMIFS($K:$K,$E:$E,N160)</f>
        <v>10797.21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1811</v>
      </c>
      <c r="D161" s="1" t="s">
        <v>1812</v>
      </c>
      <c r="E161" s="15" t="n">
        <v>46190</v>
      </c>
      <c r="F161" s="15" t="n">
        <v>46189</v>
      </c>
      <c r="G161" s="1" t="s">
        <v>235</v>
      </c>
      <c r="H161" s="1" t="n">
        <v>1265880</v>
      </c>
      <c r="I161" s="1" t="n">
        <v>1</v>
      </c>
      <c r="J161" s="1" t="s">
        <v>1753</v>
      </c>
      <c r="K161" s="46" t="n">
        <v>614.97</v>
      </c>
      <c r="N161" s="67" t="n">
        <v>46190</v>
      </c>
      <c r="O161" s="1" t="n">
        <f aca="false">SUMIFS($K:$K,$E:$E,N161)</f>
        <v>10797.21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1755</v>
      </c>
      <c r="D162" s="1" t="s">
        <v>1756</v>
      </c>
      <c r="E162" s="15" t="n">
        <v>46190</v>
      </c>
      <c r="F162" s="15" t="n">
        <v>46190</v>
      </c>
      <c r="G162" s="1" t="s">
        <v>416</v>
      </c>
      <c r="H162" s="1" t="n">
        <v>1265907</v>
      </c>
      <c r="I162" s="1" t="n">
        <v>1</v>
      </c>
      <c r="J162" s="1" t="s">
        <v>1753</v>
      </c>
      <c r="K162" s="46" t="n">
        <v>190.5</v>
      </c>
      <c r="N162" s="67" t="n">
        <v>46190</v>
      </c>
      <c r="O162" s="1" t="n">
        <f aca="false">SUMIFS($K:$K,$E:$E,N162)</f>
        <v>10797.21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61</v>
      </c>
      <c r="D163" s="1" t="s">
        <v>1787</v>
      </c>
      <c r="E163" s="15" t="n">
        <v>46190</v>
      </c>
      <c r="F163" s="15" t="n">
        <v>46190</v>
      </c>
      <c r="G163" s="1" t="s">
        <v>274</v>
      </c>
      <c r="H163" s="1" t="n">
        <v>1265916</v>
      </c>
      <c r="I163" s="1" t="n">
        <v>11</v>
      </c>
      <c r="J163" s="1" t="s">
        <v>1753</v>
      </c>
      <c r="K163" s="46" t="n">
        <v>1103.76</v>
      </c>
      <c r="N163" s="67" t="n">
        <v>46190</v>
      </c>
      <c r="O163" s="1" t="n">
        <f aca="false">SUMIFS($K:$K,$E:$E,N163)</f>
        <v>10797.21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36</v>
      </c>
      <c r="D164" s="1" t="s">
        <v>1828</v>
      </c>
      <c r="E164" s="15" t="n">
        <v>46190</v>
      </c>
      <c r="F164" s="15" t="n">
        <v>46189</v>
      </c>
      <c r="G164" s="1" t="s">
        <v>556</v>
      </c>
      <c r="H164" s="1" t="n">
        <v>1264865</v>
      </c>
      <c r="I164" s="1" t="n">
        <v>1</v>
      </c>
      <c r="J164" s="1" t="s">
        <v>1753</v>
      </c>
      <c r="K164" s="46" t="n">
        <v>194.4</v>
      </c>
      <c r="N164" s="67" t="n">
        <v>46190</v>
      </c>
      <c r="O164" s="1" t="n">
        <f aca="false">SUMIFS($K:$K,$E:$E,N164)</f>
        <v>10797.21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1829</v>
      </c>
      <c r="D165" s="1" t="s">
        <v>1830</v>
      </c>
      <c r="E165" s="15" t="n">
        <v>46190</v>
      </c>
      <c r="F165" s="15" t="n">
        <v>46189</v>
      </c>
      <c r="G165" s="1" t="s">
        <v>135</v>
      </c>
      <c r="H165" s="1" t="n">
        <v>1265426</v>
      </c>
      <c r="I165" s="1" t="n">
        <v>1</v>
      </c>
      <c r="J165" s="1" t="s">
        <v>1753</v>
      </c>
      <c r="K165" s="46" t="n">
        <v>212.4</v>
      </c>
      <c r="N165" s="67" t="n">
        <v>46190</v>
      </c>
      <c r="O165" s="1" t="n">
        <f aca="false">SUMIFS($K:$K,$E:$E,N165)</f>
        <v>10797.21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1766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1753</v>
      </c>
      <c r="K166" s="46" t="n">
        <v>210</v>
      </c>
      <c r="N166" s="67" t="n">
        <v>46190</v>
      </c>
      <c r="O166" s="1" t="n">
        <f aca="false">SUMIFS($K:$K,$E:$E,N166)</f>
        <v>10797.21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36</v>
      </c>
      <c r="D167" s="1" t="s">
        <v>1766</v>
      </c>
      <c r="E167" s="15" t="n">
        <v>46190</v>
      </c>
      <c r="F167" s="15" t="n">
        <v>46190</v>
      </c>
      <c r="G167" s="1" t="s">
        <v>146</v>
      </c>
      <c r="H167" s="1" t="n">
        <v>1266169</v>
      </c>
      <c r="I167" s="1" t="n">
        <v>2</v>
      </c>
      <c r="J167" s="1" t="s">
        <v>1753</v>
      </c>
      <c r="K167" s="46" t="n">
        <v>210</v>
      </c>
      <c r="N167" s="67" t="n">
        <v>46190</v>
      </c>
      <c r="O167" s="1" t="n">
        <f aca="false">SUMIFS($K:$K,$E:$E,N167)</f>
        <v>10797.21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76</v>
      </c>
      <c r="D168" s="1" t="s">
        <v>1831</v>
      </c>
      <c r="E168" s="15" t="n">
        <v>46190</v>
      </c>
      <c r="F168" s="15" t="n">
        <v>46186</v>
      </c>
      <c r="G168" s="1" t="s">
        <v>227</v>
      </c>
      <c r="H168" s="1" t="n">
        <v>1265709</v>
      </c>
      <c r="I168" s="1" t="n">
        <v>1</v>
      </c>
      <c r="J168" s="1" t="s">
        <v>1753</v>
      </c>
      <c r="K168" s="46" t="n">
        <v>184.73</v>
      </c>
      <c r="N168" s="67" t="n">
        <v>46190</v>
      </c>
      <c r="O168" s="1" t="n">
        <f aca="false">SUMIFS($K:$K,$E:$E,N168)</f>
        <v>10797.21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76</v>
      </c>
      <c r="D169" s="1" t="s">
        <v>1808</v>
      </c>
      <c r="E169" s="15" t="n">
        <v>46190</v>
      </c>
      <c r="F169" s="15" t="n">
        <v>46189</v>
      </c>
      <c r="G169" s="1" t="s">
        <v>578</v>
      </c>
      <c r="H169" s="1" t="n">
        <v>1264875</v>
      </c>
      <c r="I169" s="1" t="n">
        <v>1</v>
      </c>
      <c r="J169" s="1" t="s">
        <v>1753</v>
      </c>
      <c r="K169" s="46" t="n">
        <v>1834</v>
      </c>
      <c r="N169" s="67" t="n">
        <v>46190</v>
      </c>
      <c r="O169" s="1" t="n">
        <f aca="false">SUMIFS($K:$K,$E:$E,N169)</f>
        <v>10797.21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1758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1753</v>
      </c>
      <c r="K170" s="46" t="n">
        <v>304.75</v>
      </c>
      <c r="N170" s="67" t="n">
        <v>46190</v>
      </c>
      <c r="O170" s="1" t="n">
        <f aca="false">SUMIFS($K:$K,$E:$E,N170)</f>
        <v>10797.21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36</v>
      </c>
      <c r="D171" s="1" t="s">
        <v>1759</v>
      </c>
      <c r="E171" s="15" t="n">
        <v>46190</v>
      </c>
      <c r="F171" s="15" t="n">
        <v>46190</v>
      </c>
      <c r="G171" s="1" t="s">
        <v>205</v>
      </c>
      <c r="H171" s="1" t="n">
        <v>1265699</v>
      </c>
      <c r="I171" s="1" t="n">
        <v>1</v>
      </c>
      <c r="J171" s="1" t="s">
        <v>1753</v>
      </c>
      <c r="K171" s="46" t="n">
        <v>274.85</v>
      </c>
      <c r="N171" s="67" t="n">
        <v>46190</v>
      </c>
      <c r="O171" s="1" t="n">
        <f aca="false">SUMIFS($K:$K,$E:$E,N171)</f>
        <v>10797.21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1832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1753</v>
      </c>
      <c r="K172" s="46" t="n">
        <v>2631.81</v>
      </c>
      <c r="N172" s="67" t="n">
        <v>46190</v>
      </c>
      <c r="O172" s="1" t="n">
        <f aca="false">SUMIFS($K:$K,$E:$E,N172)</f>
        <v>10797.21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61</v>
      </c>
      <c r="D173" s="1" t="s">
        <v>1833</v>
      </c>
      <c r="E173" s="15" t="n">
        <v>46190</v>
      </c>
      <c r="F173" s="15" t="n">
        <v>46189</v>
      </c>
      <c r="G173" s="1" t="s">
        <v>826</v>
      </c>
      <c r="H173" s="1" t="n">
        <v>1265758</v>
      </c>
      <c r="I173" s="1" t="n">
        <v>1</v>
      </c>
      <c r="J173" s="1" t="s">
        <v>1753</v>
      </c>
      <c r="K173" s="46" t="n">
        <v>1222.04</v>
      </c>
      <c r="N173" s="67" t="n">
        <v>46190</v>
      </c>
      <c r="O173" s="1" t="n">
        <f aca="false">SUMIFS($K:$K,$E:$E,N173)</f>
        <v>10797.21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36</v>
      </c>
      <c r="D174" s="1" t="s">
        <v>1834</v>
      </c>
      <c r="E174" s="15" t="n">
        <v>46191</v>
      </c>
      <c r="F174" s="15" t="n">
        <v>46190</v>
      </c>
      <c r="G174" s="1" t="s">
        <v>684</v>
      </c>
      <c r="H174" s="1" t="n">
        <v>1268798</v>
      </c>
      <c r="I174" s="1" t="n">
        <v>39</v>
      </c>
      <c r="J174" s="1" t="s">
        <v>1753</v>
      </c>
      <c r="K174" s="46" t="n">
        <v>1840</v>
      </c>
      <c r="N174" s="67" t="n">
        <v>46191</v>
      </c>
      <c r="O174" s="1" t="n">
        <f aca="false">SUMIFS($K:$K,$E:$E,N174)</f>
        <v>25129.13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49</v>
      </c>
      <c r="D175" s="1" t="s">
        <v>1754</v>
      </c>
      <c r="E175" s="15" t="n">
        <v>46191</v>
      </c>
      <c r="F175" s="15" t="n">
        <v>46189</v>
      </c>
      <c r="G175" s="1" t="s">
        <v>131</v>
      </c>
      <c r="H175" s="1" t="n">
        <v>1268774</v>
      </c>
      <c r="I175" s="1" t="n">
        <v>11</v>
      </c>
      <c r="J175" s="1" t="s">
        <v>1753</v>
      </c>
      <c r="K175" s="46" t="n">
        <v>101.71</v>
      </c>
      <c r="N175" s="67" t="n">
        <v>46191</v>
      </c>
      <c r="O175" s="1" t="n">
        <f aca="false">SUMIFS($K:$K,$E:$E,N175)</f>
        <v>25129.13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67</v>
      </c>
      <c r="D176" s="1" t="s">
        <v>1754</v>
      </c>
      <c r="E176" s="15" t="n">
        <v>46191</v>
      </c>
      <c r="F176" s="15" t="n">
        <v>46189</v>
      </c>
      <c r="G176" s="1" t="s">
        <v>131</v>
      </c>
      <c r="H176" s="1" t="n">
        <v>1268754</v>
      </c>
      <c r="I176" s="1" t="n">
        <v>1</v>
      </c>
      <c r="J176" s="1" t="s">
        <v>1753</v>
      </c>
      <c r="K176" s="46" t="n">
        <v>1579.97</v>
      </c>
      <c r="N176" s="67" t="n">
        <v>46191</v>
      </c>
      <c r="O176" s="1" t="n">
        <f aca="false">SUMIFS($K:$K,$E:$E,N176)</f>
        <v>25129.13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36</v>
      </c>
      <c r="D177" s="1" t="s">
        <v>1835</v>
      </c>
      <c r="E177" s="15" t="n">
        <v>46191</v>
      </c>
      <c r="F177" s="15" t="n">
        <v>46190</v>
      </c>
      <c r="G177" s="1" t="s">
        <v>811</v>
      </c>
      <c r="H177" s="1" t="n">
        <v>1269959</v>
      </c>
      <c r="I177" s="1" t="n">
        <v>1</v>
      </c>
      <c r="J177" s="1" t="s">
        <v>1753</v>
      </c>
      <c r="K177" s="46" t="n">
        <v>324.43</v>
      </c>
      <c r="N177" s="67" t="n">
        <v>46191</v>
      </c>
      <c r="O177" s="1" t="n">
        <f aca="false">SUMIFS($K:$K,$E:$E,N177)</f>
        <v>25129.13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36</v>
      </c>
      <c r="D178" s="1" t="s">
        <v>1786</v>
      </c>
      <c r="E178" s="15" t="n">
        <v>46191</v>
      </c>
      <c r="F178" s="15" t="n">
        <v>46190</v>
      </c>
      <c r="G178" s="1" t="s">
        <v>222</v>
      </c>
      <c r="H178" s="1" t="n">
        <v>1269305</v>
      </c>
      <c r="I178" s="1" t="n">
        <v>1</v>
      </c>
      <c r="J178" s="1" t="s">
        <v>1753</v>
      </c>
      <c r="K178" s="46" t="n">
        <v>3166.01</v>
      </c>
      <c r="N178" s="67" t="n">
        <v>46191</v>
      </c>
      <c r="O178" s="1" t="n">
        <f aca="false">SUMIFS($K:$K,$E:$E,N178)</f>
        <v>25129.13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36</v>
      </c>
      <c r="D179" s="1" t="s">
        <v>1786</v>
      </c>
      <c r="E179" s="15" t="n">
        <v>46191</v>
      </c>
      <c r="F179" s="15" t="n">
        <v>46190</v>
      </c>
      <c r="G179" s="1" t="s">
        <v>222</v>
      </c>
      <c r="H179" s="1" t="n">
        <v>1269265</v>
      </c>
      <c r="I179" s="1" t="n">
        <v>1</v>
      </c>
      <c r="J179" s="1" t="s">
        <v>1753</v>
      </c>
      <c r="K179" s="46" t="n">
        <v>658.25</v>
      </c>
      <c r="N179" s="67" t="n">
        <v>46191</v>
      </c>
      <c r="O179" s="1" t="n">
        <f aca="false">SUMIFS($K:$K,$E:$E,N179)</f>
        <v>25129.13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36</v>
      </c>
      <c r="D180" s="1" t="s">
        <v>1836</v>
      </c>
      <c r="E180" s="15" t="n">
        <v>46191</v>
      </c>
      <c r="F180" s="15" t="n">
        <v>46190</v>
      </c>
      <c r="G180" s="1" t="s">
        <v>291</v>
      </c>
      <c r="H180" s="1" t="n">
        <v>1268848</v>
      </c>
      <c r="I180" s="1" t="n">
        <v>1</v>
      </c>
      <c r="J180" s="1" t="s">
        <v>1753</v>
      </c>
      <c r="K180" s="46" t="n">
        <v>992.4</v>
      </c>
      <c r="N180" s="67" t="n">
        <v>46191</v>
      </c>
      <c r="O180" s="1" t="n">
        <f aca="false">SUMIFS($K:$K,$E:$E,N180)</f>
        <v>25129.13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36</v>
      </c>
      <c r="D181" s="1" t="s">
        <v>1837</v>
      </c>
      <c r="E181" s="15" t="n">
        <v>46191</v>
      </c>
      <c r="F181" s="15" t="n">
        <v>46191</v>
      </c>
      <c r="G181" s="1" t="s">
        <v>336</v>
      </c>
      <c r="H181" s="1" t="n">
        <v>1269763</v>
      </c>
      <c r="I181" s="1" t="n">
        <v>1</v>
      </c>
      <c r="J181" s="1" t="s">
        <v>1753</v>
      </c>
      <c r="K181" s="46" t="n">
        <v>660</v>
      </c>
      <c r="N181" s="67" t="n">
        <v>46191</v>
      </c>
      <c r="O181" s="1" t="n">
        <f aca="false">SUMIFS($K:$K,$E:$E,N181)</f>
        <v>25129.13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85</v>
      </c>
      <c r="D182" s="1" t="s">
        <v>1820</v>
      </c>
      <c r="E182" s="15" t="n">
        <v>46191</v>
      </c>
      <c r="F182" s="15" t="n">
        <v>46185</v>
      </c>
      <c r="G182" s="1" t="s">
        <v>628</v>
      </c>
      <c r="H182" s="1" t="n">
        <v>1268715</v>
      </c>
      <c r="I182" s="1" t="n">
        <v>1</v>
      </c>
      <c r="J182" s="1" t="s">
        <v>1753</v>
      </c>
      <c r="K182" s="46" t="n">
        <v>128.85</v>
      </c>
      <c r="N182" s="67" t="n">
        <v>46191</v>
      </c>
      <c r="O182" s="1" t="n">
        <f aca="false">SUMIFS($K:$K,$E:$E,N182)</f>
        <v>25129.13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36</v>
      </c>
      <c r="D183" s="1" t="s">
        <v>1777</v>
      </c>
      <c r="E183" s="15" t="n">
        <v>46191</v>
      </c>
      <c r="F183" s="15" t="n">
        <v>46190</v>
      </c>
      <c r="G183" s="1" t="s">
        <v>180</v>
      </c>
      <c r="H183" s="1" t="n">
        <v>1269162</v>
      </c>
      <c r="I183" s="1" t="n">
        <v>1</v>
      </c>
      <c r="J183" s="1" t="s">
        <v>1753</v>
      </c>
      <c r="K183" s="46" t="n">
        <v>7993.6</v>
      </c>
      <c r="N183" s="67" t="n">
        <v>46191</v>
      </c>
      <c r="O183" s="1" t="n">
        <f aca="false">SUMIFS($K:$K,$E:$E,N183)</f>
        <v>25129.13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36</v>
      </c>
      <c r="D184" s="1" t="s">
        <v>1770</v>
      </c>
      <c r="E184" s="15" t="n">
        <v>46191</v>
      </c>
      <c r="F184" s="15" t="n">
        <v>46191</v>
      </c>
      <c r="G184" s="1" t="s">
        <v>140</v>
      </c>
      <c r="H184" s="1" t="n">
        <v>1269843</v>
      </c>
      <c r="I184" s="1" t="n">
        <v>1</v>
      </c>
      <c r="J184" s="1" t="s">
        <v>1753</v>
      </c>
      <c r="K184" s="46" t="n">
        <v>199</v>
      </c>
      <c r="N184" s="67" t="n">
        <v>46191</v>
      </c>
      <c r="O184" s="1" t="n">
        <f aca="false">SUMIFS($K:$K,$E:$E,N184)</f>
        <v>25129.13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36</v>
      </c>
      <c r="D185" s="1" t="s">
        <v>1757</v>
      </c>
      <c r="E185" s="15" t="n">
        <v>46191</v>
      </c>
      <c r="F185" s="15" t="n">
        <v>46191</v>
      </c>
      <c r="G185" s="1" t="s">
        <v>272</v>
      </c>
      <c r="H185" s="1" t="n">
        <v>1270055</v>
      </c>
      <c r="I185" s="1" t="n">
        <v>1</v>
      </c>
      <c r="J185" s="1" t="s">
        <v>1753</v>
      </c>
      <c r="K185" s="46" t="n">
        <v>5018.15</v>
      </c>
      <c r="N185" s="67" t="n">
        <v>46191</v>
      </c>
      <c r="O185" s="1" t="n">
        <f aca="false">SUMIFS($K:$K,$E:$E,N185)</f>
        <v>25129.13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1816</v>
      </c>
      <c r="D186" s="1" t="s">
        <v>1838</v>
      </c>
      <c r="E186" s="15" t="n">
        <v>46191</v>
      </c>
      <c r="F186" s="15" t="n">
        <v>46189</v>
      </c>
      <c r="G186" s="1" t="s">
        <v>135</v>
      </c>
      <c r="H186" s="1" t="n">
        <v>1269061</v>
      </c>
      <c r="I186" s="1" t="n">
        <v>1</v>
      </c>
      <c r="J186" s="1" t="s">
        <v>1753</v>
      </c>
      <c r="K186" s="46" t="n">
        <v>980.5</v>
      </c>
      <c r="N186" s="67" t="n">
        <v>46191</v>
      </c>
      <c r="O186" s="1" t="n">
        <f aca="false">SUMIFS($K:$K,$E:$E,N186)</f>
        <v>25129.13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1816</v>
      </c>
      <c r="D187" s="1" t="s">
        <v>1838</v>
      </c>
      <c r="E187" s="15" t="n">
        <v>46191</v>
      </c>
      <c r="F187" s="15" t="n">
        <v>46190</v>
      </c>
      <c r="G187" s="1" t="s">
        <v>135</v>
      </c>
      <c r="H187" s="1" t="n">
        <v>1269854</v>
      </c>
      <c r="I187" s="1" t="n">
        <v>1</v>
      </c>
      <c r="J187" s="1" t="s">
        <v>1753</v>
      </c>
      <c r="K187" s="46" t="n">
        <v>381.51</v>
      </c>
      <c r="N187" s="67" t="n">
        <v>46191</v>
      </c>
      <c r="O187" s="1" t="n">
        <f aca="false">SUMIFS($K:$K,$E:$E,N187)</f>
        <v>25129.13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36</v>
      </c>
      <c r="D188" s="1" t="s">
        <v>1839</v>
      </c>
      <c r="E188" s="15" t="n">
        <v>46191</v>
      </c>
      <c r="F188" s="15" t="n">
        <v>46191</v>
      </c>
      <c r="G188" s="1" t="s">
        <v>717</v>
      </c>
      <c r="H188" s="1" t="n">
        <v>1270149</v>
      </c>
      <c r="I188" s="1" t="n">
        <v>1</v>
      </c>
      <c r="J188" s="1" t="s">
        <v>1753</v>
      </c>
      <c r="K188" s="46" t="n">
        <v>1104.75</v>
      </c>
      <c r="N188" s="67" t="n">
        <v>46191</v>
      </c>
      <c r="O188" s="1" t="n">
        <f aca="false">SUMIFS($K:$K,$E:$E,N188)</f>
        <v>25129.13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36</v>
      </c>
      <c r="D189" s="1" t="s">
        <v>1783</v>
      </c>
      <c r="E189" s="15" t="n">
        <v>46195</v>
      </c>
      <c r="F189" s="15" t="n">
        <v>46192</v>
      </c>
      <c r="G189" s="1" t="s">
        <v>1784</v>
      </c>
      <c r="H189" s="1" t="n">
        <v>1289205</v>
      </c>
      <c r="I189" s="1" t="n">
        <v>1</v>
      </c>
      <c r="J189" s="1" t="s">
        <v>1753</v>
      </c>
      <c r="K189" s="46" t="n">
        <v>264</v>
      </c>
      <c r="N189" s="67" t="n">
        <v>46195</v>
      </c>
      <c r="O189" s="1" t="n">
        <f aca="false">SUMIFS($K:$K,$E:$E,N189)</f>
        <v>32123.08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36</v>
      </c>
      <c r="D190" s="1" t="s">
        <v>1761</v>
      </c>
      <c r="E190" s="15" t="n">
        <v>46195</v>
      </c>
      <c r="F190" s="15" t="n">
        <v>46192</v>
      </c>
      <c r="G190" s="1" t="s">
        <v>144</v>
      </c>
      <c r="H190" s="1" t="n">
        <v>1289127</v>
      </c>
      <c r="I190" s="1" t="n">
        <v>1</v>
      </c>
      <c r="J190" s="1" t="s">
        <v>1753</v>
      </c>
      <c r="K190" s="46" t="n">
        <v>156</v>
      </c>
      <c r="N190" s="67" t="n">
        <v>46195</v>
      </c>
      <c r="O190" s="1" t="n">
        <f aca="false">SUMIFS($K:$K,$E:$E,N190)</f>
        <v>32123.08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36</v>
      </c>
      <c r="D191" s="1" t="s">
        <v>1762</v>
      </c>
      <c r="E191" s="15" t="n">
        <v>46195</v>
      </c>
      <c r="F191" s="15" t="n">
        <v>46193</v>
      </c>
      <c r="G191" s="1" t="s">
        <v>243</v>
      </c>
      <c r="H191" s="1" t="n">
        <v>1289610</v>
      </c>
      <c r="I191" s="1" t="n">
        <v>1</v>
      </c>
      <c r="J191" s="1" t="s">
        <v>1753</v>
      </c>
      <c r="K191" s="46" t="n">
        <v>260</v>
      </c>
      <c r="N191" s="67" t="n">
        <v>46195</v>
      </c>
      <c r="O191" s="1" t="n">
        <f aca="false">SUMIFS($K:$K,$E:$E,N191)</f>
        <v>32123.08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36</v>
      </c>
      <c r="D192" s="1" t="s">
        <v>1840</v>
      </c>
      <c r="E192" s="15" t="n">
        <v>46195</v>
      </c>
      <c r="F192" s="15" t="n">
        <v>46191</v>
      </c>
      <c r="G192" s="1" t="s">
        <v>844</v>
      </c>
      <c r="H192" s="1" t="n">
        <v>1290565</v>
      </c>
      <c r="I192" s="1" t="n">
        <v>1</v>
      </c>
      <c r="J192" s="1" t="s">
        <v>1753</v>
      </c>
      <c r="K192" s="46" t="n">
        <v>592.5</v>
      </c>
      <c r="N192" s="67" t="n">
        <v>46195</v>
      </c>
      <c r="O192" s="1" t="n">
        <f aca="false">SUMIFS($K:$K,$E:$E,N192)</f>
        <v>32123.08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36</v>
      </c>
      <c r="D193" s="1" t="s">
        <v>1841</v>
      </c>
      <c r="E193" s="15" t="n">
        <v>46195</v>
      </c>
      <c r="F193" s="15" t="n">
        <v>46191</v>
      </c>
      <c r="G193" s="1" t="s">
        <v>842</v>
      </c>
      <c r="H193" s="1" t="n">
        <v>1290433</v>
      </c>
      <c r="I193" s="1" t="n">
        <v>1</v>
      </c>
      <c r="J193" s="1" t="s">
        <v>1753</v>
      </c>
      <c r="K193" s="46" t="n">
        <v>603.5</v>
      </c>
      <c r="N193" s="67" t="n">
        <v>46195</v>
      </c>
      <c r="O193" s="1" t="n">
        <f aca="false">SUMIFS($K:$K,$E:$E,N193)</f>
        <v>32123.08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36</v>
      </c>
      <c r="D194" s="1" t="s">
        <v>1842</v>
      </c>
      <c r="E194" s="15" t="n">
        <v>46195</v>
      </c>
      <c r="F194" s="15" t="n">
        <v>46193</v>
      </c>
      <c r="G194" s="1" t="s">
        <v>870</v>
      </c>
      <c r="H194" s="1" t="n">
        <v>1289620</v>
      </c>
      <c r="I194" s="1" t="n">
        <v>1</v>
      </c>
      <c r="J194" s="1" t="s">
        <v>1753</v>
      </c>
      <c r="K194" s="46" t="n">
        <v>671.67</v>
      </c>
      <c r="N194" s="67" t="n">
        <v>46195</v>
      </c>
      <c r="O194" s="1" t="n">
        <f aca="false">SUMIFS($K:$K,$E:$E,N194)</f>
        <v>32123.08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85</v>
      </c>
      <c r="D195" s="1" t="s">
        <v>1795</v>
      </c>
      <c r="E195" s="15" t="n">
        <v>46195</v>
      </c>
      <c r="F195" s="15" t="n">
        <v>46192</v>
      </c>
      <c r="G195" s="1" t="s">
        <v>392</v>
      </c>
      <c r="H195" s="1" t="n">
        <v>1289973</v>
      </c>
      <c r="I195" s="1" t="n">
        <v>1</v>
      </c>
      <c r="J195" s="1" t="s">
        <v>1753</v>
      </c>
      <c r="K195" s="46" t="n">
        <v>4300.92</v>
      </c>
      <c r="N195" s="67" t="n">
        <v>46195</v>
      </c>
      <c r="O195" s="1" t="n">
        <f aca="false">SUMIFS($K:$K,$E:$E,N195)</f>
        <v>32123.08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49</v>
      </c>
      <c r="D196" s="1" t="s">
        <v>1754</v>
      </c>
      <c r="E196" s="15" t="n">
        <v>46195</v>
      </c>
      <c r="F196" s="15" t="n">
        <v>46191</v>
      </c>
      <c r="G196" s="1" t="s">
        <v>131</v>
      </c>
      <c r="H196" s="1" t="n">
        <v>1290006</v>
      </c>
      <c r="I196" s="1" t="n">
        <v>1</v>
      </c>
      <c r="J196" s="1" t="s">
        <v>1753</v>
      </c>
      <c r="K196" s="46" t="n">
        <v>50.85</v>
      </c>
      <c r="N196" s="67" t="n">
        <v>46195</v>
      </c>
      <c r="O196" s="1" t="n">
        <f aca="false">SUMIFS($K:$K,$E:$E,N196)</f>
        <v>32123.08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49</v>
      </c>
      <c r="D197" s="1" t="s">
        <v>1754</v>
      </c>
      <c r="E197" s="15" t="n">
        <v>46195</v>
      </c>
      <c r="F197" s="15" t="n">
        <v>46192</v>
      </c>
      <c r="G197" s="1" t="s">
        <v>131</v>
      </c>
      <c r="H197" s="1" t="n">
        <v>1290071</v>
      </c>
      <c r="I197" s="1" t="n">
        <v>1</v>
      </c>
      <c r="J197" s="1" t="s">
        <v>1753</v>
      </c>
      <c r="K197" s="46" t="n">
        <v>22.95</v>
      </c>
      <c r="N197" s="67" t="n">
        <v>46195</v>
      </c>
      <c r="O197" s="1" t="n">
        <f aca="false">SUMIFS($K:$K,$E:$E,N197)</f>
        <v>32123.08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49</v>
      </c>
      <c r="D198" s="1" t="s">
        <v>1754</v>
      </c>
      <c r="E198" s="15" t="n">
        <v>46195</v>
      </c>
      <c r="F198" s="15" t="n">
        <v>46192</v>
      </c>
      <c r="G198" s="1" t="s">
        <v>131</v>
      </c>
      <c r="H198" s="1" t="n">
        <v>1290102</v>
      </c>
      <c r="I198" s="1" t="n">
        <v>1</v>
      </c>
      <c r="J198" s="1" t="s">
        <v>1753</v>
      </c>
      <c r="K198" s="46" t="n">
        <v>2287.85</v>
      </c>
      <c r="N198" s="67" t="n">
        <v>46195</v>
      </c>
      <c r="O198" s="1" t="n">
        <f aca="false">SUMIFS($K:$K,$E:$E,N198)</f>
        <v>32123.08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67</v>
      </c>
      <c r="D199" s="1" t="s">
        <v>1754</v>
      </c>
      <c r="E199" s="15" t="n">
        <v>46195</v>
      </c>
      <c r="F199" s="15" t="n">
        <v>46191</v>
      </c>
      <c r="G199" s="1" t="s">
        <v>131</v>
      </c>
      <c r="H199" s="1" t="n">
        <v>1290014</v>
      </c>
      <c r="I199" s="1" t="n">
        <v>11</v>
      </c>
      <c r="J199" s="1" t="s">
        <v>1753</v>
      </c>
      <c r="K199" s="46" t="n">
        <v>463.56</v>
      </c>
      <c r="N199" s="67" t="n">
        <v>46195</v>
      </c>
      <c r="O199" s="1" t="n">
        <f aca="false">SUMIFS($K:$K,$E:$E,N199)</f>
        <v>32123.08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67</v>
      </c>
      <c r="D200" s="1" t="s">
        <v>1754</v>
      </c>
      <c r="E200" s="15" t="n">
        <v>46195</v>
      </c>
      <c r="F200" s="15" t="n">
        <v>46192</v>
      </c>
      <c r="G200" s="1" t="s">
        <v>131</v>
      </c>
      <c r="H200" s="1" t="n">
        <v>1290124</v>
      </c>
      <c r="I200" s="1" t="n">
        <v>11</v>
      </c>
      <c r="J200" s="1" t="s">
        <v>1753</v>
      </c>
      <c r="K200" s="46" t="n">
        <v>93.77</v>
      </c>
      <c r="N200" s="67" t="n">
        <v>46195</v>
      </c>
      <c r="O200" s="1" t="n">
        <f aca="false">SUMIFS($K:$K,$E:$E,N200)</f>
        <v>32123.08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67</v>
      </c>
      <c r="D201" s="1" t="s">
        <v>1754</v>
      </c>
      <c r="E201" s="15" t="n">
        <v>46195</v>
      </c>
      <c r="F201" s="15" t="n">
        <v>46192</v>
      </c>
      <c r="G201" s="1" t="s">
        <v>131</v>
      </c>
      <c r="H201" s="1" t="n">
        <v>1290089</v>
      </c>
      <c r="I201" s="1" t="n">
        <v>1</v>
      </c>
      <c r="J201" s="1" t="s">
        <v>1753</v>
      </c>
      <c r="K201" s="46" t="n">
        <v>840.06</v>
      </c>
      <c r="N201" s="67" t="n">
        <v>46195</v>
      </c>
      <c r="O201" s="1" t="n">
        <f aca="false">SUMIFS($K:$K,$E:$E,N201)</f>
        <v>32123.08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36</v>
      </c>
      <c r="D202" s="1" t="s">
        <v>1802</v>
      </c>
      <c r="E202" s="15" t="n">
        <v>46195</v>
      </c>
      <c r="F202" s="15" t="n">
        <v>46192</v>
      </c>
      <c r="G202" s="1" t="s">
        <v>107</v>
      </c>
      <c r="H202" s="1" t="n">
        <v>1289535</v>
      </c>
      <c r="I202" s="1" t="n">
        <v>1</v>
      </c>
      <c r="J202" s="1" t="s">
        <v>1753</v>
      </c>
      <c r="K202" s="46" t="n">
        <v>1342.31</v>
      </c>
      <c r="N202" s="67" t="n">
        <v>46195</v>
      </c>
      <c r="O202" s="1" t="n">
        <f aca="false">SUMIFS($K:$K,$E:$E,N202)</f>
        <v>32123.08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36</v>
      </c>
      <c r="D203" s="1" t="s">
        <v>1763</v>
      </c>
      <c r="E203" s="15" t="n">
        <v>46195</v>
      </c>
      <c r="F203" s="15" t="n">
        <v>46191</v>
      </c>
      <c r="G203" s="1" t="s">
        <v>233</v>
      </c>
      <c r="H203" s="1" t="n">
        <v>1289139</v>
      </c>
      <c r="I203" s="1" t="n">
        <v>1</v>
      </c>
      <c r="J203" s="1" t="s">
        <v>1753</v>
      </c>
      <c r="K203" s="46" t="n">
        <v>370.84</v>
      </c>
      <c r="N203" s="67" t="n">
        <v>46195</v>
      </c>
      <c r="O203" s="1" t="n">
        <f aca="false">SUMIFS($K:$K,$E:$E,N203)</f>
        <v>32123.08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36</v>
      </c>
      <c r="D204" s="1" t="s">
        <v>1764</v>
      </c>
      <c r="E204" s="15" t="n">
        <v>46195</v>
      </c>
      <c r="F204" s="15" t="n">
        <v>46191</v>
      </c>
      <c r="G204" s="1" t="s">
        <v>224</v>
      </c>
      <c r="H204" s="1" t="n">
        <v>1289449</v>
      </c>
      <c r="I204" s="1" t="n">
        <v>1</v>
      </c>
      <c r="J204" s="1" t="s">
        <v>1753</v>
      </c>
      <c r="K204" s="46" t="n">
        <v>3464.65</v>
      </c>
      <c r="N204" s="67" t="n">
        <v>46195</v>
      </c>
      <c r="O204" s="1" t="n">
        <f aca="false">SUMIFS($K:$K,$E:$E,N204)</f>
        <v>32123.08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36</v>
      </c>
      <c r="D205" s="1" t="s">
        <v>1764</v>
      </c>
      <c r="E205" s="15" t="n">
        <v>46195</v>
      </c>
      <c r="F205" s="15" t="n">
        <v>46191</v>
      </c>
      <c r="G205" s="1" t="s">
        <v>224</v>
      </c>
      <c r="H205" s="1" t="n">
        <v>1289156</v>
      </c>
      <c r="I205" s="1" t="n">
        <v>1</v>
      </c>
      <c r="J205" s="1" t="s">
        <v>1753</v>
      </c>
      <c r="K205" s="46" t="n">
        <v>334.45</v>
      </c>
      <c r="N205" s="67" t="n">
        <v>46195</v>
      </c>
      <c r="O205" s="1" t="n">
        <f aca="false">SUMIFS($K:$K,$E:$E,N205)</f>
        <v>32123.08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36</v>
      </c>
      <c r="D206" s="1" t="s">
        <v>1764</v>
      </c>
      <c r="E206" s="15" t="n">
        <v>46195</v>
      </c>
      <c r="F206" s="15" t="n">
        <v>46195</v>
      </c>
      <c r="G206" s="1" t="s">
        <v>224</v>
      </c>
      <c r="H206" s="1" t="n">
        <v>1289428</v>
      </c>
      <c r="I206" s="1" t="n">
        <v>1</v>
      </c>
      <c r="J206" s="1" t="s">
        <v>1753</v>
      </c>
      <c r="K206" s="46" t="n">
        <v>724</v>
      </c>
      <c r="N206" s="67" t="n">
        <v>46195</v>
      </c>
      <c r="O206" s="1" t="n">
        <f aca="false">SUMIFS($K:$K,$E:$E,N206)</f>
        <v>32123.08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36</v>
      </c>
      <c r="D207" s="1" t="s">
        <v>1773</v>
      </c>
      <c r="E207" s="15" t="n">
        <v>46195</v>
      </c>
      <c r="F207" s="15" t="n">
        <v>46192</v>
      </c>
      <c r="G207" s="1" t="s">
        <v>96</v>
      </c>
      <c r="H207" s="1" t="n">
        <v>1290743</v>
      </c>
      <c r="I207" s="1" t="n">
        <v>11</v>
      </c>
      <c r="J207" s="1" t="s">
        <v>1753</v>
      </c>
      <c r="K207" s="46" t="n">
        <v>2018.54</v>
      </c>
      <c r="N207" s="67" t="n">
        <v>46195</v>
      </c>
      <c r="O207" s="1" t="n">
        <f aca="false">SUMIFS($K:$K,$E:$E,N207)</f>
        <v>32123.08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36</v>
      </c>
      <c r="D208" s="1" t="s">
        <v>1775</v>
      </c>
      <c r="E208" s="15" t="n">
        <v>46195</v>
      </c>
      <c r="F208" s="15" t="n">
        <v>46192</v>
      </c>
      <c r="G208" s="1" t="s">
        <v>1776</v>
      </c>
      <c r="H208" s="1" t="n">
        <v>1289146</v>
      </c>
      <c r="I208" s="1" t="n">
        <v>1</v>
      </c>
      <c r="J208" s="1" t="s">
        <v>1753</v>
      </c>
      <c r="K208" s="46" t="n">
        <v>306</v>
      </c>
      <c r="N208" s="67" t="n">
        <v>46195</v>
      </c>
      <c r="O208" s="1" t="n">
        <f aca="false">SUMIFS($K:$K,$E:$E,N208)</f>
        <v>32123.08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36</v>
      </c>
      <c r="D209" s="1" t="s">
        <v>1774</v>
      </c>
      <c r="E209" s="15" t="n">
        <v>46195</v>
      </c>
      <c r="F209" s="15" t="n">
        <v>46192</v>
      </c>
      <c r="G209" s="1" t="s">
        <v>187</v>
      </c>
      <c r="H209" s="1" t="n">
        <v>1289327</v>
      </c>
      <c r="I209" s="1" t="n">
        <v>1</v>
      </c>
      <c r="J209" s="1" t="s">
        <v>1753</v>
      </c>
      <c r="K209" s="46" t="n">
        <v>110</v>
      </c>
      <c r="N209" s="67" t="n">
        <v>46195</v>
      </c>
      <c r="O209" s="1" t="n">
        <f aca="false">SUMIFS($K:$K,$E:$E,N209)</f>
        <v>32123.08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36</v>
      </c>
      <c r="D210" s="1" t="s">
        <v>1766</v>
      </c>
      <c r="E210" s="15" t="n">
        <v>46195</v>
      </c>
      <c r="F210" s="15" t="n">
        <v>46195</v>
      </c>
      <c r="G210" s="1" t="s">
        <v>146</v>
      </c>
      <c r="H210" s="1" t="n">
        <v>1289851</v>
      </c>
      <c r="I210" s="1" t="n">
        <v>6</v>
      </c>
      <c r="J210" s="1" t="s">
        <v>1753</v>
      </c>
      <c r="K210" s="46" t="n">
        <v>210</v>
      </c>
      <c r="N210" s="67" t="n">
        <v>46195</v>
      </c>
      <c r="O210" s="1" t="n">
        <f aca="false">SUMIFS($K:$K,$E:$E,N210)</f>
        <v>32123.08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36</v>
      </c>
      <c r="D211" s="1" t="s">
        <v>1766</v>
      </c>
      <c r="E211" s="15" t="n">
        <v>46195</v>
      </c>
      <c r="F211" s="15" t="n">
        <v>46195</v>
      </c>
      <c r="G211" s="1" t="s">
        <v>146</v>
      </c>
      <c r="H211" s="1" t="n">
        <v>1289925</v>
      </c>
      <c r="I211" s="1" t="n">
        <v>6</v>
      </c>
      <c r="J211" s="1" t="s">
        <v>1753</v>
      </c>
      <c r="K211" s="46" t="n">
        <v>1454</v>
      </c>
      <c r="N211" s="67" t="n">
        <v>46195</v>
      </c>
      <c r="O211" s="1" t="n">
        <f aca="false">SUMIFS($K:$K,$E:$E,N211)</f>
        <v>32123.08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36</v>
      </c>
      <c r="D212" s="1" t="s">
        <v>1766</v>
      </c>
      <c r="E212" s="15" t="n">
        <v>46195</v>
      </c>
      <c r="F212" s="15" t="n">
        <v>46195</v>
      </c>
      <c r="G212" s="1" t="s">
        <v>146</v>
      </c>
      <c r="H212" s="1" t="n">
        <v>1289848</v>
      </c>
      <c r="I212" s="1" t="n">
        <v>2</v>
      </c>
      <c r="J212" s="1" t="s">
        <v>1753</v>
      </c>
      <c r="K212" s="46" t="n">
        <v>210</v>
      </c>
      <c r="N212" s="67" t="n">
        <v>46195</v>
      </c>
      <c r="O212" s="1" t="n">
        <f aca="false">SUMIFS($K:$K,$E:$E,N212)</f>
        <v>32123.08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36</v>
      </c>
      <c r="D213" s="1" t="s">
        <v>1766</v>
      </c>
      <c r="E213" s="15" t="n">
        <v>46195</v>
      </c>
      <c r="F213" s="15" t="n">
        <v>46195</v>
      </c>
      <c r="G213" s="1" t="s">
        <v>146</v>
      </c>
      <c r="H213" s="1" t="n">
        <v>1289917</v>
      </c>
      <c r="I213" s="1" t="n">
        <v>2</v>
      </c>
      <c r="J213" s="1" t="s">
        <v>1753</v>
      </c>
      <c r="K213" s="46" t="n">
        <v>1454</v>
      </c>
      <c r="N213" s="67" t="n">
        <v>46195</v>
      </c>
      <c r="O213" s="1" t="n">
        <f aca="false">SUMIFS($K:$K,$E:$E,N213)</f>
        <v>32123.08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76</v>
      </c>
      <c r="D214" s="1" t="s">
        <v>1831</v>
      </c>
      <c r="E214" s="15" t="n">
        <v>46195</v>
      </c>
      <c r="F214" s="15" t="n">
        <v>46191</v>
      </c>
      <c r="G214" s="1" t="s">
        <v>227</v>
      </c>
      <c r="H214" s="1" t="n">
        <v>1289284</v>
      </c>
      <c r="I214" s="1" t="n">
        <v>1</v>
      </c>
      <c r="J214" s="1" t="s">
        <v>1753</v>
      </c>
      <c r="K214" s="46" t="n">
        <v>1859.99</v>
      </c>
      <c r="N214" s="67" t="n">
        <v>46195</v>
      </c>
      <c r="O214" s="1" t="n">
        <f aca="false">SUMIFS($K:$K,$E:$E,N214)</f>
        <v>32123.08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1843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1753</v>
      </c>
      <c r="K215" s="46" t="n">
        <v>480.78</v>
      </c>
      <c r="N215" s="67" t="n">
        <v>46195</v>
      </c>
      <c r="O215" s="1" t="n">
        <f aca="false">SUMIFS($K:$K,$E:$E,N215)</f>
        <v>32123.08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36</v>
      </c>
      <c r="D216" s="1" t="s">
        <v>1844</v>
      </c>
      <c r="E216" s="15" t="n">
        <v>46195</v>
      </c>
      <c r="F216" s="15" t="n">
        <v>46191</v>
      </c>
      <c r="G216" s="1" t="s">
        <v>775</v>
      </c>
      <c r="H216" s="1" t="n">
        <v>1289570</v>
      </c>
      <c r="I216" s="1" t="n">
        <v>1</v>
      </c>
      <c r="J216" s="1" t="s">
        <v>1753</v>
      </c>
      <c r="K216" s="46" t="n">
        <v>1774.55</v>
      </c>
      <c r="N216" s="67" t="n">
        <v>46195</v>
      </c>
      <c r="O216" s="1" t="n">
        <f aca="false">SUMIFS($K:$K,$E:$E,N216)</f>
        <v>32123.08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36</v>
      </c>
      <c r="D217" s="1" t="s">
        <v>1759</v>
      </c>
      <c r="E217" s="15" t="n">
        <v>46195</v>
      </c>
      <c r="F217" s="15" t="n">
        <v>46195</v>
      </c>
      <c r="G217" s="1" t="s">
        <v>205</v>
      </c>
      <c r="H217" s="1" t="n">
        <v>1291003</v>
      </c>
      <c r="I217" s="1" t="n">
        <v>1</v>
      </c>
      <c r="J217" s="1" t="s">
        <v>1753</v>
      </c>
      <c r="K217" s="46" t="n">
        <v>454.65</v>
      </c>
      <c r="N217" s="67" t="n">
        <v>46195</v>
      </c>
      <c r="O217" s="1" t="n">
        <f aca="false">SUMIFS($K:$K,$E:$E,N217)</f>
        <v>32123.08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36</v>
      </c>
      <c r="D218" s="1" t="s">
        <v>1845</v>
      </c>
      <c r="E218" s="15" t="n">
        <v>46195</v>
      </c>
      <c r="F218" s="15" t="n">
        <v>46191</v>
      </c>
      <c r="G218" s="1" t="s">
        <v>176</v>
      </c>
      <c r="H218" s="1" t="n">
        <v>1289819</v>
      </c>
      <c r="I218" s="1" t="n">
        <v>1</v>
      </c>
      <c r="J218" s="1" t="s">
        <v>1753</v>
      </c>
      <c r="K218" s="46" t="n">
        <v>1961.16</v>
      </c>
      <c r="N218" s="67" t="n">
        <v>46195</v>
      </c>
      <c r="O218" s="1" t="n">
        <f aca="false">SUMIFS($K:$K,$E:$E,N218)</f>
        <v>32123.08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36</v>
      </c>
      <c r="D219" s="1" t="s">
        <v>1771</v>
      </c>
      <c r="E219" s="15" t="n">
        <v>46195</v>
      </c>
      <c r="F219" s="15" t="n">
        <v>46193</v>
      </c>
      <c r="G219" s="1" t="s">
        <v>142</v>
      </c>
      <c r="H219" s="1" t="n">
        <v>1289585</v>
      </c>
      <c r="I219" s="1" t="n">
        <v>1</v>
      </c>
      <c r="J219" s="1" t="s">
        <v>1753</v>
      </c>
      <c r="K219" s="46" t="n">
        <v>920</v>
      </c>
      <c r="N219" s="67" t="n">
        <v>46195</v>
      </c>
      <c r="O219" s="1" t="n">
        <f aca="false">SUMIFS($K:$K,$E:$E,N219)</f>
        <v>32123.08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36</v>
      </c>
      <c r="D220" s="1" t="s">
        <v>1771</v>
      </c>
      <c r="E220" s="15" t="n">
        <v>46195</v>
      </c>
      <c r="F220" s="15" t="n">
        <v>46193</v>
      </c>
      <c r="G220" s="1" t="s">
        <v>142</v>
      </c>
      <c r="H220" s="1" t="n">
        <v>1290342</v>
      </c>
      <c r="I220" s="1" t="n">
        <v>1</v>
      </c>
      <c r="J220" s="1" t="s">
        <v>1753</v>
      </c>
      <c r="K220" s="46" t="n">
        <v>1538.7</v>
      </c>
      <c r="N220" s="67" t="n">
        <v>46195</v>
      </c>
      <c r="O220" s="1" t="n">
        <f aca="false">SUMIFS($K:$K,$E:$E,N220)</f>
        <v>32123.08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36</v>
      </c>
      <c r="D221" s="1" t="s">
        <v>1846</v>
      </c>
      <c r="E221" s="15" t="n">
        <v>46195</v>
      </c>
      <c r="F221" s="15" t="n">
        <v>46191</v>
      </c>
      <c r="G221" s="1" t="s">
        <v>198</v>
      </c>
      <c r="H221" s="1" t="n">
        <v>1289129</v>
      </c>
      <c r="I221" s="1" t="n">
        <v>1</v>
      </c>
      <c r="J221" s="1" t="s">
        <v>1753</v>
      </c>
      <c r="K221" s="46" t="n">
        <v>228</v>
      </c>
      <c r="N221" s="67" t="n">
        <v>46195</v>
      </c>
      <c r="O221" s="1" t="n">
        <f aca="false">SUMIFS($K:$K,$E:$E,N221)</f>
        <v>32123.08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36</v>
      </c>
      <c r="D222" s="1" t="s">
        <v>1760</v>
      </c>
      <c r="E222" s="15" t="n">
        <v>46195</v>
      </c>
      <c r="F222" s="15" t="n">
        <v>46195</v>
      </c>
      <c r="G222" s="1" t="s">
        <v>296</v>
      </c>
      <c r="H222" s="1" t="n">
        <v>1289836</v>
      </c>
      <c r="I222" s="1" t="n">
        <v>1</v>
      </c>
      <c r="J222" s="1" t="s">
        <v>1753</v>
      </c>
      <c r="K222" s="46" t="n">
        <v>298.83</v>
      </c>
      <c r="N222" s="67" t="n">
        <v>46195</v>
      </c>
      <c r="O222" s="1" t="n">
        <f aca="false">SUMIFS($K:$K,$E:$E,N222)</f>
        <v>32123.08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36</v>
      </c>
      <c r="D223" s="1" t="s">
        <v>1761</v>
      </c>
      <c r="E223" s="15" t="n">
        <v>46196</v>
      </c>
      <c r="F223" s="15" t="n">
        <v>46195</v>
      </c>
      <c r="G223" s="1" t="s">
        <v>144</v>
      </c>
      <c r="H223" s="1" t="n">
        <v>1294252</v>
      </c>
      <c r="I223" s="1" t="n">
        <v>1</v>
      </c>
      <c r="J223" s="1" t="s">
        <v>1753</v>
      </c>
      <c r="K223" s="46" t="n">
        <v>180</v>
      </c>
      <c r="N223" s="67" t="n">
        <v>46196</v>
      </c>
      <c r="O223" s="1" t="n">
        <f aca="false">SUMIFS($K:$K,$E:$E,N223)</f>
        <v>9612.8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1811</v>
      </c>
      <c r="D224" s="1" t="s">
        <v>1812</v>
      </c>
      <c r="E224" s="15" t="n">
        <v>46196</v>
      </c>
      <c r="F224" s="15" t="n">
        <v>46193</v>
      </c>
      <c r="G224" s="1" t="s">
        <v>235</v>
      </c>
      <c r="H224" s="1" t="n">
        <v>1294209</v>
      </c>
      <c r="I224" s="1" t="n">
        <v>1</v>
      </c>
      <c r="J224" s="1" t="s">
        <v>1753</v>
      </c>
      <c r="K224" s="46" t="n">
        <v>1062.39</v>
      </c>
      <c r="N224" s="67" t="n">
        <v>46196</v>
      </c>
      <c r="O224" s="1" t="n">
        <f aca="false">SUMIFS($K:$K,$E:$E,N224)</f>
        <v>9612.8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36</v>
      </c>
      <c r="D225" s="1" t="s">
        <v>1803</v>
      </c>
      <c r="E225" s="15" t="n">
        <v>46196</v>
      </c>
      <c r="F225" s="15" t="n">
        <v>46193</v>
      </c>
      <c r="G225" s="1" t="s">
        <v>94</v>
      </c>
      <c r="H225" s="1" t="n">
        <v>1293976</v>
      </c>
      <c r="I225" s="1" t="n">
        <v>1</v>
      </c>
      <c r="J225" s="1" t="s">
        <v>1753</v>
      </c>
      <c r="K225" s="46" t="n">
        <v>694.35</v>
      </c>
      <c r="N225" s="67" t="n">
        <v>46196</v>
      </c>
      <c r="O225" s="1" t="n">
        <f aca="false">SUMIFS($K:$K,$E:$E,N225)</f>
        <v>9612.8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36</v>
      </c>
      <c r="D226" s="1" t="s">
        <v>1847</v>
      </c>
      <c r="E226" s="15" t="n">
        <v>46196</v>
      </c>
      <c r="F226" s="15" t="n">
        <v>46195</v>
      </c>
      <c r="G226" s="1" t="s">
        <v>343</v>
      </c>
      <c r="H226" s="1" t="n">
        <v>1294314</v>
      </c>
      <c r="I226" s="1" t="n">
        <v>39</v>
      </c>
      <c r="J226" s="1" t="s">
        <v>1753</v>
      </c>
      <c r="K226" s="46" t="n">
        <v>2212.3</v>
      </c>
      <c r="N226" s="67" t="n">
        <v>46196</v>
      </c>
      <c r="O226" s="1" t="n">
        <f aca="false">SUMIFS($K:$K,$E:$E,N226)</f>
        <v>9612.8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1755</v>
      </c>
      <c r="D227" s="1" t="s">
        <v>1756</v>
      </c>
      <c r="E227" s="15" t="n">
        <v>46196</v>
      </c>
      <c r="F227" s="15" t="n">
        <v>46195</v>
      </c>
      <c r="G227" s="1" t="s">
        <v>416</v>
      </c>
      <c r="H227" s="1" t="n">
        <v>1293939</v>
      </c>
      <c r="I227" s="1" t="n">
        <v>1</v>
      </c>
      <c r="J227" s="1" t="s">
        <v>1753</v>
      </c>
      <c r="K227" s="46" t="n">
        <v>97</v>
      </c>
      <c r="N227" s="67" t="n">
        <v>46196</v>
      </c>
      <c r="O227" s="1" t="n">
        <f aca="false">SUMIFS($K:$K,$E:$E,N227)</f>
        <v>9612.8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1755</v>
      </c>
      <c r="D228" s="1" t="s">
        <v>1756</v>
      </c>
      <c r="E228" s="15" t="n">
        <v>46196</v>
      </c>
      <c r="F228" s="15" t="n">
        <v>46195</v>
      </c>
      <c r="G228" s="1" t="s">
        <v>416</v>
      </c>
      <c r="H228" s="1" t="n">
        <v>1293930</v>
      </c>
      <c r="I228" s="1" t="n">
        <v>1</v>
      </c>
      <c r="J228" s="1" t="s">
        <v>1753</v>
      </c>
      <c r="K228" s="46" t="n">
        <v>105</v>
      </c>
      <c r="N228" s="67" t="n">
        <v>46196</v>
      </c>
      <c r="O228" s="1" t="n">
        <f aca="false">SUMIFS($K:$K,$E:$E,N228)</f>
        <v>9612.8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1755</v>
      </c>
      <c r="D229" s="1" t="s">
        <v>1756</v>
      </c>
      <c r="E229" s="15" t="n">
        <v>46196</v>
      </c>
      <c r="F229" s="15" t="n">
        <v>46195</v>
      </c>
      <c r="G229" s="1" t="s">
        <v>416</v>
      </c>
      <c r="H229" s="1" t="n">
        <v>1293925</v>
      </c>
      <c r="I229" s="1" t="n">
        <v>1</v>
      </c>
      <c r="J229" s="1" t="s">
        <v>1753</v>
      </c>
      <c r="K229" s="46" t="n">
        <v>183</v>
      </c>
      <c r="N229" s="67" t="n">
        <v>46196</v>
      </c>
      <c r="O229" s="1" t="n">
        <f aca="false">SUMIFS($K:$K,$E:$E,N229)</f>
        <v>9612.8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36</v>
      </c>
      <c r="D230" s="1" t="s">
        <v>1766</v>
      </c>
      <c r="E230" s="15" t="n">
        <v>46196</v>
      </c>
      <c r="F230" s="15" t="n">
        <v>46196</v>
      </c>
      <c r="G230" s="1" t="s">
        <v>146</v>
      </c>
      <c r="H230" s="1" t="n">
        <v>1295652</v>
      </c>
      <c r="I230" s="1" t="n">
        <v>6</v>
      </c>
      <c r="J230" s="1" t="s">
        <v>1753</v>
      </c>
      <c r="K230" s="46" t="n">
        <v>2140.44</v>
      </c>
      <c r="N230" s="67" t="n">
        <v>46196</v>
      </c>
      <c r="O230" s="1" t="n">
        <f aca="false">SUMIFS($K:$K,$E:$E,N230)</f>
        <v>9612.8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36</v>
      </c>
      <c r="D231" s="1" t="s">
        <v>1766</v>
      </c>
      <c r="E231" s="15" t="n">
        <v>46196</v>
      </c>
      <c r="F231" s="15" t="n">
        <v>46196</v>
      </c>
      <c r="G231" s="1" t="s">
        <v>146</v>
      </c>
      <c r="H231" s="1" t="n">
        <v>1295647</v>
      </c>
      <c r="I231" s="1" t="n">
        <v>2</v>
      </c>
      <c r="J231" s="1" t="s">
        <v>1753</v>
      </c>
      <c r="K231" s="46" t="n">
        <v>2140.44</v>
      </c>
      <c r="N231" s="67" t="n">
        <v>46196</v>
      </c>
      <c r="O231" s="1" t="n">
        <f aca="false">SUMIFS($K:$K,$E:$E,N231)</f>
        <v>9612.8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36</v>
      </c>
      <c r="D232" s="1" t="s">
        <v>1767</v>
      </c>
      <c r="E232" s="15" t="n">
        <v>46196</v>
      </c>
      <c r="F232" s="15" t="n">
        <v>46195</v>
      </c>
      <c r="G232" s="1" t="s">
        <v>105</v>
      </c>
      <c r="H232" s="1" t="n">
        <v>1295747</v>
      </c>
      <c r="I232" s="1" t="n">
        <v>1</v>
      </c>
      <c r="J232" s="1" t="s">
        <v>1753</v>
      </c>
      <c r="K232" s="46" t="n">
        <v>162.56</v>
      </c>
      <c r="N232" s="67" t="n">
        <v>46196</v>
      </c>
      <c r="O232" s="1" t="n">
        <f aca="false">SUMIFS($K:$K,$E:$E,N232)</f>
        <v>9612.8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36</v>
      </c>
      <c r="D233" s="1" t="s">
        <v>1848</v>
      </c>
      <c r="E233" s="15" t="n">
        <v>46196</v>
      </c>
      <c r="F233" s="15" t="n">
        <v>46196</v>
      </c>
      <c r="G233" s="1" t="s">
        <v>795</v>
      </c>
      <c r="H233" s="1" t="n">
        <v>1295171</v>
      </c>
      <c r="I233" s="1" t="n">
        <v>39</v>
      </c>
      <c r="J233" s="1" t="s">
        <v>1753</v>
      </c>
      <c r="K233" s="46" t="n">
        <v>635.32</v>
      </c>
      <c r="N233" s="67" t="n">
        <v>46196</v>
      </c>
      <c r="O233" s="1" t="n">
        <f aca="false">SUMIFS($K:$K,$E:$E,N233)</f>
        <v>9612.8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36</v>
      </c>
      <c r="D234" s="1" t="s">
        <v>1849</v>
      </c>
      <c r="E234" s="15" t="n">
        <v>46197</v>
      </c>
      <c r="F234" s="15" t="n">
        <v>46195</v>
      </c>
      <c r="G234" s="1" t="s">
        <v>521</v>
      </c>
      <c r="H234" s="1" t="n">
        <v>1300830</v>
      </c>
      <c r="I234" s="1" t="n">
        <v>1</v>
      </c>
      <c r="J234" s="1" t="s">
        <v>1753</v>
      </c>
      <c r="K234" s="46" t="n">
        <v>140</v>
      </c>
      <c r="N234" s="67" t="n">
        <v>46197</v>
      </c>
      <c r="O234" s="1" t="n">
        <f aca="false">SUMIFS($K:$K,$E:$E,N234)</f>
        <v>14742.48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36</v>
      </c>
      <c r="D235" s="1" t="s">
        <v>1849</v>
      </c>
      <c r="E235" s="15" t="n">
        <v>46197</v>
      </c>
      <c r="F235" s="15" t="n">
        <v>46195</v>
      </c>
      <c r="G235" s="1" t="s">
        <v>521</v>
      </c>
      <c r="H235" s="1" t="n">
        <v>1300844</v>
      </c>
      <c r="I235" s="1" t="n">
        <v>1</v>
      </c>
      <c r="J235" s="1" t="s">
        <v>1753</v>
      </c>
      <c r="K235" s="46" t="n">
        <v>140</v>
      </c>
      <c r="N235" s="67" t="n">
        <v>46197</v>
      </c>
      <c r="O235" s="1" t="n">
        <f aca="false">SUMIFS($K:$K,$E:$E,N235)</f>
        <v>14742.48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36</v>
      </c>
      <c r="D236" s="1" t="s">
        <v>1849</v>
      </c>
      <c r="E236" s="15" t="n">
        <v>46197</v>
      </c>
      <c r="F236" s="15" t="n">
        <v>46195</v>
      </c>
      <c r="G236" s="1" t="s">
        <v>521</v>
      </c>
      <c r="H236" s="1" t="n">
        <v>1300868</v>
      </c>
      <c r="I236" s="1" t="n">
        <v>1</v>
      </c>
      <c r="J236" s="1" t="s">
        <v>1753</v>
      </c>
      <c r="K236" s="46" t="n">
        <v>200</v>
      </c>
      <c r="N236" s="67" t="n">
        <v>46197</v>
      </c>
      <c r="O236" s="1" t="n">
        <f aca="false">SUMIFS($K:$K,$E:$E,N236)</f>
        <v>14742.48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36</v>
      </c>
      <c r="D237" s="1" t="s">
        <v>1849</v>
      </c>
      <c r="E237" s="15" t="n">
        <v>46197</v>
      </c>
      <c r="F237" s="15" t="n">
        <v>46197</v>
      </c>
      <c r="G237" s="1" t="s">
        <v>521</v>
      </c>
      <c r="H237" s="1" t="n">
        <v>1300876</v>
      </c>
      <c r="I237" s="1" t="n">
        <v>1</v>
      </c>
      <c r="J237" s="1" t="s">
        <v>1753</v>
      </c>
      <c r="K237" s="46" t="n">
        <v>120</v>
      </c>
      <c r="N237" s="67" t="n">
        <v>46197</v>
      </c>
      <c r="O237" s="1" t="n">
        <f aca="false">SUMIFS($K:$K,$E:$E,N237)</f>
        <v>14742.48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36</v>
      </c>
      <c r="D238" s="1" t="s">
        <v>1768</v>
      </c>
      <c r="E238" s="15" t="n">
        <v>46197</v>
      </c>
      <c r="F238" s="15" t="n">
        <v>46196</v>
      </c>
      <c r="G238" s="1" t="s">
        <v>129</v>
      </c>
      <c r="H238" s="1" t="n">
        <v>1299637</v>
      </c>
      <c r="I238" s="1" t="n">
        <v>1</v>
      </c>
      <c r="J238" s="1" t="s">
        <v>1753</v>
      </c>
      <c r="K238" s="46" t="n">
        <v>304.45</v>
      </c>
      <c r="N238" s="67" t="n">
        <v>46197</v>
      </c>
      <c r="O238" s="1" t="n">
        <f aca="false">SUMIFS($K:$K,$E:$E,N238)</f>
        <v>14742.48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36</v>
      </c>
      <c r="D239" s="1" t="s">
        <v>1850</v>
      </c>
      <c r="E239" s="15" t="n">
        <v>46197</v>
      </c>
      <c r="F239" s="15" t="n">
        <v>46195</v>
      </c>
      <c r="G239" s="1" t="s">
        <v>813</v>
      </c>
      <c r="H239" s="1" t="n">
        <v>1299537</v>
      </c>
      <c r="I239" s="1" t="n">
        <v>1</v>
      </c>
      <c r="J239" s="1" t="s">
        <v>1753</v>
      </c>
      <c r="K239" s="46" t="n">
        <v>845</v>
      </c>
      <c r="N239" s="67" t="n">
        <v>46197</v>
      </c>
      <c r="O239" s="1" t="n">
        <f aca="false">SUMIFS($K:$K,$E:$E,N239)</f>
        <v>14742.48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36</v>
      </c>
      <c r="D240" s="1" t="s">
        <v>1777</v>
      </c>
      <c r="E240" s="15" t="n">
        <v>46197</v>
      </c>
      <c r="F240" s="15" t="n">
        <v>46196</v>
      </c>
      <c r="G240" s="1" t="s">
        <v>180</v>
      </c>
      <c r="H240" s="1" t="n">
        <v>1300169</v>
      </c>
      <c r="I240" s="1" t="n">
        <v>1</v>
      </c>
      <c r="J240" s="1" t="s">
        <v>1753</v>
      </c>
      <c r="K240" s="46" t="n">
        <v>628.88</v>
      </c>
      <c r="N240" s="67" t="n">
        <v>46197</v>
      </c>
      <c r="O240" s="1" t="n">
        <f aca="false">SUMIFS($K:$K,$E:$E,N240)</f>
        <v>14742.48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36</v>
      </c>
      <c r="D241" s="1" t="s">
        <v>1790</v>
      </c>
      <c r="E241" s="15" t="n">
        <v>46197</v>
      </c>
      <c r="F241" s="15" t="n">
        <v>46196</v>
      </c>
      <c r="G241" s="1" t="s">
        <v>1791</v>
      </c>
      <c r="H241" s="1" t="n">
        <v>1299327</v>
      </c>
      <c r="I241" s="1" t="n">
        <v>1</v>
      </c>
      <c r="J241" s="1" t="s">
        <v>1753</v>
      </c>
      <c r="K241" s="46" t="n">
        <v>1831.6</v>
      </c>
      <c r="N241" s="67" t="n">
        <v>46197</v>
      </c>
      <c r="O241" s="1" t="n">
        <f aca="false">SUMIFS($K:$K,$E:$E,N241)</f>
        <v>14742.48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36</v>
      </c>
      <c r="D242" s="1" t="s">
        <v>1851</v>
      </c>
      <c r="E242" s="15" t="n">
        <v>46197</v>
      </c>
      <c r="F242" s="15" t="n">
        <v>46191</v>
      </c>
      <c r="G242" s="1" t="s">
        <v>939</v>
      </c>
      <c r="H242" s="1" t="n">
        <v>1299105</v>
      </c>
      <c r="I242" s="1" t="n">
        <v>1</v>
      </c>
      <c r="J242" s="1" t="s">
        <v>1753</v>
      </c>
      <c r="K242" s="46" t="n">
        <v>1996.2</v>
      </c>
      <c r="N242" s="67" t="n">
        <v>46197</v>
      </c>
      <c r="O242" s="1" t="n">
        <f aca="false">SUMIFS($K:$K,$E:$E,N242)</f>
        <v>14742.48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76</v>
      </c>
      <c r="D243" s="1" t="s">
        <v>1852</v>
      </c>
      <c r="E243" s="15" t="n">
        <v>46197</v>
      </c>
      <c r="F243" s="15" t="n">
        <v>46190</v>
      </c>
      <c r="G243" s="1" t="s">
        <v>330</v>
      </c>
      <c r="H243" s="1" t="n">
        <v>1300279</v>
      </c>
      <c r="I243" s="1" t="n">
        <v>1</v>
      </c>
      <c r="J243" s="1" t="s">
        <v>1753</v>
      </c>
      <c r="K243" s="46" t="n">
        <v>1185.3</v>
      </c>
      <c r="N243" s="67" t="n">
        <v>46197</v>
      </c>
      <c r="O243" s="1" t="n">
        <f aca="false">SUMIFS($K:$K,$E:$E,N243)</f>
        <v>14742.48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88</v>
      </c>
      <c r="D244" s="1" t="s">
        <v>1758</v>
      </c>
      <c r="E244" s="15" t="n">
        <v>46197</v>
      </c>
      <c r="F244" s="15" t="n">
        <v>46196</v>
      </c>
      <c r="G244" s="1" t="s">
        <v>211</v>
      </c>
      <c r="H244" s="1" t="n">
        <v>1299215</v>
      </c>
      <c r="I244" s="1" t="n">
        <v>1</v>
      </c>
      <c r="J244" s="1" t="s">
        <v>1753</v>
      </c>
      <c r="K244" s="46" t="n">
        <v>234.8</v>
      </c>
      <c r="N244" s="67" t="n">
        <v>46197</v>
      </c>
      <c r="O244" s="1" t="n">
        <f aca="false">SUMIFS($K:$K,$E:$E,N244)</f>
        <v>14742.48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88</v>
      </c>
      <c r="D245" s="1" t="s">
        <v>1758</v>
      </c>
      <c r="E245" s="15" t="n">
        <v>46197</v>
      </c>
      <c r="F245" s="15" t="n">
        <v>46196</v>
      </c>
      <c r="G245" s="1" t="s">
        <v>211</v>
      </c>
      <c r="H245" s="1" t="n">
        <v>1299227</v>
      </c>
      <c r="I245" s="1" t="n">
        <v>1</v>
      </c>
      <c r="J245" s="1" t="s">
        <v>1753</v>
      </c>
      <c r="K245" s="46" t="n">
        <v>307.2</v>
      </c>
      <c r="N245" s="67" t="n">
        <v>46197</v>
      </c>
      <c r="O245" s="1" t="n">
        <f aca="false">SUMIFS($K:$K,$E:$E,N245)</f>
        <v>14742.48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36</v>
      </c>
      <c r="D246" s="1" t="s">
        <v>1853</v>
      </c>
      <c r="E246" s="15" t="n">
        <v>46197</v>
      </c>
      <c r="F246" s="15" t="n">
        <v>46185</v>
      </c>
      <c r="G246" s="1" t="s">
        <v>280</v>
      </c>
      <c r="H246" s="1" t="n">
        <v>1300232</v>
      </c>
      <c r="I246" s="1" t="n">
        <v>1</v>
      </c>
      <c r="J246" s="1" t="s">
        <v>1753</v>
      </c>
      <c r="K246" s="46" t="n">
        <v>6809.05</v>
      </c>
      <c r="N246" s="67" t="n">
        <v>46197</v>
      </c>
      <c r="O246" s="1" t="n">
        <f aca="false">SUMIFS($K:$K,$E:$E,N246)</f>
        <v>14742.48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36</v>
      </c>
      <c r="D247" s="1" t="s">
        <v>1849</v>
      </c>
      <c r="E247" s="15" t="n">
        <v>46198</v>
      </c>
      <c r="F247" s="15" t="n">
        <v>46198</v>
      </c>
      <c r="G247" s="1" t="s">
        <v>521</v>
      </c>
      <c r="H247" s="1" t="n">
        <v>1309637</v>
      </c>
      <c r="I247" s="1" t="n">
        <v>1</v>
      </c>
      <c r="J247" s="1" t="s">
        <v>1753</v>
      </c>
      <c r="K247" s="46" t="n">
        <v>180</v>
      </c>
      <c r="N247" s="67" t="n">
        <v>46198</v>
      </c>
      <c r="O247" s="1" t="n">
        <f aca="false">SUMIFS($K:$K,$E:$E,N247)</f>
        <v>14617.92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49</v>
      </c>
      <c r="D248" s="1" t="s">
        <v>1754</v>
      </c>
      <c r="E248" s="15" t="n">
        <v>46198</v>
      </c>
      <c r="F248" s="15" t="n">
        <v>46196</v>
      </c>
      <c r="G248" s="1" t="s">
        <v>131</v>
      </c>
      <c r="H248" s="1" t="n">
        <v>1304726</v>
      </c>
      <c r="I248" s="1" t="n">
        <v>11</v>
      </c>
      <c r="J248" s="1" t="s">
        <v>1753</v>
      </c>
      <c r="K248" s="46" t="n">
        <v>120.27</v>
      </c>
      <c r="N248" s="67" t="n">
        <v>46198</v>
      </c>
      <c r="O248" s="1" t="n">
        <f aca="false">SUMIFS($K:$K,$E:$E,N248)</f>
        <v>14617.92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67</v>
      </c>
      <c r="D249" s="1" t="s">
        <v>1754</v>
      </c>
      <c r="E249" s="15" t="n">
        <v>46198</v>
      </c>
      <c r="F249" s="15" t="n">
        <v>46196</v>
      </c>
      <c r="G249" s="1" t="s">
        <v>131</v>
      </c>
      <c r="H249" s="1" t="n">
        <v>1304701</v>
      </c>
      <c r="I249" s="1" t="n">
        <v>1</v>
      </c>
      <c r="J249" s="1" t="s">
        <v>1753</v>
      </c>
      <c r="K249" s="46" t="n">
        <v>1547.44</v>
      </c>
      <c r="N249" s="67" t="n">
        <v>46198</v>
      </c>
      <c r="O249" s="1" t="n">
        <f aca="false">SUMIFS($K:$K,$E:$E,N249)</f>
        <v>14617.92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1769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1753</v>
      </c>
      <c r="K250" s="46" t="n">
        <v>4001</v>
      </c>
      <c r="N250" s="67" t="n">
        <v>46198</v>
      </c>
      <c r="O250" s="1" t="n">
        <f aca="false">SUMIFS($K:$K,$E:$E,N250)</f>
        <v>14617.92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36</v>
      </c>
      <c r="D251" s="1" t="s">
        <v>1764</v>
      </c>
      <c r="E251" s="15" t="n">
        <v>46198</v>
      </c>
      <c r="F251" s="15" t="n">
        <v>46198</v>
      </c>
      <c r="G251" s="1" t="s">
        <v>224</v>
      </c>
      <c r="H251" s="1" t="n">
        <v>1305623</v>
      </c>
      <c r="I251" s="1" t="n">
        <v>1</v>
      </c>
      <c r="J251" s="1" t="s">
        <v>1753</v>
      </c>
      <c r="K251" s="46" t="n">
        <v>1383</v>
      </c>
      <c r="N251" s="67" t="n">
        <v>46198</v>
      </c>
      <c r="O251" s="1" t="n">
        <f aca="false">SUMIFS($K:$K,$E:$E,N251)</f>
        <v>14617.92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36</v>
      </c>
      <c r="D252" s="1" t="s">
        <v>1854</v>
      </c>
      <c r="E252" s="15" t="n">
        <v>46198</v>
      </c>
      <c r="F252" s="15" t="n">
        <v>46193</v>
      </c>
      <c r="G252" s="1" t="s">
        <v>659</v>
      </c>
      <c r="H252" s="1" t="n">
        <v>1305945</v>
      </c>
      <c r="I252" s="1" t="n">
        <v>1</v>
      </c>
      <c r="J252" s="1" t="s">
        <v>1753</v>
      </c>
      <c r="K252" s="46" t="n">
        <v>2655.92</v>
      </c>
      <c r="N252" s="67" t="n">
        <v>46198</v>
      </c>
      <c r="O252" s="1" t="n">
        <f aca="false">SUMIFS($K:$K,$E:$E,N252)</f>
        <v>14617.92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1755</v>
      </c>
      <c r="D253" s="1" t="s">
        <v>1756</v>
      </c>
      <c r="E253" s="15" t="n">
        <v>46198</v>
      </c>
      <c r="F253" s="15" t="n">
        <v>46197</v>
      </c>
      <c r="G253" s="1" t="s">
        <v>416</v>
      </c>
      <c r="H253" s="1" t="n">
        <v>1304633</v>
      </c>
      <c r="I253" s="1" t="n">
        <v>1</v>
      </c>
      <c r="J253" s="1" t="s">
        <v>1753</v>
      </c>
      <c r="K253" s="46" t="n">
        <v>141</v>
      </c>
      <c r="N253" s="67" t="n">
        <v>46198</v>
      </c>
      <c r="O253" s="1" t="n">
        <f aca="false">SUMIFS($K:$K,$E:$E,N253)</f>
        <v>14617.92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36</v>
      </c>
      <c r="D254" s="1" t="s">
        <v>1855</v>
      </c>
      <c r="E254" s="15" t="n">
        <v>46198</v>
      </c>
      <c r="F254" s="15" t="n">
        <v>46196</v>
      </c>
      <c r="G254" s="1" t="s">
        <v>657</v>
      </c>
      <c r="H254" s="1" t="n">
        <v>1304773</v>
      </c>
      <c r="I254" s="1" t="n">
        <v>1</v>
      </c>
      <c r="J254" s="1" t="s">
        <v>1753</v>
      </c>
      <c r="K254" s="46" t="n">
        <v>338.79</v>
      </c>
      <c r="N254" s="67" t="n">
        <v>46198</v>
      </c>
      <c r="O254" s="1" t="n">
        <f aca="false">SUMIFS($K:$K,$E:$E,N254)</f>
        <v>14617.92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36</v>
      </c>
      <c r="D255" s="1" t="s">
        <v>1856</v>
      </c>
      <c r="E255" s="15" t="n">
        <v>46198</v>
      </c>
      <c r="F255" s="15" t="n">
        <v>46176</v>
      </c>
      <c r="G255" s="1" t="s">
        <v>693</v>
      </c>
      <c r="H255" s="1" t="n">
        <v>1306421</v>
      </c>
      <c r="I255" s="1" t="n">
        <v>11</v>
      </c>
      <c r="J255" s="1" t="s">
        <v>1753</v>
      </c>
      <c r="K255" s="46" t="n">
        <v>2829</v>
      </c>
      <c r="N255" s="67" t="n">
        <v>46198</v>
      </c>
      <c r="O255" s="1" t="n">
        <f aca="false">SUMIFS($K:$K,$E:$E,N255)</f>
        <v>14617.92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76</v>
      </c>
      <c r="D256" s="1" t="s">
        <v>1808</v>
      </c>
      <c r="E256" s="15" t="n">
        <v>46198</v>
      </c>
      <c r="F256" s="15" t="n">
        <v>46197</v>
      </c>
      <c r="G256" s="1" t="s">
        <v>578</v>
      </c>
      <c r="H256" s="1" t="n">
        <v>1304877</v>
      </c>
      <c r="I256" s="1" t="n">
        <v>1</v>
      </c>
      <c r="J256" s="1" t="s">
        <v>1753</v>
      </c>
      <c r="K256" s="46" t="n">
        <v>1159.5</v>
      </c>
      <c r="N256" s="67" t="n">
        <v>46198</v>
      </c>
      <c r="O256" s="1" t="n">
        <f aca="false">SUMIFS($K:$K,$E:$E,N256)</f>
        <v>14617.92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61</v>
      </c>
      <c r="D257" s="1" t="s">
        <v>1799</v>
      </c>
      <c r="E257" s="15" t="n">
        <v>46198</v>
      </c>
      <c r="F257" s="15" t="n">
        <v>46197</v>
      </c>
      <c r="G257" s="1" t="s">
        <v>464</v>
      </c>
      <c r="H257" s="1" t="n">
        <v>1306154</v>
      </c>
      <c r="I257" s="1" t="n">
        <v>1</v>
      </c>
      <c r="J257" s="1" t="s">
        <v>1753</v>
      </c>
      <c r="K257" s="46" t="n">
        <v>262</v>
      </c>
      <c r="N257" s="67" t="n">
        <v>46198</v>
      </c>
      <c r="O257" s="1" t="n">
        <f aca="false">SUMIFS($K:$K,$E:$E,N257)</f>
        <v>14617.92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1802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1753</v>
      </c>
      <c r="K258" s="46" t="n">
        <v>3762.93</v>
      </c>
      <c r="N258" s="67" t="n">
        <v>46199</v>
      </c>
      <c r="O258" s="1" t="n">
        <f aca="false">SUMIFS($K:$K,$E:$E,N258)</f>
        <v>11827.93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36</v>
      </c>
      <c r="D259" s="1" t="s">
        <v>1763</v>
      </c>
      <c r="E259" s="15" t="n">
        <v>46199</v>
      </c>
      <c r="F259" s="15" t="n">
        <v>46198</v>
      </c>
      <c r="G259" s="1" t="s">
        <v>233</v>
      </c>
      <c r="H259" s="1" t="n">
        <v>1309652</v>
      </c>
      <c r="I259" s="1" t="n">
        <v>1</v>
      </c>
      <c r="J259" s="1" t="s">
        <v>1753</v>
      </c>
      <c r="K259" s="46" t="n">
        <v>305.38</v>
      </c>
      <c r="N259" s="67" t="n">
        <v>46199</v>
      </c>
      <c r="O259" s="1" t="n">
        <f aca="false">SUMIFS($K:$K,$E:$E,N259)</f>
        <v>11827.93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36</v>
      </c>
      <c r="D260" s="1" t="s">
        <v>1778</v>
      </c>
      <c r="E260" s="15" t="n">
        <v>46199</v>
      </c>
      <c r="F260" s="15" t="n">
        <v>46198</v>
      </c>
      <c r="G260" s="1" t="s">
        <v>231</v>
      </c>
      <c r="H260" s="1" t="n">
        <v>1310401</v>
      </c>
      <c r="I260" s="1" t="n">
        <v>1</v>
      </c>
      <c r="J260" s="1" t="s">
        <v>1753</v>
      </c>
      <c r="K260" s="46" t="n">
        <v>3552.2</v>
      </c>
      <c r="N260" s="67" t="n">
        <v>46199</v>
      </c>
      <c r="O260" s="1" t="n">
        <f aca="false">SUMIFS($K:$K,$E:$E,N260)</f>
        <v>11827.93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36</v>
      </c>
      <c r="D261" s="1" t="s">
        <v>1770</v>
      </c>
      <c r="E261" s="15" t="n">
        <v>46199</v>
      </c>
      <c r="F261" s="15" t="n">
        <v>46198</v>
      </c>
      <c r="G261" s="1" t="s">
        <v>140</v>
      </c>
      <c r="H261" s="1" t="n">
        <v>1309632</v>
      </c>
      <c r="I261" s="1" t="n">
        <v>1</v>
      </c>
      <c r="J261" s="1" t="s">
        <v>1753</v>
      </c>
      <c r="K261" s="46" t="n">
        <v>199</v>
      </c>
      <c r="N261" s="67" t="n">
        <v>46199</v>
      </c>
      <c r="O261" s="1" t="n">
        <f aca="false">SUMIFS($K:$K,$E:$E,N261)</f>
        <v>11827.93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36</v>
      </c>
      <c r="D262" s="1" t="s">
        <v>1807</v>
      </c>
      <c r="E262" s="15" t="n">
        <v>46199</v>
      </c>
      <c r="F262" s="15" t="n">
        <v>46196</v>
      </c>
      <c r="G262" s="1" t="s">
        <v>469</v>
      </c>
      <c r="H262" s="1" t="n">
        <v>1310309</v>
      </c>
      <c r="I262" s="1" t="n">
        <v>1</v>
      </c>
      <c r="J262" s="1" t="s">
        <v>1753</v>
      </c>
      <c r="K262" s="46" t="n">
        <v>418.83</v>
      </c>
      <c r="N262" s="67" t="n">
        <v>46199</v>
      </c>
      <c r="O262" s="1" t="n">
        <f aca="false">SUMIFS($K:$K,$E:$E,N262)</f>
        <v>11827.93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36</v>
      </c>
      <c r="D263" s="1" t="s">
        <v>1807</v>
      </c>
      <c r="E263" s="15" t="n">
        <v>46199</v>
      </c>
      <c r="F263" s="15" t="n">
        <v>46196</v>
      </c>
      <c r="G263" s="1" t="s">
        <v>469</v>
      </c>
      <c r="H263" s="1" t="n">
        <v>1310314</v>
      </c>
      <c r="I263" s="1" t="n">
        <v>11</v>
      </c>
      <c r="J263" s="1" t="s">
        <v>1753</v>
      </c>
      <c r="K263" s="46" t="n">
        <v>20.3</v>
      </c>
      <c r="N263" s="67" t="n">
        <v>46199</v>
      </c>
      <c r="O263" s="1" t="n">
        <f aca="false">SUMIFS($K:$K,$E:$E,N263)</f>
        <v>11827.93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36</v>
      </c>
      <c r="D264" s="1" t="s">
        <v>1766</v>
      </c>
      <c r="E264" s="15" t="n">
        <v>46199</v>
      </c>
      <c r="F264" s="15" t="n">
        <v>46199</v>
      </c>
      <c r="G264" s="1" t="s">
        <v>146</v>
      </c>
      <c r="H264" s="1" t="n">
        <v>1310128</v>
      </c>
      <c r="I264" s="1" t="n">
        <v>6</v>
      </c>
      <c r="J264" s="1" t="s">
        <v>1753</v>
      </c>
      <c r="K264" s="46" t="n">
        <v>210</v>
      </c>
      <c r="N264" s="67" t="n">
        <v>46199</v>
      </c>
      <c r="O264" s="1" t="n">
        <f aca="false">SUMIFS($K:$K,$E:$E,N264)</f>
        <v>11827.93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36</v>
      </c>
      <c r="D265" s="1" t="s">
        <v>1766</v>
      </c>
      <c r="E265" s="15" t="n">
        <v>46199</v>
      </c>
      <c r="F265" s="15" t="n">
        <v>46199</v>
      </c>
      <c r="G265" s="1" t="s">
        <v>146</v>
      </c>
      <c r="H265" s="1" t="n">
        <v>1310262</v>
      </c>
      <c r="I265" s="1" t="n">
        <v>6</v>
      </c>
      <c r="J265" s="1" t="s">
        <v>1753</v>
      </c>
      <c r="K265" s="46" t="n">
        <v>1401.82</v>
      </c>
      <c r="N265" s="67" t="n">
        <v>46199</v>
      </c>
      <c r="O265" s="1" t="n">
        <f aca="false">SUMIFS($K:$K,$E:$E,N265)</f>
        <v>11827.93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36</v>
      </c>
      <c r="D266" s="1" t="s">
        <v>1766</v>
      </c>
      <c r="E266" s="15" t="n">
        <v>46199</v>
      </c>
      <c r="F266" s="15" t="n">
        <v>46199</v>
      </c>
      <c r="G266" s="1" t="s">
        <v>146</v>
      </c>
      <c r="H266" s="1" t="n">
        <v>1310124</v>
      </c>
      <c r="I266" s="1" t="n">
        <v>2</v>
      </c>
      <c r="J266" s="1" t="s">
        <v>1753</v>
      </c>
      <c r="K266" s="46" t="n">
        <v>210</v>
      </c>
      <c r="N266" s="67" t="n">
        <v>46199</v>
      </c>
      <c r="O266" s="1" t="n">
        <f aca="false">SUMIFS($K:$K,$E:$E,N266)</f>
        <v>11827.93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36</v>
      </c>
      <c r="D267" s="1" t="s">
        <v>1766</v>
      </c>
      <c r="E267" s="15" t="n">
        <v>46199</v>
      </c>
      <c r="F267" s="15" t="n">
        <v>46199</v>
      </c>
      <c r="G267" s="1" t="s">
        <v>146</v>
      </c>
      <c r="H267" s="1" t="n">
        <v>1310249</v>
      </c>
      <c r="I267" s="1" t="n">
        <v>2</v>
      </c>
      <c r="J267" s="1" t="s">
        <v>1753</v>
      </c>
      <c r="K267" s="46" t="n">
        <v>1401.82</v>
      </c>
      <c r="N267" s="67" t="n">
        <v>46199</v>
      </c>
      <c r="O267" s="1" t="n">
        <f aca="false">SUMIFS($K:$K,$E:$E,N267)</f>
        <v>11827.93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88</v>
      </c>
      <c r="D268" s="1" t="s">
        <v>1758</v>
      </c>
      <c r="E268" s="15" t="n">
        <v>46199</v>
      </c>
      <c r="F268" s="15" t="n">
        <v>46199</v>
      </c>
      <c r="G268" s="1" t="s">
        <v>211</v>
      </c>
      <c r="H268" s="1" t="n">
        <v>1310299</v>
      </c>
      <c r="I268" s="1" t="n">
        <v>1</v>
      </c>
      <c r="J268" s="1" t="s">
        <v>1753</v>
      </c>
      <c r="K268" s="46" t="n">
        <v>345.65</v>
      </c>
      <c r="N268" s="67" t="n">
        <v>46199</v>
      </c>
      <c r="O268" s="1" t="n">
        <f aca="false">SUMIFS($K:$K,$E:$E,N268)</f>
        <v>11827.93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36</v>
      </c>
      <c r="D269" s="1" t="s">
        <v>1783</v>
      </c>
      <c r="E269" s="15" t="n">
        <v>46200</v>
      </c>
      <c r="F269" s="15" t="n">
        <v>46185</v>
      </c>
      <c r="G269" s="1" t="s">
        <v>1784</v>
      </c>
      <c r="H269" s="1" t="n">
        <v>1312808</v>
      </c>
      <c r="I269" s="1" t="n">
        <v>1</v>
      </c>
      <c r="J269" s="1" t="s">
        <v>1753</v>
      </c>
      <c r="K269" s="46" t="n">
        <v>212</v>
      </c>
      <c r="N269" s="67" t="n">
        <v>46200</v>
      </c>
      <c r="O269" s="1" t="n">
        <f aca="false">SUMIFS($K:$K,$E:$E,N269)</f>
        <v>21912.05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36</v>
      </c>
      <c r="D270" s="1" t="s">
        <v>1783</v>
      </c>
      <c r="E270" s="15" t="n">
        <v>46200</v>
      </c>
      <c r="F270" s="15" t="n">
        <v>46199</v>
      </c>
      <c r="G270" s="1" t="s">
        <v>1784</v>
      </c>
      <c r="H270" s="1" t="n">
        <v>1312818</v>
      </c>
      <c r="I270" s="1" t="n">
        <v>1</v>
      </c>
      <c r="J270" s="1" t="s">
        <v>1753</v>
      </c>
      <c r="K270" s="46" t="n">
        <v>310</v>
      </c>
      <c r="N270" s="67" t="n">
        <v>46200</v>
      </c>
      <c r="O270" s="1" t="n">
        <f aca="false">SUMIFS($K:$K,$E:$E,N270)</f>
        <v>21912.05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36</v>
      </c>
      <c r="D271" s="1" t="s">
        <v>1762</v>
      </c>
      <c r="E271" s="15" t="n">
        <v>46200</v>
      </c>
      <c r="F271" s="15" t="n">
        <v>46198</v>
      </c>
      <c r="G271" s="1" t="s">
        <v>243</v>
      </c>
      <c r="H271" s="1" t="n">
        <v>1312574</v>
      </c>
      <c r="I271" s="1" t="n">
        <v>1</v>
      </c>
      <c r="J271" s="1" t="s">
        <v>1753</v>
      </c>
      <c r="K271" s="46" t="n">
        <v>899.95</v>
      </c>
      <c r="N271" s="67" t="n">
        <v>46200</v>
      </c>
      <c r="O271" s="1" t="n">
        <f aca="false">SUMIFS($K:$K,$E:$E,N271)</f>
        <v>21912.05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36</v>
      </c>
      <c r="D272" s="1" t="s">
        <v>1857</v>
      </c>
      <c r="E272" s="15" t="n">
        <v>46200</v>
      </c>
      <c r="F272" s="15" t="n">
        <v>46197</v>
      </c>
      <c r="G272" s="1" t="s">
        <v>831</v>
      </c>
      <c r="H272" s="1" t="n">
        <v>1312612</v>
      </c>
      <c r="I272" s="1" t="n">
        <v>1</v>
      </c>
      <c r="J272" s="1" t="s">
        <v>1753</v>
      </c>
      <c r="K272" s="46" t="n">
        <v>155.16</v>
      </c>
      <c r="N272" s="67" t="n">
        <v>46200</v>
      </c>
      <c r="O272" s="1" t="n">
        <f aca="false">SUMIFS($K:$K,$E:$E,N272)</f>
        <v>21912.05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85</v>
      </c>
      <c r="D273" s="1" t="s">
        <v>1795</v>
      </c>
      <c r="E273" s="15" t="n">
        <v>46200</v>
      </c>
      <c r="F273" s="15" t="n">
        <v>46199</v>
      </c>
      <c r="G273" s="1" t="s">
        <v>392</v>
      </c>
      <c r="H273" s="1" t="n">
        <v>1312835</v>
      </c>
      <c r="I273" s="1" t="n">
        <v>1</v>
      </c>
      <c r="J273" s="1" t="s">
        <v>1753</v>
      </c>
      <c r="K273" s="46" t="n">
        <v>796.74</v>
      </c>
      <c r="N273" s="67" t="n">
        <v>46200</v>
      </c>
      <c r="O273" s="1" t="n">
        <f aca="false">SUMIFS($K:$K,$E:$E,N273)</f>
        <v>21912.05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1755</v>
      </c>
      <c r="D274" s="1" t="s">
        <v>1756</v>
      </c>
      <c r="E274" s="15" t="n">
        <v>46200</v>
      </c>
      <c r="F274" s="15" t="n">
        <v>46199</v>
      </c>
      <c r="G274" s="1" t="s">
        <v>416</v>
      </c>
      <c r="H274" s="1" t="n">
        <v>1312567</v>
      </c>
      <c r="I274" s="1" t="n">
        <v>1</v>
      </c>
      <c r="J274" s="1" t="s">
        <v>1753</v>
      </c>
      <c r="K274" s="46" t="n">
        <v>54</v>
      </c>
      <c r="N274" s="67" t="n">
        <v>46200</v>
      </c>
      <c r="O274" s="1" t="n">
        <f aca="false">SUMIFS($K:$K,$E:$E,N274)</f>
        <v>21912.05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36</v>
      </c>
      <c r="D275" s="1" t="s">
        <v>1775</v>
      </c>
      <c r="E275" s="15" t="n">
        <v>46200</v>
      </c>
      <c r="F275" s="15" t="n">
        <v>46200</v>
      </c>
      <c r="G275" s="1" t="s">
        <v>1776</v>
      </c>
      <c r="H275" s="1" t="n">
        <v>1312583</v>
      </c>
      <c r="I275" s="1" t="n">
        <v>1</v>
      </c>
      <c r="J275" s="1" t="s">
        <v>1753</v>
      </c>
      <c r="K275" s="46" t="n">
        <v>358.65</v>
      </c>
      <c r="N275" s="67" t="n">
        <v>46200</v>
      </c>
      <c r="O275" s="1" t="n">
        <f aca="false">SUMIFS($K:$K,$E:$E,N275)</f>
        <v>21912.05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36</v>
      </c>
      <c r="D276" s="1" t="s">
        <v>1757</v>
      </c>
      <c r="E276" s="15" t="n">
        <v>46200</v>
      </c>
      <c r="F276" s="15" t="n">
        <v>46199</v>
      </c>
      <c r="G276" s="1" t="s">
        <v>272</v>
      </c>
      <c r="H276" s="1" t="n">
        <v>1313051</v>
      </c>
      <c r="I276" s="1" t="n">
        <v>1</v>
      </c>
      <c r="J276" s="1" t="s">
        <v>1753</v>
      </c>
      <c r="K276" s="46" t="n">
        <v>1997.03</v>
      </c>
      <c r="N276" s="67" t="n">
        <v>46200</v>
      </c>
      <c r="O276" s="1" t="n">
        <f aca="false">SUMIFS($K:$K,$E:$E,N276)</f>
        <v>21912.05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1792</v>
      </c>
      <c r="D277" s="1" t="s">
        <v>1793</v>
      </c>
      <c r="E277" s="15" t="n">
        <v>46200</v>
      </c>
      <c r="F277" s="15" t="n">
        <v>46197</v>
      </c>
      <c r="G277" s="1" t="s">
        <v>229</v>
      </c>
      <c r="H277" s="1" t="n">
        <v>1312633</v>
      </c>
      <c r="I277" s="1" t="n">
        <v>11</v>
      </c>
      <c r="J277" s="1" t="s">
        <v>1753</v>
      </c>
      <c r="K277" s="46" t="n">
        <v>17128.52</v>
      </c>
      <c r="N277" s="67" t="n">
        <v>46200</v>
      </c>
      <c r="O277" s="1" t="n">
        <f aca="false">SUMIFS($K:$K,$E:$E,N277)</f>
        <v>21912.05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36</v>
      </c>
      <c r="D278" s="1" t="s">
        <v>1761</v>
      </c>
      <c r="E278" s="15" t="n">
        <v>46202</v>
      </c>
      <c r="F278" s="15" t="n">
        <v>46199</v>
      </c>
      <c r="G278" s="1" t="s">
        <v>144</v>
      </c>
      <c r="H278" s="1" t="n">
        <v>1321674</v>
      </c>
      <c r="I278" s="1" t="n">
        <v>1</v>
      </c>
      <c r="J278" s="1" t="s">
        <v>1753</v>
      </c>
      <c r="K278" s="46" t="n">
        <v>180</v>
      </c>
      <c r="N278" s="67" t="n">
        <v>46202</v>
      </c>
      <c r="O278" s="1" t="n">
        <f aca="false">SUMIFS($K:$K,$E:$E,N278)</f>
        <v>7674.91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49</v>
      </c>
      <c r="D279" s="1" t="s">
        <v>1754</v>
      </c>
      <c r="E279" s="15" t="n">
        <v>46202</v>
      </c>
      <c r="F279" s="15" t="n">
        <v>46199</v>
      </c>
      <c r="G279" s="1" t="s">
        <v>131</v>
      </c>
      <c r="H279" s="1" t="n">
        <v>1322169</v>
      </c>
      <c r="I279" s="1" t="n">
        <v>1</v>
      </c>
      <c r="J279" s="1" t="s">
        <v>1753</v>
      </c>
      <c r="K279" s="46" t="n">
        <v>29.3</v>
      </c>
      <c r="N279" s="67" t="n">
        <v>46202</v>
      </c>
      <c r="O279" s="1" t="n">
        <f aca="false">SUMIFS($K:$K,$E:$E,N279)</f>
        <v>7674.91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67</v>
      </c>
      <c r="D280" s="1" t="s">
        <v>1754</v>
      </c>
      <c r="E280" s="15" t="n">
        <v>46202</v>
      </c>
      <c r="F280" s="15" t="n">
        <v>46199</v>
      </c>
      <c r="G280" s="1" t="s">
        <v>131</v>
      </c>
      <c r="H280" s="1" t="n">
        <v>1322190</v>
      </c>
      <c r="I280" s="1" t="n">
        <v>1</v>
      </c>
      <c r="J280" s="1" t="s">
        <v>1753</v>
      </c>
      <c r="K280" s="46" t="n">
        <v>970.33</v>
      </c>
      <c r="N280" s="67" t="n">
        <v>46202</v>
      </c>
      <c r="O280" s="1" t="n">
        <f aca="false">SUMIFS($K:$K,$E:$E,N280)</f>
        <v>7674.91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67</v>
      </c>
      <c r="D281" s="1" t="s">
        <v>1754</v>
      </c>
      <c r="E281" s="15" t="n">
        <v>46202</v>
      </c>
      <c r="F281" s="15" t="n">
        <v>46199</v>
      </c>
      <c r="G281" s="1" t="s">
        <v>131</v>
      </c>
      <c r="H281" s="1" t="n">
        <v>1322180</v>
      </c>
      <c r="I281" s="1" t="n">
        <v>1</v>
      </c>
      <c r="J281" s="1" t="s">
        <v>1753</v>
      </c>
      <c r="K281" s="46" t="n">
        <v>156.29</v>
      </c>
      <c r="N281" s="67" t="n">
        <v>46202</v>
      </c>
      <c r="O281" s="1" t="n">
        <f aca="false">SUMIFS($K:$K,$E:$E,N281)</f>
        <v>7674.91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1811</v>
      </c>
      <c r="D282" s="1" t="s">
        <v>1812</v>
      </c>
      <c r="E282" s="15" t="n">
        <v>46202</v>
      </c>
      <c r="F282" s="15" t="n">
        <v>46198</v>
      </c>
      <c r="G282" s="1" t="s">
        <v>235</v>
      </c>
      <c r="H282" s="1" t="n">
        <v>1321849</v>
      </c>
      <c r="I282" s="1" t="n">
        <v>1</v>
      </c>
      <c r="J282" s="1" t="s">
        <v>1753</v>
      </c>
      <c r="K282" s="46" t="n">
        <v>2453.23</v>
      </c>
      <c r="N282" s="67" t="n">
        <v>46202</v>
      </c>
      <c r="O282" s="1" t="n">
        <f aca="false">SUMIFS($K:$K,$E:$E,N282)</f>
        <v>7674.91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1755</v>
      </c>
      <c r="D283" s="1" t="s">
        <v>1756</v>
      </c>
      <c r="E283" s="15" t="n">
        <v>46202</v>
      </c>
      <c r="F283" s="15" t="n">
        <v>46200</v>
      </c>
      <c r="G283" s="1" t="s">
        <v>416</v>
      </c>
      <c r="H283" s="1" t="n">
        <v>1321679</v>
      </c>
      <c r="I283" s="1" t="n">
        <v>1</v>
      </c>
      <c r="J283" s="1" t="s">
        <v>1753</v>
      </c>
      <c r="K283" s="46" t="n">
        <v>115.5</v>
      </c>
      <c r="N283" s="67" t="n">
        <v>46202</v>
      </c>
      <c r="O283" s="1" t="n">
        <f aca="false">SUMIFS($K:$K,$E:$E,N283)</f>
        <v>7674.91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36</v>
      </c>
      <c r="D284" s="1" t="s">
        <v>1777</v>
      </c>
      <c r="E284" s="15" t="n">
        <v>46202</v>
      </c>
      <c r="F284" s="15" t="n">
        <v>46198</v>
      </c>
      <c r="G284" s="1" t="s">
        <v>180</v>
      </c>
      <c r="H284" s="1" t="n">
        <v>1321921</v>
      </c>
      <c r="I284" s="1" t="n">
        <v>11</v>
      </c>
      <c r="J284" s="1" t="s">
        <v>1753</v>
      </c>
      <c r="K284" s="46" t="n">
        <v>743.76</v>
      </c>
      <c r="N284" s="67" t="n">
        <v>46202</v>
      </c>
      <c r="O284" s="1" t="n">
        <f aca="false">SUMIFS($K:$K,$E:$E,N284)</f>
        <v>7674.91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36</v>
      </c>
      <c r="D285" s="1" t="s">
        <v>1757</v>
      </c>
      <c r="E285" s="15" t="n">
        <v>46202</v>
      </c>
      <c r="F285" s="15" t="n">
        <v>46200</v>
      </c>
      <c r="G285" s="1" t="s">
        <v>272</v>
      </c>
      <c r="H285" s="1" t="n">
        <v>1322010</v>
      </c>
      <c r="I285" s="1" t="n">
        <v>1</v>
      </c>
      <c r="J285" s="1" t="s">
        <v>1753</v>
      </c>
      <c r="K285" s="46" t="n">
        <v>2606.5</v>
      </c>
      <c r="N285" s="67" t="n">
        <v>46202</v>
      </c>
      <c r="O285" s="1" t="n">
        <f aca="false">SUMIFS($K:$K,$E:$E,N285)</f>
        <v>7674.91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36</v>
      </c>
      <c r="D286" s="1" t="s">
        <v>1766</v>
      </c>
      <c r="E286" s="15" t="n">
        <v>46202</v>
      </c>
      <c r="F286" s="15" t="n">
        <v>46202</v>
      </c>
      <c r="G286" s="1" t="s">
        <v>146</v>
      </c>
      <c r="H286" s="1" t="n">
        <v>1324941</v>
      </c>
      <c r="I286" s="1" t="n">
        <v>6</v>
      </c>
      <c r="J286" s="1" t="s">
        <v>1753</v>
      </c>
      <c r="K286" s="46" t="n">
        <v>210</v>
      </c>
      <c r="N286" s="67" t="n">
        <v>46202</v>
      </c>
      <c r="O286" s="1" t="n">
        <f aca="false">SUMIFS($K:$K,$E:$E,N286)</f>
        <v>7674.91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36</v>
      </c>
      <c r="D287" s="1" t="s">
        <v>1766</v>
      </c>
      <c r="E287" s="15" t="n">
        <v>46202</v>
      </c>
      <c r="F287" s="15" t="n">
        <v>46202</v>
      </c>
      <c r="G287" s="1" t="s">
        <v>146</v>
      </c>
      <c r="H287" s="1" t="n">
        <v>1324904</v>
      </c>
      <c r="I287" s="1" t="n">
        <v>2</v>
      </c>
      <c r="J287" s="1" t="s">
        <v>1753</v>
      </c>
      <c r="K287" s="46" t="n">
        <v>210</v>
      </c>
      <c r="N287" s="67" t="n">
        <v>46202</v>
      </c>
      <c r="O287" s="1" t="n">
        <f aca="false">SUMIFS($K:$K,$E:$E,N287)</f>
        <v>7674.91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36</v>
      </c>
      <c r="D288" s="1" t="s">
        <v>1761</v>
      </c>
      <c r="E288" s="15" t="n">
        <v>46203</v>
      </c>
      <c r="F288" s="15" t="n">
        <v>46202</v>
      </c>
      <c r="G288" s="1" t="s">
        <v>144</v>
      </c>
      <c r="H288" s="1" t="n">
        <v>1330382</v>
      </c>
      <c r="I288" s="1" t="n">
        <v>1</v>
      </c>
      <c r="J288" s="1" t="s">
        <v>1753</v>
      </c>
      <c r="K288" s="46" t="n">
        <v>180</v>
      </c>
      <c r="N288" s="67" t="n">
        <v>46203</v>
      </c>
      <c r="O288" s="1" t="n">
        <f aca="false">SUMIFS($K:$K,$E:$E,N288)</f>
        <v>3929.72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1755</v>
      </c>
      <c r="D289" s="1" t="s">
        <v>1756</v>
      </c>
      <c r="E289" s="15" t="n">
        <v>46203</v>
      </c>
      <c r="F289" s="15" t="n">
        <v>46202</v>
      </c>
      <c r="G289" s="1" t="s">
        <v>416</v>
      </c>
      <c r="H289" s="1" t="n">
        <v>1329534</v>
      </c>
      <c r="I289" s="1" t="n">
        <v>1</v>
      </c>
      <c r="J289" s="1" t="s">
        <v>1753</v>
      </c>
      <c r="K289" s="46" t="n">
        <v>130</v>
      </c>
      <c r="N289" s="67" t="n">
        <v>46203</v>
      </c>
      <c r="O289" s="1" t="n">
        <f aca="false">SUMIFS($K:$K,$E:$E,N289)</f>
        <v>3929.72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36</v>
      </c>
      <c r="D290" s="1" t="s">
        <v>1774</v>
      </c>
      <c r="E290" s="15" t="n">
        <v>46203</v>
      </c>
      <c r="F290" s="15" t="n">
        <v>46203</v>
      </c>
      <c r="G290" s="1" t="s">
        <v>187</v>
      </c>
      <c r="H290" s="1" t="n">
        <v>1330369</v>
      </c>
      <c r="I290" s="1" t="n">
        <v>1</v>
      </c>
      <c r="J290" s="1" t="s">
        <v>1753</v>
      </c>
      <c r="K290" s="46" t="n">
        <v>122</v>
      </c>
      <c r="N290" s="67" t="n">
        <v>46203</v>
      </c>
      <c r="O290" s="1" t="n">
        <f aca="false">SUMIFS($K:$K,$E:$E,N290)</f>
        <v>3929.72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36</v>
      </c>
      <c r="D291" s="1" t="s">
        <v>1766</v>
      </c>
      <c r="E291" s="15" t="n">
        <v>46203</v>
      </c>
      <c r="F291" s="15" t="n">
        <v>46203</v>
      </c>
      <c r="G291" s="1" t="s">
        <v>146</v>
      </c>
      <c r="H291" s="1" t="n">
        <v>1330477</v>
      </c>
      <c r="I291" s="1" t="n">
        <v>6</v>
      </c>
      <c r="J291" s="1" t="s">
        <v>1753</v>
      </c>
      <c r="K291" s="46" t="n">
        <v>1748.86</v>
      </c>
      <c r="N291" s="67" t="n">
        <v>46203</v>
      </c>
      <c r="O291" s="1" t="n">
        <f aca="false">SUMIFS($K:$K,$E:$E,N291)</f>
        <v>3929.72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36</v>
      </c>
      <c r="D292" s="1" t="s">
        <v>1766</v>
      </c>
      <c r="E292" s="15" t="n">
        <v>46203</v>
      </c>
      <c r="F292" s="15" t="n">
        <v>46203</v>
      </c>
      <c r="G292" s="1" t="s">
        <v>146</v>
      </c>
      <c r="H292" s="1" t="n">
        <v>1330472</v>
      </c>
      <c r="I292" s="1" t="n">
        <v>2</v>
      </c>
      <c r="J292" s="1" t="s">
        <v>1753</v>
      </c>
      <c r="K292" s="46" t="n">
        <v>1748.86</v>
      </c>
      <c r="N292" s="67" t="n">
        <v>46203</v>
      </c>
      <c r="O292" s="1" t="n">
        <f aca="false">SUMIFS($K:$K,$E:$E,N292)</f>
        <v>3929.72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1816</v>
      </c>
      <c r="D293" s="1" t="s">
        <v>1817</v>
      </c>
      <c r="E293" s="15" t="n">
        <v>46204</v>
      </c>
      <c r="F293" s="15" t="n">
        <v>46203</v>
      </c>
      <c r="G293" s="1" t="s">
        <v>172</v>
      </c>
      <c r="H293" s="1" t="n">
        <v>1333898</v>
      </c>
      <c r="I293" s="1" t="n">
        <v>1</v>
      </c>
      <c r="J293" s="1" t="s">
        <v>1753</v>
      </c>
      <c r="K293" s="46" t="n">
        <v>1626.33</v>
      </c>
      <c r="N293" s="67" t="n">
        <v>46204</v>
      </c>
      <c r="O293" s="1" t="n">
        <f aca="false">SUMIFS($K:$K,$E:$E,N293)</f>
        <v>6612.76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36</v>
      </c>
      <c r="D294" s="1" t="s">
        <v>1766</v>
      </c>
      <c r="E294" s="15" t="n">
        <v>46204</v>
      </c>
      <c r="F294" s="15" t="n">
        <v>46204</v>
      </c>
      <c r="G294" s="1" t="s">
        <v>146</v>
      </c>
      <c r="H294" s="1" t="n">
        <v>1334962</v>
      </c>
      <c r="I294" s="1" t="n">
        <v>2</v>
      </c>
      <c r="J294" s="1" t="s">
        <v>1753</v>
      </c>
      <c r="K294" s="46" t="n">
        <v>210</v>
      </c>
      <c r="N294" s="67" t="n">
        <v>46204</v>
      </c>
      <c r="O294" s="1" t="n">
        <f aca="false">SUMIFS($K:$K,$E:$E,N294)</f>
        <v>6612.76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36</v>
      </c>
      <c r="D295" s="1" t="s">
        <v>1766</v>
      </c>
      <c r="E295" s="15" t="n">
        <v>46204</v>
      </c>
      <c r="F295" s="15" t="n">
        <v>46204</v>
      </c>
      <c r="G295" s="1" t="s">
        <v>146</v>
      </c>
      <c r="H295" s="1" t="n">
        <v>1334970</v>
      </c>
      <c r="I295" s="1" t="n">
        <v>6</v>
      </c>
      <c r="J295" s="1" t="s">
        <v>1753</v>
      </c>
      <c r="K295" s="46" t="n">
        <v>210</v>
      </c>
      <c r="N295" s="67" t="n">
        <v>46204</v>
      </c>
      <c r="O295" s="1" t="n">
        <f aca="false">SUMIFS($K:$K,$E:$E,N295)</f>
        <v>6612.76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36</v>
      </c>
      <c r="D296" s="1" t="s">
        <v>1767</v>
      </c>
      <c r="E296" s="15" t="n">
        <v>46204</v>
      </c>
      <c r="F296" s="15" t="n">
        <v>46203</v>
      </c>
      <c r="G296" s="1" t="s">
        <v>105</v>
      </c>
      <c r="H296" s="1" t="n">
        <v>1335310</v>
      </c>
      <c r="I296" s="1" t="n">
        <v>1</v>
      </c>
      <c r="J296" s="1" t="s">
        <v>1753</v>
      </c>
      <c r="K296" s="46" t="n">
        <v>236.18</v>
      </c>
      <c r="N296" s="67" t="n">
        <v>46204</v>
      </c>
      <c r="O296" s="1" t="n">
        <f aca="false">SUMIFS($K:$K,$E:$E,N296)</f>
        <v>6612.76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88</v>
      </c>
      <c r="D297" s="1" t="s">
        <v>1758</v>
      </c>
      <c r="E297" s="15" t="n">
        <v>46204</v>
      </c>
      <c r="F297" s="15" t="n">
        <v>46203</v>
      </c>
      <c r="G297" s="1" t="s">
        <v>211</v>
      </c>
      <c r="H297" s="1" t="n">
        <v>1333879</v>
      </c>
      <c r="I297" s="1" t="n">
        <v>1</v>
      </c>
      <c r="J297" s="1" t="s">
        <v>1753</v>
      </c>
      <c r="K297" s="46" t="n">
        <v>304.75</v>
      </c>
      <c r="N297" s="67" t="n">
        <v>46204</v>
      </c>
      <c r="O297" s="1" t="n">
        <f aca="false">SUMIFS($K:$K,$E:$E,N297)</f>
        <v>6612.76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36</v>
      </c>
      <c r="D298" s="1" t="s">
        <v>1759</v>
      </c>
      <c r="E298" s="15" t="n">
        <v>46204</v>
      </c>
      <c r="F298" s="15" t="n">
        <v>46203</v>
      </c>
      <c r="G298" s="1" t="s">
        <v>205</v>
      </c>
      <c r="H298" s="1" t="n">
        <v>1333861</v>
      </c>
      <c r="I298" s="1" t="n">
        <v>1</v>
      </c>
      <c r="J298" s="1" t="s">
        <v>1753</v>
      </c>
      <c r="K298" s="46" t="n">
        <v>589.5</v>
      </c>
      <c r="N298" s="67" t="n">
        <v>46204</v>
      </c>
      <c r="O298" s="1" t="n">
        <f aca="false">SUMIFS($K:$K,$E:$E,N298)</f>
        <v>6612.76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36</v>
      </c>
      <c r="D299" s="1" t="s">
        <v>1771</v>
      </c>
      <c r="E299" s="15" t="n">
        <v>46204</v>
      </c>
      <c r="F299" s="15" t="n">
        <v>46203</v>
      </c>
      <c r="G299" s="1" t="s">
        <v>142</v>
      </c>
      <c r="H299" s="1" t="n">
        <v>1334341</v>
      </c>
      <c r="I299" s="1" t="n">
        <v>1</v>
      </c>
      <c r="J299" s="1" t="s">
        <v>1753</v>
      </c>
      <c r="K299" s="46" t="n">
        <v>3140</v>
      </c>
      <c r="N299" s="67" t="n">
        <v>46204</v>
      </c>
      <c r="O299" s="1" t="n">
        <f aca="false">SUMIFS($K:$K,$E:$E,N299)</f>
        <v>6612.76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36</v>
      </c>
      <c r="D300" s="1" t="s">
        <v>1858</v>
      </c>
      <c r="E300" s="15" t="n">
        <v>46204</v>
      </c>
      <c r="F300" s="15" t="n">
        <v>46192</v>
      </c>
      <c r="G300" s="1" t="s">
        <v>101</v>
      </c>
      <c r="H300" s="1" t="n">
        <v>1335414</v>
      </c>
      <c r="I300" s="1" t="n">
        <v>1</v>
      </c>
      <c r="J300" s="1" t="s">
        <v>1753</v>
      </c>
      <c r="K300" s="46" t="n">
        <v>296</v>
      </c>
      <c r="N300" s="67" t="n">
        <v>46204</v>
      </c>
      <c r="O300" s="1" t="n">
        <f aca="false">SUMIFS($K:$K,$E:$E,N300)</f>
        <v>6612.76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36</v>
      </c>
      <c r="D301" s="1" t="s">
        <v>1772</v>
      </c>
      <c r="E301" s="15" t="n">
        <v>46205</v>
      </c>
      <c r="F301" s="15" t="n">
        <v>46205</v>
      </c>
      <c r="G301" s="1" t="s">
        <v>196</v>
      </c>
      <c r="H301" s="1" t="n">
        <v>1339497</v>
      </c>
      <c r="I301" s="1" t="n">
        <v>1</v>
      </c>
      <c r="J301" s="1" t="s">
        <v>1753</v>
      </c>
      <c r="K301" s="46" t="n">
        <v>652.4</v>
      </c>
      <c r="N301" s="67" t="n">
        <v>46205</v>
      </c>
      <c r="O301" s="1" t="n">
        <f aca="false">SUMIFS($K:$K,$E:$E,N301)</f>
        <v>12576.3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1755</v>
      </c>
      <c r="D302" s="1" t="s">
        <v>1756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1753</v>
      </c>
      <c r="K302" s="46" t="n">
        <v>123</v>
      </c>
      <c r="N302" s="67" t="n">
        <v>46205</v>
      </c>
      <c r="O302" s="1" t="n">
        <f aca="false">SUMIFS($K:$K,$E:$E,N302)</f>
        <v>12576.3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36</v>
      </c>
      <c r="D303" s="1" t="s">
        <v>1859</v>
      </c>
      <c r="E303" s="15" t="n">
        <v>46205</v>
      </c>
      <c r="F303" s="15" t="n">
        <v>46199</v>
      </c>
      <c r="G303" s="1" t="s">
        <v>781</v>
      </c>
      <c r="H303" s="1" t="n">
        <v>1339965</v>
      </c>
      <c r="I303" s="1" t="n">
        <v>1</v>
      </c>
      <c r="J303" s="1" t="s">
        <v>1753</v>
      </c>
      <c r="K303" s="46" t="n">
        <v>4916.19</v>
      </c>
      <c r="N303" s="67" t="n">
        <v>46205</v>
      </c>
      <c r="O303" s="1" t="n">
        <f aca="false">SUMIFS($K:$K,$E:$E,N303)</f>
        <v>12576.3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1777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1753</v>
      </c>
      <c r="K304" s="46" t="n">
        <v>6016.34</v>
      </c>
      <c r="N304" s="67" t="n">
        <v>46205</v>
      </c>
      <c r="O304" s="1" t="n">
        <f aca="false">SUMIFS($K:$K,$E:$E,N304)</f>
        <v>12576.3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36</v>
      </c>
      <c r="D305" s="1" t="s">
        <v>1800</v>
      </c>
      <c r="E305" s="15" t="n">
        <v>46205</v>
      </c>
      <c r="F305" s="15" t="n">
        <v>46204</v>
      </c>
      <c r="G305" s="1" t="s">
        <v>553</v>
      </c>
      <c r="H305" s="1" t="n">
        <v>1339667</v>
      </c>
      <c r="I305" s="1" t="n">
        <v>1</v>
      </c>
      <c r="J305" s="1" t="s">
        <v>1753</v>
      </c>
      <c r="K305" s="46" t="n">
        <v>868.37</v>
      </c>
      <c r="N305" s="67" t="n">
        <v>46205</v>
      </c>
      <c r="O305" s="1" t="n">
        <f aca="false">SUMIFS($K:$K,$E:$E,N305)</f>
        <v>12576.3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36</v>
      </c>
      <c r="D306" s="1" t="s">
        <v>1783</v>
      </c>
      <c r="E306" s="15" t="n">
        <v>46206</v>
      </c>
      <c r="F306" s="15" t="n">
        <v>46206</v>
      </c>
      <c r="G306" s="1" t="s">
        <v>1784</v>
      </c>
      <c r="H306" s="1" t="n">
        <v>1344684</v>
      </c>
      <c r="I306" s="1" t="n">
        <v>1</v>
      </c>
      <c r="J306" s="1" t="s">
        <v>1753</v>
      </c>
      <c r="K306" s="46" t="n">
        <v>398</v>
      </c>
      <c r="N306" s="67" t="n">
        <v>46206</v>
      </c>
      <c r="O306" s="1" t="n">
        <f aca="false">SUMIFS($K:$K,$E:$E,N306)</f>
        <v>14935.23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36</v>
      </c>
      <c r="D307" s="1" t="s">
        <v>1762</v>
      </c>
      <c r="E307" s="15" t="n">
        <v>46206</v>
      </c>
      <c r="F307" s="15" t="n">
        <v>46206</v>
      </c>
      <c r="G307" s="1" t="s">
        <v>243</v>
      </c>
      <c r="H307" s="1" t="n">
        <v>1345271</v>
      </c>
      <c r="I307" s="1" t="n">
        <v>1</v>
      </c>
      <c r="J307" s="1" t="s">
        <v>1753</v>
      </c>
      <c r="K307" s="46" t="n">
        <v>2388.97</v>
      </c>
      <c r="N307" s="67" t="n">
        <v>46206</v>
      </c>
      <c r="O307" s="1" t="n">
        <f aca="false">SUMIFS($K:$K,$E:$E,N307)</f>
        <v>14935.23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85</v>
      </c>
      <c r="D308" s="1" t="s">
        <v>1795</v>
      </c>
      <c r="E308" s="15" t="n">
        <v>46206</v>
      </c>
      <c r="F308" s="15" t="n">
        <v>46205</v>
      </c>
      <c r="G308" s="1" t="s">
        <v>392</v>
      </c>
      <c r="H308" s="1" t="n">
        <v>1345083</v>
      </c>
      <c r="I308" s="1" t="n">
        <v>1</v>
      </c>
      <c r="J308" s="1" t="s">
        <v>1753</v>
      </c>
      <c r="K308" s="46" t="n">
        <v>2146.4</v>
      </c>
      <c r="N308" s="67" t="n">
        <v>46206</v>
      </c>
      <c r="O308" s="1" t="n">
        <f aca="false">SUMIFS($K:$K,$E:$E,N308)</f>
        <v>14935.23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36</v>
      </c>
      <c r="D309" s="1" t="s">
        <v>1763</v>
      </c>
      <c r="E309" s="15" t="n">
        <v>46206</v>
      </c>
      <c r="F309" s="15" t="n">
        <v>46205</v>
      </c>
      <c r="G309" s="1" t="s">
        <v>233</v>
      </c>
      <c r="H309" s="1" t="n">
        <v>1343794</v>
      </c>
      <c r="I309" s="1" t="n">
        <v>1</v>
      </c>
      <c r="J309" s="1" t="s">
        <v>1753</v>
      </c>
      <c r="K309" s="46" t="n">
        <v>279.82</v>
      </c>
      <c r="N309" s="67" t="n">
        <v>46206</v>
      </c>
      <c r="O309" s="1" t="n">
        <f aca="false">SUMIFS($K:$K,$E:$E,N309)</f>
        <v>14935.23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1811</v>
      </c>
      <c r="D310" s="1" t="s">
        <v>1812</v>
      </c>
      <c r="E310" s="15" t="n">
        <v>46206</v>
      </c>
      <c r="F310" s="15" t="n">
        <v>46205</v>
      </c>
      <c r="G310" s="1" t="s">
        <v>235</v>
      </c>
      <c r="H310" s="1" t="n">
        <v>1345469</v>
      </c>
      <c r="I310" s="1" t="n">
        <v>1</v>
      </c>
      <c r="J310" s="1" t="s">
        <v>1753</v>
      </c>
      <c r="K310" s="46" t="n">
        <v>2844.47</v>
      </c>
      <c r="N310" s="67" t="n">
        <v>46206</v>
      </c>
      <c r="O310" s="1" t="n">
        <f aca="false">SUMIFS($K:$K,$E:$E,N310)</f>
        <v>14935.23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36</v>
      </c>
      <c r="D311" s="1" t="s">
        <v>1764</v>
      </c>
      <c r="E311" s="15" t="n">
        <v>46206</v>
      </c>
      <c r="F311" s="15" t="n">
        <v>46206</v>
      </c>
      <c r="G311" s="1" t="s">
        <v>224</v>
      </c>
      <c r="H311" s="1" t="n">
        <v>1343779</v>
      </c>
      <c r="I311" s="1" t="n">
        <v>1</v>
      </c>
      <c r="J311" s="1" t="s">
        <v>1753</v>
      </c>
      <c r="K311" s="46" t="n">
        <v>832.51</v>
      </c>
      <c r="N311" s="67" t="n">
        <v>46206</v>
      </c>
      <c r="O311" s="1" t="n">
        <f aca="false">SUMIFS($K:$K,$E:$E,N311)</f>
        <v>14935.23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1755</v>
      </c>
      <c r="D312" s="1" t="s">
        <v>1756</v>
      </c>
      <c r="E312" s="15" t="n">
        <v>46206</v>
      </c>
      <c r="F312" s="15" t="n">
        <v>46206</v>
      </c>
      <c r="G312" s="1" t="s">
        <v>416</v>
      </c>
      <c r="H312" s="1" t="n">
        <v>1345413</v>
      </c>
      <c r="I312" s="1" t="n">
        <v>1</v>
      </c>
      <c r="J312" s="1" t="s">
        <v>1753</v>
      </c>
      <c r="K312" s="46" t="n">
        <v>89.5</v>
      </c>
      <c r="N312" s="67" t="n">
        <v>46206</v>
      </c>
      <c r="O312" s="1" t="n">
        <f aca="false">SUMIFS($K:$K,$E:$E,N312)</f>
        <v>14935.23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88</v>
      </c>
      <c r="D313" s="1" t="s">
        <v>1780</v>
      </c>
      <c r="E313" s="15" t="n">
        <v>46206</v>
      </c>
      <c r="F313" s="15" t="n">
        <v>46206</v>
      </c>
      <c r="G313" s="1" t="s">
        <v>439</v>
      </c>
      <c r="H313" s="1" t="n">
        <v>1345530</v>
      </c>
      <c r="I313" s="1" t="n">
        <v>1</v>
      </c>
      <c r="J313" s="1" t="s">
        <v>1753</v>
      </c>
      <c r="K313" s="46" t="n">
        <v>393.86</v>
      </c>
      <c r="N313" s="67" t="n">
        <v>46206</v>
      </c>
      <c r="O313" s="1" t="n">
        <f aca="false">SUMIFS($K:$K,$E:$E,N313)</f>
        <v>14935.23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88</v>
      </c>
      <c r="D314" s="1" t="s">
        <v>1860</v>
      </c>
      <c r="E314" s="15" t="n">
        <v>46206</v>
      </c>
      <c r="F314" s="15" t="n">
        <v>46205</v>
      </c>
      <c r="G314" s="1" t="s">
        <v>851</v>
      </c>
      <c r="H314" s="1" t="n">
        <v>1345178</v>
      </c>
      <c r="I314" s="1" t="n">
        <v>1</v>
      </c>
      <c r="J314" s="1" t="s">
        <v>1753</v>
      </c>
      <c r="K314" s="46" t="n">
        <v>736.8</v>
      </c>
      <c r="N314" s="67" t="n">
        <v>46206</v>
      </c>
      <c r="O314" s="1" t="n">
        <f aca="false">SUMIFS($K:$K,$E:$E,N314)</f>
        <v>14935.23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36</v>
      </c>
      <c r="D315" s="1" t="s">
        <v>1775</v>
      </c>
      <c r="E315" s="15" t="n">
        <v>46206</v>
      </c>
      <c r="F315" s="15" t="n">
        <v>46206</v>
      </c>
      <c r="G315" s="1" t="s">
        <v>1776</v>
      </c>
      <c r="H315" s="1" t="n">
        <v>1344581</v>
      </c>
      <c r="I315" s="1" t="n">
        <v>1</v>
      </c>
      <c r="J315" s="1" t="s">
        <v>1753</v>
      </c>
      <c r="K315" s="46" t="n">
        <v>430.3</v>
      </c>
      <c r="N315" s="67" t="n">
        <v>46206</v>
      </c>
      <c r="O315" s="1" t="n">
        <f aca="false">SUMIFS($K:$K,$E:$E,N315)</f>
        <v>14935.23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36</v>
      </c>
      <c r="D316" s="1" t="s">
        <v>1790</v>
      </c>
      <c r="E316" s="15" t="n">
        <v>46206</v>
      </c>
      <c r="F316" s="15" t="n">
        <v>46205</v>
      </c>
      <c r="G316" s="1" t="s">
        <v>1791</v>
      </c>
      <c r="H316" s="1" t="n">
        <v>1344368</v>
      </c>
      <c r="I316" s="1" t="n">
        <v>1</v>
      </c>
      <c r="J316" s="1" t="s">
        <v>1753</v>
      </c>
      <c r="K316" s="46" t="n">
        <v>1209.4</v>
      </c>
      <c r="N316" s="67" t="n">
        <v>46206</v>
      </c>
      <c r="O316" s="1" t="n">
        <f aca="false">SUMIFS($K:$K,$E:$E,N316)</f>
        <v>14935.23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36</v>
      </c>
      <c r="D317" s="1" t="s">
        <v>1766</v>
      </c>
      <c r="E317" s="15" t="n">
        <v>46206</v>
      </c>
      <c r="F317" s="15" t="n">
        <v>46206</v>
      </c>
      <c r="G317" s="1" t="s">
        <v>146</v>
      </c>
      <c r="H317" s="1" t="n">
        <v>1344644</v>
      </c>
      <c r="I317" s="1" t="n">
        <v>6</v>
      </c>
      <c r="J317" s="1" t="s">
        <v>1753</v>
      </c>
      <c r="K317" s="46" t="n">
        <v>280</v>
      </c>
      <c r="N317" s="67" t="n">
        <v>46206</v>
      </c>
      <c r="O317" s="1" t="n">
        <f aca="false">SUMIFS($K:$K,$E:$E,N317)</f>
        <v>14935.23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36</v>
      </c>
      <c r="D318" s="1" t="s">
        <v>1766</v>
      </c>
      <c r="E318" s="15" t="n">
        <v>46206</v>
      </c>
      <c r="F318" s="15" t="n">
        <v>46206</v>
      </c>
      <c r="G318" s="1" t="s">
        <v>146</v>
      </c>
      <c r="H318" s="1" t="n">
        <v>1345376</v>
      </c>
      <c r="I318" s="1" t="n">
        <v>6</v>
      </c>
      <c r="J318" s="1" t="s">
        <v>1753</v>
      </c>
      <c r="K318" s="46" t="n">
        <v>1082.6</v>
      </c>
      <c r="N318" s="67" t="n">
        <v>46206</v>
      </c>
      <c r="O318" s="1" t="n">
        <f aca="false">SUMIFS($K:$K,$E:$E,N318)</f>
        <v>14935.23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36</v>
      </c>
      <c r="D319" s="1" t="s">
        <v>1766</v>
      </c>
      <c r="E319" s="15" t="n">
        <v>46206</v>
      </c>
      <c r="F319" s="15" t="n">
        <v>46206</v>
      </c>
      <c r="G319" s="1" t="s">
        <v>146</v>
      </c>
      <c r="H319" s="1" t="n">
        <v>1344619</v>
      </c>
      <c r="I319" s="1" t="n">
        <v>2</v>
      </c>
      <c r="J319" s="1" t="s">
        <v>1753</v>
      </c>
      <c r="K319" s="46" t="n">
        <v>280</v>
      </c>
      <c r="N319" s="67" t="n">
        <v>46206</v>
      </c>
      <c r="O319" s="1" t="n">
        <f aca="false">SUMIFS($K:$K,$E:$E,N319)</f>
        <v>14935.23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36</v>
      </c>
      <c r="D320" s="1" t="s">
        <v>1766</v>
      </c>
      <c r="E320" s="15" t="n">
        <v>46206</v>
      </c>
      <c r="F320" s="15" t="n">
        <v>46206</v>
      </c>
      <c r="G320" s="1" t="s">
        <v>146</v>
      </c>
      <c r="H320" s="1" t="n">
        <v>1345364</v>
      </c>
      <c r="I320" s="1" t="n">
        <v>2</v>
      </c>
      <c r="J320" s="1" t="s">
        <v>1753</v>
      </c>
      <c r="K320" s="46" t="n">
        <v>1082.6</v>
      </c>
      <c r="N320" s="67" t="n">
        <v>46206</v>
      </c>
      <c r="O320" s="1" t="n">
        <f aca="false">SUMIFS($K:$K,$E:$E,N320)</f>
        <v>14935.23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36</v>
      </c>
      <c r="D321" s="1" t="s">
        <v>1781</v>
      </c>
      <c r="E321" s="15" t="n">
        <v>46206</v>
      </c>
      <c r="F321" s="15" t="n">
        <v>46206</v>
      </c>
      <c r="G321" s="1" t="s">
        <v>437</v>
      </c>
      <c r="H321" s="1" t="n">
        <v>1345621</v>
      </c>
      <c r="I321" s="1" t="n">
        <v>1</v>
      </c>
      <c r="J321" s="1" t="s">
        <v>1753</v>
      </c>
      <c r="K321" s="46" t="n">
        <v>460</v>
      </c>
      <c r="N321" s="67" t="n">
        <v>46206</v>
      </c>
      <c r="O321" s="1" t="n">
        <f aca="false">SUMIFS($K:$K,$E:$E,N321)</f>
        <v>14935.23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36</v>
      </c>
      <c r="D322" s="1" t="s">
        <v>1761</v>
      </c>
      <c r="E322" s="15" t="n">
        <v>46207</v>
      </c>
      <c r="F322" s="15" t="n">
        <v>46206</v>
      </c>
      <c r="G322" s="1" t="s">
        <v>144</v>
      </c>
      <c r="H322" s="1" t="n">
        <v>1348633</v>
      </c>
      <c r="I322" s="1" t="n">
        <v>1</v>
      </c>
      <c r="J322" s="1" t="s">
        <v>1753</v>
      </c>
      <c r="K322" s="46" t="n">
        <v>240</v>
      </c>
      <c r="N322" s="67" t="n">
        <v>46207</v>
      </c>
      <c r="O322" s="1" t="n">
        <f aca="false">SUMIFS($K:$K,$E:$E,N322)</f>
        <v>6357.81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36</v>
      </c>
      <c r="D323" s="1" t="s">
        <v>1757</v>
      </c>
      <c r="E323" s="15" t="n">
        <v>46207</v>
      </c>
      <c r="F323" s="15" t="n">
        <v>46206</v>
      </c>
      <c r="G323" s="1" t="s">
        <v>272</v>
      </c>
      <c r="H323" s="1" t="n">
        <v>1348589</v>
      </c>
      <c r="I323" s="1" t="n">
        <v>1</v>
      </c>
      <c r="J323" s="1" t="s">
        <v>1753</v>
      </c>
      <c r="K323" s="46" t="n">
        <v>5738.21</v>
      </c>
      <c r="N323" s="67" t="n">
        <v>46207</v>
      </c>
      <c r="O323" s="1" t="n">
        <f aca="false">SUMIFS($K:$K,$E:$E,N323)</f>
        <v>6357.81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88</v>
      </c>
      <c r="D324" s="1" t="s">
        <v>1758</v>
      </c>
      <c r="E324" s="15" t="n">
        <v>46207</v>
      </c>
      <c r="F324" s="15" t="n">
        <v>46206</v>
      </c>
      <c r="G324" s="1" t="s">
        <v>211</v>
      </c>
      <c r="H324" s="1" t="n">
        <v>1348260</v>
      </c>
      <c r="I324" s="1" t="n">
        <v>1</v>
      </c>
      <c r="J324" s="1" t="s">
        <v>1753</v>
      </c>
      <c r="K324" s="46" t="n">
        <v>379.6</v>
      </c>
      <c r="N324" s="67" t="n">
        <v>46207</v>
      </c>
      <c r="O324" s="1" t="n">
        <f aca="false">SUMIFS($K:$K,$E:$E,N324)</f>
        <v>6357.81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49</v>
      </c>
      <c r="D325" s="1" t="s">
        <v>1754</v>
      </c>
      <c r="E325" s="15" t="n">
        <v>46209</v>
      </c>
      <c r="F325" s="15" t="n">
        <v>46206</v>
      </c>
      <c r="G325" s="1" t="s">
        <v>131</v>
      </c>
      <c r="H325" s="1" t="n">
        <v>1360305</v>
      </c>
      <c r="I325" s="1" t="n">
        <v>1</v>
      </c>
      <c r="J325" s="1" t="s">
        <v>1753</v>
      </c>
      <c r="K325" s="46" t="n">
        <v>762.82</v>
      </c>
      <c r="N325" s="67" t="n">
        <v>46209</v>
      </c>
      <c r="O325" s="1" t="n">
        <f aca="false">SUMIFS($K:$K,$E:$E,N325)</f>
        <v>7839.85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49</v>
      </c>
      <c r="D326" s="1" t="s">
        <v>1754</v>
      </c>
      <c r="E326" s="15" t="n">
        <v>46209</v>
      </c>
      <c r="F326" s="15" t="n">
        <v>46206</v>
      </c>
      <c r="G326" s="1" t="s">
        <v>131</v>
      </c>
      <c r="H326" s="1" t="n">
        <v>1360170</v>
      </c>
      <c r="I326" s="1" t="n">
        <v>1</v>
      </c>
      <c r="J326" s="1" t="s">
        <v>1753</v>
      </c>
      <c r="K326" s="46" t="n">
        <v>63.37</v>
      </c>
      <c r="N326" s="67" t="n">
        <v>46209</v>
      </c>
      <c r="O326" s="1" t="n">
        <f aca="false">SUMIFS($K:$K,$E:$E,N326)</f>
        <v>7839.85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67</v>
      </c>
      <c r="D327" s="1" t="s">
        <v>1754</v>
      </c>
      <c r="E327" s="15" t="n">
        <v>46209</v>
      </c>
      <c r="F327" s="15" t="n">
        <v>46206</v>
      </c>
      <c r="G327" s="1" t="s">
        <v>131</v>
      </c>
      <c r="H327" s="1" t="n">
        <v>1360326</v>
      </c>
      <c r="I327" s="1" t="n">
        <v>11</v>
      </c>
      <c r="J327" s="1" t="s">
        <v>1753</v>
      </c>
      <c r="K327" s="46" t="n">
        <v>3703.01</v>
      </c>
      <c r="N327" s="67" t="n">
        <v>46209</v>
      </c>
      <c r="O327" s="1" t="n">
        <f aca="false">SUMIFS($K:$K,$E:$E,N327)</f>
        <v>7839.85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67</v>
      </c>
      <c r="D328" s="1" t="s">
        <v>1754</v>
      </c>
      <c r="E328" s="15" t="n">
        <v>46209</v>
      </c>
      <c r="F328" s="15" t="n">
        <v>46206</v>
      </c>
      <c r="G328" s="1" t="s">
        <v>131</v>
      </c>
      <c r="H328" s="1" t="n">
        <v>1360155</v>
      </c>
      <c r="I328" s="1" t="n">
        <v>1</v>
      </c>
      <c r="J328" s="1" t="s">
        <v>1753</v>
      </c>
      <c r="K328" s="46" t="n">
        <v>205.13</v>
      </c>
      <c r="N328" s="67" t="n">
        <v>46209</v>
      </c>
      <c r="O328" s="1" t="n">
        <f aca="false">SUMIFS($K:$K,$E:$E,N328)</f>
        <v>7839.85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36</v>
      </c>
      <c r="D329" s="1" t="s">
        <v>1769</v>
      </c>
      <c r="E329" s="15" t="n">
        <v>46209</v>
      </c>
      <c r="F329" s="15" t="n">
        <v>46207</v>
      </c>
      <c r="G329" s="1" t="s">
        <v>373</v>
      </c>
      <c r="H329" s="1" t="n">
        <v>1359593</v>
      </c>
      <c r="I329" s="1" t="n">
        <v>1</v>
      </c>
      <c r="J329" s="1" t="s">
        <v>1753</v>
      </c>
      <c r="K329" s="46" t="n">
        <v>2243.2</v>
      </c>
      <c r="N329" s="67" t="n">
        <v>46209</v>
      </c>
      <c r="O329" s="1" t="n">
        <f aca="false">SUMIFS($K:$K,$E:$E,N329)</f>
        <v>7839.85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1755</v>
      </c>
      <c r="D330" s="1" t="s">
        <v>1756</v>
      </c>
      <c r="E330" s="15" t="n">
        <v>46209</v>
      </c>
      <c r="F330" s="15" t="n">
        <v>46207</v>
      </c>
      <c r="G330" s="1" t="s">
        <v>416</v>
      </c>
      <c r="H330" s="1" t="n">
        <v>1359513</v>
      </c>
      <c r="I330" s="1" t="n">
        <v>1</v>
      </c>
      <c r="J330" s="1" t="s">
        <v>1753</v>
      </c>
      <c r="K330" s="46" t="n">
        <v>140</v>
      </c>
      <c r="N330" s="67" t="n">
        <v>46209</v>
      </c>
      <c r="O330" s="1" t="n">
        <f aca="false">SUMIFS($K:$K,$E:$E,N330)</f>
        <v>7839.85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36</v>
      </c>
      <c r="D331" s="1" t="s">
        <v>1774</v>
      </c>
      <c r="E331" s="15" t="n">
        <v>46209</v>
      </c>
      <c r="F331" s="15" t="n">
        <v>46209</v>
      </c>
      <c r="G331" s="1" t="s">
        <v>187</v>
      </c>
      <c r="H331" s="1" t="n">
        <v>1361298</v>
      </c>
      <c r="I331" s="1" t="n">
        <v>1</v>
      </c>
      <c r="J331" s="1" t="s">
        <v>1753</v>
      </c>
      <c r="K331" s="46" t="n">
        <v>142</v>
      </c>
      <c r="N331" s="67" t="n">
        <v>46209</v>
      </c>
      <c r="O331" s="1" t="n">
        <f aca="false">SUMIFS($K:$K,$E:$E,N331)</f>
        <v>7839.85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36</v>
      </c>
      <c r="D332" s="1" t="s">
        <v>1789</v>
      </c>
      <c r="E332" s="15" t="n">
        <v>46209</v>
      </c>
      <c r="F332" s="15" t="n">
        <v>46209</v>
      </c>
      <c r="G332" s="1" t="s">
        <v>356</v>
      </c>
      <c r="H332" s="1" t="n">
        <v>1365085</v>
      </c>
      <c r="I332" s="1" t="n">
        <v>1</v>
      </c>
      <c r="J332" s="1" t="s">
        <v>1753</v>
      </c>
      <c r="K332" s="46" t="n">
        <v>160.32</v>
      </c>
      <c r="N332" s="67" t="n">
        <v>46209</v>
      </c>
      <c r="O332" s="1" t="n">
        <f aca="false">SUMIFS($K:$K,$E:$E,N332)</f>
        <v>7839.85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36</v>
      </c>
      <c r="D333" s="1" t="s">
        <v>1766</v>
      </c>
      <c r="E333" s="15" t="n">
        <v>46209</v>
      </c>
      <c r="F333" s="15" t="n">
        <v>46209</v>
      </c>
      <c r="G333" s="1" t="s">
        <v>146</v>
      </c>
      <c r="H333" s="1" t="n">
        <v>1361277</v>
      </c>
      <c r="I333" s="1" t="n">
        <v>6</v>
      </c>
      <c r="J333" s="1" t="s">
        <v>1753</v>
      </c>
      <c r="K333" s="46" t="n">
        <v>210</v>
      </c>
      <c r="N333" s="67" t="n">
        <v>46209</v>
      </c>
      <c r="O333" s="1" t="n">
        <f aca="false">SUMIFS($K:$K,$E:$E,N333)</f>
        <v>7839.85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36</v>
      </c>
      <c r="D334" s="1" t="s">
        <v>1766</v>
      </c>
      <c r="E334" s="15" t="n">
        <v>46209</v>
      </c>
      <c r="F334" s="15" t="n">
        <v>46209</v>
      </c>
      <c r="G334" s="1" t="s">
        <v>146</v>
      </c>
      <c r="H334" s="1" t="n">
        <v>1361270</v>
      </c>
      <c r="I334" s="1" t="n">
        <v>2</v>
      </c>
      <c r="J334" s="1" t="s">
        <v>1753</v>
      </c>
      <c r="K334" s="46" t="n">
        <v>210</v>
      </c>
      <c r="N334" s="67" t="n">
        <v>46209</v>
      </c>
      <c r="O334" s="1" t="n">
        <f aca="false">SUMIFS($K:$K,$E:$E,N334)</f>
        <v>7839.85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36</v>
      </c>
      <c r="D335" s="1" t="s">
        <v>1861</v>
      </c>
      <c r="E335" s="15" t="n">
        <v>46210</v>
      </c>
      <c r="F335" s="15" t="n">
        <v>46206</v>
      </c>
      <c r="G335" s="1" t="s">
        <v>1539</v>
      </c>
      <c r="H335" s="1" t="n">
        <v>1366133</v>
      </c>
      <c r="I335" s="1" t="n">
        <v>11</v>
      </c>
      <c r="J335" s="1" t="s">
        <v>1753</v>
      </c>
      <c r="K335" s="46" t="n">
        <v>528</v>
      </c>
      <c r="N335" s="67" t="n">
        <v>46210</v>
      </c>
      <c r="O335" s="1" t="n">
        <f aca="false">SUMIFS($K:$K,$E:$E,N335)</f>
        <v>7587.81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36</v>
      </c>
      <c r="D336" s="1" t="s">
        <v>1802</v>
      </c>
      <c r="E336" s="15" t="n">
        <v>46210</v>
      </c>
      <c r="F336" s="15" t="n">
        <v>46208</v>
      </c>
      <c r="G336" s="1" t="s">
        <v>107</v>
      </c>
      <c r="H336" s="1" t="n">
        <v>1364523</v>
      </c>
      <c r="I336" s="1" t="n">
        <v>1</v>
      </c>
      <c r="J336" s="1" t="s">
        <v>1753</v>
      </c>
      <c r="K336" s="46" t="n">
        <v>2063.55</v>
      </c>
      <c r="N336" s="67" t="n">
        <v>46210</v>
      </c>
      <c r="O336" s="1" t="n">
        <f aca="false">SUMIFS($K:$K,$E:$E,N336)</f>
        <v>7587.81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36</v>
      </c>
      <c r="D337" s="1" t="s">
        <v>1763</v>
      </c>
      <c r="E337" s="15" t="n">
        <v>46210</v>
      </c>
      <c r="F337" s="15" t="n">
        <v>46209</v>
      </c>
      <c r="G337" s="1" t="s">
        <v>233</v>
      </c>
      <c r="H337" s="1" t="n">
        <v>1364546</v>
      </c>
      <c r="I337" s="1" t="n">
        <v>1</v>
      </c>
      <c r="J337" s="1" t="s">
        <v>1753</v>
      </c>
      <c r="K337" s="46" t="n">
        <v>248.78</v>
      </c>
      <c r="N337" s="67" t="n">
        <v>46210</v>
      </c>
      <c r="O337" s="1" t="n">
        <f aca="false">SUMIFS($K:$K,$E:$E,N337)</f>
        <v>7587.81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1755</v>
      </c>
      <c r="D338" s="1" t="s">
        <v>1756</v>
      </c>
      <c r="E338" s="15" t="n">
        <v>46210</v>
      </c>
      <c r="F338" s="15" t="n">
        <v>46209</v>
      </c>
      <c r="G338" s="1" t="s">
        <v>416</v>
      </c>
      <c r="H338" s="1" t="n">
        <v>1365102</v>
      </c>
      <c r="I338" s="1" t="n">
        <v>1</v>
      </c>
      <c r="J338" s="1" t="s">
        <v>1753</v>
      </c>
      <c r="K338" s="46" t="n">
        <v>130</v>
      </c>
      <c r="N338" s="67" t="n">
        <v>46210</v>
      </c>
      <c r="O338" s="1" t="n">
        <f aca="false">SUMIFS($K:$K,$E:$E,N338)</f>
        <v>7587.81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36</v>
      </c>
      <c r="D339" s="1" t="s">
        <v>1862</v>
      </c>
      <c r="E339" s="15" t="n">
        <v>46210</v>
      </c>
      <c r="F339" s="15" t="n">
        <v>46209</v>
      </c>
      <c r="G339" s="1" t="s">
        <v>945</v>
      </c>
      <c r="H339" s="1" t="n">
        <v>1365044</v>
      </c>
      <c r="I339" s="1" t="n">
        <v>1</v>
      </c>
      <c r="J339" s="1" t="s">
        <v>1753</v>
      </c>
      <c r="K339" s="46" t="n">
        <v>374.1</v>
      </c>
      <c r="N339" s="67" t="n">
        <v>46210</v>
      </c>
      <c r="O339" s="1" t="n">
        <f aca="false">SUMIFS($K:$K,$E:$E,N339)</f>
        <v>7587.81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1766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1753</v>
      </c>
      <c r="K340" s="46" t="n">
        <v>2024.65</v>
      </c>
      <c r="N340" s="67" t="n">
        <v>46210</v>
      </c>
      <c r="O340" s="1" t="n">
        <f aca="false">SUMIFS($K:$K,$E:$E,N340)</f>
        <v>7587.81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36</v>
      </c>
      <c r="D341" s="1" t="s">
        <v>1766</v>
      </c>
      <c r="E341" s="15" t="n">
        <v>46210</v>
      </c>
      <c r="F341" s="15" t="n">
        <v>46210</v>
      </c>
      <c r="G341" s="1" t="s">
        <v>146</v>
      </c>
      <c r="H341" s="1" t="n">
        <v>1365832</v>
      </c>
      <c r="I341" s="1" t="n">
        <v>2</v>
      </c>
      <c r="J341" s="1" t="s">
        <v>1753</v>
      </c>
      <c r="K341" s="46" t="n">
        <v>2024.65</v>
      </c>
      <c r="N341" s="67" t="n">
        <v>46210</v>
      </c>
      <c r="O341" s="1" t="n">
        <f aca="false">SUMIFS($K:$K,$E:$E,N341)</f>
        <v>7587.81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36</v>
      </c>
      <c r="D342" s="1" t="s">
        <v>1767</v>
      </c>
      <c r="E342" s="15" t="n">
        <v>46210</v>
      </c>
      <c r="F342" s="15" t="n">
        <v>46209</v>
      </c>
      <c r="G342" s="1" t="s">
        <v>105</v>
      </c>
      <c r="H342" s="1" t="n">
        <v>1365074</v>
      </c>
      <c r="I342" s="1" t="n">
        <v>1</v>
      </c>
      <c r="J342" s="1" t="s">
        <v>1753</v>
      </c>
      <c r="K342" s="46" t="n">
        <v>194.08</v>
      </c>
      <c r="N342" s="67" t="n">
        <v>46210</v>
      </c>
      <c r="O342" s="1" t="n">
        <f aca="false">SUMIFS($K:$K,$E:$E,N342)</f>
        <v>7587.81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36</v>
      </c>
      <c r="D343" s="1" t="s">
        <v>1761</v>
      </c>
      <c r="E343" s="15" t="n">
        <v>46211</v>
      </c>
      <c r="F343" s="15" t="n">
        <v>46209</v>
      </c>
      <c r="G343" s="1" t="s">
        <v>144</v>
      </c>
      <c r="H343" s="1" t="n">
        <v>1370587</v>
      </c>
      <c r="I343" s="1" t="n">
        <v>1</v>
      </c>
      <c r="J343" s="1" t="s">
        <v>1753</v>
      </c>
      <c r="K343" s="46" t="n">
        <v>240</v>
      </c>
      <c r="N343" s="67" t="n">
        <v>46211</v>
      </c>
      <c r="O343" s="1" t="n">
        <f aca="false">SUMIFS($K:$K,$E:$E,N343)</f>
        <v>7425.47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36</v>
      </c>
      <c r="D344" s="1" t="s">
        <v>1779</v>
      </c>
      <c r="E344" s="15" t="n">
        <v>46211</v>
      </c>
      <c r="F344" s="15" t="n">
        <v>46211</v>
      </c>
      <c r="G344" s="1" t="s">
        <v>182</v>
      </c>
      <c r="H344" s="1" t="n">
        <v>1370224</v>
      </c>
      <c r="I344" s="1" t="n">
        <v>1</v>
      </c>
      <c r="J344" s="1" t="s">
        <v>1753</v>
      </c>
      <c r="K344" s="46" t="n">
        <v>1213.69</v>
      </c>
      <c r="N344" s="67" t="n">
        <v>46211</v>
      </c>
      <c r="O344" s="1" t="n">
        <f aca="false">SUMIFS($K:$K,$E:$E,N344)</f>
        <v>7425.47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49</v>
      </c>
      <c r="D345" s="1" t="s">
        <v>1754</v>
      </c>
      <c r="E345" s="15" t="n">
        <v>46211</v>
      </c>
      <c r="F345" s="15" t="n">
        <v>46210</v>
      </c>
      <c r="G345" s="1" t="s">
        <v>131</v>
      </c>
      <c r="H345" s="1" t="n">
        <v>1369061</v>
      </c>
      <c r="I345" s="1" t="n">
        <v>1</v>
      </c>
      <c r="J345" s="1" t="s">
        <v>1753</v>
      </c>
      <c r="K345" s="46" t="n">
        <v>636.39</v>
      </c>
      <c r="N345" s="67" t="n">
        <v>46211</v>
      </c>
      <c r="O345" s="1" t="n">
        <f aca="false">SUMIFS($K:$K,$E:$E,N345)</f>
        <v>7425.47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49</v>
      </c>
      <c r="D346" s="1" t="s">
        <v>1754</v>
      </c>
      <c r="E346" s="15" t="n">
        <v>46211</v>
      </c>
      <c r="F346" s="15" t="n">
        <v>46210</v>
      </c>
      <c r="G346" s="1" t="s">
        <v>131</v>
      </c>
      <c r="H346" s="1" t="n">
        <v>1369445</v>
      </c>
      <c r="I346" s="1" t="n">
        <v>1</v>
      </c>
      <c r="J346" s="1" t="s">
        <v>1753</v>
      </c>
      <c r="K346" s="46" t="n">
        <v>104.51</v>
      </c>
      <c r="N346" s="67" t="n">
        <v>46211</v>
      </c>
      <c r="O346" s="1" t="n">
        <f aca="false">SUMIFS($K:$K,$E:$E,N346)</f>
        <v>7425.47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49</v>
      </c>
      <c r="D347" s="1" t="s">
        <v>1754</v>
      </c>
      <c r="E347" s="15" t="n">
        <v>46211</v>
      </c>
      <c r="F347" s="15" t="n">
        <v>46210</v>
      </c>
      <c r="G347" s="1" t="s">
        <v>131</v>
      </c>
      <c r="H347" s="1" t="n">
        <v>1369053</v>
      </c>
      <c r="I347" s="1" t="n">
        <v>1</v>
      </c>
      <c r="J347" s="1" t="s">
        <v>1753</v>
      </c>
      <c r="K347" s="46" t="n">
        <v>636.39</v>
      </c>
      <c r="N347" s="67" t="n">
        <v>46211</v>
      </c>
      <c r="O347" s="1" t="n">
        <f aca="false">SUMIFS($K:$K,$E:$E,N347)</f>
        <v>7425.47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67</v>
      </c>
      <c r="D348" s="1" t="s">
        <v>1754</v>
      </c>
      <c r="E348" s="15" t="n">
        <v>46211</v>
      </c>
      <c r="F348" s="15" t="n">
        <v>46210</v>
      </c>
      <c r="G348" s="1" t="s">
        <v>131</v>
      </c>
      <c r="H348" s="1" t="n">
        <v>1369169</v>
      </c>
      <c r="I348" s="1" t="n">
        <v>1</v>
      </c>
      <c r="J348" s="1" t="s">
        <v>1753</v>
      </c>
      <c r="K348" s="46" t="n">
        <v>221</v>
      </c>
      <c r="N348" s="67" t="n">
        <v>46211</v>
      </c>
      <c r="O348" s="1" t="n">
        <f aca="false">SUMIFS($K:$K,$E:$E,N348)</f>
        <v>7425.47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67</v>
      </c>
      <c r="D349" s="1" t="s">
        <v>1754</v>
      </c>
      <c r="E349" s="15" t="n">
        <v>46211</v>
      </c>
      <c r="F349" s="15" t="n">
        <v>46210</v>
      </c>
      <c r="G349" s="1" t="s">
        <v>131</v>
      </c>
      <c r="H349" s="1" t="n">
        <v>1369182</v>
      </c>
      <c r="I349" s="1" t="n">
        <v>1</v>
      </c>
      <c r="J349" s="1" t="s">
        <v>1753</v>
      </c>
      <c r="K349" s="46" t="n">
        <v>221</v>
      </c>
      <c r="N349" s="67" t="n">
        <v>46211</v>
      </c>
      <c r="O349" s="1" t="n">
        <f aca="false">SUMIFS($K:$K,$E:$E,N349)</f>
        <v>7425.47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67</v>
      </c>
      <c r="D350" s="1" t="s">
        <v>1754</v>
      </c>
      <c r="E350" s="15" t="n">
        <v>46211</v>
      </c>
      <c r="F350" s="15" t="n">
        <v>46210</v>
      </c>
      <c r="G350" s="1" t="s">
        <v>131</v>
      </c>
      <c r="H350" s="1" t="n">
        <v>1369069</v>
      </c>
      <c r="I350" s="1" t="n">
        <v>1</v>
      </c>
      <c r="J350" s="1" t="s">
        <v>1753</v>
      </c>
      <c r="K350" s="46" t="n">
        <v>76.19</v>
      </c>
      <c r="N350" s="67" t="n">
        <v>46211</v>
      </c>
      <c r="O350" s="1" t="n">
        <f aca="false">SUMIFS($K:$K,$E:$E,N350)</f>
        <v>7425.47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1755</v>
      </c>
      <c r="D351" s="1" t="s">
        <v>1756</v>
      </c>
      <c r="E351" s="15" t="n">
        <v>46211</v>
      </c>
      <c r="F351" s="15" t="n">
        <v>46211</v>
      </c>
      <c r="G351" s="1" t="s">
        <v>416</v>
      </c>
      <c r="H351" s="1" t="n">
        <v>1370616</v>
      </c>
      <c r="I351" s="1" t="n">
        <v>1</v>
      </c>
      <c r="J351" s="1" t="s">
        <v>1753</v>
      </c>
      <c r="K351" s="46" t="n">
        <v>129.5</v>
      </c>
      <c r="N351" s="67" t="n">
        <v>46211</v>
      </c>
      <c r="O351" s="1" t="n">
        <f aca="false">SUMIFS($K:$K,$E:$E,N351)</f>
        <v>7425.47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36</v>
      </c>
      <c r="D352" s="1" t="s">
        <v>1863</v>
      </c>
      <c r="E352" s="15" t="n">
        <v>46211</v>
      </c>
      <c r="F352" s="15" t="n">
        <v>46209</v>
      </c>
      <c r="G352" s="1" t="s">
        <v>820</v>
      </c>
      <c r="H352" s="1" t="n">
        <v>1369398</v>
      </c>
      <c r="I352" s="1" t="n">
        <v>1</v>
      </c>
      <c r="J352" s="1" t="s">
        <v>1753</v>
      </c>
      <c r="K352" s="46" t="n">
        <v>164.5</v>
      </c>
      <c r="N352" s="67" t="n">
        <v>46211</v>
      </c>
      <c r="O352" s="1" t="n">
        <f aca="false">SUMIFS($K:$K,$E:$E,N352)</f>
        <v>7425.47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36</v>
      </c>
      <c r="D353" s="1" t="s">
        <v>1766</v>
      </c>
      <c r="E353" s="15" t="n">
        <v>46211</v>
      </c>
      <c r="F353" s="15" t="n">
        <v>46211</v>
      </c>
      <c r="G353" s="1" t="s">
        <v>146</v>
      </c>
      <c r="H353" s="1" t="n">
        <v>1369655</v>
      </c>
      <c r="I353" s="1" t="n">
        <v>6</v>
      </c>
      <c r="J353" s="1" t="s">
        <v>1753</v>
      </c>
      <c r="K353" s="46" t="n">
        <v>1046</v>
      </c>
      <c r="N353" s="67" t="n">
        <v>46211</v>
      </c>
      <c r="O353" s="1" t="n">
        <f aca="false">SUMIFS($K:$K,$E:$E,N353)</f>
        <v>7425.47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36</v>
      </c>
      <c r="D354" s="1" t="s">
        <v>1766</v>
      </c>
      <c r="E354" s="15" t="n">
        <v>46211</v>
      </c>
      <c r="F354" s="15" t="n">
        <v>46211</v>
      </c>
      <c r="G354" s="1" t="s">
        <v>146</v>
      </c>
      <c r="H354" s="1" t="n">
        <v>1370406</v>
      </c>
      <c r="I354" s="1" t="n">
        <v>6</v>
      </c>
      <c r="J354" s="1" t="s">
        <v>1753</v>
      </c>
      <c r="K354" s="46" t="n">
        <v>560</v>
      </c>
      <c r="N354" s="67" t="n">
        <v>46211</v>
      </c>
      <c r="O354" s="1" t="n">
        <f aca="false">SUMIFS($K:$K,$E:$E,N354)</f>
        <v>7425.47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1758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1753</v>
      </c>
      <c r="K355" s="46" t="n">
        <v>259.75</v>
      </c>
      <c r="N355" s="67" t="n">
        <v>46211</v>
      </c>
      <c r="O355" s="1" t="n">
        <f aca="false">SUMIFS($K:$K,$E:$E,N355)</f>
        <v>7425.47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36</v>
      </c>
      <c r="D356" s="1" t="s">
        <v>1759</v>
      </c>
      <c r="E356" s="15" t="n">
        <v>46211</v>
      </c>
      <c r="F356" s="15" t="n">
        <v>46211</v>
      </c>
      <c r="G356" s="1" t="s">
        <v>205</v>
      </c>
      <c r="H356" s="1" t="n">
        <v>1370597</v>
      </c>
      <c r="I356" s="1" t="n">
        <v>1</v>
      </c>
      <c r="J356" s="1" t="s">
        <v>1753</v>
      </c>
      <c r="K356" s="46" t="n">
        <v>505.5</v>
      </c>
      <c r="N356" s="67" t="n">
        <v>46211</v>
      </c>
      <c r="O356" s="1" t="n">
        <f aca="false">SUMIFS($K:$K,$E:$E,N356)</f>
        <v>7425.47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36</v>
      </c>
      <c r="D357" s="1" t="s">
        <v>1771</v>
      </c>
      <c r="E357" s="15" t="n">
        <v>46211</v>
      </c>
      <c r="F357" s="15" t="n">
        <v>46210</v>
      </c>
      <c r="G357" s="1" t="s">
        <v>142</v>
      </c>
      <c r="H357" s="1" t="n">
        <v>1370823</v>
      </c>
      <c r="I357" s="1" t="n">
        <v>1</v>
      </c>
      <c r="J357" s="1" t="s">
        <v>1753</v>
      </c>
      <c r="K357" s="46" t="n">
        <v>1411.05</v>
      </c>
      <c r="N357" s="67" t="n">
        <v>46211</v>
      </c>
      <c r="O357" s="1" t="n">
        <f aca="false">SUMIFS($K:$K,$E:$E,N357)</f>
        <v>7425.47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36</v>
      </c>
      <c r="D358" s="1" t="s">
        <v>1762</v>
      </c>
      <c r="E358" s="15" t="n">
        <v>46212</v>
      </c>
      <c r="F358" s="15" t="n">
        <v>46211</v>
      </c>
      <c r="G358" s="1" t="s">
        <v>243</v>
      </c>
      <c r="H358" s="1" t="n">
        <v>1373839</v>
      </c>
      <c r="I358" s="1" t="n">
        <v>1</v>
      </c>
      <c r="J358" s="1" t="s">
        <v>1753</v>
      </c>
      <c r="K358" s="46" t="n">
        <v>915</v>
      </c>
      <c r="N358" s="67" t="n">
        <v>46212</v>
      </c>
      <c r="O358" s="1" t="n">
        <f aca="false">SUMIFS($K:$K,$E:$E,N358)</f>
        <v>12480.5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49</v>
      </c>
      <c r="D359" s="1" t="s">
        <v>1754</v>
      </c>
      <c r="E359" s="15" t="n">
        <v>46212</v>
      </c>
      <c r="F359" s="15" t="n">
        <v>46211</v>
      </c>
      <c r="G359" s="1" t="s">
        <v>131</v>
      </c>
      <c r="H359" s="1" t="n">
        <v>1374785</v>
      </c>
      <c r="I359" s="1" t="n">
        <v>11</v>
      </c>
      <c r="J359" s="1" t="s">
        <v>1753</v>
      </c>
      <c r="K359" s="46" t="n">
        <v>335</v>
      </c>
      <c r="N359" s="67" t="n">
        <v>46212</v>
      </c>
      <c r="O359" s="1" t="n">
        <f aca="false">SUMIFS($K:$K,$E:$E,N359)</f>
        <v>12480.5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49</v>
      </c>
      <c r="D360" s="1" t="s">
        <v>1754</v>
      </c>
      <c r="E360" s="15" t="n">
        <v>46212</v>
      </c>
      <c r="F360" s="15" t="n">
        <v>46211</v>
      </c>
      <c r="G360" s="1" t="s">
        <v>131</v>
      </c>
      <c r="H360" s="1" t="n">
        <v>1374769</v>
      </c>
      <c r="I360" s="1" t="n">
        <v>1</v>
      </c>
      <c r="J360" s="1" t="s">
        <v>1753</v>
      </c>
      <c r="K360" s="46" t="n">
        <v>659.34</v>
      </c>
      <c r="N360" s="67" t="n">
        <v>46212</v>
      </c>
      <c r="O360" s="1" t="n">
        <f aca="false">SUMIFS($K:$K,$E:$E,N360)</f>
        <v>12480.5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67</v>
      </c>
      <c r="D361" s="1" t="s">
        <v>1754</v>
      </c>
      <c r="E361" s="15" t="n">
        <v>46212</v>
      </c>
      <c r="F361" s="15" t="n">
        <v>46211</v>
      </c>
      <c r="G361" s="1" t="s">
        <v>131</v>
      </c>
      <c r="H361" s="1" t="n">
        <v>1374773</v>
      </c>
      <c r="I361" s="1" t="n">
        <v>1</v>
      </c>
      <c r="J361" s="1" t="s">
        <v>1753</v>
      </c>
      <c r="K361" s="46" t="n">
        <v>190.48</v>
      </c>
      <c r="N361" s="67" t="n">
        <v>46212</v>
      </c>
      <c r="O361" s="1" t="n">
        <f aca="false">SUMIFS($K:$K,$E:$E,N361)</f>
        <v>12480.5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36</v>
      </c>
      <c r="D362" s="1" t="s">
        <v>1796</v>
      </c>
      <c r="E362" s="15" t="n">
        <v>46212</v>
      </c>
      <c r="F362" s="15" t="n">
        <v>46211</v>
      </c>
      <c r="G362" s="1" t="s">
        <v>192</v>
      </c>
      <c r="H362" s="1" t="n">
        <v>1373725</v>
      </c>
      <c r="I362" s="1" t="n">
        <v>1</v>
      </c>
      <c r="J362" s="1" t="s">
        <v>1753</v>
      </c>
      <c r="K362" s="46" t="n">
        <v>426.95</v>
      </c>
      <c r="N362" s="67" t="n">
        <v>46212</v>
      </c>
      <c r="O362" s="1" t="n">
        <f aca="false">SUMIFS($K:$K,$E:$E,N362)</f>
        <v>12480.5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36</v>
      </c>
      <c r="D363" s="1" t="s">
        <v>1786</v>
      </c>
      <c r="E363" s="15" t="n">
        <v>46212</v>
      </c>
      <c r="F363" s="15" t="n">
        <v>46212</v>
      </c>
      <c r="G363" s="1" t="s">
        <v>222</v>
      </c>
      <c r="H363" s="1" t="n">
        <v>1374907</v>
      </c>
      <c r="I363" s="1" t="n">
        <v>1</v>
      </c>
      <c r="J363" s="1" t="s">
        <v>1753</v>
      </c>
      <c r="K363" s="46" t="n">
        <v>1527.75</v>
      </c>
      <c r="N363" s="67" t="n">
        <v>46212</v>
      </c>
      <c r="O363" s="1" t="n">
        <f aca="false">SUMIFS($K:$K,$E:$E,N363)</f>
        <v>12480.5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36</v>
      </c>
      <c r="D364" s="1" t="s">
        <v>1764</v>
      </c>
      <c r="E364" s="15" t="n">
        <v>46212</v>
      </c>
      <c r="F364" s="15" t="n">
        <v>46211</v>
      </c>
      <c r="G364" s="1" t="s">
        <v>224</v>
      </c>
      <c r="H364" s="1" t="n">
        <v>1373707</v>
      </c>
      <c r="I364" s="1" t="n">
        <v>1</v>
      </c>
      <c r="J364" s="1" t="s">
        <v>1753</v>
      </c>
      <c r="K364" s="46" t="n">
        <v>197.37</v>
      </c>
      <c r="N364" s="67" t="n">
        <v>46212</v>
      </c>
      <c r="O364" s="1" t="n">
        <f aca="false">SUMIFS($K:$K,$E:$E,N364)</f>
        <v>12480.5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36</v>
      </c>
      <c r="D365" s="1" t="s">
        <v>1864</v>
      </c>
      <c r="E365" s="15" t="n">
        <v>46212</v>
      </c>
      <c r="F365" s="15" t="n">
        <v>46212</v>
      </c>
      <c r="G365" s="1" t="s">
        <v>90</v>
      </c>
      <c r="H365" s="1" t="n">
        <v>1374249</v>
      </c>
      <c r="I365" s="1" t="n">
        <v>1</v>
      </c>
      <c r="J365" s="1" t="s">
        <v>1753</v>
      </c>
      <c r="K365" s="46" t="n">
        <v>1132.37</v>
      </c>
      <c r="N365" s="67" t="n">
        <v>46212</v>
      </c>
      <c r="O365" s="1" t="n">
        <f aca="false">SUMIFS($K:$K,$E:$E,N365)</f>
        <v>12480.5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36</v>
      </c>
      <c r="D366" s="1" t="s">
        <v>1864</v>
      </c>
      <c r="E366" s="15" t="n">
        <v>46212</v>
      </c>
      <c r="F366" s="15" t="n">
        <v>46212</v>
      </c>
      <c r="G366" s="1" t="s">
        <v>90</v>
      </c>
      <c r="H366" s="1" t="n">
        <v>1374035</v>
      </c>
      <c r="I366" s="1" t="n">
        <v>1</v>
      </c>
      <c r="J366" s="1" t="s">
        <v>1753</v>
      </c>
      <c r="K366" s="46" t="n">
        <v>1975.81</v>
      </c>
      <c r="N366" s="67" t="n">
        <v>46212</v>
      </c>
      <c r="O366" s="1" t="n">
        <f aca="false">SUMIFS($K:$K,$E:$E,N366)</f>
        <v>12480.5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36</v>
      </c>
      <c r="D367" s="1" t="s">
        <v>1806</v>
      </c>
      <c r="E367" s="15" t="n">
        <v>46212</v>
      </c>
      <c r="F367" s="15" t="n">
        <v>46211</v>
      </c>
      <c r="G367" s="1" t="s">
        <v>477</v>
      </c>
      <c r="H367" s="1" t="n">
        <v>1373506</v>
      </c>
      <c r="I367" s="1" t="n">
        <v>1</v>
      </c>
      <c r="J367" s="1" t="s">
        <v>1753</v>
      </c>
      <c r="K367" s="46" t="n">
        <v>316.08</v>
      </c>
      <c r="N367" s="67" t="n">
        <v>46212</v>
      </c>
      <c r="O367" s="1" t="n">
        <f aca="false">SUMIFS($K:$K,$E:$E,N367)</f>
        <v>12480.5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36</v>
      </c>
      <c r="D368" s="1" t="s">
        <v>1770</v>
      </c>
      <c r="E368" s="15" t="n">
        <v>46212</v>
      </c>
      <c r="F368" s="15" t="n">
        <v>46211</v>
      </c>
      <c r="G368" s="1" t="s">
        <v>140</v>
      </c>
      <c r="H368" s="1" t="n">
        <v>1374667</v>
      </c>
      <c r="I368" s="1" t="n">
        <v>1</v>
      </c>
      <c r="J368" s="1" t="s">
        <v>1753</v>
      </c>
      <c r="K368" s="46" t="n">
        <v>329</v>
      </c>
      <c r="N368" s="67" t="n">
        <v>46212</v>
      </c>
      <c r="O368" s="1" t="n">
        <f aca="false">SUMIFS($K:$K,$E:$E,N368)</f>
        <v>12480.5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36</v>
      </c>
      <c r="D369" s="1" t="s">
        <v>1766</v>
      </c>
      <c r="E369" s="15" t="n">
        <v>46212</v>
      </c>
      <c r="F369" s="15" t="n">
        <v>46212</v>
      </c>
      <c r="G369" s="1" t="s">
        <v>146</v>
      </c>
      <c r="H369" s="1" t="n">
        <v>1373788</v>
      </c>
      <c r="I369" s="1" t="n">
        <v>6</v>
      </c>
      <c r="J369" s="1" t="s">
        <v>1753</v>
      </c>
      <c r="K369" s="46" t="n">
        <v>290</v>
      </c>
      <c r="N369" s="67" t="n">
        <v>46212</v>
      </c>
      <c r="O369" s="1" t="n">
        <f aca="false">SUMIFS($K:$K,$E:$E,N369)</f>
        <v>12480.5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36</v>
      </c>
      <c r="D370" s="1" t="s">
        <v>1766</v>
      </c>
      <c r="E370" s="15" t="n">
        <v>46212</v>
      </c>
      <c r="F370" s="15" t="n">
        <v>46212</v>
      </c>
      <c r="G370" s="1" t="s">
        <v>146</v>
      </c>
      <c r="H370" s="1" t="n">
        <v>1374877</v>
      </c>
      <c r="I370" s="1" t="n">
        <v>6</v>
      </c>
      <c r="J370" s="1" t="s">
        <v>1753</v>
      </c>
      <c r="K370" s="46" t="n">
        <v>210</v>
      </c>
      <c r="N370" s="67" t="n">
        <v>46212</v>
      </c>
      <c r="O370" s="1" t="n">
        <f aca="false">SUMIFS($K:$K,$E:$E,N370)</f>
        <v>12480.5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36</v>
      </c>
      <c r="D371" s="1" t="s">
        <v>1798</v>
      </c>
      <c r="E371" s="15" t="n">
        <v>46212</v>
      </c>
      <c r="F371" s="15" t="n">
        <v>46212</v>
      </c>
      <c r="G371" s="1" t="s">
        <v>462</v>
      </c>
      <c r="H371" s="1" t="n">
        <v>1374749</v>
      </c>
      <c r="I371" s="1" t="n">
        <v>1</v>
      </c>
      <c r="J371" s="1" t="s">
        <v>1753</v>
      </c>
      <c r="K371" s="46" t="n">
        <v>335.35</v>
      </c>
      <c r="N371" s="67" t="n">
        <v>46212</v>
      </c>
      <c r="O371" s="1" t="n">
        <f aca="false">SUMIFS($K:$K,$E:$E,N371)</f>
        <v>12480.5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36</v>
      </c>
      <c r="D372" s="1" t="s">
        <v>1771</v>
      </c>
      <c r="E372" s="15" t="n">
        <v>46212</v>
      </c>
      <c r="F372" s="15" t="n">
        <v>46212</v>
      </c>
      <c r="G372" s="1" t="s">
        <v>142</v>
      </c>
      <c r="H372" s="1" t="n">
        <v>1375062</v>
      </c>
      <c r="I372" s="1" t="n">
        <v>1</v>
      </c>
      <c r="J372" s="1" t="s">
        <v>1753</v>
      </c>
      <c r="K372" s="46" t="n">
        <v>3640</v>
      </c>
      <c r="N372" s="67" t="n">
        <v>46212</v>
      </c>
      <c r="O372" s="1" t="n">
        <f aca="false">SUMIFS($K:$K,$E:$E,N372)</f>
        <v>12480.5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36</v>
      </c>
      <c r="D373" s="1" t="s">
        <v>1783</v>
      </c>
      <c r="E373" s="15" t="n">
        <v>46213</v>
      </c>
      <c r="F373" s="15" t="n">
        <v>46213</v>
      </c>
      <c r="G373" s="1" t="s">
        <v>1784</v>
      </c>
      <c r="H373" s="1" t="n">
        <v>1377076</v>
      </c>
      <c r="I373" s="1" t="n">
        <v>1</v>
      </c>
      <c r="J373" s="1" t="s">
        <v>1753</v>
      </c>
      <c r="K373" s="46" t="n">
        <v>225</v>
      </c>
      <c r="N373" s="67" t="n">
        <v>46213</v>
      </c>
      <c r="O373" s="1" t="n">
        <f aca="false">SUMIFS($K:$K,$E:$E,N373)</f>
        <v>12593.31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36</v>
      </c>
      <c r="D374" s="1" t="s">
        <v>1865</v>
      </c>
      <c r="E374" s="15" t="n">
        <v>46213</v>
      </c>
      <c r="F374" s="15" t="n">
        <v>46213</v>
      </c>
      <c r="G374" s="1" t="s">
        <v>916</v>
      </c>
      <c r="H374" s="1" t="n">
        <v>1377153</v>
      </c>
      <c r="I374" s="1" t="n">
        <v>1</v>
      </c>
      <c r="J374" s="1" t="s">
        <v>1753</v>
      </c>
      <c r="K374" s="46" t="n">
        <v>432</v>
      </c>
      <c r="N374" s="67" t="n">
        <v>46213</v>
      </c>
      <c r="O374" s="1" t="n">
        <f aca="false">SUMIFS($K:$K,$E:$E,N374)</f>
        <v>12593.31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36</v>
      </c>
      <c r="D375" s="1" t="s">
        <v>1762</v>
      </c>
      <c r="E375" s="15" t="n">
        <v>46213</v>
      </c>
      <c r="F375" s="15" t="n">
        <v>46212</v>
      </c>
      <c r="G375" s="1" t="s">
        <v>243</v>
      </c>
      <c r="H375" s="1" t="n">
        <v>1377315</v>
      </c>
      <c r="I375" s="1" t="n">
        <v>1</v>
      </c>
      <c r="J375" s="1" t="s">
        <v>1753</v>
      </c>
      <c r="K375" s="46" t="n">
        <v>1171.37</v>
      </c>
      <c r="N375" s="67" t="n">
        <v>46213</v>
      </c>
      <c r="O375" s="1" t="n">
        <f aca="false">SUMIFS($K:$K,$E:$E,N375)</f>
        <v>12593.31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36</v>
      </c>
      <c r="D376" s="1" t="s">
        <v>1802</v>
      </c>
      <c r="E376" s="15" t="n">
        <v>46213</v>
      </c>
      <c r="F376" s="15" t="n">
        <v>46213</v>
      </c>
      <c r="G376" s="1" t="s">
        <v>107</v>
      </c>
      <c r="H376" s="1" t="n">
        <v>1376659</v>
      </c>
      <c r="I376" s="1" t="n">
        <v>1</v>
      </c>
      <c r="J376" s="1" t="s">
        <v>1753</v>
      </c>
      <c r="K376" s="46" t="n">
        <v>2050.13</v>
      </c>
      <c r="N376" s="67" t="n">
        <v>46213</v>
      </c>
      <c r="O376" s="1" t="n">
        <f aca="false">SUMIFS($K:$K,$E:$E,N376)</f>
        <v>12593.31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36</v>
      </c>
      <c r="D377" s="1" t="s">
        <v>1763</v>
      </c>
      <c r="E377" s="15" t="n">
        <v>46213</v>
      </c>
      <c r="F377" s="15" t="n">
        <v>46212</v>
      </c>
      <c r="G377" s="1" t="s">
        <v>233</v>
      </c>
      <c r="H377" s="1" t="n">
        <v>1376676</v>
      </c>
      <c r="I377" s="1" t="n">
        <v>1</v>
      </c>
      <c r="J377" s="1" t="s">
        <v>1753</v>
      </c>
      <c r="K377" s="46" t="n">
        <v>250.08</v>
      </c>
      <c r="N377" s="67" t="n">
        <v>46213</v>
      </c>
      <c r="O377" s="1" t="n">
        <f aca="false">SUMIFS($K:$K,$E:$E,N377)</f>
        <v>12593.31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36</v>
      </c>
      <c r="D378" s="1" t="s">
        <v>1866</v>
      </c>
      <c r="E378" s="15" t="n">
        <v>46213</v>
      </c>
      <c r="F378" s="15" t="n">
        <v>46209</v>
      </c>
      <c r="G378" s="1" t="s">
        <v>347</v>
      </c>
      <c r="H378" s="1" t="n">
        <v>1377084</v>
      </c>
      <c r="I378" s="1" t="n">
        <v>1</v>
      </c>
      <c r="J378" s="1" t="s">
        <v>1753</v>
      </c>
      <c r="K378" s="46" t="n">
        <v>435</v>
      </c>
      <c r="N378" s="67" t="n">
        <v>46213</v>
      </c>
      <c r="O378" s="1" t="n">
        <f aca="false">SUMIFS($K:$K,$E:$E,N378)</f>
        <v>12593.31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1811</v>
      </c>
      <c r="D379" s="1" t="s">
        <v>1812</v>
      </c>
      <c r="E379" s="15" t="n">
        <v>46213</v>
      </c>
      <c r="F379" s="15" t="n">
        <v>46212</v>
      </c>
      <c r="G379" s="1" t="s">
        <v>235</v>
      </c>
      <c r="H379" s="1" t="n">
        <v>1377254</v>
      </c>
      <c r="I379" s="1" t="n">
        <v>1</v>
      </c>
      <c r="J379" s="1" t="s">
        <v>1753</v>
      </c>
      <c r="K379" s="46" t="n">
        <v>660.18</v>
      </c>
      <c r="N379" s="67" t="n">
        <v>46213</v>
      </c>
      <c r="O379" s="1" t="n">
        <f aca="false">SUMIFS($K:$K,$E:$E,N379)</f>
        <v>12593.31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36</v>
      </c>
      <c r="D380" s="1" t="s">
        <v>1804</v>
      </c>
      <c r="E380" s="15" t="n">
        <v>46213</v>
      </c>
      <c r="F380" s="15" t="n">
        <v>46211</v>
      </c>
      <c r="G380" s="1" t="s">
        <v>96</v>
      </c>
      <c r="H380" s="1" t="n">
        <v>1376812</v>
      </c>
      <c r="I380" s="1" t="n">
        <v>1</v>
      </c>
      <c r="J380" s="1" t="s">
        <v>1753</v>
      </c>
      <c r="K380" s="46" t="n">
        <v>638.53</v>
      </c>
      <c r="N380" s="67" t="n">
        <v>46213</v>
      </c>
      <c r="O380" s="1" t="n">
        <f aca="false">SUMIFS($K:$K,$E:$E,N380)</f>
        <v>12593.31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36</v>
      </c>
      <c r="D381" s="1" t="s">
        <v>1775</v>
      </c>
      <c r="E381" s="15" t="n">
        <v>46213</v>
      </c>
      <c r="F381" s="15" t="n">
        <v>46213</v>
      </c>
      <c r="G381" s="1" t="s">
        <v>1776</v>
      </c>
      <c r="H381" s="1" t="n">
        <v>1376630</v>
      </c>
      <c r="I381" s="1" t="n">
        <v>1</v>
      </c>
      <c r="J381" s="1" t="s">
        <v>1753</v>
      </c>
      <c r="K381" s="46" t="n">
        <v>519.65</v>
      </c>
      <c r="N381" s="67" t="n">
        <v>46213</v>
      </c>
      <c r="O381" s="1" t="n">
        <f aca="false">SUMIFS($K:$K,$E:$E,N381)</f>
        <v>12593.31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36</v>
      </c>
      <c r="D382" s="1" t="s">
        <v>1867</v>
      </c>
      <c r="E382" s="15" t="n">
        <v>46213</v>
      </c>
      <c r="F382" s="15" t="n">
        <v>46213</v>
      </c>
      <c r="G382" s="1" t="s">
        <v>925</v>
      </c>
      <c r="H382" s="1" t="n">
        <v>1377247</v>
      </c>
      <c r="I382" s="1" t="n">
        <v>1</v>
      </c>
      <c r="J382" s="1" t="s">
        <v>1753</v>
      </c>
      <c r="K382" s="46" t="n">
        <v>150</v>
      </c>
      <c r="N382" s="67" t="n">
        <v>46213</v>
      </c>
      <c r="O382" s="1" t="n">
        <f aca="false">SUMIFS($K:$K,$E:$E,N382)</f>
        <v>12593.31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36</v>
      </c>
      <c r="D383" s="1" t="s">
        <v>1766</v>
      </c>
      <c r="E383" s="15" t="n">
        <v>46213</v>
      </c>
      <c r="F383" s="15" t="n">
        <v>46213</v>
      </c>
      <c r="G383" s="1" t="s">
        <v>146</v>
      </c>
      <c r="H383" s="1" t="n">
        <v>1377467</v>
      </c>
      <c r="I383" s="1" t="n">
        <v>6</v>
      </c>
      <c r="J383" s="1" t="s">
        <v>1753</v>
      </c>
      <c r="K383" s="46" t="n">
        <v>1838.6</v>
      </c>
      <c r="N383" s="67" t="n">
        <v>46213</v>
      </c>
      <c r="O383" s="1" t="n">
        <f aca="false">SUMIFS($K:$K,$E:$E,N383)</f>
        <v>12593.31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76</v>
      </c>
      <c r="D384" s="1" t="s">
        <v>1831</v>
      </c>
      <c r="E384" s="15" t="n">
        <v>46213</v>
      </c>
      <c r="F384" s="15" t="n">
        <v>46211</v>
      </c>
      <c r="G384" s="1" t="s">
        <v>227</v>
      </c>
      <c r="H384" s="1" t="n">
        <v>1376909</v>
      </c>
      <c r="I384" s="1" t="n">
        <v>1</v>
      </c>
      <c r="J384" s="1" t="s">
        <v>1753</v>
      </c>
      <c r="K384" s="46" t="n">
        <v>2047.9</v>
      </c>
      <c r="N384" s="67" t="n">
        <v>46213</v>
      </c>
      <c r="O384" s="1" t="n">
        <f aca="false">SUMIFS($K:$K,$E:$E,N384)</f>
        <v>12593.31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61</v>
      </c>
      <c r="D385" s="1" t="s">
        <v>1799</v>
      </c>
      <c r="E385" s="15" t="n">
        <v>46213</v>
      </c>
      <c r="F385" s="15" t="n">
        <v>46211</v>
      </c>
      <c r="G385" s="1" t="s">
        <v>464</v>
      </c>
      <c r="H385" s="1" t="n">
        <v>1376782</v>
      </c>
      <c r="I385" s="1" t="n">
        <v>1</v>
      </c>
      <c r="J385" s="1" t="s">
        <v>1753</v>
      </c>
      <c r="K385" s="46" t="n">
        <v>280</v>
      </c>
      <c r="N385" s="67" t="n">
        <v>46213</v>
      </c>
      <c r="O385" s="1" t="n">
        <f aca="false">SUMIFS($K:$K,$E:$E,N385)</f>
        <v>12593.31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36</v>
      </c>
      <c r="D386" s="1" t="s">
        <v>1827</v>
      </c>
      <c r="E386" s="15" t="n">
        <v>46213</v>
      </c>
      <c r="F386" s="15" t="n">
        <v>46211</v>
      </c>
      <c r="G386" s="1" t="s">
        <v>269</v>
      </c>
      <c r="H386" s="1" t="n">
        <v>1377397</v>
      </c>
      <c r="I386" s="1" t="n">
        <v>1</v>
      </c>
      <c r="J386" s="1" t="s">
        <v>1753</v>
      </c>
      <c r="K386" s="46" t="n">
        <v>1123.86</v>
      </c>
      <c r="N386" s="67" t="n">
        <v>46213</v>
      </c>
      <c r="O386" s="1" t="n">
        <f aca="false">SUMIFS($K:$K,$E:$E,N386)</f>
        <v>12593.31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36</v>
      </c>
      <c r="D387" s="1" t="s">
        <v>1800</v>
      </c>
      <c r="E387" s="15" t="n">
        <v>46213</v>
      </c>
      <c r="F387" s="15" t="n">
        <v>46212</v>
      </c>
      <c r="G387" s="1" t="s">
        <v>553</v>
      </c>
      <c r="H387" s="1" t="n">
        <v>1377204</v>
      </c>
      <c r="I387" s="1" t="n">
        <v>1</v>
      </c>
      <c r="J387" s="1" t="s">
        <v>1753</v>
      </c>
      <c r="K387" s="46" t="n">
        <v>771.01</v>
      </c>
      <c r="N387" s="67" t="n">
        <v>46213</v>
      </c>
      <c r="O387" s="1" t="n">
        <f aca="false">SUMIFS($K:$K,$E:$E,N387)</f>
        <v>12593.31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36</v>
      </c>
      <c r="D388" s="1" t="s">
        <v>1761</v>
      </c>
      <c r="E388" s="15" t="n">
        <v>46214</v>
      </c>
      <c r="F388" s="15" t="n">
        <v>46213</v>
      </c>
      <c r="G388" s="1" t="s">
        <v>144</v>
      </c>
      <c r="H388" s="1" t="n">
        <v>1381699</v>
      </c>
      <c r="I388" s="1" t="n">
        <v>1</v>
      </c>
      <c r="J388" s="1" t="s">
        <v>1753</v>
      </c>
      <c r="K388" s="46" t="n">
        <v>180</v>
      </c>
      <c r="N388" s="67" t="n">
        <v>46214</v>
      </c>
      <c r="O388" s="1" t="n">
        <f aca="false">SUMIFS($K:$K,$E:$E,N388)</f>
        <v>11424.86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1755</v>
      </c>
      <c r="D389" s="1" t="s">
        <v>1756</v>
      </c>
      <c r="E389" s="15" t="n">
        <v>46214</v>
      </c>
      <c r="F389" s="15" t="n">
        <v>46213</v>
      </c>
      <c r="G389" s="1" t="s">
        <v>416</v>
      </c>
      <c r="H389" s="1" t="n">
        <v>1381841</v>
      </c>
      <c r="I389" s="1" t="n">
        <v>1</v>
      </c>
      <c r="J389" s="1" t="s">
        <v>1753</v>
      </c>
      <c r="K389" s="46" t="n">
        <v>61.5</v>
      </c>
      <c r="N389" s="67" t="n">
        <v>46214</v>
      </c>
      <c r="O389" s="1" t="n">
        <f aca="false">SUMIFS($K:$K,$E:$E,N389)</f>
        <v>11424.86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36</v>
      </c>
      <c r="D390" s="1" t="s">
        <v>1868</v>
      </c>
      <c r="E390" s="15" t="n">
        <v>46214</v>
      </c>
      <c r="F390" s="15" t="n">
        <v>46213</v>
      </c>
      <c r="G390" s="1" t="s">
        <v>1089</v>
      </c>
      <c r="H390" s="1" t="n">
        <v>1381742</v>
      </c>
      <c r="I390" s="1" t="n">
        <v>39</v>
      </c>
      <c r="J390" s="1" t="s">
        <v>1753</v>
      </c>
      <c r="K390" s="46" t="n">
        <v>215</v>
      </c>
      <c r="N390" s="67" t="n">
        <v>46214</v>
      </c>
      <c r="O390" s="1" t="n">
        <f aca="false">SUMIFS($K:$K,$E:$E,N390)</f>
        <v>11424.86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36</v>
      </c>
      <c r="D391" s="1" t="s">
        <v>1805</v>
      </c>
      <c r="E391" s="15" t="n">
        <v>46214</v>
      </c>
      <c r="F391" s="15" t="n">
        <v>46209</v>
      </c>
      <c r="G391" s="1" t="s">
        <v>428</v>
      </c>
      <c r="H391" s="1" t="n">
        <v>1381906</v>
      </c>
      <c r="I391" s="1" t="n">
        <v>1</v>
      </c>
      <c r="J391" s="1" t="s">
        <v>1753</v>
      </c>
      <c r="K391" s="46" t="n">
        <v>1515.53</v>
      </c>
      <c r="N391" s="67" t="n">
        <v>46214</v>
      </c>
      <c r="O391" s="1" t="n">
        <f aca="false">SUMIFS($K:$K,$E:$E,N391)</f>
        <v>11424.86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88</v>
      </c>
      <c r="D392" s="1" t="s">
        <v>1758</v>
      </c>
      <c r="E392" s="15" t="n">
        <v>46214</v>
      </c>
      <c r="F392" s="15" t="n">
        <v>46213</v>
      </c>
      <c r="G392" s="1" t="s">
        <v>211</v>
      </c>
      <c r="H392" s="1" t="n">
        <v>1381714</v>
      </c>
      <c r="I392" s="1" t="n">
        <v>1</v>
      </c>
      <c r="J392" s="1" t="s">
        <v>1753</v>
      </c>
      <c r="K392" s="46" t="n">
        <v>307.11</v>
      </c>
      <c r="N392" s="67" t="n">
        <v>46214</v>
      </c>
      <c r="O392" s="1" t="n">
        <f aca="false">SUMIFS($K:$K,$E:$E,N392)</f>
        <v>11424.86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1792</v>
      </c>
      <c r="D393" s="1" t="s">
        <v>1793</v>
      </c>
      <c r="E393" s="15" t="n">
        <v>46214</v>
      </c>
      <c r="F393" s="15" t="n">
        <v>46211</v>
      </c>
      <c r="G393" s="1" t="s">
        <v>229</v>
      </c>
      <c r="H393" s="1" t="n">
        <v>1381638</v>
      </c>
      <c r="I393" s="1" t="n">
        <v>1</v>
      </c>
      <c r="J393" s="1" t="s">
        <v>1753</v>
      </c>
      <c r="K393" s="46" t="n">
        <v>9145.72</v>
      </c>
      <c r="N393" s="67" t="n">
        <v>46214</v>
      </c>
      <c r="O393" s="1" t="n">
        <f aca="false">SUMIFS($K:$K,$E:$E,N393)</f>
        <v>11424.86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49</v>
      </c>
      <c r="D394" s="1" t="s">
        <v>1754</v>
      </c>
      <c r="E394" s="15" t="n">
        <v>46216</v>
      </c>
      <c r="F394" s="15" t="n">
        <v>46213</v>
      </c>
      <c r="G394" s="1" t="s">
        <v>131</v>
      </c>
      <c r="H394" s="1" t="n">
        <v>1394011</v>
      </c>
      <c r="I394" s="1" t="n">
        <v>1</v>
      </c>
      <c r="J394" s="1" t="s">
        <v>1753</v>
      </c>
      <c r="K394" s="46" t="n">
        <v>101.71</v>
      </c>
      <c r="N394" s="67" t="n">
        <v>46216</v>
      </c>
      <c r="O394" s="1" t="n">
        <f aca="false">SUMIFS($K:$K,$E:$E,N394)</f>
        <v>13125.05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49</v>
      </c>
      <c r="D395" s="1" t="s">
        <v>1754</v>
      </c>
      <c r="E395" s="15" t="n">
        <v>46216</v>
      </c>
      <c r="F395" s="15" t="n">
        <v>46213</v>
      </c>
      <c r="G395" s="1" t="s">
        <v>131</v>
      </c>
      <c r="H395" s="1" t="n">
        <v>1393993</v>
      </c>
      <c r="I395" s="1" t="n">
        <v>1</v>
      </c>
      <c r="J395" s="1" t="s">
        <v>1753</v>
      </c>
      <c r="K395" s="46" t="n">
        <v>203.41</v>
      </c>
      <c r="N395" s="67" t="n">
        <v>46216</v>
      </c>
      <c r="O395" s="1" t="n">
        <f aca="false">SUMIFS($K:$K,$E:$E,N395)</f>
        <v>13125.05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67</v>
      </c>
      <c r="D396" s="1" t="s">
        <v>1754</v>
      </c>
      <c r="E396" s="15" t="n">
        <v>46216</v>
      </c>
      <c r="F396" s="15" t="n">
        <v>46213</v>
      </c>
      <c r="G396" s="1" t="s">
        <v>131</v>
      </c>
      <c r="H396" s="1" t="n">
        <v>1393986</v>
      </c>
      <c r="I396" s="1" t="n">
        <v>1</v>
      </c>
      <c r="J396" s="1" t="s">
        <v>1753</v>
      </c>
      <c r="K396" s="46" t="n">
        <v>419.67</v>
      </c>
      <c r="N396" s="67" t="n">
        <v>46216</v>
      </c>
      <c r="O396" s="1" t="n">
        <f aca="false">SUMIFS($K:$K,$E:$E,N396)</f>
        <v>13125.05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36</v>
      </c>
      <c r="D397" s="1" t="s">
        <v>1797</v>
      </c>
      <c r="E397" s="15" t="n">
        <v>46216</v>
      </c>
      <c r="F397" s="15" t="n">
        <v>46212</v>
      </c>
      <c r="G397" s="1" t="s">
        <v>98</v>
      </c>
      <c r="H397" s="1" t="n">
        <v>1393134</v>
      </c>
      <c r="I397" s="1" t="n">
        <v>39</v>
      </c>
      <c r="J397" s="1" t="s">
        <v>1753</v>
      </c>
      <c r="K397" s="46" t="n">
        <v>292.39</v>
      </c>
      <c r="N397" s="67" t="n">
        <v>46216</v>
      </c>
      <c r="O397" s="1" t="n">
        <f aca="false">SUMIFS($K:$K,$E:$E,N397)</f>
        <v>13125.05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1755</v>
      </c>
      <c r="D398" s="1" t="s">
        <v>1756</v>
      </c>
      <c r="E398" s="15" t="n">
        <v>46216</v>
      </c>
      <c r="F398" s="15" t="n">
        <v>46214</v>
      </c>
      <c r="G398" s="1" t="s">
        <v>416</v>
      </c>
      <c r="H398" s="1" t="n">
        <v>1393119</v>
      </c>
      <c r="I398" s="1" t="n">
        <v>1</v>
      </c>
      <c r="J398" s="1" t="s">
        <v>1753</v>
      </c>
      <c r="K398" s="46" t="n">
        <v>174</v>
      </c>
      <c r="N398" s="67" t="n">
        <v>46216</v>
      </c>
      <c r="O398" s="1" t="n">
        <f aca="false">SUMIFS($K:$K,$E:$E,N398)</f>
        <v>13125.05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36</v>
      </c>
      <c r="D399" s="1" t="s">
        <v>1773</v>
      </c>
      <c r="E399" s="15" t="n">
        <v>46216</v>
      </c>
      <c r="F399" s="15" t="n">
        <v>46213</v>
      </c>
      <c r="G399" s="1" t="s">
        <v>96</v>
      </c>
      <c r="H399" s="1" t="n">
        <v>1393879</v>
      </c>
      <c r="I399" s="1" t="n">
        <v>1</v>
      </c>
      <c r="J399" s="1" t="s">
        <v>1753</v>
      </c>
      <c r="K399" s="46" t="n">
        <v>1096.67</v>
      </c>
      <c r="N399" s="67" t="n">
        <v>46216</v>
      </c>
      <c r="O399" s="1" t="n">
        <f aca="false">SUMIFS($K:$K,$E:$E,N399)</f>
        <v>13125.05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36</v>
      </c>
      <c r="D400" s="1" t="s">
        <v>1788</v>
      </c>
      <c r="E400" s="15" t="n">
        <v>46216</v>
      </c>
      <c r="F400" s="15" t="n">
        <v>46216</v>
      </c>
      <c r="G400" s="1" t="s">
        <v>451</v>
      </c>
      <c r="H400" s="1" t="n">
        <v>1393806</v>
      </c>
      <c r="I400" s="1" t="n">
        <v>1</v>
      </c>
      <c r="J400" s="1" t="s">
        <v>1753</v>
      </c>
      <c r="K400" s="46" t="n">
        <v>250</v>
      </c>
      <c r="N400" s="67" t="n">
        <v>46216</v>
      </c>
      <c r="O400" s="1" t="n">
        <f aca="false">SUMIFS($K:$K,$E:$E,N400)</f>
        <v>13125.05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36</v>
      </c>
      <c r="D401" s="1" t="s">
        <v>1869</v>
      </c>
      <c r="E401" s="15" t="n">
        <v>46216</v>
      </c>
      <c r="F401" s="15" t="n">
        <v>46212</v>
      </c>
      <c r="G401" s="1" t="s">
        <v>293</v>
      </c>
      <c r="H401" s="1" t="n">
        <v>1394185</v>
      </c>
      <c r="I401" s="1" t="n">
        <v>1</v>
      </c>
      <c r="J401" s="1" t="s">
        <v>1753</v>
      </c>
      <c r="K401" s="46" t="n">
        <v>4225.99</v>
      </c>
      <c r="N401" s="67" t="n">
        <v>46216</v>
      </c>
      <c r="O401" s="1" t="n">
        <f aca="false">SUMIFS($K:$K,$E:$E,N401)</f>
        <v>13125.05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36</v>
      </c>
      <c r="D402" s="1" t="s">
        <v>1766</v>
      </c>
      <c r="E402" s="15" t="n">
        <v>46216</v>
      </c>
      <c r="F402" s="15" t="n">
        <v>46216</v>
      </c>
      <c r="G402" s="1" t="s">
        <v>146</v>
      </c>
      <c r="H402" s="1" t="n">
        <v>1393775</v>
      </c>
      <c r="I402" s="1" t="n">
        <v>6</v>
      </c>
      <c r="J402" s="1" t="s">
        <v>1753</v>
      </c>
      <c r="K402" s="46" t="n">
        <v>210</v>
      </c>
      <c r="N402" s="67" t="n">
        <v>46216</v>
      </c>
      <c r="O402" s="1" t="n">
        <f aca="false">SUMIFS($K:$K,$E:$E,N402)</f>
        <v>13125.05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1758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1753</v>
      </c>
      <c r="K403" s="46" t="n">
        <v>135</v>
      </c>
      <c r="N403" s="67" t="n">
        <v>46216</v>
      </c>
      <c r="O403" s="1" t="n">
        <f aca="false">SUMIFS($K:$K,$E:$E,N403)</f>
        <v>13125.05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36</v>
      </c>
      <c r="D404" s="1" t="s">
        <v>1845</v>
      </c>
      <c r="E404" s="15" t="n">
        <v>46216</v>
      </c>
      <c r="F404" s="15" t="n">
        <v>46211</v>
      </c>
      <c r="G404" s="1" t="s">
        <v>176</v>
      </c>
      <c r="H404" s="1" t="n">
        <v>1393698</v>
      </c>
      <c r="I404" s="1" t="n">
        <v>1</v>
      </c>
      <c r="J404" s="1" t="s">
        <v>1753</v>
      </c>
      <c r="K404" s="46" t="n">
        <v>6016.21</v>
      </c>
      <c r="N404" s="67" t="n">
        <v>46216</v>
      </c>
      <c r="O404" s="1" t="n">
        <f aca="false">SUMIFS($K:$K,$E:$E,N404)</f>
        <v>13125.05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36</v>
      </c>
      <c r="D405" s="1" t="s">
        <v>1785</v>
      </c>
      <c r="E405" s="15" t="n">
        <v>46217</v>
      </c>
      <c r="F405" s="15" t="n">
        <v>46216</v>
      </c>
      <c r="G405" s="1" t="s">
        <v>400</v>
      </c>
      <c r="H405" s="1" t="n">
        <v>1398164</v>
      </c>
      <c r="I405" s="1" t="n">
        <v>11</v>
      </c>
      <c r="J405" s="1" t="s">
        <v>1753</v>
      </c>
      <c r="K405" s="46" t="n">
        <v>277.6</v>
      </c>
      <c r="N405" s="67" t="n">
        <v>46217</v>
      </c>
      <c r="O405" s="1" t="n">
        <f aca="false">SUMIFS($K:$K,$E:$E,N405)</f>
        <v>9198.35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36</v>
      </c>
      <c r="D406" s="1" t="s">
        <v>1763</v>
      </c>
      <c r="E406" s="15" t="n">
        <v>46217</v>
      </c>
      <c r="F406" s="15" t="n">
        <v>46216</v>
      </c>
      <c r="G406" s="1" t="s">
        <v>233</v>
      </c>
      <c r="H406" s="1" t="n">
        <v>1396745</v>
      </c>
      <c r="I406" s="1" t="n">
        <v>1</v>
      </c>
      <c r="J406" s="1" t="s">
        <v>1753</v>
      </c>
      <c r="K406" s="46" t="n">
        <v>261.92</v>
      </c>
      <c r="N406" s="67" t="n">
        <v>46217</v>
      </c>
      <c r="O406" s="1" t="n">
        <f aca="false">SUMIFS($K:$K,$E:$E,N406)</f>
        <v>9198.35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1755</v>
      </c>
      <c r="D407" s="1" t="s">
        <v>1756</v>
      </c>
      <c r="E407" s="15" t="n">
        <v>46217</v>
      </c>
      <c r="F407" s="15" t="n">
        <v>46216</v>
      </c>
      <c r="G407" s="1" t="s">
        <v>416</v>
      </c>
      <c r="H407" s="1" t="n">
        <v>1396761</v>
      </c>
      <c r="I407" s="1" t="n">
        <v>1</v>
      </c>
      <c r="J407" s="1" t="s">
        <v>1753</v>
      </c>
      <c r="K407" s="46" t="n">
        <v>117</v>
      </c>
      <c r="N407" s="67" t="n">
        <v>46217</v>
      </c>
      <c r="O407" s="1" t="n">
        <f aca="false">SUMIFS($K:$K,$E:$E,N407)</f>
        <v>9198.35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1864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1753</v>
      </c>
      <c r="K408" s="46" t="n">
        <v>550.37</v>
      </c>
      <c r="N408" s="67" t="n">
        <v>46217</v>
      </c>
      <c r="O408" s="1" t="n">
        <f aca="false">SUMIFS($K:$K,$E:$E,N408)</f>
        <v>9198.35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1816</v>
      </c>
      <c r="D409" s="1" t="s">
        <v>1817</v>
      </c>
      <c r="E409" s="15" t="n">
        <v>46217</v>
      </c>
      <c r="F409" s="15" t="n">
        <v>46213</v>
      </c>
      <c r="G409" s="1" t="s">
        <v>172</v>
      </c>
      <c r="H409" s="1" t="n">
        <v>1396775</v>
      </c>
      <c r="I409" s="1" t="n">
        <v>11</v>
      </c>
      <c r="J409" s="1" t="s">
        <v>1753</v>
      </c>
      <c r="K409" s="46" t="n">
        <v>423.95</v>
      </c>
      <c r="N409" s="67" t="n">
        <v>46217</v>
      </c>
      <c r="O409" s="1" t="n">
        <f aca="false">SUMIFS($K:$K,$E:$E,N409)</f>
        <v>9198.35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1816</v>
      </c>
      <c r="D410" s="1" t="s">
        <v>1817</v>
      </c>
      <c r="E410" s="15" t="n">
        <v>46217</v>
      </c>
      <c r="F410" s="15" t="n">
        <v>46213</v>
      </c>
      <c r="G410" s="1" t="s">
        <v>172</v>
      </c>
      <c r="H410" s="1" t="n">
        <v>1397141</v>
      </c>
      <c r="I410" s="1" t="n">
        <v>11</v>
      </c>
      <c r="J410" s="1" t="s">
        <v>1753</v>
      </c>
      <c r="K410" s="46" t="n">
        <v>410.89</v>
      </c>
      <c r="N410" s="67" t="n">
        <v>46217</v>
      </c>
      <c r="O410" s="1" t="n">
        <f aca="false">SUMIFS($K:$K,$E:$E,N410)</f>
        <v>9198.35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36</v>
      </c>
      <c r="D411" s="1" t="s">
        <v>1757</v>
      </c>
      <c r="E411" s="15" t="n">
        <v>46217</v>
      </c>
      <c r="F411" s="15" t="n">
        <v>46214</v>
      </c>
      <c r="G411" s="1" t="s">
        <v>272</v>
      </c>
      <c r="H411" s="1" t="n">
        <v>1397011</v>
      </c>
      <c r="I411" s="1" t="n">
        <v>1</v>
      </c>
      <c r="J411" s="1" t="s">
        <v>1753</v>
      </c>
      <c r="K411" s="46" t="n">
        <v>4043.8</v>
      </c>
      <c r="N411" s="67" t="n">
        <v>46217</v>
      </c>
      <c r="O411" s="1" t="n">
        <f aca="false">SUMIFS($K:$K,$E:$E,N411)</f>
        <v>9198.35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36</v>
      </c>
      <c r="D412" s="1" t="s">
        <v>1766</v>
      </c>
      <c r="E412" s="15" t="n">
        <v>46217</v>
      </c>
      <c r="F412" s="15" t="n">
        <v>46217</v>
      </c>
      <c r="G412" s="1" t="s">
        <v>146</v>
      </c>
      <c r="H412" s="1" t="n">
        <v>1398221</v>
      </c>
      <c r="I412" s="1" t="n">
        <v>6</v>
      </c>
      <c r="J412" s="1" t="s">
        <v>1753</v>
      </c>
      <c r="K412" s="46" t="n">
        <v>1946.36</v>
      </c>
      <c r="N412" s="67" t="n">
        <v>46217</v>
      </c>
      <c r="O412" s="1" t="n">
        <f aca="false">SUMIFS($K:$K,$E:$E,N412)</f>
        <v>9198.35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36</v>
      </c>
      <c r="D413" s="1" t="s">
        <v>1766</v>
      </c>
      <c r="E413" s="15" t="n">
        <v>46217</v>
      </c>
      <c r="F413" s="15" t="n">
        <v>46217</v>
      </c>
      <c r="G413" s="1" t="s">
        <v>146</v>
      </c>
      <c r="H413" s="1" t="n">
        <v>1398476</v>
      </c>
      <c r="I413" s="1" t="n">
        <v>6</v>
      </c>
      <c r="J413" s="1" t="s">
        <v>1753</v>
      </c>
      <c r="K413" s="46" t="n">
        <v>182</v>
      </c>
      <c r="N413" s="67" t="n">
        <v>46217</v>
      </c>
      <c r="O413" s="1" t="n">
        <f aca="false">SUMIFS($K:$K,$E:$E,N413)</f>
        <v>9198.35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36</v>
      </c>
      <c r="D414" s="1" t="s">
        <v>1767</v>
      </c>
      <c r="E414" s="15" t="n">
        <v>46217</v>
      </c>
      <c r="F414" s="15" t="n">
        <v>46216</v>
      </c>
      <c r="G414" s="1" t="s">
        <v>105</v>
      </c>
      <c r="H414" s="1" t="n">
        <v>1397689</v>
      </c>
      <c r="I414" s="1" t="n">
        <v>11</v>
      </c>
      <c r="J414" s="1" t="s">
        <v>1753</v>
      </c>
      <c r="K414" s="46" t="n">
        <v>216.75</v>
      </c>
      <c r="N414" s="67" t="n">
        <v>46217</v>
      </c>
      <c r="O414" s="1" t="n">
        <f aca="false">SUMIFS($K:$K,$E:$E,N414)</f>
        <v>9198.35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36</v>
      </c>
      <c r="D415" s="1" t="s">
        <v>1760</v>
      </c>
      <c r="E415" s="15" t="n">
        <v>46217</v>
      </c>
      <c r="F415" s="15" t="n">
        <v>46216</v>
      </c>
      <c r="G415" s="1" t="s">
        <v>296</v>
      </c>
      <c r="H415" s="1" t="n">
        <v>1397435</v>
      </c>
      <c r="I415" s="1" t="n">
        <v>11</v>
      </c>
      <c r="J415" s="1" t="s">
        <v>1753</v>
      </c>
      <c r="K415" s="46" t="n">
        <v>361.6</v>
      </c>
      <c r="N415" s="67" t="n">
        <v>46217</v>
      </c>
      <c r="O415" s="1" t="n">
        <f aca="false">SUMIFS($K:$K,$E:$E,N415)</f>
        <v>9198.35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1870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1753</v>
      </c>
      <c r="K416" s="46" t="n">
        <v>406.11</v>
      </c>
      <c r="N416" s="67" t="n">
        <v>46217</v>
      </c>
      <c r="O416" s="1" t="n">
        <f aca="false">SUMIFS($K:$K,$E:$E,N416)</f>
        <v>9198.35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36</v>
      </c>
      <c r="D417" s="1" t="s">
        <v>1842</v>
      </c>
      <c r="E417" s="15" t="n">
        <v>46218</v>
      </c>
      <c r="F417" s="15" t="n">
        <v>46217</v>
      </c>
      <c r="G417" s="1" t="s">
        <v>870</v>
      </c>
      <c r="H417" s="1" t="n">
        <v>1401261</v>
      </c>
      <c r="I417" s="1" t="n">
        <v>11</v>
      </c>
      <c r="J417" s="1" t="s">
        <v>1753</v>
      </c>
      <c r="K417" s="46" t="n">
        <v>479.64</v>
      </c>
      <c r="N417" s="67" t="n">
        <v>46218</v>
      </c>
      <c r="O417" s="1" t="n">
        <f aca="false">SUMIFS($K:$K,$E:$E,N417)</f>
        <v>22984.58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36</v>
      </c>
      <c r="D418" s="1" t="s">
        <v>1842</v>
      </c>
      <c r="E418" s="15" t="n">
        <v>46218</v>
      </c>
      <c r="F418" s="15" t="n">
        <v>46217</v>
      </c>
      <c r="G418" s="1" t="s">
        <v>870</v>
      </c>
      <c r="H418" s="1" t="n">
        <v>1401266</v>
      </c>
      <c r="I418" s="1" t="n">
        <v>11</v>
      </c>
      <c r="J418" s="1" t="s">
        <v>1753</v>
      </c>
      <c r="K418" s="46" t="n">
        <v>639.52</v>
      </c>
      <c r="N418" s="67" t="n">
        <v>46218</v>
      </c>
      <c r="O418" s="1" t="n">
        <f aca="false">SUMIFS($K:$K,$E:$E,N418)</f>
        <v>22984.58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36</v>
      </c>
      <c r="D419" s="1" t="s">
        <v>1842</v>
      </c>
      <c r="E419" s="15" t="n">
        <v>46218</v>
      </c>
      <c r="F419" s="15" t="n">
        <v>46217</v>
      </c>
      <c r="G419" s="1" t="s">
        <v>870</v>
      </c>
      <c r="H419" s="1" t="n">
        <v>1401262</v>
      </c>
      <c r="I419" s="1" t="n">
        <v>11</v>
      </c>
      <c r="J419" s="1" t="s">
        <v>1753</v>
      </c>
      <c r="K419" s="46" t="n">
        <v>479.64</v>
      </c>
      <c r="N419" s="67" t="n">
        <v>46218</v>
      </c>
      <c r="O419" s="1" t="n">
        <f aca="false">SUMIFS($K:$K,$E:$E,N419)</f>
        <v>22984.58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36</v>
      </c>
      <c r="D420" s="1" t="s">
        <v>1764</v>
      </c>
      <c r="E420" s="15" t="n">
        <v>46218</v>
      </c>
      <c r="F420" s="15" t="n">
        <v>46218</v>
      </c>
      <c r="G420" s="1" t="s">
        <v>224</v>
      </c>
      <c r="H420" s="1" t="n">
        <v>1401764</v>
      </c>
      <c r="I420" s="1" t="n">
        <v>11</v>
      </c>
      <c r="J420" s="1" t="s">
        <v>1753</v>
      </c>
      <c r="K420" s="46" t="n">
        <v>3621.85</v>
      </c>
      <c r="N420" s="67" t="n">
        <v>46218</v>
      </c>
      <c r="O420" s="1" t="n">
        <f aca="false">SUMIFS($K:$K,$E:$E,N420)</f>
        <v>22984.58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36</v>
      </c>
      <c r="D421" s="1" t="s">
        <v>1797</v>
      </c>
      <c r="E421" s="15" t="n">
        <v>46218</v>
      </c>
      <c r="F421" s="15" t="n">
        <v>46216</v>
      </c>
      <c r="G421" s="1" t="s">
        <v>98</v>
      </c>
      <c r="H421" s="1" t="n">
        <v>1402263</v>
      </c>
      <c r="I421" s="1" t="n">
        <v>11</v>
      </c>
      <c r="J421" s="1" t="s">
        <v>1753</v>
      </c>
      <c r="K421" s="46" t="n">
        <v>3940.75</v>
      </c>
      <c r="N421" s="67" t="n">
        <v>46218</v>
      </c>
      <c r="O421" s="1" t="n">
        <f aca="false">SUMIFS($K:$K,$E:$E,N421)</f>
        <v>22984.58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36</v>
      </c>
      <c r="D422" s="1" t="s">
        <v>1797</v>
      </c>
      <c r="E422" s="15" t="n">
        <v>46218</v>
      </c>
      <c r="F422" s="15" t="n">
        <v>46216</v>
      </c>
      <c r="G422" s="1" t="s">
        <v>98</v>
      </c>
      <c r="H422" s="1" t="n">
        <v>1402930</v>
      </c>
      <c r="I422" s="1" t="n">
        <v>11</v>
      </c>
      <c r="J422" s="1" t="s">
        <v>1753</v>
      </c>
      <c r="K422" s="46" t="n">
        <v>4155.44</v>
      </c>
      <c r="N422" s="67" t="n">
        <v>46218</v>
      </c>
      <c r="O422" s="1" t="n">
        <f aca="false">SUMIFS($K:$K,$E:$E,N422)</f>
        <v>22984.58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1755</v>
      </c>
      <c r="D423" s="1" t="s">
        <v>1756</v>
      </c>
      <c r="E423" s="15" t="n">
        <v>46218</v>
      </c>
      <c r="F423" s="15" t="n">
        <v>46218</v>
      </c>
      <c r="G423" s="1" t="s">
        <v>416</v>
      </c>
      <c r="H423" s="1" t="n">
        <v>1402687</v>
      </c>
      <c r="I423" s="1" t="n">
        <v>1</v>
      </c>
      <c r="J423" s="1" t="s">
        <v>1753</v>
      </c>
      <c r="K423" s="46" t="n">
        <v>76.5</v>
      </c>
      <c r="N423" s="67" t="n">
        <v>46218</v>
      </c>
      <c r="O423" s="1" t="n">
        <f aca="false">SUMIFS($K:$K,$E:$E,N423)</f>
        <v>22984.58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36</v>
      </c>
      <c r="D424" s="1" t="s">
        <v>1777</v>
      </c>
      <c r="E424" s="15" t="n">
        <v>46218</v>
      </c>
      <c r="F424" s="15" t="n">
        <v>46217</v>
      </c>
      <c r="G424" s="1" t="s">
        <v>180</v>
      </c>
      <c r="H424" s="1" t="n">
        <v>1403026</v>
      </c>
      <c r="I424" s="1" t="n">
        <v>11</v>
      </c>
      <c r="J424" s="1" t="s">
        <v>1753</v>
      </c>
      <c r="K424" s="46" t="n">
        <v>8419.48</v>
      </c>
      <c r="N424" s="67" t="n">
        <v>46218</v>
      </c>
      <c r="O424" s="1" t="n">
        <f aca="false">SUMIFS($K:$K,$E:$E,N424)</f>
        <v>22984.58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36</v>
      </c>
      <c r="D425" s="1" t="s">
        <v>1871</v>
      </c>
      <c r="E425" s="15" t="n">
        <v>46218</v>
      </c>
      <c r="F425" s="15" t="n">
        <v>46217</v>
      </c>
      <c r="G425" s="1" t="s">
        <v>984</v>
      </c>
      <c r="H425" s="1" t="n">
        <v>1402768</v>
      </c>
      <c r="I425" s="1" t="n">
        <v>11</v>
      </c>
      <c r="J425" s="1" t="s">
        <v>1753</v>
      </c>
      <c r="K425" s="46" t="n">
        <v>200</v>
      </c>
      <c r="N425" s="67" t="n">
        <v>46218</v>
      </c>
      <c r="O425" s="1" t="n">
        <f aca="false">SUMIFS($K:$K,$E:$E,N425)</f>
        <v>22984.58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88</v>
      </c>
      <c r="D426" s="1" t="s">
        <v>1872</v>
      </c>
      <c r="E426" s="15" t="n">
        <v>46218</v>
      </c>
      <c r="F426" s="15" t="n">
        <v>46217</v>
      </c>
      <c r="G426" s="1" t="s">
        <v>1166</v>
      </c>
      <c r="H426" s="1" t="n">
        <v>1401309</v>
      </c>
      <c r="I426" s="1" t="n">
        <v>11</v>
      </c>
      <c r="J426" s="1" t="s">
        <v>1753</v>
      </c>
      <c r="K426" s="46" t="n">
        <v>665.28</v>
      </c>
      <c r="N426" s="67" t="n">
        <v>46218</v>
      </c>
      <c r="O426" s="1" t="n">
        <f aca="false">SUMIFS($K:$K,$E:$E,N426)</f>
        <v>22984.58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61</v>
      </c>
      <c r="D427" s="1" t="s">
        <v>1833</v>
      </c>
      <c r="E427" s="15" t="n">
        <v>46218</v>
      </c>
      <c r="F427" s="15" t="n">
        <v>46217</v>
      </c>
      <c r="G427" s="1" t="s">
        <v>826</v>
      </c>
      <c r="H427" s="1" t="n">
        <v>1401301</v>
      </c>
      <c r="I427" s="1" t="n">
        <v>11</v>
      </c>
      <c r="J427" s="1" t="s">
        <v>1753</v>
      </c>
      <c r="K427" s="46" t="n">
        <v>306.48</v>
      </c>
      <c r="N427" s="67" t="n">
        <v>46218</v>
      </c>
      <c r="O427" s="1" t="n">
        <f aca="false">SUMIFS($K:$K,$E:$E,N427)</f>
        <v>22984.58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49</v>
      </c>
      <c r="D428" s="1" t="s">
        <v>1754</v>
      </c>
      <c r="E428" s="15" t="n">
        <v>46219</v>
      </c>
      <c r="F428" s="15" t="n">
        <v>46217</v>
      </c>
      <c r="G428" s="1" t="s">
        <v>131</v>
      </c>
      <c r="H428" s="1" t="n">
        <v>1405760</v>
      </c>
      <c r="I428" s="1" t="n">
        <v>11</v>
      </c>
      <c r="J428" s="1" t="s">
        <v>1753</v>
      </c>
      <c r="K428" s="46" t="n">
        <v>1189.67</v>
      </c>
      <c r="N428" s="67" t="n">
        <v>46219</v>
      </c>
      <c r="O428" s="1" t="n">
        <f aca="false">SUMIFS($K:$K,$E:$E,N428)</f>
        <v>21979.66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67</v>
      </c>
      <c r="D429" s="1" t="s">
        <v>1754</v>
      </c>
      <c r="E429" s="15" t="n">
        <v>46219</v>
      </c>
      <c r="F429" s="15" t="n">
        <v>46217</v>
      </c>
      <c r="G429" s="1" t="s">
        <v>131</v>
      </c>
      <c r="H429" s="1" t="n">
        <v>1405744</v>
      </c>
      <c r="I429" s="1" t="n">
        <v>11</v>
      </c>
      <c r="J429" s="1" t="s">
        <v>1753</v>
      </c>
      <c r="K429" s="46" t="n">
        <v>2028.67</v>
      </c>
      <c r="N429" s="67" t="n">
        <v>46219</v>
      </c>
      <c r="O429" s="1" t="n">
        <f aca="false">SUMIFS($K:$K,$E:$E,N429)</f>
        <v>21979.66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36</v>
      </c>
      <c r="D430" s="1" t="s">
        <v>1786</v>
      </c>
      <c r="E430" s="15" t="n">
        <v>46219</v>
      </c>
      <c r="F430" s="15" t="n">
        <v>46218</v>
      </c>
      <c r="G430" s="1" t="s">
        <v>222</v>
      </c>
      <c r="H430" s="1" t="n">
        <v>1407280</v>
      </c>
      <c r="I430" s="1" t="n">
        <v>11</v>
      </c>
      <c r="J430" s="1" t="s">
        <v>1753</v>
      </c>
      <c r="K430" s="46" t="n">
        <v>1742.68</v>
      </c>
      <c r="N430" s="67" t="n">
        <v>46219</v>
      </c>
      <c r="O430" s="1" t="n">
        <f aca="false">SUMIFS($K:$K,$E:$E,N430)</f>
        <v>21979.66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36</v>
      </c>
      <c r="D431" s="1" t="s">
        <v>1797</v>
      </c>
      <c r="E431" s="15" t="n">
        <v>46219</v>
      </c>
      <c r="F431" s="15" t="n">
        <v>46216</v>
      </c>
      <c r="G431" s="1" t="s">
        <v>98</v>
      </c>
      <c r="H431" s="1" t="n">
        <v>1406318</v>
      </c>
      <c r="I431" s="1" t="n">
        <v>11</v>
      </c>
      <c r="J431" s="1" t="s">
        <v>1753</v>
      </c>
      <c r="K431" s="46" t="n">
        <v>2754.67</v>
      </c>
      <c r="N431" s="67" t="n">
        <v>46219</v>
      </c>
      <c r="O431" s="1" t="n">
        <f aca="false">SUMIFS($K:$K,$E:$E,N431)</f>
        <v>21979.66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36</v>
      </c>
      <c r="D432" s="1" t="s">
        <v>1803</v>
      </c>
      <c r="E432" s="15" t="n">
        <v>46219</v>
      </c>
      <c r="F432" s="15" t="n">
        <v>46217</v>
      </c>
      <c r="G432" s="1" t="s">
        <v>94</v>
      </c>
      <c r="H432" s="1" t="n">
        <v>1406166</v>
      </c>
      <c r="I432" s="1" t="n">
        <v>11</v>
      </c>
      <c r="J432" s="1" t="s">
        <v>1753</v>
      </c>
      <c r="K432" s="46" t="n">
        <v>1822.73</v>
      </c>
      <c r="N432" s="67" t="n">
        <v>46219</v>
      </c>
      <c r="O432" s="1" t="n">
        <f aca="false">SUMIFS($K:$K,$E:$E,N432)</f>
        <v>21979.66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36</v>
      </c>
      <c r="D433" s="1" t="s">
        <v>1804</v>
      </c>
      <c r="E433" s="15" t="n">
        <v>46219</v>
      </c>
      <c r="F433" s="15" t="n">
        <v>46217</v>
      </c>
      <c r="G433" s="1" t="s">
        <v>96</v>
      </c>
      <c r="H433" s="1" t="n">
        <v>1405829</v>
      </c>
      <c r="I433" s="1" t="n">
        <v>11</v>
      </c>
      <c r="J433" s="1" t="s">
        <v>1753</v>
      </c>
      <c r="K433" s="46" t="n">
        <v>558.06</v>
      </c>
      <c r="N433" s="67" t="n">
        <v>46219</v>
      </c>
      <c r="O433" s="1" t="n">
        <f aca="false">SUMIFS($K:$K,$E:$E,N433)</f>
        <v>21979.66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36</v>
      </c>
      <c r="D434" s="1" t="s">
        <v>1778</v>
      </c>
      <c r="E434" s="15" t="n">
        <v>46219</v>
      </c>
      <c r="F434" s="15" t="n">
        <v>46217</v>
      </c>
      <c r="G434" s="1" t="s">
        <v>231</v>
      </c>
      <c r="H434" s="1" t="n">
        <v>1406501</v>
      </c>
      <c r="I434" s="1" t="n">
        <v>11</v>
      </c>
      <c r="J434" s="1" t="s">
        <v>1753</v>
      </c>
      <c r="K434" s="46" t="n">
        <v>3065.5</v>
      </c>
      <c r="N434" s="67" t="n">
        <v>46219</v>
      </c>
      <c r="O434" s="1" t="n">
        <f aca="false">SUMIFS($K:$K,$E:$E,N434)</f>
        <v>21979.66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36</v>
      </c>
      <c r="D435" s="1" t="s">
        <v>1757</v>
      </c>
      <c r="E435" s="15" t="n">
        <v>46219</v>
      </c>
      <c r="F435" s="15" t="n">
        <v>46218</v>
      </c>
      <c r="G435" s="1" t="s">
        <v>272</v>
      </c>
      <c r="H435" s="1" t="n">
        <v>1407393</v>
      </c>
      <c r="I435" s="1" t="n">
        <v>11</v>
      </c>
      <c r="J435" s="1" t="s">
        <v>1753</v>
      </c>
      <c r="K435" s="46" t="n">
        <v>4093.4</v>
      </c>
      <c r="N435" s="67" t="n">
        <v>46219</v>
      </c>
      <c r="O435" s="1" t="n">
        <f aca="false">SUMIFS($K:$K,$E:$E,N435)</f>
        <v>21979.66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1807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1753</v>
      </c>
      <c r="K436" s="46" t="n">
        <v>2095.8</v>
      </c>
      <c r="N436" s="67" t="n">
        <v>46219</v>
      </c>
      <c r="O436" s="1" t="n">
        <f aca="false">SUMIFS($K:$K,$E:$E,N436)</f>
        <v>21979.66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36</v>
      </c>
      <c r="D437" s="1" t="s">
        <v>1798</v>
      </c>
      <c r="E437" s="15" t="n">
        <v>46219</v>
      </c>
      <c r="F437" s="15" t="n">
        <v>46219</v>
      </c>
      <c r="G437" s="1" t="s">
        <v>462</v>
      </c>
      <c r="H437" s="1" t="n">
        <v>1407492</v>
      </c>
      <c r="I437" s="1" t="n">
        <v>11</v>
      </c>
      <c r="J437" s="1" t="s">
        <v>1753</v>
      </c>
      <c r="K437" s="46" t="n">
        <v>593.78</v>
      </c>
      <c r="N437" s="67" t="n">
        <v>46219</v>
      </c>
      <c r="O437" s="1" t="n">
        <f aca="false">SUMIFS($K:$K,$E:$E,N437)</f>
        <v>21979.66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76</v>
      </c>
      <c r="D438" s="1" t="s">
        <v>1808</v>
      </c>
      <c r="E438" s="15" t="n">
        <v>46219</v>
      </c>
      <c r="F438" s="15" t="n">
        <v>46217</v>
      </c>
      <c r="G438" s="1" t="s">
        <v>578</v>
      </c>
      <c r="H438" s="1" t="n">
        <v>1405844</v>
      </c>
      <c r="I438" s="1" t="n">
        <v>11</v>
      </c>
      <c r="J438" s="1" t="s">
        <v>1753</v>
      </c>
      <c r="K438" s="46" t="n">
        <v>1501.2</v>
      </c>
      <c r="N438" s="67" t="n">
        <v>46219</v>
      </c>
      <c r="O438" s="1" t="n">
        <f aca="false">SUMIFS($K:$K,$E:$E,N438)</f>
        <v>21979.66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36</v>
      </c>
      <c r="D439" s="1" t="s">
        <v>1759</v>
      </c>
      <c r="E439" s="15" t="n">
        <v>46219</v>
      </c>
      <c r="F439" s="15" t="n">
        <v>46219</v>
      </c>
      <c r="G439" s="1" t="s">
        <v>205</v>
      </c>
      <c r="H439" s="1" t="n">
        <v>1406906</v>
      </c>
      <c r="I439" s="1" t="n">
        <v>11</v>
      </c>
      <c r="J439" s="1" t="s">
        <v>1753</v>
      </c>
      <c r="K439" s="46" t="n">
        <v>533.5</v>
      </c>
      <c r="N439" s="67" t="n">
        <v>46219</v>
      </c>
      <c r="O439" s="1" t="n">
        <f aca="false">SUMIFS($K:$K,$E:$E,N439)</f>
        <v>21979.66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36</v>
      </c>
      <c r="D440" s="1" t="s">
        <v>1783</v>
      </c>
      <c r="E440" s="15" t="n">
        <v>46220</v>
      </c>
      <c r="F440" s="15" t="n">
        <v>46220</v>
      </c>
      <c r="G440" s="1" t="s">
        <v>1784</v>
      </c>
      <c r="H440" s="1" t="n">
        <v>1411966</v>
      </c>
      <c r="I440" s="1" t="n">
        <v>11</v>
      </c>
      <c r="J440" s="1" t="s">
        <v>1753</v>
      </c>
      <c r="K440" s="46" t="n">
        <v>228</v>
      </c>
      <c r="N440" s="67" t="n">
        <v>46220</v>
      </c>
      <c r="O440" s="1" t="n">
        <f aca="false">SUMIFS($K:$K,$E:$E,N440)</f>
        <v>13156.41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36</v>
      </c>
      <c r="D441" s="1" t="s">
        <v>1762</v>
      </c>
      <c r="E441" s="15" t="n">
        <v>46220</v>
      </c>
      <c r="F441" s="15" t="n">
        <v>46219</v>
      </c>
      <c r="G441" s="1" t="s">
        <v>243</v>
      </c>
      <c r="H441" s="1" t="n">
        <v>1410826</v>
      </c>
      <c r="I441" s="1" t="n">
        <v>11</v>
      </c>
      <c r="J441" s="1" t="s">
        <v>1753</v>
      </c>
      <c r="K441" s="46" t="n">
        <v>925</v>
      </c>
      <c r="N441" s="67" t="n">
        <v>46220</v>
      </c>
      <c r="O441" s="1" t="n">
        <f aca="false">SUMIFS($K:$K,$E:$E,N441)</f>
        <v>13156.41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36</v>
      </c>
      <c r="D442" s="1" t="s">
        <v>1802</v>
      </c>
      <c r="E442" s="15" t="n">
        <v>46220</v>
      </c>
      <c r="F442" s="15" t="n">
        <v>46220</v>
      </c>
      <c r="G442" s="1" t="s">
        <v>107</v>
      </c>
      <c r="H442" s="1" t="n">
        <v>1410712</v>
      </c>
      <c r="I442" s="1" t="n">
        <v>11</v>
      </c>
      <c r="J442" s="1" t="s">
        <v>1753</v>
      </c>
      <c r="K442" s="46" t="n">
        <v>1024.98</v>
      </c>
      <c r="N442" s="67" t="n">
        <v>46220</v>
      </c>
      <c r="O442" s="1" t="n">
        <f aca="false">SUMIFS($K:$K,$E:$E,N442)</f>
        <v>13156.41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36</v>
      </c>
      <c r="D443" s="1" t="s">
        <v>1763</v>
      </c>
      <c r="E443" s="15" t="n">
        <v>46220</v>
      </c>
      <c r="F443" s="15" t="n">
        <v>46219</v>
      </c>
      <c r="G443" s="1" t="s">
        <v>233</v>
      </c>
      <c r="H443" s="1" t="n">
        <v>1410446</v>
      </c>
      <c r="I443" s="1" t="n">
        <v>11</v>
      </c>
      <c r="J443" s="1" t="s">
        <v>1753</v>
      </c>
      <c r="K443" s="46" t="n">
        <v>254.6</v>
      </c>
      <c r="N443" s="67" t="n">
        <v>46220</v>
      </c>
      <c r="O443" s="1" t="n">
        <f aca="false">SUMIFS($K:$K,$E:$E,N443)</f>
        <v>13156.41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36</v>
      </c>
      <c r="D444" s="1" t="s">
        <v>1764</v>
      </c>
      <c r="E444" s="15" t="n">
        <v>46220</v>
      </c>
      <c r="F444" s="15" t="n">
        <v>46218</v>
      </c>
      <c r="G444" s="1" t="s">
        <v>224</v>
      </c>
      <c r="H444" s="1" t="n">
        <v>1410758</v>
      </c>
      <c r="I444" s="1" t="n">
        <v>11</v>
      </c>
      <c r="J444" s="1" t="s">
        <v>1753</v>
      </c>
      <c r="K444" s="46" t="n">
        <v>281.82</v>
      </c>
      <c r="N444" s="67" t="n">
        <v>46220</v>
      </c>
      <c r="O444" s="1" t="n">
        <f aca="false">SUMIFS($K:$K,$E:$E,N444)</f>
        <v>13156.41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36</v>
      </c>
      <c r="D445" s="1" t="s">
        <v>1873</v>
      </c>
      <c r="E445" s="15" t="n">
        <v>46220</v>
      </c>
      <c r="F445" s="15" t="n">
        <v>46220</v>
      </c>
      <c r="G445" s="1" t="s">
        <v>624</v>
      </c>
      <c r="H445" s="1" t="n">
        <v>1428281</v>
      </c>
      <c r="I445" s="1" t="n">
        <v>11</v>
      </c>
      <c r="J445" s="1" t="s">
        <v>1753</v>
      </c>
      <c r="K445" s="46" t="n">
        <v>120</v>
      </c>
      <c r="N445" s="67" t="n">
        <v>46220</v>
      </c>
      <c r="O445" s="1" t="n">
        <f aca="false">SUMIFS($K:$K,$E:$E,N445)</f>
        <v>13156.41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36</v>
      </c>
      <c r="D446" s="1" t="s">
        <v>1873</v>
      </c>
      <c r="E446" s="15" t="n">
        <v>46220</v>
      </c>
      <c r="F446" s="15" t="n">
        <v>46220</v>
      </c>
      <c r="G446" s="1" t="s">
        <v>624</v>
      </c>
      <c r="H446" s="1" t="n">
        <v>1428357</v>
      </c>
      <c r="I446" s="1" t="n">
        <v>11</v>
      </c>
      <c r="J446" s="1" t="s">
        <v>1753</v>
      </c>
      <c r="K446" s="46" t="n">
        <v>140</v>
      </c>
      <c r="N446" s="67" t="n">
        <v>46220</v>
      </c>
      <c r="O446" s="1" t="n">
        <f aca="false">SUMIFS($K:$K,$E:$E,N446)</f>
        <v>13156.41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36</v>
      </c>
      <c r="D447" s="1" t="s">
        <v>1873</v>
      </c>
      <c r="E447" s="15" t="n">
        <v>46220</v>
      </c>
      <c r="F447" s="15" t="n">
        <v>46220</v>
      </c>
      <c r="G447" s="1" t="s">
        <v>624</v>
      </c>
      <c r="H447" s="1" t="n">
        <v>1428365</v>
      </c>
      <c r="I447" s="1" t="n">
        <v>11</v>
      </c>
      <c r="J447" s="1" t="s">
        <v>1753</v>
      </c>
      <c r="K447" s="46" t="n">
        <v>120</v>
      </c>
      <c r="N447" s="67" t="n">
        <v>46220</v>
      </c>
      <c r="O447" s="1" t="n">
        <f aca="false">SUMIFS($K:$K,$E:$E,N447)</f>
        <v>13156.41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36</v>
      </c>
      <c r="D448" s="1" t="s">
        <v>1873</v>
      </c>
      <c r="E448" s="15" t="n">
        <v>46220</v>
      </c>
      <c r="F448" s="15" t="n">
        <v>46220</v>
      </c>
      <c r="G448" s="1" t="s">
        <v>624</v>
      </c>
      <c r="H448" s="1" t="n">
        <v>1428370</v>
      </c>
      <c r="I448" s="1" t="n">
        <v>11</v>
      </c>
      <c r="J448" s="1" t="s">
        <v>1753</v>
      </c>
      <c r="K448" s="46" t="n">
        <v>120</v>
      </c>
      <c r="N448" s="67" t="n">
        <v>46220</v>
      </c>
      <c r="O448" s="1" t="n">
        <f aca="false">SUMIFS($K:$K,$E:$E,N448)</f>
        <v>13156.41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36</v>
      </c>
      <c r="D449" s="1" t="s">
        <v>1873</v>
      </c>
      <c r="E449" s="15" t="n">
        <v>46220</v>
      </c>
      <c r="F449" s="15" t="n">
        <v>46220</v>
      </c>
      <c r="G449" s="1" t="s">
        <v>624</v>
      </c>
      <c r="H449" s="1" t="n">
        <v>1428390</v>
      </c>
      <c r="I449" s="1" t="n">
        <v>11</v>
      </c>
      <c r="J449" s="1" t="s">
        <v>1753</v>
      </c>
      <c r="K449" s="46" t="n">
        <v>120</v>
      </c>
      <c r="N449" s="67" t="n">
        <v>46220</v>
      </c>
      <c r="O449" s="1" t="n">
        <f aca="false">SUMIFS($K:$K,$E:$E,N449)</f>
        <v>13156.41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36</v>
      </c>
      <c r="D450" s="1" t="s">
        <v>1873</v>
      </c>
      <c r="E450" s="15" t="n">
        <v>46220</v>
      </c>
      <c r="F450" s="15" t="n">
        <v>46220</v>
      </c>
      <c r="G450" s="1" t="s">
        <v>624</v>
      </c>
      <c r="H450" s="1" t="n">
        <v>1428379</v>
      </c>
      <c r="I450" s="1" t="n">
        <v>11</v>
      </c>
      <c r="J450" s="1" t="s">
        <v>1753</v>
      </c>
      <c r="K450" s="46" t="n">
        <v>200</v>
      </c>
      <c r="N450" s="67" t="n">
        <v>46220</v>
      </c>
      <c r="O450" s="1" t="n">
        <f aca="false">SUMIFS($K:$K,$E:$E,N450)</f>
        <v>13156.41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36</v>
      </c>
      <c r="D451" s="1" t="s">
        <v>1873</v>
      </c>
      <c r="E451" s="15" t="n">
        <v>46220</v>
      </c>
      <c r="F451" s="15" t="n">
        <v>46220</v>
      </c>
      <c r="G451" s="1" t="s">
        <v>624</v>
      </c>
      <c r="H451" s="1" t="n">
        <v>1428427</v>
      </c>
      <c r="I451" s="1" t="n">
        <v>11</v>
      </c>
      <c r="J451" s="1" t="s">
        <v>1753</v>
      </c>
      <c r="K451" s="46" t="n">
        <v>140</v>
      </c>
      <c r="N451" s="67" t="n">
        <v>46220</v>
      </c>
      <c r="O451" s="1" t="n">
        <f aca="false">SUMIFS($K:$K,$E:$E,N451)</f>
        <v>13156.41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36</v>
      </c>
      <c r="D452" s="1" t="s">
        <v>1873</v>
      </c>
      <c r="E452" s="15" t="n">
        <v>46220</v>
      </c>
      <c r="F452" s="15" t="n">
        <v>46220</v>
      </c>
      <c r="G452" s="1" t="s">
        <v>624</v>
      </c>
      <c r="H452" s="1" t="n">
        <v>1428438</v>
      </c>
      <c r="I452" s="1" t="n">
        <v>11</v>
      </c>
      <c r="J452" s="1" t="s">
        <v>1753</v>
      </c>
      <c r="K452" s="46" t="n">
        <v>140</v>
      </c>
      <c r="N452" s="67" t="n">
        <v>46220</v>
      </c>
      <c r="O452" s="1" t="n">
        <f aca="false">SUMIFS($K:$K,$E:$E,N452)</f>
        <v>13156.41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36</v>
      </c>
      <c r="D453" s="1" t="s">
        <v>1774</v>
      </c>
      <c r="E453" s="15" t="n">
        <v>46220</v>
      </c>
      <c r="F453" s="15" t="n">
        <v>46219</v>
      </c>
      <c r="G453" s="1" t="s">
        <v>187</v>
      </c>
      <c r="H453" s="1" t="n">
        <v>1410433</v>
      </c>
      <c r="I453" s="1" t="n">
        <v>11</v>
      </c>
      <c r="J453" s="1" t="s">
        <v>1753</v>
      </c>
      <c r="K453" s="46" t="n">
        <v>125</v>
      </c>
      <c r="N453" s="67" t="n">
        <v>46220</v>
      </c>
      <c r="O453" s="1" t="n">
        <f aca="false">SUMIFS($K:$K,$E:$E,N453)</f>
        <v>13156.41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36</v>
      </c>
      <c r="D454" s="1" t="s">
        <v>1869</v>
      </c>
      <c r="E454" s="15" t="n">
        <v>46220</v>
      </c>
      <c r="F454" s="15" t="n">
        <v>46219</v>
      </c>
      <c r="G454" s="1" t="s">
        <v>293</v>
      </c>
      <c r="H454" s="1" t="n">
        <v>1410475</v>
      </c>
      <c r="I454" s="1" t="n">
        <v>11</v>
      </c>
      <c r="J454" s="1" t="s">
        <v>1753</v>
      </c>
      <c r="K454" s="46" t="n">
        <v>308.88</v>
      </c>
      <c r="N454" s="67" t="n">
        <v>46220</v>
      </c>
      <c r="O454" s="1" t="n">
        <f aca="false">SUMIFS($K:$K,$E:$E,N454)</f>
        <v>13156.41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36</v>
      </c>
      <c r="D455" s="1" t="s">
        <v>1757</v>
      </c>
      <c r="E455" s="15" t="n">
        <v>46220</v>
      </c>
      <c r="F455" s="15" t="n">
        <v>46219</v>
      </c>
      <c r="G455" s="1" t="s">
        <v>272</v>
      </c>
      <c r="H455" s="1" t="n">
        <v>1411854</v>
      </c>
      <c r="I455" s="1" t="n">
        <v>11</v>
      </c>
      <c r="J455" s="1" t="s">
        <v>1753</v>
      </c>
      <c r="K455" s="46" t="n">
        <v>1269.94</v>
      </c>
      <c r="N455" s="67" t="n">
        <v>46220</v>
      </c>
      <c r="O455" s="1" t="n">
        <f aca="false">SUMIFS($K:$K,$E:$E,N455)</f>
        <v>13156.41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36</v>
      </c>
      <c r="D456" s="1" t="s">
        <v>1766</v>
      </c>
      <c r="E456" s="15" t="n">
        <v>46220</v>
      </c>
      <c r="F456" s="15" t="n">
        <v>46220</v>
      </c>
      <c r="G456" s="1" t="s">
        <v>146</v>
      </c>
      <c r="H456" s="1" t="n">
        <v>1411314</v>
      </c>
      <c r="I456" s="1" t="n">
        <v>6</v>
      </c>
      <c r="J456" s="1" t="s">
        <v>1753</v>
      </c>
      <c r="K456" s="46" t="n">
        <v>280</v>
      </c>
      <c r="N456" s="67" t="n">
        <v>46220</v>
      </c>
      <c r="O456" s="1" t="n">
        <f aca="false">SUMIFS($K:$K,$E:$E,N456)</f>
        <v>13156.41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36</v>
      </c>
      <c r="D457" s="1" t="s">
        <v>1766</v>
      </c>
      <c r="E457" s="15" t="n">
        <v>46220</v>
      </c>
      <c r="F457" s="15" t="n">
        <v>46220</v>
      </c>
      <c r="G457" s="1" t="s">
        <v>146</v>
      </c>
      <c r="H457" s="1" t="n">
        <v>1411709</v>
      </c>
      <c r="I457" s="1" t="n">
        <v>6</v>
      </c>
      <c r="J457" s="1" t="s">
        <v>1753</v>
      </c>
      <c r="K457" s="46" t="n">
        <v>1392.72</v>
      </c>
      <c r="N457" s="67" t="n">
        <v>46220</v>
      </c>
      <c r="O457" s="1" t="n">
        <f aca="false">SUMIFS($K:$K,$E:$E,N457)</f>
        <v>13156.41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88</v>
      </c>
      <c r="D458" s="1" t="s">
        <v>1758</v>
      </c>
      <c r="E458" s="15" t="n">
        <v>46220</v>
      </c>
      <c r="F458" s="15" t="n">
        <v>46219</v>
      </c>
      <c r="G458" s="1" t="s">
        <v>211</v>
      </c>
      <c r="H458" s="1" t="n">
        <v>1410461</v>
      </c>
      <c r="I458" s="1" t="n">
        <v>11</v>
      </c>
      <c r="J458" s="1" t="s">
        <v>1753</v>
      </c>
      <c r="K458" s="46" t="n">
        <v>184.9</v>
      </c>
      <c r="N458" s="67" t="n">
        <v>46220</v>
      </c>
      <c r="O458" s="1" t="n">
        <f aca="false">SUMIFS($K:$K,$E:$E,N458)</f>
        <v>13156.41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61</v>
      </c>
      <c r="D459" s="1" t="s">
        <v>1799</v>
      </c>
      <c r="E459" s="15" t="n">
        <v>46220</v>
      </c>
      <c r="F459" s="15" t="n">
        <v>46219</v>
      </c>
      <c r="G459" s="1" t="s">
        <v>464</v>
      </c>
      <c r="H459" s="1" t="n">
        <v>1411342</v>
      </c>
      <c r="I459" s="1" t="n">
        <v>11</v>
      </c>
      <c r="J459" s="1" t="s">
        <v>1753</v>
      </c>
      <c r="K459" s="46" t="n">
        <v>189</v>
      </c>
      <c r="N459" s="67" t="n">
        <v>46220</v>
      </c>
      <c r="O459" s="1" t="n">
        <f aca="false">SUMIFS($K:$K,$E:$E,N459)</f>
        <v>13156.41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36</v>
      </c>
      <c r="D460" s="1" t="s">
        <v>1839</v>
      </c>
      <c r="E460" s="15" t="n">
        <v>46220</v>
      </c>
      <c r="F460" s="15" t="n">
        <v>46217</v>
      </c>
      <c r="G460" s="1" t="s">
        <v>717</v>
      </c>
      <c r="H460" s="1" t="n">
        <v>1410510</v>
      </c>
      <c r="I460" s="1" t="n">
        <v>11</v>
      </c>
      <c r="J460" s="1" t="s">
        <v>1753</v>
      </c>
      <c r="K460" s="46" t="n">
        <v>1011.15</v>
      </c>
      <c r="N460" s="67" t="n">
        <v>46220</v>
      </c>
      <c r="O460" s="1" t="n">
        <f aca="false">SUMIFS($K:$K,$E:$E,N460)</f>
        <v>13156.41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36</v>
      </c>
      <c r="D461" s="1" t="s">
        <v>1858</v>
      </c>
      <c r="E461" s="15" t="n">
        <v>46220</v>
      </c>
      <c r="F461" s="15" t="n">
        <v>46218</v>
      </c>
      <c r="G461" s="1" t="s">
        <v>101</v>
      </c>
      <c r="H461" s="1" t="n">
        <v>1411536</v>
      </c>
      <c r="I461" s="1" t="n">
        <v>11</v>
      </c>
      <c r="J461" s="1" t="s">
        <v>1753</v>
      </c>
      <c r="K461" s="46" t="n">
        <v>2284.72</v>
      </c>
      <c r="N461" s="67" t="n">
        <v>46220</v>
      </c>
      <c r="O461" s="1" t="n">
        <f aca="false">SUMIFS($K:$K,$E:$E,N461)</f>
        <v>13156.41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36</v>
      </c>
      <c r="D462" s="1" t="s">
        <v>1858</v>
      </c>
      <c r="E462" s="15" t="n">
        <v>46220</v>
      </c>
      <c r="F462" s="15" t="n">
        <v>46218</v>
      </c>
      <c r="G462" s="1" t="s">
        <v>101</v>
      </c>
      <c r="H462" s="1" t="n">
        <v>1411921</v>
      </c>
      <c r="I462" s="1" t="n">
        <v>11</v>
      </c>
      <c r="J462" s="1" t="s">
        <v>1753</v>
      </c>
      <c r="K462" s="46" t="n">
        <v>1472.09</v>
      </c>
      <c r="N462" s="67" t="n">
        <v>46220</v>
      </c>
      <c r="O462" s="1" t="n">
        <f aca="false">SUMIFS($K:$K,$E:$E,N462)</f>
        <v>13156.41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36</v>
      </c>
      <c r="D463" s="1" t="s">
        <v>1858</v>
      </c>
      <c r="E463" s="15" t="n">
        <v>46220</v>
      </c>
      <c r="F463" s="15" t="n">
        <v>46218</v>
      </c>
      <c r="G463" s="1" t="s">
        <v>101</v>
      </c>
      <c r="H463" s="1" t="n">
        <v>1411773</v>
      </c>
      <c r="I463" s="1" t="n">
        <v>11</v>
      </c>
      <c r="J463" s="1" t="s">
        <v>1753</v>
      </c>
      <c r="K463" s="46" t="n">
        <v>823.61</v>
      </c>
      <c r="N463" s="67" t="n">
        <v>46220</v>
      </c>
      <c r="O463" s="1" t="n">
        <f aca="false">SUMIFS($K:$K,$E:$E,N463)</f>
        <v>13156.41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36</v>
      </c>
      <c r="D464" s="1" t="s">
        <v>1761</v>
      </c>
      <c r="E464" s="15" t="n">
        <v>46221</v>
      </c>
      <c r="F464" s="15" t="n">
        <v>46220</v>
      </c>
      <c r="G464" s="1" t="s">
        <v>144</v>
      </c>
      <c r="H464" s="1" t="n">
        <v>1414944</v>
      </c>
      <c r="I464" s="1" t="n">
        <v>11</v>
      </c>
      <c r="J464" s="1" t="s">
        <v>1753</v>
      </c>
      <c r="K464" s="46" t="n">
        <v>180</v>
      </c>
      <c r="N464" s="67" t="n">
        <v>46221</v>
      </c>
      <c r="O464" s="1" t="n">
        <f aca="false">SUMIFS($K:$K,$E:$E,N464)</f>
        <v>4493.49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36</v>
      </c>
      <c r="D465" s="1" t="s">
        <v>1797</v>
      </c>
      <c r="E465" s="15" t="n">
        <v>46221</v>
      </c>
      <c r="F465" s="15" t="n">
        <v>46219</v>
      </c>
      <c r="G465" s="1" t="s">
        <v>98</v>
      </c>
      <c r="H465" s="1" t="n">
        <v>1414695</v>
      </c>
      <c r="I465" s="1" t="n">
        <v>11</v>
      </c>
      <c r="J465" s="1" t="s">
        <v>1753</v>
      </c>
      <c r="K465" s="46" t="n">
        <v>159.4</v>
      </c>
      <c r="N465" s="67" t="n">
        <v>46221</v>
      </c>
      <c r="O465" s="1" t="n">
        <f aca="false">SUMIFS($K:$K,$E:$E,N465)</f>
        <v>4493.49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1755</v>
      </c>
      <c r="D466" s="1" t="s">
        <v>1756</v>
      </c>
      <c r="E466" s="15" t="n">
        <v>46221</v>
      </c>
      <c r="F466" s="15" t="n">
        <v>46220</v>
      </c>
      <c r="G466" s="1" t="s">
        <v>416</v>
      </c>
      <c r="H466" s="1" t="n">
        <v>1414655</v>
      </c>
      <c r="I466" s="1" t="n">
        <v>11</v>
      </c>
      <c r="J466" s="1" t="s">
        <v>1753</v>
      </c>
      <c r="K466" s="46" t="n">
        <v>97.5</v>
      </c>
      <c r="N466" s="67" t="n">
        <v>46221</v>
      </c>
      <c r="O466" s="1" t="n">
        <f aca="false">SUMIFS($K:$K,$E:$E,N466)</f>
        <v>4493.49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36</v>
      </c>
      <c r="D467" s="1" t="s">
        <v>1873</v>
      </c>
      <c r="E467" s="15" t="n">
        <v>46221</v>
      </c>
      <c r="F467" s="15" t="n">
        <v>46221</v>
      </c>
      <c r="G467" s="1" t="s">
        <v>624</v>
      </c>
      <c r="H467" s="1" t="n">
        <v>1428457</v>
      </c>
      <c r="I467" s="1" t="n">
        <v>11</v>
      </c>
      <c r="J467" s="1" t="s">
        <v>1753</v>
      </c>
      <c r="K467" s="46" t="n">
        <v>120</v>
      </c>
      <c r="N467" s="67" t="n">
        <v>46221</v>
      </c>
      <c r="O467" s="1" t="n">
        <f aca="false">SUMIFS($K:$K,$E:$E,N467)</f>
        <v>4493.49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36</v>
      </c>
      <c r="D468" s="1" t="s">
        <v>1858</v>
      </c>
      <c r="E468" s="15" t="n">
        <v>46221</v>
      </c>
      <c r="F468" s="15" t="n">
        <v>46218</v>
      </c>
      <c r="G468" s="1" t="s">
        <v>101</v>
      </c>
      <c r="H468" s="1" t="n">
        <v>1414799</v>
      </c>
      <c r="I468" s="1" t="n">
        <v>11</v>
      </c>
      <c r="J468" s="1" t="s">
        <v>1753</v>
      </c>
      <c r="K468" s="46" t="n">
        <v>2827.44</v>
      </c>
      <c r="N468" s="67" t="n">
        <v>46221</v>
      </c>
      <c r="O468" s="1" t="n">
        <f aca="false">SUMIFS($K:$K,$E:$E,N468)</f>
        <v>4493.49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36</v>
      </c>
      <c r="D469" s="1" t="s">
        <v>1874</v>
      </c>
      <c r="E469" s="15" t="n">
        <v>46221</v>
      </c>
      <c r="F469" s="15" t="n">
        <v>46220</v>
      </c>
      <c r="G469" s="1" t="s">
        <v>1196</v>
      </c>
      <c r="H469" s="1" t="n">
        <v>1414980</v>
      </c>
      <c r="I469" s="1" t="n">
        <v>39</v>
      </c>
      <c r="J469" s="1" t="s">
        <v>1753</v>
      </c>
      <c r="K469" s="46" t="n">
        <v>1109.15</v>
      </c>
      <c r="N469" s="67" t="n">
        <v>46221</v>
      </c>
      <c r="O469" s="1" t="n">
        <f aca="false">SUMIFS($K:$K,$E:$E,N469)</f>
        <v>4493.49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49</v>
      </c>
      <c r="D470" s="1" t="s">
        <v>1754</v>
      </c>
      <c r="E470" s="15" t="n">
        <v>46223</v>
      </c>
      <c r="F470" s="15" t="n">
        <v>46220</v>
      </c>
      <c r="G470" s="1" t="s">
        <v>131</v>
      </c>
      <c r="H470" s="1" t="n">
        <v>1424515</v>
      </c>
      <c r="I470" s="1" t="n">
        <v>11</v>
      </c>
      <c r="J470" s="1" t="s">
        <v>1753</v>
      </c>
      <c r="K470" s="46" t="n">
        <v>49.45</v>
      </c>
      <c r="N470" s="67" t="n">
        <v>46223</v>
      </c>
      <c r="O470" s="1" t="n">
        <f aca="false">SUMIFS($K:$K,$E:$E,N470)</f>
        <v>12284.34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49</v>
      </c>
      <c r="D471" s="1" t="s">
        <v>1754</v>
      </c>
      <c r="E471" s="15" t="n">
        <v>46223</v>
      </c>
      <c r="F471" s="15" t="n">
        <v>46220</v>
      </c>
      <c r="G471" s="1" t="s">
        <v>131</v>
      </c>
      <c r="H471" s="1" t="n">
        <v>1424512</v>
      </c>
      <c r="I471" s="1" t="n">
        <v>11</v>
      </c>
      <c r="J471" s="1" t="s">
        <v>1753</v>
      </c>
      <c r="K471" s="46" t="n">
        <v>114.61</v>
      </c>
      <c r="N471" s="67" t="n">
        <v>46223</v>
      </c>
      <c r="O471" s="1" t="n">
        <f aca="false">SUMIFS($K:$K,$E:$E,N471)</f>
        <v>12284.34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67</v>
      </c>
      <c r="D472" s="1" t="s">
        <v>1754</v>
      </c>
      <c r="E472" s="15" t="n">
        <v>46223</v>
      </c>
      <c r="F472" s="15" t="n">
        <v>46220</v>
      </c>
      <c r="G472" s="1" t="s">
        <v>131</v>
      </c>
      <c r="H472" s="1" t="n">
        <v>1424518</v>
      </c>
      <c r="I472" s="1" t="n">
        <v>11</v>
      </c>
      <c r="J472" s="1" t="s">
        <v>1753</v>
      </c>
      <c r="K472" s="46" t="n">
        <v>637.11</v>
      </c>
      <c r="N472" s="67" t="n">
        <v>46223</v>
      </c>
      <c r="O472" s="1" t="n">
        <f aca="false">SUMIFS($K:$K,$E:$E,N472)</f>
        <v>12284.34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1796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1753</v>
      </c>
      <c r="K473" s="46" t="n">
        <v>2030.92</v>
      </c>
      <c r="N473" s="67" t="n">
        <v>46223</v>
      </c>
      <c r="O473" s="1" t="n">
        <f aca="false">SUMIFS($K:$K,$E:$E,N473)</f>
        <v>12284.34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1755</v>
      </c>
      <c r="D474" s="1" t="s">
        <v>1756</v>
      </c>
      <c r="E474" s="15" t="n">
        <v>46223</v>
      </c>
      <c r="F474" s="15" t="n">
        <v>46221</v>
      </c>
      <c r="G474" s="1" t="s">
        <v>416</v>
      </c>
      <c r="H474" s="1" t="n">
        <v>1423680</v>
      </c>
      <c r="I474" s="1" t="n">
        <v>11</v>
      </c>
      <c r="J474" s="1" t="s">
        <v>1753</v>
      </c>
      <c r="K474" s="46" t="n">
        <v>137</v>
      </c>
      <c r="N474" s="67" t="n">
        <v>46223</v>
      </c>
      <c r="O474" s="1" t="n">
        <f aca="false">SUMIFS($K:$K,$E:$E,N474)</f>
        <v>12284.34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36</v>
      </c>
      <c r="D475" s="1" t="s">
        <v>1873</v>
      </c>
      <c r="E475" s="15" t="n">
        <v>46223</v>
      </c>
      <c r="F475" s="15" t="n">
        <v>46223</v>
      </c>
      <c r="G475" s="1" t="s">
        <v>624</v>
      </c>
      <c r="H475" s="1" t="n">
        <v>1439460</v>
      </c>
      <c r="I475" s="1" t="n">
        <v>11</v>
      </c>
      <c r="J475" s="1" t="s">
        <v>1753</v>
      </c>
      <c r="K475" s="46" t="n">
        <v>140</v>
      </c>
      <c r="N475" s="67" t="n">
        <v>46223</v>
      </c>
      <c r="O475" s="1" t="n">
        <f aca="false">SUMIFS($K:$K,$E:$E,N475)</f>
        <v>12284.34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36</v>
      </c>
      <c r="D476" s="1" t="s">
        <v>1873</v>
      </c>
      <c r="E476" s="15" t="n">
        <v>46223</v>
      </c>
      <c r="F476" s="15" t="n">
        <v>46223</v>
      </c>
      <c r="G476" s="1" t="s">
        <v>624</v>
      </c>
      <c r="H476" s="1" t="n">
        <v>1439463</v>
      </c>
      <c r="I476" s="1" t="n">
        <v>11</v>
      </c>
      <c r="J476" s="1" t="s">
        <v>1753</v>
      </c>
      <c r="K476" s="46" t="n">
        <v>140</v>
      </c>
      <c r="N476" s="67" t="n">
        <v>46223</v>
      </c>
      <c r="O476" s="1" t="n">
        <f aca="false">SUMIFS($K:$K,$E:$E,N476)</f>
        <v>12284.34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36</v>
      </c>
      <c r="D477" s="1" t="s">
        <v>1770</v>
      </c>
      <c r="E477" s="15" t="n">
        <v>46223</v>
      </c>
      <c r="F477" s="15" t="n">
        <v>46223</v>
      </c>
      <c r="G477" s="1" t="s">
        <v>140</v>
      </c>
      <c r="H477" s="1" t="n">
        <v>1424565</v>
      </c>
      <c r="I477" s="1" t="n">
        <v>11</v>
      </c>
      <c r="J477" s="1" t="s">
        <v>1753</v>
      </c>
      <c r="K477" s="46" t="n">
        <v>199</v>
      </c>
      <c r="N477" s="67" t="n">
        <v>46223</v>
      </c>
      <c r="O477" s="1" t="n">
        <f aca="false">SUMIFS($K:$K,$E:$E,N477)</f>
        <v>12284.34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36</v>
      </c>
      <c r="D478" s="1" t="s">
        <v>1757</v>
      </c>
      <c r="E478" s="15" t="n">
        <v>46223</v>
      </c>
      <c r="F478" s="15" t="n">
        <v>46221</v>
      </c>
      <c r="G478" s="1" t="s">
        <v>272</v>
      </c>
      <c r="H478" s="1" t="n">
        <v>1424326</v>
      </c>
      <c r="I478" s="1" t="n">
        <v>11</v>
      </c>
      <c r="J478" s="1" t="s">
        <v>1753</v>
      </c>
      <c r="K478" s="46" t="n">
        <v>3804</v>
      </c>
      <c r="N478" s="67" t="n">
        <v>46223</v>
      </c>
      <c r="O478" s="1" t="n">
        <f aca="false">SUMIFS($K:$K,$E:$E,N478)</f>
        <v>12284.34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36</v>
      </c>
      <c r="D479" s="1" t="s">
        <v>1766</v>
      </c>
      <c r="E479" s="15" t="n">
        <v>46223</v>
      </c>
      <c r="F479" s="15" t="n">
        <v>46223</v>
      </c>
      <c r="G479" s="1" t="s">
        <v>146</v>
      </c>
      <c r="H479" s="1" t="n">
        <v>1423704</v>
      </c>
      <c r="I479" s="1" t="n">
        <v>6</v>
      </c>
      <c r="J479" s="1" t="s">
        <v>1753</v>
      </c>
      <c r="K479" s="46" t="n">
        <v>949</v>
      </c>
      <c r="N479" s="67" t="n">
        <v>46223</v>
      </c>
      <c r="O479" s="1" t="n">
        <f aca="false">SUMIFS($K:$K,$E:$E,N479)</f>
        <v>12284.34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36</v>
      </c>
      <c r="D480" s="1" t="s">
        <v>1766</v>
      </c>
      <c r="E480" s="15" t="n">
        <v>46223</v>
      </c>
      <c r="F480" s="15" t="n">
        <v>46223</v>
      </c>
      <c r="G480" s="1" t="s">
        <v>146</v>
      </c>
      <c r="H480" s="1" t="n">
        <v>1425087</v>
      </c>
      <c r="I480" s="1" t="n">
        <v>6</v>
      </c>
      <c r="J480" s="1" t="s">
        <v>1753</v>
      </c>
      <c r="K480" s="46" t="n">
        <v>210</v>
      </c>
      <c r="N480" s="67" t="n">
        <v>46223</v>
      </c>
      <c r="O480" s="1" t="n">
        <f aca="false">SUMIFS($K:$K,$E:$E,N480)</f>
        <v>12284.34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36</v>
      </c>
      <c r="D481" s="1" t="s">
        <v>1853</v>
      </c>
      <c r="E481" s="15" t="n">
        <v>46223</v>
      </c>
      <c r="F481" s="15" t="n">
        <v>46219</v>
      </c>
      <c r="G481" s="1" t="s">
        <v>280</v>
      </c>
      <c r="H481" s="1" t="n">
        <v>1424623</v>
      </c>
      <c r="I481" s="1" t="n">
        <v>11</v>
      </c>
      <c r="J481" s="1" t="s">
        <v>1753</v>
      </c>
      <c r="K481" s="46" t="n">
        <v>1785.13</v>
      </c>
      <c r="N481" s="67" t="n">
        <v>46223</v>
      </c>
      <c r="O481" s="1" t="n">
        <f aca="false">SUMIFS($K:$K,$E:$E,N481)</f>
        <v>12284.34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36</v>
      </c>
      <c r="D482" s="1" t="s">
        <v>1826</v>
      </c>
      <c r="E482" s="15" t="n">
        <v>46223</v>
      </c>
      <c r="F482" s="15" t="n">
        <v>46219</v>
      </c>
      <c r="G482" s="1" t="s">
        <v>338</v>
      </c>
      <c r="H482" s="1" t="n">
        <v>1423713</v>
      </c>
      <c r="I482" s="1" t="n">
        <v>11</v>
      </c>
      <c r="J482" s="1" t="s">
        <v>1753</v>
      </c>
      <c r="K482" s="46" t="n">
        <v>1143</v>
      </c>
      <c r="N482" s="67" t="n">
        <v>46223</v>
      </c>
      <c r="O482" s="1" t="n">
        <f aca="false">SUMIFS($K:$K,$E:$E,N482)</f>
        <v>12284.34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36</v>
      </c>
      <c r="D483" s="1" t="s">
        <v>1845</v>
      </c>
      <c r="E483" s="15" t="n">
        <v>46223</v>
      </c>
      <c r="F483" s="15" t="n">
        <v>46220</v>
      </c>
      <c r="G483" s="1" t="s">
        <v>176</v>
      </c>
      <c r="H483" s="1" t="n">
        <v>1423821</v>
      </c>
      <c r="I483" s="1" t="n">
        <v>11</v>
      </c>
      <c r="J483" s="1" t="s">
        <v>1753</v>
      </c>
      <c r="K483" s="46" t="n">
        <v>945.12</v>
      </c>
      <c r="N483" s="67" t="n">
        <v>46223</v>
      </c>
      <c r="O483" s="1" t="n">
        <f aca="false">SUMIFS($K:$K,$E:$E,N483)</f>
        <v>12284.34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36</v>
      </c>
      <c r="D484" s="1" t="s">
        <v>1875</v>
      </c>
      <c r="E484" s="15" t="n">
        <v>46224</v>
      </c>
      <c r="F484" s="15" t="n">
        <v>46223</v>
      </c>
      <c r="G484" s="1" t="s">
        <v>328</v>
      </c>
      <c r="H484" s="1" t="n">
        <v>1427596</v>
      </c>
      <c r="I484" s="1" t="n">
        <v>39</v>
      </c>
      <c r="J484" s="1" t="s">
        <v>1753</v>
      </c>
      <c r="K484" s="46" t="n">
        <v>800</v>
      </c>
      <c r="N484" s="67" t="n">
        <v>46224</v>
      </c>
      <c r="O484" s="1" t="n">
        <f aca="false">SUMIFS($K:$K,$E:$E,N484)</f>
        <v>3256.35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1755</v>
      </c>
      <c r="D485" s="1" t="s">
        <v>1756</v>
      </c>
      <c r="E485" s="15" t="n">
        <v>46224</v>
      </c>
      <c r="F485" s="15" t="n">
        <v>46223</v>
      </c>
      <c r="G485" s="1" t="s">
        <v>416</v>
      </c>
      <c r="H485" s="1" t="n">
        <v>1427577</v>
      </c>
      <c r="I485" s="1" t="n">
        <v>11</v>
      </c>
      <c r="J485" s="1" t="s">
        <v>1753</v>
      </c>
      <c r="K485" s="46" t="n">
        <v>151</v>
      </c>
      <c r="N485" s="67" t="n">
        <v>46224</v>
      </c>
      <c r="O485" s="1" t="n">
        <f aca="false">SUMIFS($K:$K,$E:$E,N485)</f>
        <v>3256.35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36</v>
      </c>
      <c r="D486" s="1" t="s">
        <v>1774</v>
      </c>
      <c r="E486" s="15" t="n">
        <v>46224</v>
      </c>
      <c r="F486" s="15" t="n">
        <v>46223</v>
      </c>
      <c r="G486" s="1" t="s">
        <v>187</v>
      </c>
      <c r="H486" s="1" t="n">
        <v>1427544</v>
      </c>
      <c r="I486" s="1" t="n">
        <v>11</v>
      </c>
      <c r="J486" s="1" t="s">
        <v>1753</v>
      </c>
      <c r="K486" s="46" t="n">
        <v>179</v>
      </c>
      <c r="N486" s="67" t="n">
        <v>46224</v>
      </c>
      <c r="O486" s="1" t="n">
        <f aca="false">SUMIFS($K:$K,$E:$E,N486)</f>
        <v>3256.35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36</v>
      </c>
      <c r="D487" s="1" t="s">
        <v>1766</v>
      </c>
      <c r="E487" s="15" t="n">
        <v>46224</v>
      </c>
      <c r="F487" s="15" t="n">
        <v>46224</v>
      </c>
      <c r="G487" s="1" t="s">
        <v>146</v>
      </c>
      <c r="H487" s="1" t="n">
        <v>1429010</v>
      </c>
      <c r="I487" s="1" t="n">
        <v>6</v>
      </c>
      <c r="J487" s="1" t="s">
        <v>1753</v>
      </c>
      <c r="K487" s="46" t="n">
        <v>1446.94</v>
      </c>
      <c r="N487" s="67" t="n">
        <v>46224</v>
      </c>
      <c r="O487" s="1" t="n">
        <f aca="false">SUMIFS($K:$K,$E:$E,N487)</f>
        <v>3256.35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36</v>
      </c>
      <c r="D488" s="1" t="s">
        <v>1766</v>
      </c>
      <c r="E488" s="15" t="n">
        <v>46224</v>
      </c>
      <c r="F488" s="15" t="n">
        <v>46224</v>
      </c>
      <c r="G488" s="1" t="s">
        <v>146</v>
      </c>
      <c r="H488" s="1" t="n">
        <v>1429542</v>
      </c>
      <c r="I488" s="1" t="n">
        <v>6</v>
      </c>
      <c r="J488" s="1" t="s">
        <v>1753</v>
      </c>
      <c r="K488" s="46" t="n">
        <v>55</v>
      </c>
      <c r="N488" s="67" t="n">
        <v>46224</v>
      </c>
      <c r="O488" s="1" t="n">
        <f aca="false">SUMIFS($K:$K,$E:$E,N488)</f>
        <v>3256.35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36</v>
      </c>
      <c r="D489" s="1" t="s">
        <v>1766</v>
      </c>
      <c r="E489" s="15" t="n">
        <v>46224</v>
      </c>
      <c r="F489" s="15" t="n">
        <v>46224</v>
      </c>
      <c r="G489" s="1" t="s">
        <v>146</v>
      </c>
      <c r="H489" s="1" t="n">
        <v>1429592</v>
      </c>
      <c r="I489" s="1" t="n">
        <v>6</v>
      </c>
      <c r="J489" s="1" t="s">
        <v>1753</v>
      </c>
      <c r="K489" s="46" t="n">
        <v>210</v>
      </c>
      <c r="N489" s="67" t="n">
        <v>46224</v>
      </c>
      <c r="O489" s="1" t="n">
        <f aca="false">SUMIFS($K:$K,$E:$E,N489)</f>
        <v>3256.35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36</v>
      </c>
      <c r="D490" s="1" t="s">
        <v>1767</v>
      </c>
      <c r="E490" s="15" t="n">
        <v>46224</v>
      </c>
      <c r="F490" s="15" t="n">
        <v>46223</v>
      </c>
      <c r="G490" s="1" t="s">
        <v>105</v>
      </c>
      <c r="H490" s="1" t="n">
        <v>1427554</v>
      </c>
      <c r="I490" s="1" t="n">
        <v>11</v>
      </c>
      <c r="J490" s="1" t="s">
        <v>1753</v>
      </c>
      <c r="K490" s="46" t="n">
        <v>232.05</v>
      </c>
      <c r="N490" s="67" t="n">
        <v>46224</v>
      </c>
      <c r="O490" s="1" t="n">
        <f aca="false">SUMIFS($K:$K,$E:$E,N490)</f>
        <v>3256.35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88</v>
      </c>
      <c r="D491" s="1" t="s">
        <v>1758</v>
      </c>
      <c r="E491" s="15" t="n">
        <v>46224</v>
      </c>
      <c r="F491" s="15" t="n">
        <v>46223</v>
      </c>
      <c r="G491" s="1" t="s">
        <v>211</v>
      </c>
      <c r="H491" s="1" t="n">
        <v>1427568</v>
      </c>
      <c r="I491" s="1" t="n">
        <v>11</v>
      </c>
      <c r="J491" s="1" t="s">
        <v>1753</v>
      </c>
      <c r="K491" s="46" t="n">
        <v>182.36</v>
      </c>
      <c r="N491" s="67" t="n">
        <v>46224</v>
      </c>
      <c r="O491" s="1" t="n">
        <f aca="false">SUMIFS($K:$K,$E:$E,N491)</f>
        <v>3256.35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76</v>
      </c>
      <c r="D492" s="1" t="s">
        <v>1768</v>
      </c>
      <c r="E492" s="15" t="n">
        <v>46225</v>
      </c>
      <c r="F492" s="15" t="n">
        <v>46224</v>
      </c>
      <c r="G492" s="1" t="s">
        <v>129</v>
      </c>
      <c r="H492" s="1" t="n">
        <v>1435965</v>
      </c>
      <c r="I492" s="1" t="n">
        <v>11</v>
      </c>
      <c r="J492" s="1" t="s">
        <v>1753</v>
      </c>
      <c r="K492" s="46" t="n">
        <v>328.54</v>
      </c>
      <c r="N492" s="67" t="n">
        <v>46225</v>
      </c>
      <c r="O492" s="1" t="n">
        <f aca="false">SUMIFS($K:$K,$E:$E,N492)</f>
        <v>10284.26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49</v>
      </c>
      <c r="D493" s="1" t="s">
        <v>1754</v>
      </c>
      <c r="E493" s="15" t="n">
        <v>46225</v>
      </c>
      <c r="F493" s="15" t="n">
        <v>46224</v>
      </c>
      <c r="G493" s="1" t="s">
        <v>131</v>
      </c>
      <c r="H493" s="1" t="n">
        <v>1435821</v>
      </c>
      <c r="I493" s="1" t="n">
        <v>11</v>
      </c>
      <c r="J493" s="1" t="s">
        <v>1753</v>
      </c>
      <c r="K493" s="46" t="n">
        <v>203.42</v>
      </c>
      <c r="N493" s="67" t="n">
        <v>46225</v>
      </c>
      <c r="O493" s="1" t="n">
        <f aca="false">SUMIFS($K:$K,$E:$E,N493)</f>
        <v>10284.26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67</v>
      </c>
      <c r="D494" s="1" t="s">
        <v>1754</v>
      </c>
      <c r="E494" s="15" t="n">
        <v>46225</v>
      </c>
      <c r="F494" s="15" t="n">
        <v>46224</v>
      </c>
      <c r="G494" s="1" t="s">
        <v>131</v>
      </c>
      <c r="H494" s="1" t="n">
        <v>1435826</v>
      </c>
      <c r="I494" s="1" t="n">
        <v>11</v>
      </c>
      <c r="J494" s="1" t="s">
        <v>1753</v>
      </c>
      <c r="K494" s="46" t="n">
        <v>1712.69</v>
      </c>
      <c r="N494" s="67" t="n">
        <v>46225</v>
      </c>
      <c r="O494" s="1" t="n">
        <f aca="false">SUMIFS($K:$K,$E:$E,N494)</f>
        <v>10284.26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36</v>
      </c>
      <c r="D495" s="1" t="s">
        <v>1850</v>
      </c>
      <c r="E495" s="15" t="n">
        <v>46225</v>
      </c>
      <c r="F495" s="15" t="n">
        <v>46225</v>
      </c>
      <c r="G495" s="1" t="s">
        <v>813</v>
      </c>
      <c r="H495" s="1" t="n">
        <v>1435793</v>
      </c>
      <c r="I495" s="1" t="n">
        <v>11</v>
      </c>
      <c r="J495" s="1" t="s">
        <v>1753</v>
      </c>
      <c r="K495" s="46" t="n">
        <v>1040</v>
      </c>
      <c r="N495" s="67" t="n">
        <v>46225</v>
      </c>
      <c r="O495" s="1" t="n">
        <f aca="false">SUMIFS($K:$K,$E:$E,N495)</f>
        <v>10284.26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36</v>
      </c>
      <c r="D496" s="1" t="s">
        <v>1764</v>
      </c>
      <c r="E496" s="15" t="n">
        <v>46225</v>
      </c>
      <c r="F496" s="15" t="n">
        <v>46223</v>
      </c>
      <c r="G496" s="1" t="s">
        <v>224</v>
      </c>
      <c r="H496" s="1" t="n">
        <v>1434765</v>
      </c>
      <c r="I496" s="1" t="n">
        <v>11</v>
      </c>
      <c r="J496" s="1" t="s">
        <v>1753</v>
      </c>
      <c r="K496" s="46" t="n">
        <v>554.4</v>
      </c>
      <c r="N496" s="67" t="n">
        <v>46225</v>
      </c>
      <c r="O496" s="1" t="n">
        <f aca="false">SUMIFS($K:$K,$E:$E,N496)</f>
        <v>10284.26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36</v>
      </c>
      <c r="D497" s="1" t="s">
        <v>1873</v>
      </c>
      <c r="E497" s="15" t="n">
        <v>46225</v>
      </c>
      <c r="F497" s="15" t="n">
        <v>46220</v>
      </c>
      <c r="G497" s="1" t="s">
        <v>624</v>
      </c>
      <c r="H497" s="1" t="n">
        <v>1439039</v>
      </c>
      <c r="I497" s="1" t="n">
        <v>11</v>
      </c>
      <c r="J497" s="1" t="s">
        <v>1753</v>
      </c>
      <c r="K497" s="46" t="n">
        <v>120</v>
      </c>
      <c r="N497" s="67" t="n">
        <v>46225</v>
      </c>
      <c r="O497" s="1" t="n">
        <f aca="false">SUMIFS($K:$K,$E:$E,N497)</f>
        <v>10284.26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36</v>
      </c>
      <c r="D498" s="1" t="s">
        <v>1775</v>
      </c>
      <c r="E498" s="15" t="n">
        <v>46225</v>
      </c>
      <c r="F498" s="15" t="n">
        <v>46225</v>
      </c>
      <c r="G498" s="1" t="s">
        <v>103</v>
      </c>
      <c r="H498" s="1" t="n">
        <v>1435769</v>
      </c>
      <c r="I498" s="1" t="n">
        <v>11</v>
      </c>
      <c r="J498" s="1" t="s">
        <v>1753</v>
      </c>
      <c r="K498" s="46" t="n">
        <v>409.65</v>
      </c>
      <c r="N498" s="67" t="n">
        <v>46225</v>
      </c>
      <c r="O498" s="1" t="n">
        <f aca="false">SUMIFS($K:$K,$E:$E,N498)</f>
        <v>10284.26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36</v>
      </c>
      <c r="D499" s="1" t="s">
        <v>1777</v>
      </c>
      <c r="E499" s="15" t="n">
        <v>46225</v>
      </c>
      <c r="F499" s="15" t="n">
        <v>46224</v>
      </c>
      <c r="G499" s="1" t="s">
        <v>180</v>
      </c>
      <c r="H499" s="1" t="n">
        <v>1436038</v>
      </c>
      <c r="I499" s="1" t="n">
        <v>11</v>
      </c>
      <c r="J499" s="1" t="s">
        <v>1753</v>
      </c>
      <c r="K499" s="46" t="n">
        <v>3493.2</v>
      </c>
      <c r="N499" s="67" t="n">
        <v>46225</v>
      </c>
      <c r="O499" s="1" t="n">
        <f aca="false">SUMIFS($K:$K,$E:$E,N499)</f>
        <v>10284.26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36</v>
      </c>
      <c r="D500" s="1" t="s">
        <v>1790</v>
      </c>
      <c r="E500" s="15" t="n">
        <v>46225</v>
      </c>
      <c r="F500" s="15" t="n">
        <v>46224</v>
      </c>
      <c r="G500" s="1" t="s">
        <v>340</v>
      </c>
      <c r="H500" s="1" t="n">
        <v>1435876</v>
      </c>
      <c r="I500" s="1" t="n">
        <v>11</v>
      </c>
      <c r="J500" s="1" t="s">
        <v>1753</v>
      </c>
      <c r="K500" s="46" t="n">
        <v>1821.1</v>
      </c>
      <c r="N500" s="67" t="n">
        <v>46225</v>
      </c>
      <c r="O500" s="1" t="n">
        <f aca="false">SUMIFS($K:$K,$E:$E,N500)</f>
        <v>10284.26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1816</v>
      </c>
      <c r="D501" s="1" t="s">
        <v>1838</v>
      </c>
      <c r="E501" s="15" t="n">
        <v>46225</v>
      </c>
      <c r="F501" s="15" t="n">
        <v>46224</v>
      </c>
      <c r="G501" s="1" t="s">
        <v>135</v>
      </c>
      <c r="H501" s="1" t="n">
        <v>1436101</v>
      </c>
      <c r="I501" s="1" t="n">
        <v>39</v>
      </c>
      <c r="J501" s="1" t="s">
        <v>1753</v>
      </c>
      <c r="K501" s="46" t="n">
        <v>391.26</v>
      </c>
      <c r="N501" s="67" t="n">
        <v>46225</v>
      </c>
      <c r="O501" s="1" t="n">
        <f aca="false">SUMIFS($K:$K,$E:$E,N501)</f>
        <v>10284.26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36</v>
      </c>
      <c r="D502" s="1" t="s">
        <v>1766</v>
      </c>
      <c r="E502" s="15" t="n">
        <v>46225</v>
      </c>
      <c r="F502" s="15" t="n">
        <v>46225</v>
      </c>
      <c r="G502" s="1" t="s">
        <v>146</v>
      </c>
      <c r="H502" s="1" t="n">
        <v>1435859</v>
      </c>
      <c r="I502" s="1" t="n">
        <v>6</v>
      </c>
      <c r="J502" s="1" t="s">
        <v>1753</v>
      </c>
      <c r="K502" s="46" t="n">
        <v>210</v>
      </c>
      <c r="N502" s="67" t="n">
        <v>46225</v>
      </c>
      <c r="O502" s="1" t="n">
        <f aca="false">SUMIFS($K:$K,$E:$E,N502)</f>
        <v>10284.26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36</v>
      </c>
      <c r="D503" s="1" t="s">
        <v>1810</v>
      </c>
      <c r="E503" s="15" t="n">
        <v>46226</v>
      </c>
      <c r="F503" s="15" t="n">
        <v>46225</v>
      </c>
      <c r="G503" s="1" t="s">
        <v>220</v>
      </c>
      <c r="H503" s="1" t="n">
        <v>1439398</v>
      </c>
      <c r="I503" s="1" t="n">
        <v>11</v>
      </c>
      <c r="J503" s="1" t="s">
        <v>1753</v>
      </c>
      <c r="K503" s="46" t="n">
        <v>3018.1</v>
      </c>
      <c r="N503" s="67" t="n">
        <v>46226</v>
      </c>
      <c r="O503" s="1" t="n">
        <f aca="false">SUMIFS($K:$K,$E:$E,N503)</f>
        <v>18216.08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36</v>
      </c>
      <c r="D504" s="1" t="s">
        <v>1769</v>
      </c>
      <c r="E504" s="15" t="n">
        <v>46226</v>
      </c>
      <c r="F504" s="15" t="n">
        <v>46225</v>
      </c>
      <c r="G504" s="1" t="s">
        <v>373</v>
      </c>
      <c r="H504" s="1" t="n">
        <v>1439203</v>
      </c>
      <c r="I504" s="1" t="n">
        <v>11</v>
      </c>
      <c r="J504" s="1" t="s">
        <v>1753</v>
      </c>
      <c r="K504" s="46" t="n">
        <v>3811.4</v>
      </c>
      <c r="N504" s="67" t="n">
        <v>46226</v>
      </c>
      <c r="O504" s="1" t="n">
        <f aca="false">SUMIFS($K:$K,$E:$E,N504)</f>
        <v>18216.08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36</v>
      </c>
      <c r="D505" s="1" t="s">
        <v>1764</v>
      </c>
      <c r="E505" s="15" t="n">
        <v>46226</v>
      </c>
      <c r="F505" s="15" t="n">
        <v>46225</v>
      </c>
      <c r="G505" s="1" t="s">
        <v>224</v>
      </c>
      <c r="H505" s="1" t="n">
        <v>1439289</v>
      </c>
      <c r="I505" s="1" t="n">
        <v>11</v>
      </c>
      <c r="J505" s="1" t="s">
        <v>1753</v>
      </c>
      <c r="K505" s="46" t="n">
        <v>1188</v>
      </c>
      <c r="N505" s="67" t="n">
        <v>46226</v>
      </c>
      <c r="O505" s="1" t="n">
        <f aca="false">SUMIFS($K:$K,$E:$E,N505)</f>
        <v>18216.08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36</v>
      </c>
      <c r="D506" s="1" t="s">
        <v>1803</v>
      </c>
      <c r="E506" s="15" t="n">
        <v>46226</v>
      </c>
      <c r="F506" s="15" t="n">
        <v>46225</v>
      </c>
      <c r="G506" s="1" t="s">
        <v>94</v>
      </c>
      <c r="H506" s="1" t="n">
        <v>1440005</v>
      </c>
      <c r="I506" s="1" t="n">
        <v>11</v>
      </c>
      <c r="J506" s="1" t="s">
        <v>1753</v>
      </c>
      <c r="K506" s="46" t="n">
        <v>727.23</v>
      </c>
      <c r="N506" s="67" t="n">
        <v>46226</v>
      </c>
      <c r="O506" s="1" t="n">
        <f aca="false">SUMIFS($K:$K,$E:$E,N506)</f>
        <v>18216.08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1755</v>
      </c>
      <c r="D507" s="1" t="s">
        <v>1756</v>
      </c>
      <c r="E507" s="15" t="n">
        <v>46226</v>
      </c>
      <c r="F507" s="15" t="n">
        <v>46225</v>
      </c>
      <c r="G507" s="1" t="s">
        <v>416</v>
      </c>
      <c r="H507" s="1" t="n">
        <v>1438798</v>
      </c>
      <c r="I507" s="1" t="n">
        <v>11</v>
      </c>
      <c r="J507" s="1" t="s">
        <v>1753</v>
      </c>
      <c r="K507" s="46" t="n">
        <v>130.5</v>
      </c>
      <c r="N507" s="67" t="n">
        <v>46226</v>
      </c>
      <c r="O507" s="1" t="n">
        <f aca="false">SUMIFS($K:$K,$E:$E,N507)</f>
        <v>18216.08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85</v>
      </c>
      <c r="D508" s="1" t="s">
        <v>1820</v>
      </c>
      <c r="E508" s="15" t="n">
        <v>46226</v>
      </c>
      <c r="F508" s="15" t="n">
        <v>46221</v>
      </c>
      <c r="G508" s="1" t="s">
        <v>628</v>
      </c>
      <c r="H508" s="1" t="n">
        <v>1438828</v>
      </c>
      <c r="I508" s="1" t="n">
        <v>11</v>
      </c>
      <c r="J508" s="1" t="s">
        <v>1753</v>
      </c>
      <c r="K508" s="46" t="n">
        <v>6005.5</v>
      </c>
      <c r="N508" s="67" t="n">
        <v>46226</v>
      </c>
      <c r="O508" s="1" t="n">
        <f aca="false">SUMIFS($K:$K,$E:$E,N508)</f>
        <v>18216.08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36</v>
      </c>
      <c r="D509" s="1" t="s">
        <v>1876</v>
      </c>
      <c r="E509" s="15" t="n">
        <v>46226</v>
      </c>
      <c r="F509" s="15" t="n">
        <v>46225</v>
      </c>
      <c r="G509" s="1" t="s">
        <v>178</v>
      </c>
      <c r="H509" s="1" t="n">
        <v>1439313</v>
      </c>
      <c r="I509" s="1" t="n">
        <v>11</v>
      </c>
      <c r="J509" s="1" t="s">
        <v>1753</v>
      </c>
      <c r="K509" s="46" t="n">
        <v>1009.92</v>
      </c>
      <c r="N509" s="67" t="n">
        <v>46226</v>
      </c>
      <c r="O509" s="1" t="n">
        <f aca="false">SUMIFS($K:$K,$E:$E,N509)</f>
        <v>18216.08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76</v>
      </c>
      <c r="D510" s="1" t="s">
        <v>1852</v>
      </c>
      <c r="E510" s="15" t="n">
        <v>46226</v>
      </c>
      <c r="F510" s="15" t="n">
        <v>46221</v>
      </c>
      <c r="G510" s="1" t="s">
        <v>330</v>
      </c>
      <c r="H510" s="1" t="n">
        <v>1438943</v>
      </c>
      <c r="I510" s="1" t="n">
        <v>11</v>
      </c>
      <c r="J510" s="1" t="s">
        <v>1753</v>
      </c>
      <c r="K510" s="46" t="n">
        <v>1773.2</v>
      </c>
      <c r="N510" s="67" t="n">
        <v>46226</v>
      </c>
      <c r="O510" s="1" t="n">
        <f aca="false">SUMIFS($K:$K,$E:$E,N510)</f>
        <v>18216.08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88</v>
      </c>
      <c r="D511" s="1" t="s">
        <v>1758</v>
      </c>
      <c r="E511" s="15" t="n">
        <v>46226</v>
      </c>
      <c r="F511" s="15" t="n">
        <v>46225</v>
      </c>
      <c r="G511" s="1" t="s">
        <v>211</v>
      </c>
      <c r="H511" s="1" t="n">
        <v>1438982</v>
      </c>
      <c r="I511" s="1" t="n">
        <v>11</v>
      </c>
      <c r="J511" s="1" t="s">
        <v>1753</v>
      </c>
      <c r="K511" s="46" t="n">
        <v>247.23</v>
      </c>
      <c r="N511" s="67" t="n">
        <v>46226</v>
      </c>
      <c r="O511" s="1" t="n">
        <f aca="false">SUMIFS($K:$K,$E:$E,N511)</f>
        <v>18216.08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61</v>
      </c>
      <c r="D512" s="1" t="s">
        <v>1799</v>
      </c>
      <c r="E512" s="15" t="n">
        <v>46226</v>
      </c>
      <c r="F512" s="15" t="n">
        <v>46225</v>
      </c>
      <c r="G512" s="1" t="s">
        <v>464</v>
      </c>
      <c r="H512" s="1" t="n">
        <v>1439986</v>
      </c>
      <c r="I512" s="1" t="n">
        <v>11</v>
      </c>
      <c r="J512" s="1" t="s">
        <v>1753</v>
      </c>
      <c r="K512" s="46" t="n">
        <v>305</v>
      </c>
      <c r="N512" s="67" t="n">
        <v>46226</v>
      </c>
      <c r="O512" s="1" t="n">
        <f aca="false">SUMIFS($K:$K,$E:$E,N512)</f>
        <v>18216.08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36</v>
      </c>
      <c r="D513" s="1" t="s">
        <v>1779</v>
      </c>
      <c r="E513" s="15" t="n">
        <v>46227</v>
      </c>
      <c r="F513" s="15" t="n">
        <v>46227</v>
      </c>
      <c r="G513" s="1" t="s">
        <v>182</v>
      </c>
      <c r="H513" s="1" t="n">
        <v>1443802</v>
      </c>
      <c r="I513" s="1" t="n">
        <v>11</v>
      </c>
      <c r="J513" s="1" t="s">
        <v>1753</v>
      </c>
      <c r="K513" s="46" t="n">
        <v>581.65</v>
      </c>
      <c r="N513" s="67" t="n">
        <v>46227</v>
      </c>
      <c r="O513" s="1" t="n">
        <f aca="false">SUMIFS($K:$K,$E:$E,N513)</f>
        <v>28411.93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36</v>
      </c>
      <c r="D514" s="1" t="s">
        <v>1802</v>
      </c>
      <c r="E514" s="15" t="n">
        <v>46227</v>
      </c>
      <c r="F514" s="15" t="n">
        <v>46227</v>
      </c>
      <c r="G514" s="1" t="s">
        <v>107</v>
      </c>
      <c r="H514" s="1" t="n">
        <v>1443728</v>
      </c>
      <c r="I514" s="1" t="n">
        <v>11</v>
      </c>
      <c r="J514" s="1" t="s">
        <v>1753</v>
      </c>
      <c r="K514" s="46" t="n">
        <v>791.24</v>
      </c>
      <c r="N514" s="67" t="n">
        <v>46227</v>
      </c>
      <c r="O514" s="1" t="n">
        <f aca="false">SUMIFS($K:$K,$E:$E,N514)</f>
        <v>28411.93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36</v>
      </c>
      <c r="D515" s="1" t="s">
        <v>1763</v>
      </c>
      <c r="E515" s="15" t="n">
        <v>46227</v>
      </c>
      <c r="F515" s="15" t="n">
        <v>46226</v>
      </c>
      <c r="G515" s="1" t="s">
        <v>233</v>
      </c>
      <c r="H515" s="1" t="n">
        <v>1443650</v>
      </c>
      <c r="I515" s="1" t="n">
        <v>11</v>
      </c>
      <c r="J515" s="1" t="s">
        <v>1753</v>
      </c>
      <c r="K515" s="46" t="n">
        <v>254</v>
      </c>
      <c r="N515" s="67" t="n">
        <v>46227</v>
      </c>
      <c r="O515" s="1" t="n">
        <f aca="false">SUMIFS($K:$K,$E:$E,N515)</f>
        <v>28411.93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36</v>
      </c>
      <c r="D516" s="1" t="s">
        <v>1764</v>
      </c>
      <c r="E516" s="15" t="n">
        <v>46227</v>
      </c>
      <c r="F516" s="15" t="n">
        <v>46226</v>
      </c>
      <c r="G516" s="1" t="s">
        <v>224</v>
      </c>
      <c r="H516" s="1" t="n">
        <v>1444838</v>
      </c>
      <c r="I516" s="1" t="n">
        <v>11</v>
      </c>
      <c r="J516" s="1" t="s">
        <v>1753</v>
      </c>
      <c r="K516" s="46" t="n">
        <v>1111.12</v>
      </c>
      <c r="N516" s="67" t="n">
        <v>46227</v>
      </c>
      <c r="O516" s="1" t="n">
        <f aca="false">SUMIFS($K:$K,$E:$E,N516)</f>
        <v>28411.93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36</v>
      </c>
      <c r="D517" s="1" t="s">
        <v>1764</v>
      </c>
      <c r="E517" s="15" t="n">
        <v>46227</v>
      </c>
      <c r="F517" s="15" t="n">
        <v>46226</v>
      </c>
      <c r="G517" s="1" t="s">
        <v>224</v>
      </c>
      <c r="H517" s="1" t="n">
        <v>1443660</v>
      </c>
      <c r="I517" s="1" t="n">
        <v>11</v>
      </c>
      <c r="J517" s="1" t="s">
        <v>1753</v>
      </c>
      <c r="K517" s="46" t="n">
        <v>590.09</v>
      </c>
      <c r="N517" s="67" t="n">
        <v>46227</v>
      </c>
      <c r="O517" s="1" t="n">
        <f aca="false">SUMIFS($K:$K,$E:$E,N517)</f>
        <v>28411.93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1755</v>
      </c>
      <c r="D518" s="1" t="s">
        <v>1756</v>
      </c>
      <c r="E518" s="15" t="n">
        <v>46227</v>
      </c>
      <c r="F518" s="15" t="n">
        <v>46227</v>
      </c>
      <c r="G518" s="1" t="s">
        <v>416</v>
      </c>
      <c r="H518" s="1" t="n">
        <v>1444716</v>
      </c>
      <c r="I518" s="1" t="n">
        <v>11</v>
      </c>
      <c r="J518" s="1" t="s">
        <v>1753</v>
      </c>
      <c r="K518" s="46" t="n">
        <v>71.5</v>
      </c>
      <c r="N518" s="67" t="n">
        <v>46227</v>
      </c>
      <c r="O518" s="1" t="n">
        <f aca="false">SUMIFS($K:$K,$E:$E,N518)</f>
        <v>28411.93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36</v>
      </c>
      <c r="D519" s="1" t="s">
        <v>1868</v>
      </c>
      <c r="E519" s="15" t="n">
        <v>46227</v>
      </c>
      <c r="F519" s="15" t="n">
        <v>46226</v>
      </c>
      <c r="G519" s="1" t="s">
        <v>1089</v>
      </c>
      <c r="H519" s="1" t="n">
        <v>1443898</v>
      </c>
      <c r="I519" s="1" t="n">
        <v>39</v>
      </c>
      <c r="J519" s="1" t="s">
        <v>1753</v>
      </c>
      <c r="K519" s="46" t="n">
        <v>325</v>
      </c>
      <c r="N519" s="67" t="n">
        <v>46227</v>
      </c>
      <c r="O519" s="1" t="n">
        <f aca="false">SUMIFS($K:$K,$E:$E,N519)</f>
        <v>28411.93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36</v>
      </c>
      <c r="D520" s="1" t="s">
        <v>1783</v>
      </c>
      <c r="E520" s="15" t="n">
        <v>46227</v>
      </c>
      <c r="F520" s="15" t="n">
        <v>46227</v>
      </c>
      <c r="G520" s="1" t="s">
        <v>109</v>
      </c>
      <c r="H520" s="1" t="n">
        <v>1443784</v>
      </c>
      <c r="I520" s="1" t="n">
        <v>11</v>
      </c>
      <c r="J520" s="1" t="s">
        <v>1753</v>
      </c>
      <c r="K520" s="46" t="n">
        <v>270</v>
      </c>
      <c r="N520" s="67" t="n">
        <v>46227</v>
      </c>
      <c r="O520" s="1" t="n">
        <f aca="false">SUMIFS($K:$K,$E:$E,N520)</f>
        <v>28411.93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76</v>
      </c>
      <c r="D521" s="1" t="s">
        <v>1877</v>
      </c>
      <c r="E521" s="15" t="n">
        <v>46227</v>
      </c>
      <c r="F521" s="15" t="n">
        <v>46226</v>
      </c>
      <c r="G521" s="1" t="s">
        <v>1198</v>
      </c>
      <c r="H521" s="1" t="n">
        <v>1444921</v>
      </c>
      <c r="I521" s="1" t="n">
        <v>11</v>
      </c>
      <c r="J521" s="1" t="s">
        <v>1753</v>
      </c>
      <c r="K521" s="46" t="n">
        <v>2070</v>
      </c>
      <c r="N521" s="67" t="n">
        <v>46227</v>
      </c>
      <c r="O521" s="1" t="n">
        <f aca="false">SUMIFS($K:$K,$E:$E,N521)</f>
        <v>28411.93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36</v>
      </c>
      <c r="D522" s="1" t="s">
        <v>1766</v>
      </c>
      <c r="E522" s="15" t="n">
        <v>46227</v>
      </c>
      <c r="F522" s="15" t="n">
        <v>46227</v>
      </c>
      <c r="G522" s="1" t="s">
        <v>146</v>
      </c>
      <c r="H522" s="1" t="n">
        <v>1445080</v>
      </c>
      <c r="I522" s="1" t="n">
        <v>6</v>
      </c>
      <c r="J522" s="1" t="s">
        <v>1753</v>
      </c>
      <c r="K522" s="46" t="n">
        <v>1919.18</v>
      </c>
      <c r="N522" s="67" t="n">
        <v>46227</v>
      </c>
      <c r="O522" s="1" t="n">
        <f aca="false">SUMIFS($K:$K,$E:$E,N522)</f>
        <v>28411.93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36</v>
      </c>
      <c r="D523" s="1" t="s">
        <v>1766</v>
      </c>
      <c r="E523" s="15" t="n">
        <v>46227</v>
      </c>
      <c r="F523" s="15" t="n">
        <v>46227</v>
      </c>
      <c r="G523" s="1" t="s">
        <v>146</v>
      </c>
      <c r="H523" s="1" t="n">
        <v>1445121</v>
      </c>
      <c r="I523" s="1" t="n">
        <v>6</v>
      </c>
      <c r="J523" s="1" t="s">
        <v>1753</v>
      </c>
      <c r="K523" s="46" t="n">
        <v>280</v>
      </c>
      <c r="N523" s="67" t="n">
        <v>46227</v>
      </c>
      <c r="O523" s="1" t="n">
        <f aca="false">SUMIFS($K:$K,$E:$E,N523)</f>
        <v>28411.93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1792</v>
      </c>
      <c r="D524" s="1" t="s">
        <v>1793</v>
      </c>
      <c r="E524" s="15" t="n">
        <v>46227</v>
      </c>
      <c r="F524" s="15" t="n">
        <v>46225</v>
      </c>
      <c r="G524" s="1" t="s">
        <v>229</v>
      </c>
      <c r="H524" s="1" t="n">
        <v>1443849</v>
      </c>
      <c r="I524" s="1" t="n">
        <v>11</v>
      </c>
      <c r="J524" s="1" t="s">
        <v>1753</v>
      </c>
      <c r="K524" s="46" t="n">
        <v>20148.15</v>
      </c>
      <c r="N524" s="67" t="n">
        <v>46227</v>
      </c>
      <c r="O524" s="1" t="n">
        <f aca="false">SUMIFS($K:$K,$E:$E,N524)</f>
        <v>28411.93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36</v>
      </c>
      <c r="D525" s="1" t="s">
        <v>1761</v>
      </c>
      <c r="E525" s="15" t="n">
        <v>46228</v>
      </c>
      <c r="F525" s="15" t="n">
        <v>46227</v>
      </c>
      <c r="G525" s="1" t="s">
        <v>144</v>
      </c>
      <c r="H525" s="1" t="n">
        <v>1448211</v>
      </c>
      <c r="I525" s="1" t="n">
        <v>11</v>
      </c>
      <c r="J525" s="1" t="s">
        <v>1753</v>
      </c>
      <c r="K525" s="46" t="n">
        <v>168</v>
      </c>
      <c r="N525" s="67" t="n">
        <v>46228</v>
      </c>
      <c r="O525" s="1" t="n">
        <f aca="false">SUMIFS($K:$K,$E:$E,N525)</f>
        <v>2316.74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1768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1753</v>
      </c>
      <c r="K526" s="46" t="n">
        <v>1481.04</v>
      </c>
      <c r="N526" s="67" t="n">
        <v>46228</v>
      </c>
      <c r="O526" s="1" t="n">
        <f aca="false">SUMIFS($K:$K,$E:$E,N526)</f>
        <v>2316.74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36</v>
      </c>
      <c r="D527" s="1" t="s">
        <v>1766</v>
      </c>
      <c r="E527" s="15" t="n">
        <v>46228</v>
      </c>
      <c r="F527" s="15" t="n">
        <v>46228</v>
      </c>
      <c r="G527" s="1" t="s">
        <v>146</v>
      </c>
      <c r="H527" s="1" t="n">
        <v>1448190</v>
      </c>
      <c r="I527" s="1" t="n">
        <v>6</v>
      </c>
      <c r="J527" s="1" t="s">
        <v>1753</v>
      </c>
      <c r="K527" s="46" t="n">
        <v>200</v>
      </c>
      <c r="N527" s="67" t="n">
        <v>46228</v>
      </c>
      <c r="O527" s="1" t="n">
        <f aca="false">SUMIFS($K:$K,$E:$E,N527)</f>
        <v>2316.74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88</v>
      </c>
      <c r="D528" s="1" t="s">
        <v>1758</v>
      </c>
      <c r="E528" s="15" t="n">
        <v>46228</v>
      </c>
      <c r="F528" s="15" t="n">
        <v>46227</v>
      </c>
      <c r="G528" s="1" t="s">
        <v>211</v>
      </c>
      <c r="H528" s="1" t="n">
        <v>1448465</v>
      </c>
      <c r="I528" s="1" t="n">
        <v>11</v>
      </c>
      <c r="J528" s="1" t="s">
        <v>1753</v>
      </c>
      <c r="K528" s="46" t="n">
        <v>239.7</v>
      </c>
      <c r="N528" s="67" t="n">
        <v>46228</v>
      </c>
      <c r="O528" s="1" t="n">
        <f aca="false">SUMIFS($K:$K,$E:$E,N528)</f>
        <v>2316.74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36</v>
      </c>
      <c r="D529" s="1" t="s">
        <v>1846</v>
      </c>
      <c r="E529" s="15" t="n">
        <v>46228</v>
      </c>
      <c r="F529" s="15" t="n">
        <v>46227</v>
      </c>
      <c r="G529" s="1" t="s">
        <v>198</v>
      </c>
      <c r="H529" s="1" t="n">
        <v>1448220</v>
      </c>
      <c r="I529" s="1" t="n">
        <v>11</v>
      </c>
      <c r="J529" s="1" t="s">
        <v>1753</v>
      </c>
      <c r="K529" s="46" t="n">
        <v>228</v>
      </c>
      <c r="N529" s="67" t="n">
        <v>46228</v>
      </c>
      <c r="O529" s="1" t="n">
        <f aca="false">SUMIFS($K:$K,$E:$E,N529)</f>
        <v>2316.74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36</v>
      </c>
      <c r="D530" s="1" t="s">
        <v>1762</v>
      </c>
      <c r="E530" s="15" t="n">
        <v>46230</v>
      </c>
      <c r="F530" s="15" t="n">
        <v>46228</v>
      </c>
      <c r="G530" s="1" t="s">
        <v>243</v>
      </c>
      <c r="H530" s="1" t="n">
        <v>1458288</v>
      </c>
      <c r="I530" s="1" t="n">
        <v>11</v>
      </c>
      <c r="J530" s="1" t="s">
        <v>1753</v>
      </c>
      <c r="K530" s="46" t="n">
        <v>950</v>
      </c>
      <c r="N530" s="67" t="n">
        <v>46230</v>
      </c>
      <c r="O530" s="1" t="n">
        <f aca="false">SUMIFS($K:$K,$E:$E,N530)</f>
        <v>9947.56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49</v>
      </c>
      <c r="D531" s="1" t="s">
        <v>1754</v>
      </c>
      <c r="E531" s="15" t="n">
        <v>46230</v>
      </c>
      <c r="F531" s="15" t="n">
        <v>46227</v>
      </c>
      <c r="G531" s="1" t="s">
        <v>131</v>
      </c>
      <c r="H531" s="1" t="n">
        <v>1459403</v>
      </c>
      <c r="I531" s="1" t="n">
        <v>11</v>
      </c>
      <c r="J531" s="1" t="s">
        <v>1753</v>
      </c>
      <c r="K531" s="46" t="n">
        <v>655.24</v>
      </c>
      <c r="N531" s="67" t="n">
        <v>46230</v>
      </c>
      <c r="O531" s="1" t="n">
        <f aca="false">SUMIFS($K:$K,$E:$E,N531)</f>
        <v>9947.56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67</v>
      </c>
      <c r="D532" s="1" t="s">
        <v>1754</v>
      </c>
      <c r="E532" s="15" t="n">
        <v>46230</v>
      </c>
      <c r="F532" s="15" t="n">
        <v>46227</v>
      </c>
      <c r="G532" s="1" t="s">
        <v>131</v>
      </c>
      <c r="H532" s="1" t="n">
        <v>1459398</v>
      </c>
      <c r="I532" s="1" t="n">
        <v>11</v>
      </c>
      <c r="J532" s="1" t="s">
        <v>1753</v>
      </c>
      <c r="K532" s="46" t="n">
        <v>868.27</v>
      </c>
      <c r="N532" s="67" t="n">
        <v>46230</v>
      </c>
      <c r="O532" s="1" t="n">
        <f aca="false">SUMIFS($K:$K,$E:$E,N532)</f>
        <v>9947.56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1811</v>
      </c>
      <c r="D533" s="1" t="s">
        <v>1812</v>
      </c>
      <c r="E533" s="15" t="n">
        <v>46230</v>
      </c>
      <c r="F533" s="15" t="n">
        <v>46228</v>
      </c>
      <c r="G533" s="1" t="s">
        <v>235</v>
      </c>
      <c r="H533" s="1" t="n">
        <v>1459299</v>
      </c>
      <c r="I533" s="1" t="n">
        <v>11</v>
      </c>
      <c r="J533" s="1" t="s">
        <v>1753</v>
      </c>
      <c r="K533" s="46" t="n">
        <v>304.43</v>
      </c>
      <c r="N533" s="67" t="n">
        <v>46230</v>
      </c>
      <c r="O533" s="1" t="n">
        <f aca="false">SUMIFS($K:$K,$E:$E,N533)</f>
        <v>9947.56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1878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1753</v>
      </c>
      <c r="K534" s="46" t="n">
        <v>778</v>
      </c>
      <c r="N534" s="67" t="n">
        <v>46230</v>
      </c>
      <c r="O534" s="1" t="n">
        <f aca="false">SUMIFS($K:$K,$E:$E,N534)</f>
        <v>9947.56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1755</v>
      </c>
      <c r="D535" s="1" t="s">
        <v>1756</v>
      </c>
      <c r="E535" s="15" t="n">
        <v>46230</v>
      </c>
      <c r="F535" s="15" t="n">
        <v>46228</v>
      </c>
      <c r="G535" s="1" t="s">
        <v>416</v>
      </c>
      <c r="H535" s="1" t="n">
        <v>1458280</v>
      </c>
      <c r="I535" s="1" t="n">
        <v>11</v>
      </c>
      <c r="J535" s="1" t="s">
        <v>1753</v>
      </c>
      <c r="K535" s="46" t="n">
        <v>158</v>
      </c>
      <c r="N535" s="67" t="n">
        <v>46230</v>
      </c>
      <c r="O535" s="1" t="n">
        <f aca="false">SUMIFS($K:$K,$E:$E,N535)</f>
        <v>9947.56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36</v>
      </c>
      <c r="D536" s="1" t="s">
        <v>1873</v>
      </c>
      <c r="E536" s="15" t="n">
        <v>46230</v>
      </c>
      <c r="F536" s="15" t="n">
        <v>46228</v>
      </c>
      <c r="G536" s="1" t="s">
        <v>624</v>
      </c>
      <c r="H536" s="1" t="n">
        <v>1459315</v>
      </c>
      <c r="I536" s="1" t="n">
        <v>11</v>
      </c>
      <c r="J536" s="1" t="s">
        <v>1753</v>
      </c>
      <c r="K536" s="46" t="n">
        <v>140</v>
      </c>
      <c r="N536" s="67" t="n">
        <v>46230</v>
      </c>
      <c r="O536" s="1" t="n">
        <f aca="false">SUMIFS($K:$K,$E:$E,N536)</f>
        <v>9947.56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36</v>
      </c>
      <c r="D537" s="1" t="s">
        <v>1774</v>
      </c>
      <c r="E537" s="15" t="n">
        <v>46230</v>
      </c>
      <c r="F537" s="15" t="n">
        <v>46230</v>
      </c>
      <c r="G537" s="1" t="s">
        <v>187</v>
      </c>
      <c r="H537" s="1" t="n">
        <v>1459556</v>
      </c>
      <c r="I537" s="1" t="n">
        <v>11</v>
      </c>
      <c r="J537" s="1" t="s">
        <v>1753</v>
      </c>
      <c r="K537" s="46" t="n">
        <v>125</v>
      </c>
      <c r="N537" s="67" t="n">
        <v>46230</v>
      </c>
      <c r="O537" s="1" t="n">
        <f aca="false">SUMIFS($K:$K,$E:$E,N537)</f>
        <v>9947.56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36</v>
      </c>
      <c r="D538" s="1" t="s">
        <v>1757</v>
      </c>
      <c r="E538" s="15" t="n">
        <v>46230</v>
      </c>
      <c r="F538" s="15" t="n">
        <v>46228</v>
      </c>
      <c r="G538" s="1" t="s">
        <v>272</v>
      </c>
      <c r="H538" s="1" t="n">
        <v>1459647</v>
      </c>
      <c r="I538" s="1" t="n">
        <v>11</v>
      </c>
      <c r="J538" s="1" t="s">
        <v>1753</v>
      </c>
      <c r="K538" s="46" t="n">
        <v>4958.1</v>
      </c>
      <c r="N538" s="67" t="n">
        <v>46230</v>
      </c>
      <c r="O538" s="1" t="n">
        <f aca="false">SUMIFS($K:$K,$E:$E,N538)</f>
        <v>9947.56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36</v>
      </c>
      <c r="D539" s="1" t="s">
        <v>1766</v>
      </c>
      <c r="E539" s="15" t="n">
        <v>46230</v>
      </c>
      <c r="F539" s="15" t="n">
        <v>46230</v>
      </c>
      <c r="G539" s="1" t="s">
        <v>146</v>
      </c>
      <c r="H539" s="1" t="n">
        <v>1459242</v>
      </c>
      <c r="I539" s="1" t="n">
        <v>6</v>
      </c>
      <c r="J539" s="1" t="s">
        <v>1753</v>
      </c>
      <c r="K539" s="46" t="n">
        <v>210</v>
      </c>
      <c r="N539" s="67" t="n">
        <v>46230</v>
      </c>
      <c r="O539" s="1" t="n">
        <f aca="false">SUMIFS($K:$K,$E:$E,N539)</f>
        <v>9947.56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36</v>
      </c>
      <c r="D540" s="1" t="s">
        <v>1771</v>
      </c>
      <c r="E540" s="15" t="n">
        <v>46230</v>
      </c>
      <c r="F540" s="15" t="n">
        <v>46228</v>
      </c>
      <c r="G540" s="1" t="s">
        <v>142</v>
      </c>
      <c r="H540" s="1" t="n">
        <v>1458277</v>
      </c>
      <c r="I540" s="1" t="n">
        <v>11</v>
      </c>
      <c r="J540" s="1" t="s">
        <v>1753</v>
      </c>
      <c r="K540" s="46" t="n">
        <v>528</v>
      </c>
      <c r="N540" s="67" t="n">
        <v>46230</v>
      </c>
      <c r="O540" s="1" t="n">
        <f aca="false">SUMIFS($K:$K,$E:$E,N540)</f>
        <v>9947.56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36</v>
      </c>
      <c r="D541" s="1" t="s">
        <v>1760</v>
      </c>
      <c r="E541" s="15" t="n">
        <v>46230</v>
      </c>
      <c r="F541" s="15" t="n">
        <v>46230</v>
      </c>
      <c r="G541" s="1" t="s">
        <v>296</v>
      </c>
      <c r="H541" s="1" t="n">
        <v>1459253</v>
      </c>
      <c r="I541" s="1" t="n">
        <v>11</v>
      </c>
      <c r="J541" s="1" t="s">
        <v>1753</v>
      </c>
      <c r="K541" s="46" t="n">
        <v>272.52</v>
      </c>
      <c r="N541" s="67" t="n">
        <v>46230</v>
      </c>
      <c r="O541" s="1" t="n">
        <f aca="false">SUMIFS($K:$K,$E:$E,N541)</f>
        <v>9947.56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36</v>
      </c>
      <c r="D542" s="1" t="s">
        <v>1763</v>
      </c>
      <c r="E542" s="15" t="n">
        <v>46231</v>
      </c>
      <c r="F542" s="15" t="n">
        <v>46230</v>
      </c>
      <c r="G542" s="1" t="s">
        <v>233</v>
      </c>
      <c r="H542" s="1" t="n">
        <v>1464435</v>
      </c>
      <c r="I542" s="1" t="n">
        <v>11</v>
      </c>
      <c r="J542" s="1" t="s">
        <v>1753</v>
      </c>
      <c r="K542" s="46" t="n">
        <v>355.62</v>
      </c>
      <c r="N542" s="67" t="n">
        <v>46231</v>
      </c>
      <c r="O542" s="1" t="n">
        <f aca="false">SUMIFS($K:$K,$E:$E,N542)</f>
        <v>3811.33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36</v>
      </c>
      <c r="D543" s="1" t="s">
        <v>1769</v>
      </c>
      <c r="E543" s="15" t="n">
        <v>46231</v>
      </c>
      <c r="F543" s="15" t="n">
        <v>46231</v>
      </c>
      <c r="G543" s="1" t="s">
        <v>373</v>
      </c>
      <c r="H543" s="1" t="n">
        <v>1464568</v>
      </c>
      <c r="I543" s="1" t="n">
        <v>11</v>
      </c>
      <c r="J543" s="1" t="s">
        <v>1753</v>
      </c>
      <c r="K543" s="46" t="n">
        <v>1262.8</v>
      </c>
      <c r="N543" s="67" t="n">
        <v>46231</v>
      </c>
      <c r="O543" s="1" t="n">
        <f aca="false">SUMIFS($K:$K,$E:$E,N543)</f>
        <v>3811.33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1755</v>
      </c>
      <c r="D544" s="1" t="s">
        <v>1756</v>
      </c>
      <c r="E544" s="15" t="n">
        <v>46231</v>
      </c>
      <c r="F544" s="15" t="n">
        <v>46230</v>
      </c>
      <c r="G544" s="1" t="s">
        <v>416</v>
      </c>
      <c r="H544" s="1" t="n">
        <v>1464416</v>
      </c>
      <c r="I544" s="1" t="n">
        <v>11</v>
      </c>
      <c r="J544" s="1" t="s">
        <v>1753</v>
      </c>
      <c r="K544" s="46" t="n">
        <v>54</v>
      </c>
      <c r="N544" s="67" t="n">
        <v>46231</v>
      </c>
      <c r="O544" s="1" t="n">
        <f aca="false">SUMIFS($K:$K,$E:$E,N544)</f>
        <v>3811.33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36</v>
      </c>
      <c r="D545" s="1" t="s">
        <v>1766</v>
      </c>
      <c r="E545" s="15" t="n">
        <v>46231</v>
      </c>
      <c r="F545" s="15" t="n">
        <v>46231</v>
      </c>
      <c r="G545" s="1" t="s">
        <v>146</v>
      </c>
      <c r="H545" s="1" t="n">
        <v>1465066</v>
      </c>
      <c r="I545" s="1" t="n">
        <v>6</v>
      </c>
      <c r="J545" s="1" t="s">
        <v>1753</v>
      </c>
      <c r="K545" s="46" t="n">
        <v>1389.41</v>
      </c>
      <c r="N545" s="67" t="n">
        <v>46231</v>
      </c>
      <c r="O545" s="1" t="n">
        <f aca="false">SUMIFS($K:$K,$E:$E,N545)</f>
        <v>3811.33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36</v>
      </c>
      <c r="D546" s="1" t="s">
        <v>1767</v>
      </c>
      <c r="E546" s="15" t="n">
        <v>46231</v>
      </c>
      <c r="F546" s="15" t="n">
        <v>46230</v>
      </c>
      <c r="G546" s="1" t="s">
        <v>105</v>
      </c>
      <c r="H546" s="1" t="n">
        <v>1464442</v>
      </c>
      <c r="I546" s="1" t="n">
        <v>11</v>
      </c>
      <c r="J546" s="1" t="s">
        <v>1753</v>
      </c>
      <c r="K546" s="46" t="n">
        <v>244</v>
      </c>
      <c r="N546" s="67" t="n">
        <v>46231</v>
      </c>
      <c r="O546" s="1" t="n">
        <f aca="false">SUMIFS($K:$K,$E:$E,N546)</f>
        <v>3811.33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36</v>
      </c>
      <c r="D547" s="1" t="s">
        <v>1759</v>
      </c>
      <c r="E547" s="15" t="n">
        <v>46231</v>
      </c>
      <c r="F547" s="15" t="n">
        <v>46230</v>
      </c>
      <c r="G547" s="1" t="s">
        <v>205</v>
      </c>
      <c r="H547" s="1" t="n">
        <v>1464429</v>
      </c>
      <c r="I547" s="1" t="n">
        <v>11</v>
      </c>
      <c r="J547" s="1" t="s">
        <v>1753</v>
      </c>
      <c r="K547" s="46" t="n">
        <v>505.5</v>
      </c>
      <c r="N547" s="67" t="n">
        <v>46231</v>
      </c>
      <c r="O547" s="1" t="n">
        <f aca="false">SUMIFS($K:$K,$E:$E,N547)</f>
        <v>3811.33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76</v>
      </c>
      <c r="D548" s="1" t="s">
        <v>1768</v>
      </c>
      <c r="E548" s="15" t="n">
        <v>46232</v>
      </c>
      <c r="F548" s="15" t="n">
        <v>46231</v>
      </c>
      <c r="G548" s="1" t="s">
        <v>129</v>
      </c>
      <c r="H548" s="1" t="n">
        <v>1469131</v>
      </c>
      <c r="I548" s="1" t="n">
        <v>11</v>
      </c>
      <c r="J548" s="1" t="s">
        <v>1753</v>
      </c>
      <c r="K548" s="46" t="n">
        <v>926.71</v>
      </c>
      <c r="N548" s="67" t="n">
        <v>46232</v>
      </c>
      <c r="O548" s="1" t="n">
        <f aca="false">SUMIFS($K:$K,$E:$E,N548)</f>
        <v>1501.39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1755</v>
      </c>
      <c r="D549" s="1" t="s">
        <v>1756</v>
      </c>
      <c r="E549" s="15" t="n">
        <v>46232</v>
      </c>
      <c r="F549" s="15" t="n">
        <v>46232</v>
      </c>
      <c r="G549" s="1" t="s">
        <v>416</v>
      </c>
      <c r="H549" s="1" t="n">
        <v>1469138</v>
      </c>
      <c r="I549" s="1" t="n">
        <v>11</v>
      </c>
      <c r="J549" s="1" t="s">
        <v>1753</v>
      </c>
      <c r="K549" s="46" t="n">
        <v>129.5</v>
      </c>
      <c r="N549" s="67" t="n">
        <v>46232</v>
      </c>
      <c r="O549" s="1" t="n">
        <f aca="false">SUMIFS($K:$K,$E:$E,N549)</f>
        <v>1501.39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36</v>
      </c>
      <c r="D550" s="1" t="s">
        <v>1879</v>
      </c>
      <c r="E550" s="15" t="n">
        <v>46232</v>
      </c>
      <c r="F550" s="15" t="n">
        <v>46231</v>
      </c>
      <c r="G550" s="1" t="s">
        <v>1077</v>
      </c>
      <c r="H550" s="1" t="n">
        <v>1468983</v>
      </c>
      <c r="I550" s="1" t="n">
        <v>11</v>
      </c>
      <c r="J550" s="1" t="s">
        <v>1753</v>
      </c>
      <c r="K550" s="46" t="n">
        <v>139</v>
      </c>
      <c r="N550" s="67" t="n">
        <v>46232</v>
      </c>
      <c r="O550" s="1" t="n">
        <f aca="false">SUMIFS($K:$K,$E:$E,N550)</f>
        <v>1501.39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36</v>
      </c>
      <c r="D551" s="1" t="s">
        <v>1880</v>
      </c>
      <c r="E551" s="15" t="n">
        <v>46232</v>
      </c>
      <c r="F551" s="15" t="n">
        <v>46231</v>
      </c>
      <c r="G551" s="1" t="s">
        <v>1186</v>
      </c>
      <c r="H551" s="1" t="n">
        <v>1468972</v>
      </c>
      <c r="I551" s="1" t="n">
        <v>11</v>
      </c>
      <c r="J551" s="1" t="s">
        <v>1753</v>
      </c>
      <c r="K551" s="46" t="n">
        <v>306.18</v>
      </c>
      <c r="N551" s="67" t="n">
        <v>46232</v>
      </c>
      <c r="O551" s="1" t="n">
        <f aca="false">SUMIFS($K:$K,$E:$E,N551)</f>
        <v>1501.39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36</v>
      </c>
      <c r="D552" s="1" t="s">
        <v>1761</v>
      </c>
      <c r="E552" s="15" t="n">
        <v>46233</v>
      </c>
      <c r="F552" s="15" t="n">
        <v>46232</v>
      </c>
      <c r="G552" s="1" t="s">
        <v>144</v>
      </c>
      <c r="H552" s="1" t="n">
        <v>1472573</v>
      </c>
      <c r="I552" s="1" t="n">
        <v>11</v>
      </c>
      <c r="J552" s="1" t="s">
        <v>1753</v>
      </c>
      <c r="K552" s="46" t="n">
        <v>180</v>
      </c>
      <c r="N552" s="67" t="n">
        <v>46233</v>
      </c>
      <c r="O552" s="1" t="n">
        <f aca="false">SUMIFS($K:$K,$E:$E,N552)</f>
        <v>8313.74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36</v>
      </c>
      <c r="D553" s="1" t="s">
        <v>1762</v>
      </c>
      <c r="E553" s="15" t="n">
        <v>46233</v>
      </c>
      <c r="F553" s="15" t="n">
        <v>46232</v>
      </c>
      <c r="G553" s="1" t="s">
        <v>243</v>
      </c>
      <c r="H553" s="1" t="n">
        <v>1473968</v>
      </c>
      <c r="I553" s="1" t="n">
        <v>11</v>
      </c>
      <c r="J553" s="1" t="s">
        <v>1753</v>
      </c>
      <c r="K553" s="46" t="n">
        <v>733.78</v>
      </c>
      <c r="N553" s="67" t="n">
        <v>46233</v>
      </c>
      <c r="O553" s="1" t="n">
        <f aca="false">SUMIFS($K:$K,$E:$E,N553)</f>
        <v>8313.74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36</v>
      </c>
      <c r="D554" s="1" t="s">
        <v>1772</v>
      </c>
      <c r="E554" s="15" t="n">
        <v>46233</v>
      </c>
      <c r="F554" s="15" t="n">
        <v>46233</v>
      </c>
      <c r="G554" s="1" t="s">
        <v>196</v>
      </c>
      <c r="H554" s="1" t="n">
        <v>1472934</v>
      </c>
      <c r="I554" s="1" t="n">
        <v>11</v>
      </c>
      <c r="J554" s="1" t="s">
        <v>1753</v>
      </c>
      <c r="K554" s="46" t="n">
        <v>830.88</v>
      </c>
      <c r="N554" s="67" t="n">
        <v>46233</v>
      </c>
      <c r="O554" s="1" t="n">
        <f aca="false">SUMIFS($K:$K,$E:$E,N554)</f>
        <v>8313.74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36</v>
      </c>
      <c r="D555" s="1" t="s">
        <v>1775</v>
      </c>
      <c r="E555" s="15" t="n">
        <v>46233</v>
      </c>
      <c r="F555" s="15" t="n">
        <v>46233</v>
      </c>
      <c r="G555" s="1" t="s">
        <v>103</v>
      </c>
      <c r="H555" s="1" t="n">
        <v>1472907</v>
      </c>
      <c r="I555" s="1" t="n">
        <v>11</v>
      </c>
      <c r="J555" s="1" t="s">
        <v>1753</v>
      </c>
      <c r="K555" s="46" t="n">
        <v>524.65</v>
      </c>
      <c r="N555" s="67" t="n">
        <v>46233</v>
      </c>
      <c r="O555" s="1" t="n">
        <f aca="false">SUMIFS($K:$K,$E:$E,N555)</f>
        <v>8313.74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36</v>
      </c>
      <c r="D556" s="1" t="s">
        <v>1789</v>
      </c>
      <c r="E556" s="15" t="n">
        <v>46233</v>
      </c>
      <c r="F556" s="15" t="n">
        <v>46233</v>
      </c>
      <c r="G556" s="1" t="s">
        <v>356</v>
      </c>
      <c r="H556" s="1" t="n">
        <v>1473869</v>
      </c>
      <c r="I556" s="1" t="n">
        <v>11</v>
      </c>
      <c r="J556" s="1" t="s">
        <v>1753</v>
      </c>
      <c r="K556" s="46" t="n">
        <v>160.32</v>
      </c>
      <c r="N556" s="67" t="n">
        <v>46233</v>
      </c>
      <c r="O556" s="1" t="n">
        <f aca="false">SUMIFS($K:$K,$E:$E,N556)</f>
        <v>8313.74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36</v>
      </c>
      <c r="D557" s="1" t="s">
        <v>1757</v>
      </c>
      <c r="E557" s="15" t="n">
        <v>46233</v>
      </c>
      <c r="F557" s="15" t="n">
        <v>46232</v>
      </c>
      <c r="G557" s="1" t="s">
        <v>272</v>
      </c>
      <c r="H557" s="1" t="n">
        <v>1472744</v>
      </c>
      <c r="I557" s="1" t="n">
        <v>11</v>
      </c>
      <c r="J557" s="1" t="s">
        <v>1753</v>
      </c>
      <c r="K557" s="46" t="n">
        <v>3840</v>
      </c>
      <c r="N557" s="67" t="n">
        <v>46233</v>
      </c>
      <c r="O557" s="1" t="n">
        <f aca="false">SUMIFS($K:$K,$E:$E,N557)</f>
        <v>8313.74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1766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1753</v>
      </c>
      <c r="K558" s="46" t="n">
        <v>196</v>
      </c>
      <c r="N558" s="67" t="n">
        <v>46233</v>
      </c>
      <c r="O558" s="1" t="n">
        <f aca="false">SUMIFS($K:$K,$E:$E,N558)</f>
        <v>8313.74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36</v>
      </c>
      <c r="D559" s="1" t="s">
        <v>1766</v>
      </c>
      <c r="E559" s="15" t="n">
        <v>46233</v>
      </c>
      <c r="F559" s="15" t="n">
        <v>46233</v>
      </c>
      <c r="G559" s="1" t="s">
        <v>146</v>
      </c>
      <c r="H559" s="1" t="n">
        <v>1473466</v>
      </c>
      <c r="I559" s="1" t="n">
        <v>6</v>
      </c>
      <c r="J559" s="1" t="s">
        <v>1753</v>
      </c>
      <c r="K559" s="46" t="n">
        <v>210</v>
      </c>
      <c r="N559" s="67" t="n">
        <v>46233</v>
      </c>
      <c r="O559" s="1" t="n">
        <f aca="false">SUMIFS($K:$K,$E:$E,N559)</f>
        <v>8313.74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36</v>
      </c>
      <c r="D560" s="1" t="s">
        <v>1798</v>
      </c>
      <c r="E560" s="15" t="n">
        <v>46233</v>
      </c>
      <c r="F560" s="15" t="n">
        <v>46233</v>
      </c>
      <c r="G560" s="1" t="s">
        <v>462</v>
      </c>
      <c r="H560" s="1" t="n">
        <v>1473201</v>
      </c>
      <c r="I560" s="1" t="n">
        <v>11</v>
      </c>
      <c r="J560" s="1" t="s">
        <v>1753</v>
      </c>
      <c r="K560" s="46" t="n">
        <v>459.25</v>
      </c>
      <c r="N560" s="67" t="n">
        <v>46233</v>
      </c>
      <c r="O560" s="1" t="n">
        <f aca="false">SUMIFS($K:$K,$E:$E,N560)</f>
        <v>8313.74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88</v>
      </c>
      <c r="D561" s="1" t="s">
        <v>1758</v>
      </c>
      <c r="E561" s="15" t="n">
        <v>46233</v>
      </c>
      <c r="F561" s="15" t="n">
        <v>46232</v>
      </c>
      <c r="G561" s="1" t="s">
        <v>211</v>
      </c>
      <c r="H561" s="1" t="n">
        <v>1472600</v>
      </c>
      <c r="I561" s="1" t="n">
        <v>11</v>
      </c>
      <c r="J561" s="1" t="s">
        <v>1753</v>
      </c>
      <c r="K561" s="46" t="n">
        <v>284.7</v>
      </c>
      <c r="N561" s="67" t="n">
        <v>46233</v>
      </c>
      <c r="O561" s="1" t="n">
        <f aca="false">SUMIFS($K:$K,$E:$E,N561)</f>
        <v>8313.74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36</v>
      </c>
      <c r="D562" s="1" t="s">
        <v>1800</v>
      </c>
      <c r="E562" s="15" t="n">
        <v>46233</v>
      </c>
      <c r="F562" s="15" t="n">
        <v>46232</v>
      </c>
      <c r="G562" s="1" t="s">
        <v>553</v>
      </c>
      <c r="H562" s="1" t="n">
        <v>1473497</v>
      </c>
      <c r="I562" s="1" t="n">
        <v>11</v>
      </c>
      <c r="J562" s="1" t="s">
        <v>1753</v>
      </c>
      <c r="K562" s="46" t="n">
        <v>894.16</v>
      </c>
      <c r="N562" s="67" t="n">
        <v>46233</v>
      </c>
      <c r="O562" s="1" t="n">
        <f aca="false">SUMIFS($K:$K,$E:$E,N562)</f>
        <v>8313.74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49</v>
      </c>
      <c r="D563" s="1" t="s">
        <v>1754</v>
      </c>
      <c r="E563" s="15" t="n">
        <v>46234</v>
      </c>
      <c r="F563" s="15" t="n">
        <v>46233</v>
      </c>
      <c r="G563" s="1" t="s">
        <v>131</v>
      </c>
      <c r="H563" s="1" t="n">
        <v>1478084</v>
      </c>
      <c r="I563" s="1" t="n">
        <v>11</v>
      </c>
      <c r="J563" s="1" t="s">
        <v>1753</v>
      </c>
      <c r="K563" s="46" t="n">
        <v>327.46</v>
      </c>
      <c r="N563" s="67" t="n">
        <v>46234</v>
      </c>
      <c r="O563" s="1" t="n">
        <f aca="false">SUMIFS($K:$K,$E:$E,N563)</f>
        <v>10199.62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49</v>
      </c>
      <c r="D564" s="1" t="s">
        <v>1754</v>
      </c>
      <c r="E564" s="15" t="n">
        <v>46234</v>
      </c>
      <c r="F564" s="15" t="n">
        <v>46233</v>
      </c>
      <c r="G564" s="1" t="s">
        <v>131</v>
      </c>
      <c r="H564" s="1" t="n">
        <v>1478164</v>
      </c>
      <c r="I564" s="1" t="n">
        <v>11</v>
      </c>
      <c r="J564" s="1" t="s">
        <v>1753</v>
      </c>
      <c r="K564" s="46" t="n">
        <v>190.71</v>
      </c>
      <c r="N564" s="67" t="n">
        <v>46234</v>
      </c>
      <c r="O564" s="1" t="n">
        <f aca="false">SUMIFS($K:$K,$E:$E,N564)</f>
        <v>10199.62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67</v>
      </c>
      <c r="D565" s="1" t="s">
        <v>1754</v>
      </c>
      <c r="E565" s="15" t="n">
        <v>46234</v>
      </c>
      <c r="F565" s="15" t="n">
        <v>46233</v>
      </c>
      <c r="G565" s="1" t="s">
        <v>131</v>
      </c>
      <c r="H565" s="1" t="n">
        <v>1478177</v>
      </c>
      <c r="I565" s="1" t="n">
        <v>11</v>
      </c>
      <c r="J565" s="1" t="s">
        <v>1753</v>
      </c>
      <c r="K565" s="46" t="n">
        <v>1308.86</v>
      </c>
      <c r="N565" s="67" t="n">
        <v>46234</v>
      </c>
      <c r="O565" s="1" t="n">
        <f aca="false">SUMIFS($K:$K,$E:$E,N565)</f>
        <v>10199.62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67</v>
      </c>
      <c r="D566" s="1" t="s">
        <v>1754</v>
      </c>
      <c r="E566" s="15" t="n">
        <v>46234</v>
      </c>
      <c r="F566" s="15" t="n">
        <v>46233</v>
      </c>
      <c r="G566" s="1" t="s">
        <v>131</v>
      </c>
      <c r="H566" s="1" t="n">
        <v>1477931</v>
      </c>
      <c r="I566" s="1" t="n">
        <v>11</v>
      </c>
      <c r="J566" s="1" t="s">
        <v>1753</v>
      </c>
      <c r="K566" s="46" t="n">
        <v>2636.73</v>
      </c>
      <c r="N566" s="67" t="n">
        <v>46234</v>
      </c>
      <c r="O566" s="1" t="n">
        <f aca="false">SUMIFS($K:$K,$E:$E,N566)</f>
        <v>10199.62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67</v>
      </c>
      <c r="D567" s="1" t="s">
        <v>1754</v>
      </c>
      <c r="E567" s="15" t="n">
        <v>46234</v>
      </c>
      <c r="F567" s="15" t="n">
        <v>46233</v>
      </c>
      <c r="G567" s="1" t="s">
        <v>131</v>
      </c>
      <c r="H567" s="1" t="n">
        <v>1477980</v>
      </c>
      <c r="I567" s="1" t="n">
        <v>11</v>
      </c>
      <c r="J567" s="1" t="s">
        <v>1753</v>
      </c>
      <c r="K567" s="46" t="n">
        <v>45.18</v>
      </c>
      <c r="N567" s="67" t="n">
        <v>46234</v>
      </c>
      <c r="O567" s="1" t="n">
        <f aca="false">SUMIFS($K:$K,$E:$E,N567)</f>
        <v>10199.62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36</v>
      </c>
      <c r="D568" s="1" t="s">
        <v>1802</v>
      </c>
      <c r="E568" s="15" t="n">
        <v>46234</v>
      </c>
      <c r="F568" s="15" t="n">
        <v>46234</v>
      </c>
      <c r="G568" s="1" t="s">
        <v>107</v>
      </c>
      <c r="H568" s="1" t="n">
        <v>1478618</v>
      </c>
      <c r="I568" s="1" t="n">
        <v>11</v>
      </c>
      <c r="J568" s="1" t="s">
        <v>1753</v>
      </c>
      <c r="K568" s="46" t="n">
        <v>2380.38</v>
      </c>
      <c r="N568" s="67" t="n">
        <v>46234</v>
      </c>
      <c r="O568" s="1" t="n">
        <f aca="false">SUMIFS($K:$K,$E:$E,N568)</f>
        <v>10199.62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1763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1753</v>
      </c>
      <c r="K569" s="46" t="n">
        <v>296.49</v>
      </c>
      <c r="N569" s="67" t="n">
        <v>46234</v>
      </c>
      <c r="O569" s="1" t="n">
        <f aca="false">SUMIFS($K:$K,$E:$E,N569)</f>
        <v>10199.62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1811</v>
      </c>
      <c r="D570" s="1" t="s">
        <v>1812</v>
      </c>
      <c r="E570" s="15" t="n">
        <v>46234</v>
      </c>
      <c r="F570" s="15" t="n">
        <v>46233</v>
      </c>
      <c r="G570" s="1" t="s">
        <v>235</v>
      </c>
      <c r="H570" s="1" t="n">
        <v>1478268</v>
      </c>
      <c r="I570" s="1" t="n">
        <v>11</v>
      </c>
      <c r="J570" s="1" t="s">
        <v>1753</v>
      </c>
      <c r="K570" s="46" t="n">
        <v>314.42</v>
      </c>
      <c r="N570" s="67" t="n">
        <v>46234</v>
      </c>
      <c r="O570" s="1" t="n">
        <f aca="false">SUMIFS($K:$K,$E:$E,N570)</f>
        <v>10199.62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36</v>
      </c>
      <c r="D571" s="1" t="s">
        <v>1764</v>
      </c>
      <c r="E571" s="15" t="n">
        <v>46234</v>
      </c>
      <c r="F571" s="15" t="n">
        <v>46233</v>
      </c>
      <c r="G571" s="1" t="s">
        <v>224</v>
      </c>
      <c r="H571" s="1" t="n">
        <v>1477784</v>
      </c>
      <c r="I571" s="1" t="n">
        <v>11</v>
      </c>
      <c r="J571" s="1" t="s">
        <v>1753</v>
      </c>
      <c r="K571" s="46" t="n">
        <v>328.14</v>
      </c>
      <c r="N571" s="67" t="n">
        <v>46234</v>
      </c>
      <c r="O571" s="1" t="n">
        <f aca="false">SUMIFS($K:$K,$E:$E,N571)</f>
        <v>10199.62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1755</v>
      </c>
      <c r="D572" s="1" t="s">
        <v>1756</v>
      </c>
      <c r="E572" s="15" t="n">
        <v>46234</v>
      </c>
      <c r="F572" s="15" t="n">
        <v>46234</v>
      </c>
      <c r="G572" s="1" t="s">
        <v>416</v>
      </c>
      <c r="H572" s="1" t="n">
        <v>1478657</v>
      </c>
      <c r="I572" s="1" t="n">
        <v>11</v>
      </c>
      <c r="J572" s="1" t="s">
        <v>1753</v>
      </c>
      <c r="K572" s="46" t="n">
        <v>125</v>
      </c>
      <c r="N572" s="67" t="n">
        <v>46234</v>
      </c>
      <c r="O572" s="1" t="n">
        <f aca="false">SUMIFS($K:$K,$E:$E,N572)</f>
        <v>10199.62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36</v>
      </c>
      <c r="D573" s="1" t="s">
        <v>1873</v>
      </c>
      <c r="E573" s="15" t="n">
        <v>46234</v>
      </c>
      <c r="F573" s="15" t="n">
        <v>46234</v>
      </c>
      <c r="G573" s="1" t="s">
        <v>624</v>
      </c>
      <c r="H573" s="1" t="n">
        <v>1482223</v>
      </c>
      <c r="I573" s="1" t="n">
        <v>11</v>
      </c>
      <c r="J573" s="1" t="s">
        <v>1753</v>
      </c>
      <c r="K573" s="46" t="n">
        <v>140</v>
      </c>
      <c r="N573" s="67" t="n">
        <v>46234</v>
      </c>
      <c r="O573" s="1" t="n">
        <f aca="false">SUMIFS($K:$K,$E:$E,N573)</f>
        <v>10199.62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36</v>
      </c>
      <c r="D574" s="1" t="s">
        <v>1783</v>
      </c>
      <c r="E574" s="15" t="n">
        <v>46234</v>
      </c>
      <c r="F574" s="15" t="n">
        <v>46234</v>
      </c>
      <c r="G574" s="1" t="s">
        <v>109</v>
      </c>
      <c r="H574" s="1" t="n">
        <v>1477858</v>
      </c>
      <c r="I574" s="1" t="n">
        <v>11</v>
      </c>
      <c r="J574" s="1" t="s">
        <v>1753</v>
      </c>
      <c r="K574" s="46" t="n">
        <v>228</v>
      </c>
      <c r="N574" s="67" t="n">
        <v>46234</v>
      </c>
      <c r="O574" s="1" t="n">
        <f aca="false">SUMIFS($K:$K,$E:$E,N574)</f>
        <v>10199.62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36</v>
      </c>
      <c r="D575" s="1" t="s">
        <v>1770</v>
      </c>
      <c r="E575" s="15" t="n">
        <v>46234</v>
      </c>
      <c r="F575" s="15" t="n">
        <v>46232</v>
      </c>
      <c r="G575" s="1" t="s">
        <v>140</v>
      </c>
      <c r="H575" s="1" t="n">
        <v>1477699</v>
      </c>
      <c r="I575" s="1" t="n">
        <v>11</v>
      </c>
      <c r="J575" s="1" t="s">
        <v>1753</v>
      </c>
      <c r="K575" s="46" t="n">
        <v>266</v>
      </c>
      <c r="N575" s="67" t="n">
        <v>46234</v>
      </c>
      <c r="O575" s="1" t="n">
        <f aca="false">SUMIFS($K:$K,$E:$E,N575)</f>
        <v>10199.62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36</v>
      </c>
      <c r="D576" s="1" t="s">
        <v>1766</v>
      </c>
      <c r="E576" s="15" t="n">
        <v>46234</v>
      </c>
      <c r="F576" s="15" t="n">
        <v>46234</v>
      </c>
      <c r="G576" s="1" t="s">
        <v>146</v>
      </c>
      <c r="H576" s="1" t="n">
        <v>1479031</v>
      </c>
      <c r="I576" s="1" t="n">
        <v>6</v>
      </c>
      <c r="J576" s="1" t="s">
        <v>1753</v>
      </c>
      <c r="K576" s="46" t="n">
        <v>1612.25</v>
      </c>
      <c r="N576" s="67" t="n">
        <v>46234</v>
      </c>
      <c r="O576" s="1" t="n">
        <f aca="false">SUMIFS($K:$K,$E:$E,N576)</f>
        <v>10199.62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36</v>
      </c>
      <c r="D577" s="1" t="s">
        <v>1761</v>
      </c>
      <c r="E577" s="15" t="n">
        <v>46235</v>
      </c>
      <c r="F577" s="15" t="n">
        <v>46234</v>
      </c>
      <c r="G577" s="1" t="s">
        <v>144</v>
      </c>
      <c r="H577" s="1" t="n">
        <v>1481847</v>
      </c>
      <c r="I577" s="1" t="n">
        <v>11</v>
      </c>
      <c r="J577" s="1" t="s">
        <v>1753</v>
      </c>
      <c r="K577" s="46" t="n">
        <v>180</v>
      </c>
      <c r="N577" s="67" t="n">
        <v>46235</v>
      </c>
      <c r="O577" s="1" t="n">
        <f aca="false">SUMIFS($K:$K,$E:$E,N577)</f>
        <v>4862.7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36</v>
      </c>
      <c r="D578" s="1" t="s">
        <v>1769</v>
      </c>
      <c r="E578" s="15" t="n">
        <v>46235</v>
      </c>
      <c r="F578" s="15" t="n">
        <v>46234</v>
      </c>
      <c r="G578" s="1" t="s">
        <v>373</v>
      </c>
      <c r="H578" s="1" t="n">
        <v>1481937</v>
      </c>
      <c r="I578" s="1" t="n">
        <v>11</v>
      </c>
      <c r="J578" s="1" t="s">
        <v>1753</v>
      </c>
      <c r="K578" s="46" t="n">
        <v>1349.7</v>
      </c>
      <c r="N578" s="67" t="n">
        <v>46235</v>
      </c>
      <c r="O578" s="1" t="n">
        <f aca="false">SUMIFS($K:$K,$E:$E,N578)</f>
        <v>4862.7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76</v>
      </c>
      <c r="D579" s="1" t="s">
        <v>1808</v>
      </c>
      <c r="E579" s="15" t="n">
        <v>46235</v>
      </c>
      <c r="F579" s="15" t="n">
        <v>46234</v>
      </c>
      <c r="G579" s="1" t="s">
        <v>578</v>
      </c>
      <c r="H579" s="1" t="n">
        <v>1482072</v>
      </c>
      <c r="I579" s="1" t="n">
        <v>11</v>
      </c>
      <c r="J579" s="1" t="s">
        <v>1753</v>
      </c>
      <c r="K579" s="46" t="n">
        <v>2975.9</v>
      </c>
      <c r="N579" s="67" t="n">
        <v>46235</v>
      </c>
      <c r="O579" s="1" t="n">
        <f aca="false">SUMIFS($K:$K,$E:$E,N579)</f>
        <v>4862.7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88</v>
      </c>
      <c r="D580" s="1" t="s">
        <v>1758</v>
      </c>
      <c r="E580" s="15" t="n">
        <v>46235</v>
      </c>
      <c r="F580" s="15" t="n">
        <v>46234</v>
      </c>
      <c r="G580" s="1" t="s">
        <v>211</v>
      </c>
      <c r="H580" s="1" t="n">
        <v>1481872</v>
      </c>
      <c r="I580" s="1" t="n">
        <v>11</v>
      </c>
      <c r="J580" s="1" t="s">
        <v>1753</v>
      </c>
      <c r="K580" s="46" t="n">
        <v>357.1</v>
      </c>
      <c r="N580" s="67" t="n">
        <v>46235</v>
      </c>
      <c r="O580" s="1" t="n">
        <f aca="false">SUMIFS($K:$K,$E:$E,N580)</f>
        <v>4862.7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85</v>
      </c>
      <c r="D581" s="1" t="s">
        <v>1795</v>
      </c>
      <c r="E581" s="15" t="n">
        <v>46237</v>
      </c>
      <c r="F581" s="15" t="n">
        <v>46235</v>
      </c>
      <c r="G581" s="1" t="s">
        <v>392</v>
      </c>
      <c r="H581" s="1" t="n">
        <v>1493332</v>
      </c>
      <c r="I581" s="1" t="n">
        <v>11</v>
      </c>
      <c r="J581" s="1" t="s">
        <v>1753</v>
      </c>
      <c r="K581" s="46" t="n">
        <v>4690.22</v>
      </c>
      <c r="N581" s="67" t="n">
        <v>46237</v>
      </c>
      <c r="O581" s="1" t="n">
        <f aca="false">SUMIFS($K:$K,$E:$E,N581)</f>
        <v>10259.64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1755</v>
      </c>
      <c r="D582" s="1" t="s">
        <v>1756</v>
      </c>
      <c r="E582" s="15" t="n">
        <v>46237</v>
      </c>
      <c r="F582" s="15" t="n">
        <v>46235</v>
      </c>
      <c r="G582" s="1" t="s">
        <v>416</v>
      </c>
      <c r="H582" s="1" t="n">
        <v>1493056</v>
      </c>
      <c r="I582" s="1" t="n">
        <v>11</v>
      </c>
      <c r="J582" s="1" t="s">
        <v>1753</v>
      </c>
      <c r="K582" s="46" t="n">
        <v>120</v>
      </c>
      <c r="N582" s="67" t="n">
        <v>46237</v>
      </c>
      <c r="O582" s="1" t="n">
        <f aca="false">SUMIFS($K:$K,$E:$E,N582)</f>
        <v>10259.64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36</v>
      </c>
      <c r="D583" s="1" t="s">
        <v>1773</v>
      </c>
      <c r="E583" s="15" t="n">
        <v>46237</v>
      </c>
      <c r="F583" s="15" t="n">
        <v>46234</v>
      </c>
      <c r="G583" s="1" t="s">
        <v>96</v>
      </c>
      <c r="H583" s="1" t="n">
        <v>1495108</v>
      </c>
      <c r="I583" s="1" t="n">
        <v>11</v>
      </c>
      <c r="J583" s="1" t="s">
        <v>1753</v>
      </c>
      <c r="K583" s="46" t="n">
        <v>1242.42</v>
      </c>
      <c r="N583" s="67" t="n">
        <v>46237</v>
      </c>
      <c r="O583" s="1" t="n">
        <f aca="false">SUMIFS($K:$K,$E:$E,N583)</f>
        <v>10259.64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36</v>
      </c>
      <c r="D584" s="1" t="s">
        <v>1777</v>
      </c>
      <c r="E584" s="15" t="n">
        <v>46237</v>
      </c>
      <c r="F584" s="15" t="n">
        <v>46234</v>
      </c>
      <c r="G584" s="1" t="s">
        <v>180</v>
      </c>
      <c r="H584" s="1" t="n">
        <v>1493100</v>
      </c>
      <c r="I584" s="1" t="n">
        <v>11</v>
      </c>
      <c r="J584" s="1" t="s">
        <v>1753</v>
      </c>
      <c r="K584" s="46" t="n">
        <v>439.5</v>
      </c>
      <c r="N584" s="67" t="n">
        <v>46237</v>
      </c>
      <c r="O584" s="1" t="n">
        <f aca="false">SUMIFS($K:$K,$E:$E,N584)</f>
        <v>10259.64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36</v>
      </c>
      <c r="D585" s="1" t="s">
        <v>1766</v>
      </c>
      <c r="E585" s="15" t="n">
        <v>46237</v>
      </c>
      <c r="F585" s="15" t="n">
        <v>46237</v>
      </c>
      <c r="G585" s="1" t="s">
        <v>146</v>
      </c>
      <c r="H585" s="1" t="n">
        <v>1493407</v>
      </c>
      <c r="I585" s="1" t="n">
        <v>6</v>
      </c>
      <c r="J585" s="1" t="s">
        <v>1753</v>
      </c>
      <c r="K585" s="46" t="n">
        <v>280</v>
      </c>
      <c r="N585" s="67" t="n">
        <v>46237</v>
      </c>
      <c r="O585" s="1" t="n">
        <f aca="false">SUMIFS($K:$K,$E:$E,N585)</f>
        <v>10259.64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36</v>
      </c>
      <c r="D586" s="1" t="s">
        <v>1766</v>
      </c>
      <c r="E586" s="15" t="n">
        <v>46237</v>
      </c>
      <c r="F586" s="15" t="n">
        <v>46237</v>
      </c>
      <c r="G586" s="1" t="s">
        <v>146</v>
      </c>
      <c r="H586" s="1" t="n">
        <v>1493427</v>
      </c>
      <c r="I586" s="1" t="n">
        <v>6</v>
      </c>
      <c r="J586" s="1" t="s">
        <v>1753</v>
      </c>
      <c r="K586" s="46" t="n">
        <v>210</v>
      </c>
      <c r="N586" s="67" t="n">
        <v>46237</v>
      </c>
      <c r="O586" s="1" t="n">
        <f aca="false">SUMIFS($K:$K,$E:$E,N586)</f>
        <v>10259.64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1771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1753</v>
      </c>
      <c r="K587" s="46" t="n">
        <v>3277.5</v>
      </c>
      <c r="N587" s="67" t="n">
        <v>46237</v>
      </c>
      <c r="O587" s="1" t="n">
        <f aca="false">SUMIFS($K:$K,$E:$E,N587)</f>
        <v>10259.64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36</v>
      </c>
      <c r="D588" s="1" t="s">
        <v>1761</v>
      </c>
      <c r="E588" s="15" t="n">
        <v>46238</v>
      </c>
      <c r="F588" s="15" t="n">
        <v>46237</v>
      </c>
      <c r="G588" s="1" t="s">
        <v>144</v>
      </c>
      <c r="H588" s="1" t="n">
        <v>1499197</v>
      </c>
      <c r="I588" s="1" t="n">
        <v>11</v>
      </c>
      <c r="J588" s="1" t="s">
        <v>1753</v>
      </c>
      <c r="K588" s="46" t="n">
        <v>180</v>
      </c>
      <c r="N588" s="67" t="n">
        <v>46238</v>
      </c>
      <c r="O588" s="1" t="n">
        <f aca="false">SUMIFS($K:$K,$E:$E,N588)</f>
        <v>2453.8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1755</v>
      </c>
      <c r="D589" s="1" t="s">
        <v>1756</v>
      </c>
      <c r="E589" s="15" t="n">
        <v>46238</v>
      </c>
      <c r="F589" s="15" t="n">
        <v>46237</v>
      </c>
      <c r="G589" s="1" t="s">
        <v>416</v>
      </c>
      <c r="H589" s="1" t="n">
        <v>1498975</v>
      </c>
      <c r="I589" s="1" t="n">
        <v>11</v>
      </c>
      <c r="J589" s="1" t="s">
        <v>1753</v>
      </c>
      <c r="K589" s="46" t="n">
        <v>144.5</v>
      </c>
      <c r="N589" s="67" t="n">
        <v>46238</v>
      </c>
      <c r="O589" s="1" t="n">
        <f aca="false">SUMIFS($K:$K,$E:$E,N589)</f>
        <v>2453.8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1766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1753</v>
      </c>
      <c r="K590" s="46" t="n">
        <v>1910</v>
      </c>
      <c r="N590" s="67" t="n">
        <v>46238</v>
      </c>
      <c r="O590" s="1" t="n">
        <f aca="false">SUMIFS($K:$K,$E:$E,N590)</f>
        <v>2453.8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36</v>
      </c>
      <c r="D591" s="1" t="s">
        <v>1767</v>
      </c>
      <c r="E591" s="15" t="n">
        <v>46238</v>
      </c>
      <c r="F591" s="15" t="n">
        <v>46237</v>
      </c>
      <c r="G591" s="1" t="s">
        <v>105</v>
      </c>
      <c r="H591" s="1" t="n">
        <v>1499869</v>
      </c>
      <c r="I591" s="1" t="n">
        <v>11</v>
      </c>
      <c r="J591" s="1" t="s">
        <v>1753</v>
      </c>
      <c r="K591" s="46" t="n">
        <v>219.3</v>
      </c>
      <c r="N591" s="67" t="n">
        <v>46238</v>
      </c>
      <c r="O591" s="1" t="n">
        <f aca="false">SUMIFS($K:$K,$E:$E,N591)</f>
        <v>2453.8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36</v>
      </c>
      <c r="D592" s="1" t="s">
        <v>1842</v>
      </c>
      <c r="E592" s="15" t="n">
        <v>46239</v>
      </c>
      <c r="F592" s="15" t="n">
        <v>46234</v>
      </c>
      <c r="G592" s="1" t="s">
        <v>870</v>
      </c>
      <c r="H592" s="1" t="n">
        <v>1503877</v>
      </c>
      <c r="I592" s="1" t="n">
        <v>11</v>
      </c>
      <c r="J592" s="1" t="s">
        <v>1753</v>
      </c>
      <c r="K592" s="46" t="n">
        <v>1184.7</v>
      </c>
      <c r="N592" s="67" t="n">
        <v>46239</v>
      </c>
      <c r="O592" s="1" t="n">
        <f aca="false">SUMIFS($K:$K,$E:$E,N592)</f>
        <v>10024.42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36</v>
      </c>
      <c r="D593" s="1" t="s">
        <v>1842</v>
      </c>
      <c r="E593" s="15" t="n">
        <v>46239</v>
      </c>
      <c r="F593" s="15" t="n">
        <v>46234</v>
      </c>
      <c r="G593" s="1" t="s">
        <v>870</v>
      </c>
      <c r="H593" s="1" t="n">
        <v>1503892</v>
      </c>
      <c r="I593" s="1" t="n">
        <v>11</v>
      </c>
      <c r="J593" s="1" t="s">
        <v>1753</v>
      </c>
      <c r="K593" s="46" t="n">
        <v>1220.6</v>
      </c>
      <c r="N593" s="67" t="n">
        <v>46239</v>
      </c>
      <c r="O593" s="1" t="n">
        <f aca="false">SUMIFS($K:$K,$E:$E,N593)</f>
        <v>10024.42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36</v>
      </c>
      <c r="D594" s="1" t="s">
        <v>1842</v>
      </c>
      <c r="E594" s="15" t="n">
        <v>46239</v>
      </c>
      <c r="F594" s="15" t="n">
        <v>46234</v>
      </c>
      <c r="G594" s="1" t="s">
        <v>870</v>
      </c>
      <c r="H594" s="1" t="n">
        <v>1503915</v>
      </c>
      <c r="I594" s="1" t="n">
        <v>11</v>
      </c>
      <c r="J594" s="1" t="s">
        <v>1753</v>
      </c>
      <c r="K594" s="46" t="n">
        <v>1184.7</v>
      </c>
      <c r="N594" s="67" t="n">
        <v>46239</v>
      </c>
      <c r="O594" s="1" t="n">
        <f aca="false">SUMIFS($K:$K,$E:$E,N594)</f>
        <v>10024.42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36</v>
      </c>
      <c r="D595" s="1" t="s">
        <v>1769</v>
      </c>
      <c r="E595" s="15" t="n">
        <v>46239</v>
      </c>
      <c r="F595" s="15" t="n">
        <v>46238</v>
      </c>
      <c r="G595" s="1" t="s">
        <v>373</v>
      </c>
      <c r="H595" s="1" t="n">
        <v>1503570</v>
      </c>
      <c r="I595" s="1" t="n">
        <v>11</v>
      </c>
      <c r="J595" s="1" t="s">
        <v>1753</v>
      </c>
      <c r="K595" s="46" t="n">
        <v>2347.2</v>
      </c>
      <c r="N595" s="67" t="n">
        <v>46239</v>
      </c>
      <c r="O595" s="1" t="n">
        <f aca="false">SUMIFS($K:$K,$E:$E,N595)</f>
        <v>10024.42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1811</v>
      </c>
      <c r="D596" s="1" t="s">
        <v>1812</v>
      </c>
      <c r="E596" s="15" t="n">
        <v>46239</v>
      </c>
      <c r="F596" s="15" t="n">
        <v>46238</v>
      </c>
      <c r="G596" s="1" t="s">
        <v>235</v>
      </c>
      <c r="H596" s="1" t="n">
        <v>1504545</v>
      </c>
      <c r="I596" s="1" t="n">
        <v>11</v>
      </c>
      <c r="J596" s="1" t="s">
        <v>1753</v>
      </c>
      <c r="K596" s="46" t="n">
        <v>2447.06</v>
      </c>
      <c r="N596" s="67" t="n">
        <v>46239</v>
      </c>
      <c r="O596" s="1" t="n">
        <f aca="false">SUMIFS($K:$K,$E:$E,N596)</f>
        <v>10024.42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88</v>
      </c>
      <c r="D597" s="1" t="s">
        <v>1780</v>
      </c>
      <c r="E597" s="15" t="n">
        <v>46239</v>
      </c>
      <c r="F597" s="15" t="n">
        <v>46238</v>
      </c>
      <c r="G597" s="1" t="s">
        <v>439</v>
      </c>
      <c r="H597" s="1" t="n">
        <v>1503388</v>
      </c>
      <c r="I597" s="1" t="n">
        <v>11</v>
      </c>
      <c r="J597" s="1" t="s">
        <v>1753</v>
      </c>
      <c r="K597" s="46" t="n">
        <v>362.06</v>
      </c>
      <c r="N597" s="67" t="n">
        <v>46239</v>
      </c>
      <c r="O597" s="1" t="n">
        <f aca="false">SUMIFS($K:$K,$E:$E,N597)</f>
        <v>10024.42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36</v>
      </c>
      <c r="D598" s="1" t="s">
        <v>1873</v>
      </c>
      <c r="E598" s="15" t="n">
        <v>46239</v>
      </c>
      <c r="F598" s="15" t="n">
        <v>46239</v>
      </c>
      <c r="G598" s="1" t="s">
        <v>624</v>
      </c>
      <c r="H598" s="1" t="n">
        <v>1508121</v>
      </c>
      <c r="I598" s="1" t="n">
        <v>11</v>
      </c>
      <c r="J598" s="1" t="s">
        <v>1753</v>
      </c>
      <c r="K598" s="46" t="n">
        <v>200</v>
      </c>
      <c r="N598" s="67" t="n">
        <v>46239</v>
      </c>
      <c r="O598" s="1" t="n">
        <f aca="false">SUMIFS($K:$K,$E:$E,N598)</f>
        <v>10024.42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1774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1753</v>
      </c>
      <c r="K599" s="46" t="n">
        <v>166</v>
      </c>
      <c r="N599" s="67" t="n">
        <v>46239</v>
      </c>
      <c r="O599" s="1" t="n">
        <f aca="false">SUMIFS($K:$K,$E:$E,N599)</f>
        <v>10024.42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36</v>
      </c>
      <c r="D600" s="1" t="s">
        <v>1881</v>
      </c>
      <c r="E600" s="15" t="n">
        <v>46239</v>
      </c>
      <c r="F600" s="15" t="n">
        <v>46239</v>
      </c>
      <c r="G600" s="1" t="s">
        <v>1234</v>
      </c>
      <c r="H600" s="1" t="n">
        <v>1504750</v>
      </c>
      <c r="I600" s="1" t="n">
        <v>11</v>
      </c>
      <c r="J600" s="1" t="s">
        <v>1753</v>
      </c>
      <c r="K600" s="46" t="n">
        <v>390</v>
      </c>
      <c r="N600" s="67" t="n">
        <v>46239</v>
      </c>
      <c r="O600" s="1" t="n">
        <f aca="false">SUMIFS($K:$K,$E:$E,N600)</f>
        <v>10024.42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36</v>
      </c>
      <c r="D601" s="1" t="s">
        <v>1766</v>
      </c>
      <c r="E601" s="15" t="n">
        <v>46239</v>
      </c>
      <c r="F601" s="15" t="n">
        <v>46239</v>
      </c>
      <c r="G601" s="1" t="s">
        <v>146</v>
      </c>
      <c r="H601" s="1" t="n">
        <v>1503494</v>
      </c>
      <c r="I601" s="1" t="n">
        <v>6</v>
      </c>
      <c r="J601" s="1" t="s">
        <v>1753</v>
      </c>
      <c r="K601" s="46" t="n">
        <v>210</v>
      </c>
      <c r="N601" s="67" t="n">
        <v>46239</v>
      </c>
      <c r="O601" s="1" t="n">
        <f aca="false">SUMIFS($K:$K,$E:$E,N601)</f>
        <v>10024.42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88</v>
      </c>
      <c r="D602" s="1" t="s">
        <v>1758</v>
      </c>
      <c r="E602" s="15" t="n">
        <v>46239</v>
      </c>
      <c r="F602" s="15" t="n">
        <v>46238</v>
      </c>
      <c r="G602" s="1" t="s">
        <v>211</v>
      </c>
      <c r="H602" s="1" t="n">
        <v>1503440</v>
      </c>
      <c r="I602" s="1" t="n">
        <v>11</v>
      </c>
      <c r="J602" s="1" t="s">
        <v>1753</v>
      </c>
      <c r="K602" s="46" t="n">
        <v>312.1</v>
      </c>
      <c r="N602" s="67" t="n">
        <v>46239</v>
      </c>
      <c r="O602" s="1" t="n">
        <f aca="false">SUMIFS($K:$K,$E:$E,N602)</f>
        <v>10024.42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76</v>
      </c>
      <c r="D603" s="1" t="s">
        <v>1768</v>
      </c>
      <c r="E603" s="15" t="n">
        <v>46240</v>
      </c>
      <c r="F603" s="15" t="n">
        <v>46239</v>
      </c>
      <c r="G603" s="1" t="s">
        <v>129</v>
      </c>
      <c r="H603" s="1" t="n">
        <v>1508897</v>
      </c>
      <c r="I603" s="1" t="n">
        <v>11</v>
      </c>
      <c r="J603" s="1" t="s">
        <v>1753</v>
      </c>
      <c r="K603" s="46" t="n">
        <v>491.46</v>
      </c>
      <c r="N603" s="67" t="n">
        <v>46240</v>
      </c>
      <c r="O603" s="1" t="n">
        <f aca="false">SUMIFS($K:$K,$E:$E,N603)</f>
        <v>4531.05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1755</v>
      </c>
      <c r="D604" s="1" t="s">
        <v>1756</v>
      </c>
      <c r="E604" s="15" t="n">
        <v>46240</v>
      </c>
      <c r="F604" s="15" t="n">
        <v>46239</v>
      </c>
      <c r="G604" s="1" t="s">
        <v>416</v>
      </c>
      <c r="H604" s="1" t="n">
        <v>1508132</v>
      </c>
      <c r="I604" s="1" t="n">
        <v>11</v>
      </c>
      <c r="J604" s="1" t="s">
        <v>1753</v>
      </c>
      <c r="K604" s="46" t="n">
        <v>184</v>
      </c>
      <c r="N604" s="67" t="n">
        <v>46240</v>
      </c>
      <c r="O604" s="1" t="n">
        <f aca="false">SUMIFS($K:$K,$E:$E,N604)</f>
        <v>4531.05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36</v>
      </c>
      <c r="D605" s="1" t="s">
        <v>1777</v>
      </c>
      <c r="E605" s="15" t="n">
        <v>46240</v>
      </c>
      <c r="F605" s="15" t="n">
        <v>46239</v>
      </c>
      <c r="G605" s="1" t="s">
        <v>180</v>
      </c>
      <c r="H605" s="1" t="n">
        <v>1508952</v>
      </c>
      <c r="I605" s="1" t="n">
        <v>11</v>
      </c>
      <c r="J605" s="1" t="s">
        <v>1753</v>
      </c>
      <c r="K605" s="46" t="n">
        <v>1884.59</v>
      </c>
      <c r="N605" s="67" t="n">
        <v>46240</v>
      </c>
      <c r="O605" s="1" t="n">
        <f aca="false">SUMIFS($K:$K,$E:$E,N605)</f>
        <v>4531.05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36</v>
      </c>
      <c r="D606" s="1" t="s">
        <v>1863</v>
      </c>
      <c r="E606" s="15" t="n">
        <v>46240</v>
      </c>
      <c r="F606" s="15" t="n">
        <v>46237</v>
      </c>
      <c r="G606" s="1" t="s">
        <v>820</v>
      </c>
      <c r="H606" s="1" t="n">
        <v>1508245</v>
      </c>
      <c r="I606" s="1" t="n">
        <v>11</v>
      </c>
      <c r="J606" s="1" t="s">
        <v>1753</v>
      </c>
      <c r="K606" s="46" t="n">
        <v>136.5</v>
      </c>
      <c r="N606" s="67" t="n">
        <v>46240</v>
      </c>
      <c r="O606" s="1" t="n">
        <f aca="false">SUMIFS($K:$K,$E:$E,N606)</f>
        <v>4531.05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1766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1753</v>
      </c>
      <c r="K607" s="46" t="n">
        <v>300</v>
      </c>
      <c r="N607" s="67" t="n">
        <v>46240</v>
      </c>
      <c r="O607" s="1" t="n">
        <f aca="false">SUMIFS($K:$K,$E:$E,N607)</f>
        <v>4531.05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36</v>
      </c>
      <c r="D608" s="1" t="s">
        <v>1781</v>
      </c>
      <c r="E608" s="15" t="n">
        <v>46240</v>
      </c>
      <c r="F608" s="15" t="n">
        <v>46239</v>
      </c>
      <c r="G608" s="1" t="s">
        <v>437</v>
      </c>
      <c r="H608" s="1" t="n">
        <v>1508149</v>
      </c>
      <c r="I608" s="1" t="n">
        <v>11</v>
      </c>
      <c r="J608" s="1" t="s">
        <v>1753</v>
      </c>
      <c r="K608" s="46" t="n">
        <v>460</v>
      </c>
      <c r="N608" s="67" t="n">
        <v>46240</v>
      </c>
      <c r="O608" s="1" t="n">
        <f aca="false">SUMIFS($K:$K,$E:$E,N608)</f>
        <v>4531.05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61</v>
      </c>
      <c r="D609" s="1" t="s">
        <v>1799</v>
      </c>
      <c r="E609" s="15" t="n">
        <v>46240</v>
      </c>
      <c r="F609" s="15" t="n">
        <v>46239</v>
      </c>
      <c r="G609" s="1" t="s">
        <v>464</v>
      </c>
      <c r="H609" s="1" t="n">
        <v>1509755</v>
      </c>
      <c r="I609" s="1" t="n">
        <v>11</v>
      </c>
      <c r="J609" s="1" t="s">
        <v>1753</v>
      </c>
      <c r="K609" s="46" t="n">
        <v>485</v>
      </c>
      <c r="N609" s="67" t="n">
        <v>46240</v>
      </c>
      <c r="O609" s="1" t="n">
        <f aca="false">SUMIFS($K:$K,$E:$E,N609)</f>
        <v>4531.05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36</v>
      </c>
      <c r="D610" s="1" t="s">
        <v>1759</v>
      </c>
      <c r="E610" s="15" t="n">
        <v>46240</v>
      </c>
      <c r="F610" s="15" t="n">
        <v>46240</v>
      </c>
      <c r="G610" s="1" t="s">
        <v>205</v>
      </c>
      <c r="H610" s="1" t="n">
        <v>1551459</v>
      </c>
      <c r="I610" s="1" t="n">
        <v>11</v>
      </c>
      <c r="J610" s="1" t="s">
        <v>1753</v>
      </c>
      <c r="K610" s="46" t="n">
        <v>589.5</v>
      </c>
      <c r="N610" s="67" t="n">
        <v>46240</v>
      </c>
      <c r="O610" s="1" t="n">
        <f aca="false">SUMIFS($K:$K,$E:$E,N610)</f>
        <v>4531.05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36</v>
      </c>
      <c r="D611" s="1" t="s">
        <v>1762</v>
      </c>
      <c r="E611" s="15" t="n">
        <v>46241</v>
      </c>
      <c r="F611" s="15" t="n">
        <v>46239</v>
      </c>
      <c r="G611" s="1" t="s">
        <v>243</v>
      </c>
      <c r="H611" s="1" t="n">
        <v>1513508</v>
      </c>
      <c r="I611" s="1" t="n">
        <v>11</v>
      </c>
      <c r="J611" s="1" t="s">
        <v>1753</v>
      </c>
      <c r="K611" s="46" t="n">
        <v>899.5</v>
      </c>
      <c r="N611" s="67" t="n">
        <v>46241</v>
      </c>
      <c r="O611" s="1" t="n">
        <f aca="false">SUMIFS($K:$K,$E:$E,N611)</f>
        <v>22895.9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49</v>
      </c>
      <c r="D612" s="1" t="s">
        <v>1754</v>
      </c>
      <c r="E612" s="15" t="n">
        <v>46241</v>
      </c>
      <c r="F612" s="15" t="n">
        <v>46239</v>
      </c>
      <c r="G612" s="1" t="s">
        <v>131</v>
      </c>
      <c r="H612" s="1" t="n">
        <v>1514077</v>
      </c>
      <c r="I612" s="1" t="n">
        <v>11</v>
      </c>
      <c r="J612" s="1" t="s">
        <v>1753</v>
      </c>
      <c r="K612" s="46" t="n">
        <v>201.65</v>
      </c>
      <c r="N612" s="67" t="n">
        <v>46241</v>
      </c>
      <c r="O612" s="1" t="n">
        <f aca="false">SUMIFS($K:$K,$E:$E,N612)</f>
        <v>22895.9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49</v>
      </c>
      <c r="D613" s="1" t="s">
        <v>1754</v>
      </c>
      <c r="E613" s="15" t="n">
        <v>46241</v>
      </c>
      <c r="F613" s="15" t="n">
        <v>46239</v>
      </c>
      <c r="G613" s="1" t="s">
        <v>131</v>
      </c>
      <c r="H613" s="1" t="n">
        <v>1514090</v>
      </c>
      <c r="I613" s="1" t="n">
        <v>11</v>
      </c>
      <c r="J613" s="1" t="s">
        <v>1753</v>
      </c>
      <c r="K613" s="46" t="n">
        <v>429.68</v>
      </c>
      <c r="N613" s="67" t="n">
        <v>46241</v>
      </c>
      <c r="O613" s="1" t="n">
        <f aca="false">SUMIFS($K:$K,$E:$E,N613)</f>
        <v>22895.9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49</v>
      </c>
      <c r="D614" s="1" t="s">
        <v>1754</v>
      </c>
      <c r="E614" s="15" t="n">
        <v>46241</v>
      </c>
      <c r="F614" s="15" t="n">
        <v>46239</v>
      </c>
      <c r="G614" s="1" t="s">
        <v>131</v>
      </c>
      <c r="H614" s="1" t="n">
        <v>1514069</v>
      </c>
      <c r="I614" s="1" t="n">
        <v>11</v>
      </c>
      <c r="J614" s="1" t="s">
        <v>1753</v>
      </c>
      <c r="K614" s="46" t="n">
        <v>77.62</v>
      </c>
      <c r="N614" s="67" t="n">
        <v>46241</v>
      </c>
      <c r="O614" s="1" t="n">
        <f aca="false">SUMIFS($K:$K,$E:$E,N614)</f>
        <v>22895.9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1754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1753</v>
      </c>
      <c r="K615" s="46" t="n">
        <v>1055.41</v>
      </c>
      <c r="N615" s="67" t="n">
        <v>46241</v>
      </c>
      <c r="O615" s="1" t="n">
        <f aca="false">SUMIFS($K:$K,$E:$E,N615)</f>
        <v>22895.9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67</v>
      </c>
      <c r="D616" s="1" t="s">
        <v>1754</v>
      </c>
      <c r="E616" s="15" t="n">
        <v>46241</v>
      </c>
      <c r="F616" s="15" t="n">
        <v>46239</v>
      </c>
      <c r="G616" s="1" t="s">
        <v>131</v>
      </c>
      <c r="H616" s="1" t="n">
        <v>1514074</v>
      </c>
      <c r="I616" s="1" t="n">
        <v>11</v>
      </c>
      <c r="J616" s="1" t="s">
        <v>1753</v>
      </c>
      <c r="K616" s="46" t="n">
        <v>356.01</v>
      </c>
      <c r="N616" s="67" t="n">
        <v>46241</v>
      </c>
      <c r="O616" s="1" t="n">
        <f aca="false">SUMIFS($K:$K,$E:$E,N616)</f>
        <v>22895.9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1754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1753</v>
      </c>
      <c r="K617" s="46" t="n">
        <v>3289.2</v>
      </c>
      <c r="N617" s="67" t="n">
        <v>46241</v>
      </c>
      <c r="O617" s="1" t="n">
        <f aca="false">SUMIFS($K:$K,$E:$E,N617)</f>
        <v>22895.9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36</v>
      </c>
      <c r="D618" s="1" t="s">
        <v>1802</v>
      </c>
      <c r="E618" s="15" t="n">
        <v>46241</v>
      </c>
      <c r="F618" s="15" t="n">
        <v>46241</v>
      </c>
      <c r="G618" s="1" t="s">
        <v>107</v>
      </c>
      <c r="H618" s="1" t="n">
        <v>1513480</v>
      </c>
      <c r="I618" s="1" t="n">
        <v>11</v>
      </c>
      <c r="J618" s="1" t="s">
        <v>1753</v>
      </c>
      <c r="K618" s="46" t="n">
        <v>2551.07</v>
      </c>
      <c r="N618" s="67" t="n">
        <v>46241</v>
      </c>
      <c r="O618" s="1" t="n">
        <f aca="false">SUMIFS($K:$K,$E:$E,N618)</f>
        <v>22895.9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1763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1753</v>
      </c>
      <c r="K619" s="46" t="n">
        <v>497.91</v>
      </c>
      <c r="N619" s="67" t="n">
        <v>46241</v>
      </c>
      <c r="O619" s="1" t="n">
        <f aca="false">SUMIFS($K:$K,$E:$E,N619)</f>
        <v>22895.9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36</v>
      </c>
      <c r="D620" s="1" t="s">
        <v>1847</v>
      </c>
      <c r="E620" s="15" t="n">
        <v>46241</v>
      </c>
      <c r="F620" s="15" t="n">
        <v>46240</v>
      </c>
      <c r="G620" s="1" t="s">
        <v>343</v>
      </c>
      <c r="H620" s="1" t="n">
        <v>1514338</v>
      </c>
      <c r="I620" s="1" t="n">
        <v>11</v>
      </c>
      <c r="J620" s="1" t="s">
        <v>1753</v>
      </c>
      <c r="K620" s="46" t="n">
        <v>765.24</v>
      </c>
      <c r="N620" s="67" t="n">
        <v>46241</v>
      </c>
      <c r="O620" s="1" t="n">
        <f aca="false">SUMIFS($K:$K,$E:$E,N620)</f>
        <v>22895.9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36</v>
      </c>
      <c r="D621" s="1" t="s">
        <v>1847</v>
      </c>
      <c r="E621" s="15" t="n">
        <v>46241</v>
      </c>
      <c r="F621" s="15" t="n">
        <v>46240</v>
      </c>
      <c r="G621" s="1" t="s">
        <v>343</v>
      </c>
      <c r="H621" s="1" t="n">
        <v>1514240</v>
      </c>
      <c r="I621" s="1" t="n">
        <v>45</v>
      </c>
      <c r="J621" s="1" t="s">
        <v>1753</v>
      </c>
      <c r="K621" s="46" t="n">
        <v>1561.4</v>
      </c>
      <c r="N621" s="67" t="n">
        <v>46241</v>
      </c>
      <c r="O621" s="1" t="n">
        <f aca="false">SUMIFS($K:$K,$E:$E,N621)</f>
        <v>22895.9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61</v>
      </c>
      <c r="D622" s="1" t="s">
        <v>1787</v>
      </c>
      <c r="E622" s="15" t="n">
        <v>46241</v>
      </c>
      <c r="F622" s="15" t="n">
        <v>46241</v>
      </c>
      <c r="G622" s="1" t="s">
        <v>274</v>
      </c>
      <c r="H622" s="1" t="n">
        <v>1514125</v>
      </c>
      <c r="I622" s="1" t="n">
        <v>11</v>
      </c>
      <c r="J622" s="1" t="s">
        <v>1753</v>
      </c>
      <c r="K622" s="46" t="n">
        <v>2047.95</v>
      </c>
      <c r="N622" s="67" t="n">
        <v>46241</v>
      </c>
      <c r="O622" s="1" t="n">
        <f aca="false">SUMIFS($K:$K,$E:$E,N622)</f>
        <v>22895.9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36</v>
      </c>
      <c r="D623" s="1" t="s">
        <v>1783</v>
      </c>
      <c r="E623" s="15" t="n">
        <v>46241</v>
      </c>
      <c r="F623" s="15" t="n">
        <v>46241</v>
      </c>
      <c r="G623" s="1" t="s">
        <v>109</v>
      </c>
      <c r="H623" s="1" t="n">
        <v>1514028</v>
      </c>
      <c r="I623" s="1" t="n">
        <v>11</v>
      </c>
      <c r="J623" s="1" t="s">
        <v>1753</v>
      </c>
      <c r="K623" s="46" t="n">
        <v>183</v>
      </c>
      <c r="N623" s="67" t="n">
        <v>46241</v>
      </c>
      <c r="O623" s="1" t="n">
        <f aca="false">SUMIFS($K:$K,$E:$E,N623)</f>
        <v>22895.9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36</v>
      </c>
      <c r="D624" s="1" t="s">
        <v>1788</v>
      </c>
      <c r="E624" s="15" t="n">
        <v>46241</v>
      </c>
      <c r="F624" s="15" t="n">
        <v>46241</v>
      </c>
      <c r="G624" s="1" t="s">
        <v>451</v>
      </c>
      <c r="H624" s="1" t="n">
        <v>1513950</v>
      </c>
      <c r="I624" s="1" t="n">
        <v>11</v>
      </c>
      <c r="J624" s="1" t="s">
        <v>1753</v>
      </c>
      <c r="K624" s="46" t="n">
        <v>250</v>
      </c>
      <c r="N624" s="67" t="n">
        <v>46241</v>
      </c>
      <c r="O624" s="1" t="n">
        <f aca="false">SUMIFS($K:$K,$E:$E,N624)</f>
        <v>22895.9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36</v>
      </c>
      <c r="D625" s="1" t="s">
        <v>1757</v>
      </c>
      <c r="E625" s="15" t="n">
        <v>46241</v>
      </c>
      <c r="F625" s="15" t="n">
        <v>46240</v>
      </c>
      <c r="G625" s="1" t="s">
        <v>272</v>
      </c>
      <c r="H625" s="1" t="n">
        <v>1514501</v>
      </c>
      <c r="I625" s="1" t="n">
        <v>11</v>
      </c>
      <c r="J625" s="1" t="s">
        <v>1753</v>
      </c>
      <c r="K625" s="46" t="n">
        <v>4131.7</v>
      </c>
      <c r="N625" s="67" t="n">
        <v>46241</v>
      </c>
      <c r="O625" s="1" t="n">
        <f aca="false">SUMIFS($K:$K,$E:$E,N625)</f>
        <v>22895.9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36</v>
      </c>
      <c r="D626" s="1" t="s">
        <v>1766</v>
      </c>
      <c r="E626" s="15" t="n">
        <v>46241</v>
      </c>
      <c r="F626" s="15" t="n">
        <v>46241</v>
      </c>
      <c r="G626" s="1" t="s">
        <v>146</v>
      </c>
      <c r="H626" s="1" t="n">
        <v>1513987</v>
      </c>
      <c r="I626" s="1" t="n">
        <v>6</v>
      </c>
      <c r="J626" s="1" t="s">
        <v>1753</v>
      </c>
      <c r="K626" s="46" t="n">
        <v>300</v>
      </c>
      <c r="N626" s="67" t="n">
        <v>46241</v>
      </c>
      <c r="O626" s="1" t="n">
        <f aca="false">SUMIFS($K:$K,$E:$E,N626)</f>
        <v>22895.9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36</v>
      </c>
      <c r="D627" s="1" t="s">
        <v>1766</v>
      </c>
      <c r="E627" s="15" t="n">
        <v>46241</v>
      </c>
      <c r="F627" s="15" t="n">
        <v>46241</v>
      </c>
      <c r="G627" s="1" t="s">
        <v>146</v>
      </c>
      <c r="H627" s="1" t="n">
        <v>1514010</v>
      </c>
      <c r="I627" s="1" t="n">
        <v>6</v>
      </c>
      <c r="J627" s="1" t="s">
        <v>1753</v>
      </c>
      <c r="K627" s="46" t="n">
        <v>1900</v>
      </c>
      <c r="N627" s="67" t="n">
        <v>46241</v>
      </c>
      <c r="O627" s="1" t="n">
        <f aca="false">SUMIFS($K:$K,$E:$E,N627)</f>
        <v>22895.9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36</v>
      </c>
      <c r="D628" s="1" t="s">
        <v>1766</v>
      </c>
      <c r="E628" s="15" t="n">
        <v>46241</v>
      </c>
      <c r="F628" s="15" t="n">
        <v>46241</v>
      </c>
      <c r="G628" s="1" t="s">
        <v>146</v>
      </c>
      <c r="H628" s="1" t="n">
        <v>1514649</v>
      </c>
      <c r="I628" s="1" t="n">
        <v>6</v>
      </c>
      <c r="J628" s="1" t="s">
        <v>1753</v>
      </c>
      <c r="K628" s="46" t="n">
        <v>175</v>
      </c>
      <c r="N628" s="67" t="n">
        <v>46241</v>
      </c>
      <c r="O628" s="1" t="n">
        <f aca="false">SUMIFS($K:$K,$E:$E,N628)</f>
        <v>22895.9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36</v>
      </c>
      <c r="D629" s="1" t="s">
        <v>1766</v>
      </c>
      <c r="E629" s="15" t="n">
        <v>46241</v>
      </c>
      <c r="F629" s="15" t="n">
        <v>46241</v>
      </c>
      <c r="G629" s="1" t="s">
        <v>146</v>
      </c>
      <c r="H629" s="1" t="n">
        <v>1514680</v>
      </c>
      <c r="I629" s="1" t="n">
        <v>6</v>
      </c>
      <c r="J629" s="1" t="s">
        <v>1753</v>
      </c>
      <c r="K629" s="46" t="n">
        <v>1848.86</v>
      </c>
      <c r="N629" s="67" t="n">
        <v>46241</v>
      </c>
      <c r="O629" s="1" t="n">
        <f aca="false">SUMIFS($K:$K,$E:$E,N629)</f>
        <v>22895.9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88</v>
      </c>
      <c r="D630" s="1" t="s">
        <v>1758</v>
      </c>
      <c r="E630" s="15" t="n">
        <v>46241</v>
      </c>
      <c r="F630" s="15" t="n">
        <v>46240</v>
      </c>
      <c r="G630" s="1" t="s">
        <v>211</v>
      </c>
      <c r="H630" s="1" t="n">
        <v>1512883</v>
      </c>
      <c r="I630" s="1" t="n">
        <v>11</v>
      </c>
      <c r="J630" s="1" t="s">
        <v>1753</v>
      </c>
      <c r="K630" s="46" t="n">
        <v>374.7</v>
      </c>
      <c r="N630" s="67" t="n">
        <v>46241</v>
      </c>
      <c r="O630" s="1" t="n">
        <f aca="false">SUMIFS($K:$K,$E:$E,N630)</f>
        <v>22895.9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1873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1753</v>
      </c>
      <c r="K631" s="46" t="n">
        <v>200</v>
      </c>
      <c r="N631" s="67" t="n">
        <v>46242</v>
      </c>
      <c r="O631" s="1" t="n">
        <f aca="false">SUMIFS($K:$K,$E:$E,N631)</f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36</v>
      </c>
      <c r="D632" s="1" t="s">
        <v>1761</v>
      </c>
      <c r="E632" s="15" t="n">
        <v>46244</v>
      </c>
      <c r="F632" s="15" t="n">
        <v>46241</v>
      </c>
      <c r="G632" s="1" t="s">
        <v>144</v>
      </c>
      <c r="H632" s="1" t="n">
        <v>1529123</v>
      </c>
      <c r="I632" s="1" t="n">
        <v>11</v>
      </c>
      <c r="J632" s="1" t="s">
        <v>1753</v>
      </c>
      <c r="K632" s="46" t="n">
        <v>420</v>
      </c>
      <c r="N632" s="67" t="n">
        <v>46244</v>
      </c>
      <c r="O632" s="1" t="n">
        <f aca="false">SUMIFS($K:$K,$E:$E,N632)</f>
        <v>24821.28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36</v>
      </c>
      <c r="D633" s="1" t="s">
        <v>1810</v>
      </c>
      <c r="E633" s="15" t="n">
        <v>46244</v>
      </c>
      <c r="F633" s="15" t="n">
        <v>46241</v>
      </c>
      <c r="G633" s="1" t="s">
        <v>220</v>
      </c>
      <c r="H633" s="1" t="n">
        <v>1529137</v>
      </c>
      <c r="I633" s="1" t="n">
        <v>11</v>
      </c>
      <c r="J633" s="1" t="s">
        <v>1753</v>
      </c>
      <c r="K633" s="46" t="n">
        <v>698</v>
      </c>
      <c r="N633" s="67" t="n">
        <v>46244</v>
      </c>
      <c r="O633" s="1" t="n">
        <f aca="false">SUMIFS($K:$K,$E:$E,N633)</f>
        <v>24821.28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1811</v>
      </c>
      <c r="D634" s="1" t="s">
        <v>1812</v>
      </c>
      <c r="E634" s="15" t="n">
        <v>46244</v>
      </c>
      <c r="F634" s="15" t="n">
        <v>46242</v>
      </c>
      <c r="G634" s="1" t="s">
        <v>235</v>
      </c>
      <c r="H634" s="1" t="n">
        <v>1529995</v>
      </c>
      <c r="I634" s="1" t="n">
        <v>11</v>
      </c>
      <c r="J634" s="1" t="s">
        <v>1753</v>
      </c>
      <c r="K634" s="46" t="n">
        <v>1124.39</v>
      </c>
      <c r="N634" s="67" t="n">
        <v>46244</v>
      </c>
      <c r="O634" s="1" t="n">
        <f aca="false">SUMIFS($K:$K,$E:$E,N634)</f>
        <v>24821.28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1755</v>
      </c>
      <c r="D635" s="1" t="s">
        <v>1756</v>
      </c>
      <c r="E635" s="15" t="n">
        <v>46244</v>
      </c>
      <c r="F635" s="15" t="n">
        <v>46244</v>
      </c>
      <c r="G635" s="1" t="s">
        <v>416</v>
      </c>
      <c r="H635" s="1" t="n">
        <v>1530015</v>
      </c>
      <c r="I635" s="1" t="n">
        <v>11</v>
      </c>
      <c r="J635" s="1" t="s">
        <v>1753</v>
      </c>
      <c r="K635" s="46" t="n">
        <v>216.5</v>
      </c>
      <c r="N635" s="67" t="n">
        <v>46244</v>
      </c>
      <c r="O635" s="1" t="n">
        <f aca="false">SUMIFS($K:$K,$E:$E,N635)</f>
        <v>24821.28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1755</v>
      </c>
      <c r="D636" s="1" t="s">
        <v>1756</v>
      </c>
      <c r="E636" s="15" t="n">
        <v>46244</v>
      </c>
      <c r="F636" s="15" t="n">
        <v>46244</v>
      </c>
      <c r="G636" s="1" t="s">
        <v>416</v>
      </c>
      <c r="H636" s="1" t="n">
        <v>1530019</v>
      </c>
      <c r="I636" s="1" t="n">
        <v>11</v>
      </c>
      <c r="J636" s="1" t="s">
        <v>1753</v>
      </c>
      <c r="K636" s="46" t="n">
        <v>136</v>
      </c>
      <c r="N636" s="67" t="n">
        <v>46244</v>
      </c>
      <c r="O636" s="1" t="n">
        <f aca="false">SUMIFS($K:$K,$E:$E,N636)</f>
        <v>24821.28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36</v>
      </c>
      <c r="D637" s="1" t="s">
        <v>1770</v>
      </c>
      <c r="E637" s="15" t="n">
        <v>46244</v>
      </c>
      <c r="F637" s="15" t="n">
        <v>46244</v>
      </c>
      <c r="G637" s="1" t="s">
        <v>140</v>
      </c>
      <c r="H637" s="1" t="n">
        <v>1529985</v>
      </c>
      <c r="I637" s="1" t="n">
        <v>11</v>
      </c>
      <c r="J637" s="1" t="s">
        <v>1753</v>
      </c>
      <c r="K637" s="46" t="n">
        <v>138</v>
      </c>
      <c r="N637" s="67" t="n">
        <v>46244</v>
      </c>
      <c r="O637" s="1" t="n">
        <f aca="false">SUMIFS($K:$K,$E:$E,N637)</f>
        <v>24821.28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36</v>
      </c>
      <c r="D638" s="1" t="s">
        <v>1757</v>
      </c>
      <c r="E638" s="15" t="n">
        <v>46244</v>
      </c>
      <c r="F638" s="15" t="n">
        <v>46242</v>
      </c>
      <c r="G638" s="1" t="s">
        <v>272</v>
      </c>
      <c r="H638" s="1" t="n">
        <v>1529949</v>
      </c>
      <c r="I638" s="1" t="n">
        <v>11</v>
      </c>
      <c r="J638" s="1" t="s">
        <v>1753</v>
      </c>
      <c r="K638" s="46" t="n">
        <v>4599.9</v>
      </c>
      <c r="N638" s="67" t="n">
        <v>46244</v>
      </c>
      <c r="O638" s="1" t="n">
        <f aca="false">SUMIFS($K:$K,$E:$E,N638)</f>
        <v>24821.28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36</v>
      </c>
      <c r="D639" s="1" t="s">
        <v>1766</v>
      </c>
      <c r="E639" s="15" t="n">
        <v>46244</v>
      </c>
      <c r="F639" s="15" t="n">
        <v>46244</v>
      </c>
      <c r="G639" s="1" t="s">
        <v>146</v>
      </c>
      <c r="H639" s="1" t="n">
        <v>1529194</v>
      </c>
      <c r="I639" s="1" t="n">
        <v>6</v>
      </c>
      <c r="J639" s="1" t="s">
        <v>1753</v>
      </c>
      <c r="K639" s="46" t="n">
        <v>375</v>
      </c>
      <c r="N639" s="67" t="n">
        <v>46244</v>
      </c>
      <c r="O639" s="1" t="n">
        <f aca="false">SUMIFS($K:$K,$E:$E,N639)</f>
        <v>24821.28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36</v>
      </c>
      <c r="D640" s="1" t="s">
        <v>1798</v>
      </c>
      <c r="E640" s="15" t="n">
        <v>46244</v>
      </c>
      <c r="F640" s="15" t="n">
        <v>46244</v>
      </c>
      <c r="G640" s="1" t="s">
        <v>462</v>
      </c>
      <c r="H640" s="1" t="n">
        <v>1528892</v>
      </c>
      <c r="I640" s="1" t="n">
        <v>11</v>
      </c>
      <c r="J640" s="1" t="s">
        <v>1753</v>
      </c>
      <c r="K640" s="46" t="n">
        <v>364.47</v>
      </c>
      <c r="N640" s="67" t="n">
        <v>46244</v>
      </c>
      <c r="O640" s="1" t="n">
        <f aca="false">SUMIFS($K:$K,$E:$E,N640)</f>
        <v>24821.28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36</v>
      </c>
      <c r="D641" s="1" t="s">
        <v>1771</v>
      </c>
      <c r="E641" s="15" t="n">
        <v>46244</v>
      </c>
      <c r="F641" s="15" t="n">
        <v>46242</v>
      </c>
      <c r="G641" s="1" t="s">
        <v>142</v>
      </c>
      <c r="H641" s="1" t="n">
        <v>1529233</v>
      </c>
      <c r="I641" s="1" t="n">
        <v>11</v>
      </c>
      <c r="J641" s="1" t="s">
        <v>1753</v>
      </c>
      <c r="K641" s="46" t="n">
        <v>2918.55</v>
      </c>
      <c r="N641" s="67" t="n">
        <v>46244</v>
      </c>
      <c r="O641" s="1" t="n">
        <f aca="false">SUMIFS($K:$K,$E:$E,N641)</f>
        <v>24821.28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1792</v>
      </c>
      <c r="D642" s="1" t="s">
        <v>1793</v>
      </c>
      <c r="E642" s="15" t="n">
        <v>46244</v>
      </c>
      <c r="F642" s="15" t="n">
        <v>46239</v>
      </c>
      <c r="G642" s="1" t="s">
        <v>229</v>
      </c>
      <c r="H642" s="1" t="n">
        <v>1529041</v>
      </c>
      <c r="I642" s="1" t="n">
        <v>11</v>
      </c>
      <c r="J642" s="1" t="s">
        <v>1753</v>
      </c>
      <c r="K642" s="46" t="n">
        <v>13545.54</v>
      </c>
      <c r="N642" s="67" t="n">
        <v>46244</v>
      </c>
      <c r="O642" s="1" t="n">
        <f aca="false">SUMIFS($K:$K,$E:$E,N642)</f>
        <v>24821.28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36</v>
      </c>
      <c r="D643" s="1" t="s">
        <v>1760</v>
      </c>
      <c r="E643" s="15" t="n">
        <v>46244</v>
      </c>
      <c r="F643" s="15" t="n">
        <v>46244</v>
      </c>
      <c r="G643" s="1" t="s">
        <v>296</v>
      </c>
      <c r="H643" s="1" t="n">
        <v>1529978</v>
      </c>
      <c r="I643" s="1" t="n">
        <v>11</v>
      </c>
      <c r="J643" s="1" t="s">
        <v>1753</v>
      </c>
      <c r="K643" s="46" t="n">
        <v>284.93</v>
      </c>
      <c r="N643" s="67" t="n">
        <v>46244</v>
      </c>
      <c r="O643" s="1" t="n">
        <f aca="false">SUMIFS($K:$K,$E:$E,N643)</f>
        <v>24821.28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36</v>
      </c>
      <c r="D644" s="1" t="s">
        <v>1794</v>
      </c>
      <c r="E644" s="15" t="n">
        <v>46245</v>
      </c>
      <c r="F644" s="15" t="n">
        <v>46238</v>
      </c>
      <c r="G644" s="1" t="s">
        <v>87</v>
      </c>
      <c r="H644" s="1" t="n">
        <v>1533172</v>
      </c>
      <c r="I644" s="1" t="n">
        <v>11</v>
      </c>
      <c r="J644" s="1" t="s">
        <v>1753</v>
      </c>
      <c r="K644" s="46" t="n">
        <v>1277.5</v>
      </c>
      <c r="N644" s="67" t="n">
        <v>46245</v>
      </c>
      <c r="O644" s="1" t="n">
        <f aca="false">SUMIFS($K:$K,$E:$E,N644)</f>
        <v>7097.31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1806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1753</v>
      </c>
      <c r="K645" s="46" t="n">
        <v>304.02</v>
      </c>
      <c r="N645" s="67" t="n">
        <v>46245</v>
      </c>
      <c r="O645" s="1" t="n">
        <f aca="false">SUMIFS($K:$K,$E:$E,N645)</f>
        <v>7097.31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36</v>
      </c>
      <c r="D646" s="1" t="s">
        <v>1790</v>
      </c>
      <c r="E646" s="15" t="n">
        <v>46245</v>
      </c>
      <c r="F646" s="15" t="n">
        <v>46238</v>
      </c>
      <c r="G646" s="1" t="s">
        <v>340</v>
      </c>
      <c r="H646" s="1" t="n">
        <v>1532207</v>
      </c>
      <c r="I646" s="1" t="n">
        <v>11</v>
      </c>
      <c r="J646" s="1" t="s">
        <v>1753</v>
      </c>
      <c r="K646" s="46" t="n">
        <v>2852.4</v>
      </c>
      <c r="N646" s="67" t="n">
        <v>46245</v>
      </c>
      <c r="O646" s="1" t="n">
        <f aca="false">SUMIFS($K:$K,$E:$E,N646)</f>
        <v>7097.31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36</v>
      </c>
      <c r="D647" s="1" t="s">
        <v>1766</v>
      </c>
      <c r="E647" s="15" t="n">
        <v>46245</v>
      </c>
      <c r="F647" s="15" t="n">
        <v>46245</v>
      </c>
      <c r="G647" s="1" t="s">
        <v>146</v>
      </c>
      <c r="H647" s="1" t="n">
        <v>1533103</v>
      </c>
      <c r="I647" s="1" t="n">
        <v>6</v>
      </c>
      <c r="J647" s="1" t="s">
        <v>1753</v>
      </c>
      <c r="K647" s="46" t="n">
        <v>175</v>
      </c>
      <c r="N647" s="67" t="n">
        <v>46245</v>
      </c>
      <c r="O647" s="1" t="n">
        <f aca="false">SUMIFS($K:$K,$E:$E,N647)</f>
        <v>7097.31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1766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1753</v>
      </c>
      <c r="K648" s="46" t="n">
        <v>1838.25</v>
      </c>
      <c r="N648" s="67" t="n">
        <v>46245</v>
      </c>
      <c r="O648" s="1" t="n">
        <f aca="false">SUMIFS($K:$K,$E:$E,N648)</f>
        <v>7097.31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36</v>
      </c>
      <c r="D649" s="1" t="s">
        <v>1767</v>
      </c>
      <c r="E649" s="15" t="n">
        <v>46245</v>
      </c>
      <c r="F649" s="15" t="n">
        <v>46244</v>
      </c>
      <c r="G649" s="1" t="s">
        <v>105</v>
      </c>
      <c r="H649" s="1" t="n">
        <v>1532673</v>
      </c>
      <c r="I649" s="1" t="n">
        <v>11</v>
      </c>
      <c r="J649" s="1" t="s">
        <v>1753</v>
      </c>
      <c r="K649" s="46" t="n">
        <v>279.65</v>
      </c>
      <c r="N649" s="67" t="n">
        <v>46245</v>
      </c>
      <c r="O649" s="1" t="n">
        <f aca="false">SUMIFS($K:$K,$E:$E,N649)</f>
        <v>7097.31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1882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1753</v>
      </c>
      <c r="K650" s="46" t="n">
        <v>370.49</v>
      </c>
      <c r="N650" s="67" t="n">
        <v>46245</v>
      </c>
      <c r="O650" s="1" t="n">
        <f aca="false">SUMIFS($K:$K,$E:$E,N650)</f>
        <v>7097.31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36</v>
      </c>
      <c r="D651" s="1" t="s">
        <v>1761</v>
      </c>
      <c r="E651" s="15" t="n">
        <v>46246</v>
      </c>
      <c r="F651" s="15" t="n">
        <v>46245</v>
      </c>
      <c r="G651" s="1" t="s">
        <v>144</v>
      </c>
      <c r="H651" s="1" t="n">
        <v>1534760</v>
      </c>
      <c r="I651" s="1" t="n">
        <v>11</v>
      </c>
      <c r="J651" s="1" t="s">
        <v>1753</v>
      </c>
      <c r="K651" s="46" t="n">
        <v>240</v>
      </c>
      <c r="N651" s="67" t="n">
        <v>46246</v>
      </c>
      <c r="O651" s="1" t="n">
        <f aca="false">SUMIFS($K:$K,$E:$E,N651)</f>
        <v>6681.43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36</v>
      </c>
      <c r="D652" s="1" t="s">
        <v>1764</v>
      </c>
      <c r="E652" s="15" t="n">
        <v>46246</v>
      </c>
      <c r="F652" s="15" t="n">
        <v>46245</v>
      </c>
      <c r="G652" s="1" t="s">
        <v>224</v>
      </c>
      <c r="H652" s="1" t="n">
        <v>1534782</v>
      </c>
      <c r="I652" s="1" t="n">
        <v>11</v>
      </c>
      <c r="J652" s="1" t="s">
        <v>1753</v>
      </c>
      <c r="K652" s="46" t="n">
        <v>3838.74</v>
      </c>
      <c r="N652" s="67" t="n">
        <v>46246</v>
      </c>
      <c r="O652" s="1" t="n">
        <f aca="false">SUMIFS($K:$K,$E:$E,N652)</f>
        <v>6681.43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36</v>
      </c>
      <c r="D653" s="1" t="s">
        <v>1836</v>
      </c>
      <c r="E653" s="15" t="n">
        <v>46246</v>
      </c>
      <c r="F653" s="15" t="n">
        <v>46245</v>
      </c>
      <c r="G653" s="1" t="s">
        <v>291</v>
      </c>
      <c r="H653" s="1" t="n">
        <v>1535235</v>
      </c>
      <c r="I653" s="1" t="n">
        <v>11</v>
      </c>
      <c r="J653" s="1" t="s">
        <v>1753</v>
      </c>
      <c r="K653" s="46" t="n">
        <v>1401.4</v>
      </c>
      <c r="N653" s="67" t="n">
        <v>46246</v>
      </c>
      <c r="O653" s="1" t="n">
        <f aca="false">SUMIFS($K:$K,$E:$E,N653)</f>
        <v>6681.43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36</v>
      </c>
      <c r="D654" s="1" t="s">
        <v>1873</v>
      </c>
      <c r="E654" s="15" t="n">
        <v>46246</v>
      </c>
      <c r="F654" s="15" t="n">
        <v>46246</v>
      </c>
      <c r="G654" s="1" t="s">
        <v>624</v>
      </c>
      <c r="H654" s="1" t="n">
        <v>1545490</v>
      </c>
      <c r="I654" s="1" t="n">
        <v>11</v>
      </c>
      <c r="J654" s="1" t="s">
        <v>1753</v>
      </c>
      <c r="K654" s="46" t="n">
        <v>140</v>
      </c>
      <c r="N654" s="67" t="n">
        <v>46246</v>
      </c>
      <c r="O654" s="1" t="n">
        <f aca="false">SUMIFS($K:$K,$E:$E,N654)</f>
        <v>6681.43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1816</v>
      </c>
      <c r="D655" s="1" t="s">
        <v>1838</v>
      </c>
      <c r="E655" s="15" t="n">
        <v>46246</v>
      </c>
      <c r="F655" s="15" t="n">
        <v>46244</v>
      </c>
      <c r="G655" s="1" t="s">
        <v>135</v>
      </c>
      <c r="H655" s="1" t="n">
        <v>1534499</v>
      </c>
      <c r="I655" s="1" t="n">
        <v>11</v>
      </c>
      <c r="J655" s="1" t="s">
        <v>1753</v>
      </c>
      <c r="K655" s="46" t="n">
        <v>509.85</v>
      </c>
      <c r="N655" s="67" t="n">
        <v>46246</v>
      </c>
      <c r="O655" s="1" t="n">
        <f aca="false">SUMIFS($K:$K,$E:$E,N655)</f>
        <v>6681.43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1882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1753</v>
      </c>
      <c r="K656" s="46" t="n">
        <v>346</v>
      </c>
      <c r="N656" s="67" t="n">
        <v>46246</v>
      </c>
      <c r="O656" s="1" t="n">
        <f aca="false">SUMIFS($K:$K,$E:$E,N656)</f>
        <v>6681.43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61</v>
      </c>
      <c r="D657" s="1" t="s">
        <v>1833</v>
      </c>
      <c r="E657" s="15" t="n">
        <v>46246</v>
      </c>
      <c r="F657" s="15" t="n">
        <v>46245</v>
      </c>
      <c r="G657" s="1" t="s">
        <v>826</v>
      </c>
      <c r="H657" s="1" t="n">
        <v>1537380</v>
      </c>
      <c r="I657" s="1" t="n">
        <v>11</v>
      </c>
      <c r="J657" s="1" t="s">
        <v>1753</v>
      </c>
      <c r="K657" s="46" t="n">
        <v>205.44</v>
      </c>
      <c r="N657" s="67" t="n">
        <v>46246</v>
      </c>
      <c r="O657" s="1" t="n">
        <f aca="false">SUMIFS($K:$K,$E:$E,N657)</f>
        <v>6681.43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76</v>
      </c>
      <c r="D658" s="1" t="s">
        <v>1768</v>
      </c>
      <c r="E658" s="15" t="n">
        <v>46247</v>
      </c>
      <c r="F658" s="15" t="n">
        <v>46246</v>
      </c>
      <c r="G658" s="1" t="s">
        <v>129</v>
      </c>
      <c r="H658" s="1" t="n">
        <v>1540992</v>
      </c>
      <c r="I658" s="1" t="n">
        <v>11</v>
      </c>
      <c r="J658" s="1" t="s">
        <v>1753</v>
      </c>
      <c r="K658" s="46" t="n">
        <v>600</v>
      </c>
      <c r="N658" s="67" t="n">
        <v>46247</v>
      </c>
      <c r="O658" s="1" t="n">
        <f aca="false">SUMIFS($K:$K,$E:$E,N658)</f>
        <v>14438.23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36</v>
      </c>
      <c r="D659" s="1" t="s">
        <v>1796</v>
      </c>
      <c r="E659" s="15" t="n">
        <v>46247</v>
      </c>
      <c r="F659" s="15" t="n">
        <v>46246</v>
      </c>
      <c r="G659" s="1" t="s">
        <v>192</v>
      </c>
      <c r="H659" s="1" t="n">
        <v>1543866</v>
      </c>
      <c r="I659" s="1" t="n">
        <v>11</v>
      </c>
      <c r="J659" s="1" t="s">
        <v>1753</v>
      </c>
      <c r="K659" s="46" t="n">
        <v>436.02</v>
      </c>
      <c r="N659" s="67" t="n">
        <v>46247</v>
      </c>
      <c r="O659" s="1" t="n">
        <f aca="false">SUMIFS($K:$K,$E:$E,N659)</f>
        <v>14438.23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36</v>
      </c>
      <c r="D660" s="1" t="s">
        <v>1769</v>
      </c>
      <c r="E660" s="15" t="n">
        <v>46247</v>
      </c>
      <c r="F660" s="15" t="n">
        <v>46247</v>
      </c>
      <c r="G660" s="1" t="s">
        <v>373</v>
      </c>
      <c r="H660" s="1" t="n">
        <v>1542553</v>
      </c>
      <c r="I660" s="1" t="n">
        <v>11</v>
      </c>
      <c r="J660" s="1" t="s">
        <v>1753</v>
      </c>
      <c r="K660" s="46" t="n">
        <v>3814.8</v>
      </c>
      <c r="N660" s="67" t="n">
        <v>46247</v>
      </c>
      <c r="O660" s="1" t="n">
        <f aca="false">SUMIFS($K:$K,$E:$E,N660)</f>
        <v>14438.23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36</v>
      </c>
      <c r="D661" s="1" t="s">
        <v>1764</v>
      </c>
      <c r="E661" s="15" t="n">
        <v>46247</v>
      </c>
      <c r="F661" s="15" t="n">
        <v>46246</v>
      </c>
      <c r="G661" s="1" t="s">
        <v>224</v>
      </c>
      <c r="H661" s="1" t="n">
        <v>1540733</v>
      </c>
      <c r="I661" s="1" t="n">
        <v>11</v>
      </c>
      <c r="J661" s="1" t="s">
        <v>1753</v>
      </c>
      <c r="K661" s="46" t="n">
        <v>2076.78</v>
      </c>
      <c r="N661" s="67" t="n">
        <v>46247</v>
      </c>
      <c r="O661" s="1" t="n">
        <f aca="false">SUMIFS($K:$K,$E:$E,N661)</f>
        <v>14438.23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1804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1753</v>
      </c>
      <c r="K662" s="46" t="n">
        <v>1332.55</v>
      </c>
      <c r="N662" s="67" t="n">
        <v>46247</v>
      </c>
      <c r="O662" s="1" t="n">
        <f aca="false">SUMIFS($K:$K,$E:$E,N662)</f>
        <v>14438.23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36</v>
      </c>
      <c r="D663" s="1" t="s">
        <v>1873</v>
      </c>
      <c r="E663" s="15" t="n">
        <v>46247</v>
      </c>
      <c r="F663" s="15" t="n">
        <v>46247</v>
      </c>
      <c r="G663" s="1" t="s">
        <v>624</v>
      </c>
      <c r="H663" s="1" t="n">
        <v>1545507</v>
      </c>
      <c r="I663" s="1" t="n">
        <v>11</v>
      </c>
      <c r="J663" s="1" t="s">
        <v>1753</v>
      </c>
      <c r="K663" s="46" t="n">
        <v>120</v>
      </c>
      <c r="N663" s="67" t="n">
        <v>46247</v>
      </c>
      <c r="O663" s="1" t="n">
        <f aca="false">SUMIFS($K:$K,$E:$E,N663)</f>
        <v>14438.23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36</v>
      </c>
      <c r="D664" s="1" t="s">
        <v>1798</v>
      </c>
      <c r="E664" s="15" t="n">
        <v>46247</v>
      </c>
      <c r="F664" s="15" t="n">
        <v>46247</v>
      </c>
      <c r="G664" s="1" t="s">
        <v>462</v>
      </c>
      <c r="H664" s="1" t="n">
        <v>1541166</v>
      </c>
      <c r="I664" s="1" t="n">
        <v>11</v>
      </c>
      <c r="J664" s="1" t="s">
        <v>1753</v>
      </c>
      <c r="K664" s="46" t="n">
        <v>386.74</v>
      </c>
      <c r="N664" s="67" t="n">
        <v>46247</v>
      </c>
      <c r="O664" s="1" t="n">
        <f aca="false">SUMIFS($K:$K,$E:$E,N664)</f>
        <v>14438.23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88</v>
      </c>
      <c r="D665" s="1" t="s">
        <v>1758</v>
      </c>
      <c r="E665" s="15" t="n">
        <v>46247</v>
      </c>
      <c r="F665" s="15" t="n">
        <v>46247</v>
      </c>
      <c r="G665" s="1" t="s">
        <v>211</v>
      </c>
      <c r="H665" s="1" t="n">
        <v>1543431</v>
      </c>
      <c r="I665" s="1" t="n">
        <v>11</v>
      </c>
      <c r="J665" s="1" t="s">
        <v>1753</v>
      </c>
      <c r="K665" s="46" t="n">
        <v>317.18</v>
      </c>
      <c r="N665" s="67" t="n">
        <v>46247</v>
      </c>
      <c r="O665" s="1" t="n">
        <f aca="false">SUMIFS($K:$K,$E:$E,N665)</f>
        <v>14438.23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61</v>
      </c>
      <c r="D666" s="1" t="s">
        <v>1799</v>
      </c>
      <c r="E666" s="15" t="n">
        <v>46247</v>
      </c>
      <c r="F666" s="15" t="n">
        <v>46246</v>
      </c>
      <c r="G666" s="1" t="s">
        <v>464</v>
      </c>
      <c r="H666" s="1" t="n">
        <v>1541937</v>
      </c>
      <c r="I666" s="1" t="n">
        <v>11</v>
      </c>
      <c r="J666" s="1" t="s">
        <v>1753</v>
      </c>
      <c r="K666" s="46" t="n">
        <v>149</v>
      </c>
      <c r="N666" s="67" t="n">
        <v>46247</v>
      </c>
      <c r="O666" s="1" t="n">
        <f aca="false">SUMIFS($K:$K,$E:$E,N666)</f>
        <v>14438.23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36</v>
      </c>
      <c r="D667" s="1" t="s">
        <v>1826</v>
      </c>
      <c r="E667" s="15" t="n">
        <v>46247</v>
      </c>
      <c r="F667" s="15" t="n">
        <v>46246</v>
      </c>
      <c r="G667" s="1" t="s">
        <v>338</v>
      </c>
      <c r="H667" s="1" t="n">
        <v>1543899</v>
      </c>
      <c r="I667" s="1" t="n">
        <v>11</v>
      </c>
      <c r="J667" s="1" t="s">
        <v>1753</v>
      </c>
      <c r="K667" s="46" t="n">
        <v>2490.4</v>
      </c>
      <c r="N667" s="67" t="n">
        <v>46247</v>
      </c>
      <c r="O667" s="1" t="n">
        <f aca="false">SUMIFS($K:$K,$E:$E,N667)</f>
        <v>14438.23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36</v>
      </c>
      <c r="D668" s="1" t="s">
        <v>1858</v>
      </c>
      <c r="E668" s="15" t="n">
        <v>46247</v>
      </c>
      <c r="F668" s="15" t="n">
        <v>46246</v>
      </c>
      <c r="G668" s="1" t="s">
        <v>101</v>
      </c>
      <c r="H668" s="1" t="n">
        <v>1543011</v>
      </c>
      <c r="I668" s="1" t="n">
        <v>11</v>
      </c>
      <c r="J668" s="1" t="s">
        <v>1753</v>
      </c>
      <c r="K668" s="46" t="n">
        <v>271.2</v>
      </c>
      <c r="N668" s="67" t="n">
        <v>46247</v>
      </c>
      <c r="O668" s="1" t="n">
        <f aca="false">SUMIFS($K:$K,$E:$E,N668)</f>
        <v>14438.23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36</v>
      </c>
      <c r="D669" s="1" t="s">
        <v>1800</v>
      </c>
      <c r="E669" s="15" t="n">
        <v>46247</v>
      </c>
      <c r="F669" s="15" t="n">
        <v>46246</v>
      </c>
      <c r="G669" s="1" t="s">
        <v>553</v>
      </c>
      <c r="H669" s="1" t="n">
        <v>1542913</v>
      </c>
      <c r="I669" s="1" t="n">
        <v>11</v>
      </c>
      <c r="J669" s="1" t="s">
        <v>1753</v>
      </c>
      <c r="K669" s="46" t="n">
        <v>1050.07</v>
      </c>
      <c r="N669" s="67" t="n">
        <v>46247</v>
      </c>
      <c r="O669" s="1" t="n">
        <f aca="false">SUMIFS($K:$K,$E:$E,N669)</f>
        <v>14438.23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88</v>
      </c>
      <c r="D670" s="1" t="s">
        <v>1872</v>
      </c>
      <c r="E670" s="15" t="n">
        <v>46247</v>
      </c>
      <c r="F670" s="15" t="n">
        <v>46246</v>
      </c>
      <c r="G670" s="1" t="s">
        <v>1166</v>
      </c>
      <c r="H670" s="1" t="n">
        <v>1543143</v>
      </c>
      <c r="I670" s="1" t="n">
        <v>11</v>
      </c>
      <c r="J670" s="1" t="s">
        <v>1753</v>
      </c>
      <c r="K670" s="46" t="n">
        <v>1393.49</v>
      </c>
      <c r="N670" s="67" t="n">
        <v>46247</v>
      </c>
      <c r="O670" s="1" t="n">
        <f aca="false">SUMIFS($K:$K,$E:$E,N670)</f>
        <v>14438.23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36</v>
      </c>
      <c r="D671" s="1" t="s">
        <v>1840</v>
      </c>
      <c r="E671" s="15" t="n">
        <v>46248</v>
      </c>
      <c r="F671" s="15" t="n">
        <v>46246</v>
      </c>
      <c r="G671" s="1" t="s">
        <v>844</v>
      </c>
      <c r="H671" s="1" t="n">
        <v>1545803</v>
      </c>
      <c r="I671" s="1" t="n">
        <v>11</v>
      </c>
      <c r="J671" s="1" t="s">
        <v>1753</v>
      </c>
      <c r="K671" s="46" t="n">
        <v>2153.25</v>
      </c>
      <c r="N671" s="67" t="n">
        <v>46248</v>
      </c>
      <c r="O671" s="1" t="n">
        <f aca="false">SUMIFS($K:$K,$E:$E,N671)</f>
        <v>21364.08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36</v>
      </c>
      <c r="D672" s="1" t="s">
        <v>1841</v>
      </c>
      <c r="E672" s="15" t="n">
        <v>46248</v>
      </c>
      <c r="F672" s="15" t="n">
        <v>46246</v>
      </c>
      <c r="G672" s="1" t="s">
        <v>842</v>
      </c>
      <c r="H672" s="1" t="n">
        <v>1545678</v>
      </c>
      <c r="I672" s="1" t="n">
        <v>11</v>
      </c>
      <c r="J672" s="1" t="s">
        <v>1753</v>
      </c>
      <c r="K672" s="46" t="n">
        <v>1130.5</v>
      </c>
      <c r="N672" s="67" t="n">
        <v>46248</v>
      </c>
      <c r="O672" s="1" t="n">
        <f aca="false">SUMIFS($K:$K,$E:$E,N672)</f>
        <v>21364.08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49</v>
      </c>
      <c r="D673" s="1" t="s">
        <v>1754</v>
      </c>
      <c r="E673" s="15" t="n">
        <v>46248</v>
      </c>
      <c r="F673" s="15" t="n">
        <v>46246</v>
      </c>
      <c r="G673" s="1" t="s">
        <v>131</v>
      </c>
      <c r="H673" s="1" t="n">
        <v>1546018</v>
      </c>
      <c r="I673" s="1" t="n">
        <v>11</v>
      </c>
      <c r="J673" s="1" t="s">
        <v>1753</v>
      </c>
      <c r="K673" s="46" t="n">
        <v>50.85</v>
      </c>
      <c r="N673" s="67" t="n">
        <v>46248</v>
      </c>
      <c r="O673" s="1" t="n">
        <f aca="false">SUMIFS($K:$K,$E:$E,N673)</f>
        <v>21364.08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49</v>
      </c>
      <c r="D674" s="1" t="s">
        <v>1754</v>
      </c>
      <c r="E674" s="15" t="n">
        <v>46248</v>
      </c>
      <c r="F674" s="15" t="n">
        <v>46246</v>
      </c>
      <c r="G674" s="1" t="s">
        <v>131</v>
      </c>
      <c r="H674" s="1" t="n">
        <v>1546030</v>
      </c>
      <c r="I674" s="1" t="n">
        <v>11</v>
      </c>
      <c r="J674" s="1" t="s">
        <v>1753</v>
      </c>
      <c r="K674" s="46" t="n">
        <v>620.26</v>
      </c>
      <c r="N674" s="67" t="n">
        <v>46248</v>
      </c>
      <c r="O674" s="1" t="n">
        <f aca="false">SUMIFS($K:$K,$E:$E,N674)</f>
        <v>21364.08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67</v>
      </c>
      <c r="D675" s="1" t="s">
        <v>1754</v>
      </c>
      <c r="E675" s="15" t="n">
        <v>46248</v>
      </c>
      <c r="F675" s="15" t="n">
        <v>46246</v>
      </c>
      <c r="G675" s="1" t="s">
        <v>131</v>
      </c>
      <c r="H675" s="1" t="n">
        <v>1546065</v>
      </c>
      <c r="I675" s="1" t="n">
        <v>11</v>
      </c>
      <c r="J675" s="1" t="s">
        <v>1753</v>
      </c>
      <c r="K675" s="46" t="n">
        <v>2148.12</v>
      </c>
      <c r="N675" s="67" t="n">
        <v>46248</v>
      </c>
      <c r="O675" s="1" t="n">
        <f aca="false">SUMIFS($K:$K,$E:$E,N675)</f>
        <v>21364.08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36</v>
      </c>
      <c r="D676" s="1" t="s">
        <v>1802</v>
      </c>
      <c r="E676" s="15" t="n">
        <v>46248</v>
      </c>
      <c r="F676" s="15" t="n">
        <v>46248</v>
      </c>
      <c r="G676" s="1" t="s">
        <v>107</v>
      </c>
      <c r="H676" s="1" t="n">
        <v>1547445</v>
      </c>
      <c r="I676" s="1" t="n">
        <v>11</v>
      </c>
      <c r="J676" s="1" t="s">
        <v>1753</v>
      </c>
      <c r="K676" s="46" t="n">
        <v>2329.52</v>
      </c>
      <c r="N676" s="67" t="n">
        <v>46248</v>
      </c>
      <c r="O676" s="1" t="n">
        <f aca="false">SUMIFS($K:$K,$E:$E,N676)</f>
        <v>21364.08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1811</v>
      </c>
      <c r="D677" s="1" t="s">
        <v>1812</v>
      </c>
      <c r="E677" s="15" t="n">
        <v>46248</v>
      </c>
      <c r="F677" s="15" t="n">
        <v>46247</v>
      </c>
      <c r="G677" s="1" t="s">
        <v>235</v>
      </c>
      <c r="H677" s="1" t="n">
        <v>1546177</v>
      </c>
      <c r="I677" s="1" t="n">
        <v>11</v>
      </c>
      <c r="J677" s="1" t="s">
        <v>1753</v>
      </c>
      <c r="K677" s="46" t="n">
        <v>3731.7</v>
      </c>
      <c r="N677" s="67" t="n">
        <v>46248</v>
      </c>
      <c r="O677" s="1" t="n">
        <f aca="false">SUMIFS($K:$K,$E:$E,N677)</f>
        <v>21364.08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36</v>
      </c>
      <c r="D678" s="1" t="s">
        <v>1850</v>
      </c>
      <c r="E678" s="15" t="n">
        <v>46248</v>
      </c>
      <c r="F678" s="15" t="n">
        <v>46248</v>
      </c>
      <c r="G678" s="1" t="s">
        <v>813</v>
      </c>
      <c r="H678" s="1" t="n">
        <v>1546126</v>
      </c>
      <c r="I678" s="1" t="n">
        <v>11</v>
      </c>
      <c r="J678" s="1" t="s">
        <v>1753</v>
      </c>
      <c r="K678" s="46" t="n">
        <v>1045</v>
      </c>
      <c r="N678" s="67" t="n">
        <v>46248</v>
      </c>
      <c r="O678" s="1" t="n">
        <f aca="false">SUMIFS($K:$K,$E:$E,N678)</f>
        <v>21364.08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36</v>
      </c>
      <c r="D679" s="1" t="s">
        <v>1786</v>
      </c>
      <c r="E679" s="15" t="n">
        <v>46248</v>
      </c>
      <c r="F679" s="15" t="n">
        <v>46247</v>
      </c>
      <c r="G679" s="1" t="s">
        <v>222</v>
      </c>
      <c r="H679" s="1" t="n">
        <v>1547723</v>
      </c>
      <c r="I679" s="1" t="n">
        <v>11</v>
      </c>
      <c r="J679" s="1" t="s">
        <v>1753</v>
      </c>
      <c r="K679" s="46" t="n">
        <v>2119.67</v>
      </c>
      <c r="N679" s="67" t="n">
        <v>46248</v>
      </c>
      <c r="O679" s="1" t="n">
        <f aca="false">SUMIFS($K:$K,$E:$E,N679)</f>
        <v>21364.08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36</v>
      </c>
      <c r="D680" s="1" t="s">
        <v>1764</v>
      </c>
      <c r="E680" s="15" t="n">
        <v>46248</v>
      </c>
      <c r="F680" s="15" t="n">
        <v>46247</v>
      </c>
      <c r="G680" s="1" t="s">
        <v>224</v>
      </c>
      <c r="H680" s="1" t="n">
        <v>1547032</v>
      </c>
      <c r="I680" s="1" t="n">
        <v>11</v>
      </c>
      <c r="J680" s="1" t="s">
        <v>1753</v>
      </c>
      <c r="K680" s="46" t="n">
        <v>877.23</v>
      </c>
      <c r="N680" s="67" t="n">
        <v>46248</v>
      </c>
      <c r="O680" s="1" t="n">
        <f aca="false">SUMIFS($K:$K,$E:$E,N680)</f>
        <v>21364.08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1755</v>
      </c>
      <c r="D681" s="1" t="s">
        <v>1756</v>
      </c>
      <c r="E681" s="15" t="n">
        <v>46248</v>
      </c>
      <c r="F681" s="15" t="n">
        <v>46248</v>
      </c>
      <c r="G681" s="1" t="s">
        <v>416</v>
      </c>
      <c r="H681" s="1" t="n">
        <v>1551184</v>
      </c>
      <c r="I681" s="1" t="n">
        <v>11</v>
      </c>
      <c r="J681" s="1" t="s">
        <v>1753</v>
      </c>
      <c r="K681" s="46" t="n">
        <v>147</v>
      </c>
      <c r="N681" s="67" t="n">
        <v>46248</v>
      </c>
      <c r="O681" s="1" t="n">
        <f aca="false">SUMIFS($K:$K,$E:$E,N681)</f>
        <v>21364.08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1755</v>
      </c>
      <c r="D682" s="1" t="s">
        <v>1756</v>
      </c>
      <c r="E682" s="15" t="n">
        <v>46248</v>
      </c>
      <c r="F682" s="15" t="n">
        <v>46248</v>
      </c>
      <c r="G682" s="1" t="s">
        <v>416</v>
      </c>
      <c r="H682" s="1" t="n">
        <v>1551194</v>
      </c>
      <c r="I682" s="1" t="n">
        <v>11</v>
      </c>
      <c r="J682" s="1" t="s">
        <v>1753</v>
      </c>
      <c r="K682" s="46" t="n">
        <v>79</v>
      </c>
      <c r="N682" s="67" t="n">
        <v>46248</v>
      </c>
      <c r="O682" s="1" t="n">
        <f aca="false">SUMIFS($K:$K,$E:$E,N682)</f>
        <v>21364.08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88</v>
      </c>
      <c r="D683" s="1" t="s">
        <v>1780</v>
      </c>
      <c r="E683" s="15" t="n">
        <v>46248</v>
      </c>
      <c r="F683" s="15" t="n">
        <v>46248</v>
      </c>
      <c r="G683" s="1" t="s">
        <v>439</v>
      </c>
      <c r="H683" s="1" t="n">
        <v>1547606</v>
      </c>
      <c r="I683" s="1" t="n">
        <v>11</v>
      </c>
      <c r="J683" s="1" t="s">
        <v>1753</v>
      </c>
      <c r="K683" s="46" t="n">
        <v>571.73</v>
      </c>
      <c r="N683" s="67" t="n">
        <v>46248</v>
      </c>
      <c r="O683" s="1" t="n">
        <f aca="false">SUMIFS($K:$K,$E:$E,N683)</f>
        <v>21364.08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36</v>
      </c>
      <c r="D684" s="1" t="s">
        <v>1775</v>
      </c>
      <c r="E684" s="15" t="n">
        <v>46248</v>
      </c>
      <c r="F684" s="15" t="n">
        <v>46246</v>
      </c>
      <c r="G684" s="1" t="s">
        <v>103</v>
      </c>
      <c r="H684" s="1" t="n">
        <v>1545655</v>
      </c>
      <c r="I684" s="1" t="n">
        <v>11</v>
      </c>
      <c r="J684" s="1" t="s">
        <v>1753</v>
      </c>
      <c r="K684" s="46" t="n">
        <v>597.4</v>
      </c>
      <c r="N684" s="67" t="n">
        <v>46248</v>
      </c>
      <c r="O684" s="1" t="n">
        <f aca="false">SUMIFS($K:$K,$E:$E,N684)</f>
        <v>21364.08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36</v>
      </c>
      <c r="D685" s="1" t="s">
        <v>1783</v>
      </c>
      <c r="E685" s="15" t="n">
        <v>46248</v>
      </c>
      <c r="F685" s="15" t="n">
        <v>46248</v>
      </c>
      <c r="G685" s="1" t="s">
        <v>109</v>
      </c>
      <c r="H685" s="1" t="n">
        <v>1547265</v>
      </c>
      <c r="I685" s="1" t="n">
        <v>11</v>
      </c>
      <c r="J685" s="1" t="s">
        <v>1753</v>
      </c>
      <c r="K685" s="46" t="n">
        <v>183</v>
      </c>
      <c r="N685" s="67" t="n">
        <v>46248</v>
      </c>
      <c r="O685" s="1" t="n">
        <f aca="false">SUMIFS($K:$K,$E:$E,N685)</f>
        <v>21364.08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36</v>
      </c>
      <c r="D686" s="1" t="s">
        <v>1770</v>
      </c>
      <c r="E686" s="15" t="n">
        <v>46248</v>
      </c>
      <c r="F686" s="15" t="n">
        <v>46248</v>
      </c>
      <c r="G686" s="1" t="s">
        <v>140</v>
      </c>
      <c r="H686" s="1" t="n">
        <v>1546110</v>
      </c>
      <c r="I686" s="1" t="n">
        <v>11</v>
      </c>
      <c r="J686" s="1" t="s">
        <v>1753</v>
      </c>
      <c r="K686" s="46" t="n">
        <v>195</v>
      </c>
      <c r="N686" s="67" t="n">
        <v>46248</v>
      </c>
      <c r="O686" s="1" t="n">
        <f aca="false">SUMIFS($K:$K,$E:$E,N686)</f>
        <v>21364.08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36</v>
      </c>
      <c r="D687" s="1" t="s">
        <v>1766</v>
      </c>
      <c r="E687" s="15" t="n">
        <v>46248</v>
      </c>
      <c r="F687" s="15" t="n">
        <v>46248</v>
      </c>
      <c r="G687" s="1" t="s">
        <v>146</v>
      </c>
      <c r="H687" s="1" t="n">
        <v>1545625</v>
      </c>
      <c r="I687" s="1" t="n">
        <v>6</v>
      </c>
      <c r="J687" s="1" t="s">
        <v>1753</v>
      </c>
      <c r="K687" s="46" t="n">
        <v>225</v>
      </c>
      <c r="N687" s="67" t="n">
        <v>46248</v>
      </c>
      <c r="O687" s="1" t="n">
        <f aca="false">SUMIFS($K:$K,$E:$E,N687)</f>
        <v>21364.08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36</v>
      </c>
      <c r="D688" s="1" t="s">
        <v>1766</v>
      </c>
      <c r="E688" s="15" t="n">
        <v>46248</v>
      </c>
      <c r="F688" s="15" t="n">
        <v>46248</v>
      </c>
      <c r="G688" s="1" t="s">
        <v>146</v>
      </c>
      <c r="H688" s="1" t="n">
        <v>1546719</v>
      </c>
      <c r="I688" s="1" t="n">
        <v>6</v>
      </c>
      <c r="J688" s="1" t="s">
        <v>1753</v>
      </c>
      <c r="K688" s="46" t="n">
        <v>115</v>
      </c>
      <c r="N688" s="67" t="n">
        <v>46248</v>
      </c>
      <c r="O688" s="1" t="n">
        <f aca="false">SUMIFS($K:$K,$E:$E,N688)</f>
        <v>21364.08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36</v>
      </c>
      <c r="D689" s="1" t="s">
        <v>1766</v>
      </c>
      <c r="E689" s="15" t="n">
        <v>46248</v>
      </c>
      <c r="F689" s="15" t="n">
        <v>46248</v>
      </c>
      <c r="G689" s="1" t="s">
        <v>146</v>
      </c>
      <c r="H689" s="1" t="n">
        <v>1546864</v>
      </c>
      <c r="I689" s="1" t="n">
        <v>6</v>
      </c>
      <c r="J689" s="1" t="s">
        <v>1753</v>
      </c>
      <c r="K689" s="46" t="n">
        <v>1899.7</v>
      </c>
      <c r="N689" s="67" t="n">
        <v>46248</v>
      </c>
      <c r="O689" s="1" t="n">
        <f aca="false">SUMIFS($K:$K,$E:$E,N689)</f>
        <v>21364.08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36</v>
      </c>
      <c r="D690" s="1" t="s">
        <v>1781</v>
      </c>
      <c r="E690" s="15" t="n">
        <v>46248</v>
      </c>
      <c r="F690" s="15" t="n">
        <v>46248</v>
      </c>
      <c r="G690" s="1" t="s">
        <v>437</v>
      </c>
      <c r="H690" s="1" t="n">
        <v>1547523</v>
      </c>
      <c r="I690" s="1" t="n">
        <v>11</v>
      </c>
      <c r="J690" s="1" t="s">
        <v>1753</v>
      </c>
      <c r="K690" s="46" t="n">
        <v>460</v>
      </c>
      <c r="N690" s="67" t="n">
        <v>46248</v>
      </c>
      <c r="O690" s="1" t="n">
        <f aca="false">SUMIFS($K:$K,$E:$E,N690)</f>
        <v>21364.08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76</v>
      </c>
      <c r="D691" s="1" t="s">
        <v>1852</v>
      </c>
      <c r="E691" s="15" t="n">
        <v>46248</v>
      </c>
      <c r="F691" s="15" t="n">
        <v>46247</v>
      </c>
      <c r="G691" s="1" t="s">
        <v>330</v>
      </c>
      <c r="H691" s="1" t="n">
        <v>1545975</v>
      </c>
      <c r="I691" s="1" t="n">
        <v>11</v>
      </c>
      <c r="J691" s="1" t="s">
        <v>1753</v>
      </c>
      <c r="K691" s="46" t="n">
        <v>685.15</v>
      </c>
      <c r="N691" s="67" t="n">
        <v>46248</v>
      </c>
      <c r="O691" s="1" t="n">
        <f aca="false">SUMIFS($K:$K,$E:$E,N691)</f>
        <v>21364.08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36</v>
      </c>
      <c r="D692" s="1" t="s">
        <v>1762</v>
      </c>
      <c r="E692" s="15" t="n">
        <v>46249</v>
      </c>
      <c r="F692" s="15" t="n">
        <v>46246</v>
      </c>
      <c r="G692" s="1" t="s">
        <v>243</v>
      </c>
      <c r="H692" s="1" t="n">
        <v>1551741</v>
      </c>
      <c r="I692" s="1" t="n">
        <v>11</v>
      </c>
      <c r="J692" s="1" t="s">
        <v>1753</v>
      </c>
      <c r="K692" s="46" t="n">
        <v>899.5</v>
      </c>
      <c r="N692" s="67" t="n">
        <v>46249</v>
      </c>
      <c r="O692" s="1" t="n">
        <f aca="false">SUMIFS($K:$K,$E:$E,N692)</f>
        <v>6897.82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36</v>
      </c>
      <c r="D693" s="1" t="s">
        <v>1786</v>
      </c>
      <c r="E693" s="15" t="n">
        <v>46249</v>
      </c>
      <c r="F693" s="15" t="n">
        <v>46247</v>
      </c>
      <c r="G693" s="1" t="s">
        <v>222</v>
      </c>
      <c r="H693" s="1" t="n">
        <v>1551950</v>
      </c>
      <c r="I693" s="1" t="n">
        <v>11</v>
      </c>
      <c r="J693" s="1" t="s">
        <v>1753</v>
      </c>
      <c r="K693" s="46" t="n">
        <v>4268.02</v>
      </c>
      <c r="N693" s="67" t="n">
        <v>46249</v>
      </c>
      <c r="O693" s="1" t="n">
        <f aca="false">SUMIFS($K:$K,$E:$E,N693)</f>
        <v>6897.82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36</v>
      </c>
      <c r="D694" s="1" t="s">
        <v>1797</v>
      </c>
      <c r="E694" s="15" t="n">
        <v>46249</v>
      </c>
      <c r="F694" s="15" t="n">
        <v>46247</v>
      </c>
      <c r="G694" s="1" t="s">
        <v>98</v>
      </c>
      <c r="H694" s="1" t="n">
        <v>1551855</v>
      </c>
      <c r="I694" s="1" t="n">
        <v>11</v>
      </c>
      <c r="J694" s="1" t="s">
        <v>1753</v>
      </c>
      <c r="K694" s="46" t="n">
        <v>748.32</v>
      </c>
      <c r="N694" s="67" t="n">
        <v>46249</v>
      </c>
      <c r="O694" s="1" t="n">
        <f aca="false">SUMIFS($K:$K,$E:$E,N694)</f>
        <v>6897.82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1873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1753</v>
      </c>
      <c r="K695" s="46" t="n">
        <v>200</v>
      </c>
      <c r="N695" s="67" t="n">
        <v>46249</v>
      </c>
      <c r="O695" s="1" t="n">
        <f aca="false">SUMIFS($K:$K,$E:$E,N695)</f>
        <v>6897.82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36</v>
      </c>
      <c r="D696" s="1" t="s">
        <v>1777</v>
      </c>
      <c r="E696" s="15" t="n">
        <v>46249</v>
      </c>
      <c r="F696" s="15" t="n">
        <v>46248</v>
      </c>
      <c r="G696" s="1" t="s">
        <v>180</v>
      </c>
      <c r="H696" s="1" t="n">
        <v>1552107</v>
      </c>
      <c r="I696" s="1" t="n">
        <v>11</v>
      </c>
      <c r="J696" s="1" t="s">
        <v>1753</v>
      </c>
      <c r="K696" s="46" t="n">
        <v>511.98</v>
      </c>
      <c r="N696" s="67" t="n">
        <v>46249</v>
      </c>
      <c r="O696" s="1" t="n">
        <f aca="false">SUMIFS($K:$K,$E:$E,N696)</f>
        <v>6897.82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36</v>
      </c>
      <c r="D697" s="1" t="s">
        <v>1766</v>
      </c>
      <c r="E697" s="15" t="n">
        <v>46249</v>
      </c>
      <c r="F697" s="15" t="n">
        <v>46249</v>
      </c>
      <c r="G697" s="1" t="s">
        <v>146</v>
      </c>
      <c r="H697" s="1" t="n">
        <v>1552260</v>
      </c>
      <c r="I697" s="1" t="n">
        <v>6</v>
      </c>
      <c r="J697" s="1" t="s">
        <v>1753</v>
      </c>
      <c r="K697" s="46" t="n">
        <v>270</v>
      </c>
      <c r="N697" s="67" t="n">
        <v>46249</v>
      </c>
      <c r="O697" s="1" t="n">
        <f aca="false">SUMIFS($K:$K,$E:$E,N697)</f>
        <v>6897.82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36</v>
      </c>
      <c r="D698" s="1" t="s">
        <v>1842</v>
      </c>
      <c r="E698" s="15" t="n">
        <v>46251</v>
      </c>
      <c r="F698" s="15" t="n">
        <v>46247</v>
      </c>
      <c r="G698" s="1" t="s">
        <v>870</v>
      </c>
      <c r="H698" s="1" t="n">
        <v>1561293</v>
      </c>
      <c r="I698" s="1" t="n">
        <v>11</v>
      </c>
      <c r="J698" s="1" t="s">
        <v>1753</v>
      </c>
      <c r="K698" s="46" t="n">
        <v>561.84</v>
      </c>
      <c r="N698" s="67" t="n">
        <v>46251</v>
      </c>
      <c r="O698" s="1" t="n">
        <f aca="false">SUMIFS($K:$K,$E:$E,N698)</f>
        <v>10979.73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36</v>
      </c>
      <c r="D699" s="1" t="s">
        <v>1779</v>
      </c>
      <c r="E699" s="15" t="n">
        <v>46251</v>
      </c>
      <c r="F699" s="15" t="n">
        <v>46251</v>
      </c>
      <c r="G699" s="1" t="s">
        <v>182</v>
      </c>
      <c r="H699" s="1" t="n">
        <v>1562642</v>
      </c>
      <c r="I699" s="1" t="n">
        <v>11</v>
      </c>
      <c r="J699" s="1" t="s">
        <v>1753</v>
      </c>
      <c r="K699" s="46" t="n">
        <v>691.91</v>
      </c>
      <c r="N699" s="67" t="n">
        <v>46251</v>
      </c>
      <c r="O699" s="1" t="n">
        <f aca="false">SUMIFS($K:$K,$E:$E,N699)</f>
        <v>10979.73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36</v>
      </c>
      <c r="D700" s="1" t="s">
        <v>1797</v>
      </c>
      <c r="E700" s="15" t="n">
        <v>46251</v>
      </c>
      <c r="F700" s="15" t="n">
        <v>46248</v>
      </c>
      <c r="G700" s="1" t="s">
        <v>98</v>
      </c>
      <c r="H700" s="1" t="n">
        <v>1562682</v>
      </c>
      <c r="I700" s="1" t="n">
        <v>11</v>
      </c>
      <c r="J700" s="1" t="s">
        <v>1753</v>
      </c>
      <c r="K700" s="46" t="n">
        <v>1352.12</v>
      </c>
      <c r="N700" s="67" t="n">
        <v>46251</v>
      </c>
      <c r="O700" s="1" t="n">
        <f aca="false">SUMIFS($K:$K,$E:$E,N700)</f>
        <v>10979.73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1755</v>
      </c>
      <c r="D701" s="1" t="s">
        <v>1756</v>
      </c>
      <c r="E701" s="15" t="n">
        <v>46251</v>
      </c>
      <c r="F701" s="15" t="n">
        <v>46249</v>
      </c>
      <c r="G701" s="1" t="s">
        <v>416</v>
      </c>
      <c r="H701" s="1" t="n">
        <v>1561145</v>
      </c>
      <c r="I701" s="1" t="n">
        <v>11</v>
      </c>
      <c r="J701" s="1" t="s">
        <v>1753</v>
      </c>
      <c r="K701" s="46" t="n">
        <v>97.5</v>
      </c>
      <c r="N701" s="67" t="n">
        <v>46251</v>
      </c>
      <c r="O701" s="1" t="n">
        <f aca="false">SUMIFS($K:$K,$E:$E,N701)</f>
        <v>10979.73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36</v>
      </c>
      <c r="D702" s="1" t="s">
        <v>1873</v>
      </c>
      <c r="E702" s="15" t="n">
        <v>46251</v>
      </c>
      <c r="F702" s="15" t="n">
        <v>46251</v>
      </c>
      <c r="G702" s="1" t="s">
        <v>624</v>
      </c>
      <c r="H702" s="1" t="n">
        <v>1566623</v>
      </c>
      <c r="I702" s="1" t="n">
        <v>11</v>
      </c>
      <c r="J702" s="1" t="s">
        <v>1753</v>
      </c>
      <c r="K702" s="46" t="n">
        <v>140</v>
      </c>
      <c r="N702" s="67" t="n">
        <v>46251</v>
      </c>
      <c r="O702" s="1" t="n">
        <f aca="false">SUMIFS($K:$K,$E:$E,N702)</f>
        <v>10979.73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36</v>
      </c>
      <c r="D703" s="1" t="s">
        <v>1883</v>
      </c>
      <c r="E703" s="15" t="n">
        <v>46251</v>
      </c>
      <c r="F703" s="15" t="n">
        <v>46246</v>
      </c>
      <c r="G703" s="1" t="s">
        <v>1531</v>
      </c>
      <c r="H703" s="1" t="n">
        <v>1562787</v>
      </c>
      <c r="I703" s="1" t="n">
        <v>11</v>
      </c>
      <c r="J703" s="1" t="s">
        <v>1753</v>
      </c>
      <c r="K703" s="46" t="n">
        <v>1120.76</v>
      </c>
      <c r="N703" s="67" t="n">
        <v>46251</v>
      </c>
      <c r="O703" s="1" t="n">
        <f aca="false">SUMIFS($K:$K,$E:$E,N703)</f>
        <v>10979.73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36</v>
      </c>
      <c r="D704" s="1" t="s">
        <v>1774</v>
      </c>
      <c r="E704" s="15" t="n">
        <v>46251</v>
      </c>
      <c r="F704" s="15" t="n">
        <v>46248</v>
      </c>
      <c r="G704" s="1" t="s">
        <v>187</v>
      </c>
      <c r="H704" s="1" t="n">
        <v>1561156</v>
      </c>
      <c r="I704" s="1" t="n">
        <v>11</v>
      </c>
      <c r="J704" s="1" t="s">
        <v>1753</v>
      </c>
      <c r="K704" s="46" t="n">
        <v>142</v>
      </c>
      <c r="N704" s="67" t="n">
        <v>46251</v>
      </c>
      <c r="O704" s="1" t="n">
        <f aca="false">SUMIFS($K:$K,$E:$E,N704)</f>
        <v>10979.73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36</v>
      </c>
      <c r="D705" s="1" t="s">
        <v>1778</v>
      </c>
      <c r="E705" s="15" t="n">
        <v>46251</v>
      </c>
      <c r="F705" s="15" t="n">
        <v>46248</v>
      </c>
      <c r="G705" s="1" t="s">
        <v>231</v>
      </c>
      <c r="H705" s="1" t="n">
        <v>1562946</v>
      </c>
      <c r="I705" s="1" t="n">
        <v>11</v>
      </c>
      <c r="J705" s="1" t="s">
        <v>1753</v>
      </c>
      <c r="K705" s="46" t="n">
        <v>1976.4</v>
      </c>
      <c r="N705" s="67" t="n">
        <v>46251</v>
      </c>
      <c r="O705" s="1" t="n">
        <f aca="false">SUMIFS($K:$K,$E:$E,N705)</f>
        <v>10979.73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36</v>
      </c>
      <c r="D706" s="1" t="s">
        <v>1757</v>
      </c>
      <c r="E706" s="15" t="n">
        <v>46251</v>
      </c>
      <c r="F706" s="15" t="n">
        <v>46249</v>
      </c>
      <c r="G706" s="1" t="s">
        <v>272</v>
      </c>
      <c r="H706" s="1" t="n">
        <v>1562567</v>
      </c>
      <c r="I706" s="1" t="n">
        <v>11</v>
      </c>
      <c r="J706" s="1" t="s">
        <v>1753</v>
      </c>
      <c r="K706" s="46" t="n">
        <v>3472.5</v>
      </c>
      <c r="N706" s="67" t="n">
        <v>46251</v>
      </c>
      <c r="O706" s="1" t="n">
        <f aca="false">SUMIFS($K:$K,$E:$E,N706)</f>
        <v>10979.73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36</v>
      </c>
      <c r="D707" s="1" t="s">
        <v>1766</v>
      </c>
      <c r="E707" s="15" t="n">
        <v>46251</v>
      </c>
      <c r="F707" s="15" t="n">
        <v>46251</v>
      </c>
      <c r="G707" s="1" t="s">
        <v>146</v>
      </c>
      <c r="H707" s="1" t="n">
        <v>1562623</v>
      </c>
      <c r="I707" s="1" t="n">
        <v>6</v>
      </c>
      <c r="J707" s="1" t="s">
        <v>1753</v>
      </c>
      <c r="K707" s="46" t="n">
        <v>225</v>
      </c>
      <c r="N707" s="67" t="n">
        <v>46251</v>
      </c>
      <c r="O707" s="1" t="n">
        <f aca="false">SUMIFS($K:$K,$E:$E,N707)</f>
        <v>10979.73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76</v>
      </c>
      <c r="D708" s="1" t="s">
        <v>1809</v>
      </c>
      <c r="E708" s="15" t="n">
        <v>46251</v>
      </c>
      <c r="F708" s="15" t="n">
        <v>46249</v>
      </c>
      <c r="G708" s="1" t="s">
        <v>184</v>
      </c>
      <c r="H708" s="1" t="n">
        <v>1561177</v>
      </c>
      <c r="I708" s="1" t="n">
        <v>11</v>
      </c>
      <c r="J708" s="1" t="s">
        <v>1753</v>
      </c>
      <c r="K708" s="46" t="n">
        <v>1199.7</v>
      </c>
      <c r="N708" s="67" t="n">
        <v>46251</v>
      </c>
      <c r="O708" s="1" t="n">
        <f aca="false">SUMIFS($K:$K,$E:$E,N708)</f>
        <v>10979.73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36</v>
      </c>
      <c r="D709" s="1" t="s">
        <v>1761</v>
      </c>
      <c r="E709" s="15" t="n">
        <v>46252</v>
      </c>
      <c r="F709" s="15" t="n">
        <v>46251</v>
      </c>
      <c r="G709" s="1" t="s">
        <v>144</v>
      </c>
      <c r="H709" s="1" t="n">
        <v>1566508</v>
      </c>
      <c r="I709" s="1" t="n">
        <v>11</v>
      </c>
      <c r="J709" s="1" t="s">
        <v>1753</v>
      </c>
      <c r="K709" s="46" t="n">
        <v>204</v>
      </c>
      <c r="N709" s="67" t="n">
        <v>46252</v>
      </c>
      <c r="O709" s="1" t="n">
        <f aca="false">SUMIFS($K:$K,$E:$E,N709)</f>
        <v>17968.8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67</v>
      </c>
      <c r="D710" s="1" t="s">
        <v>1754</v>
      </c>
      <c r="E710" s="15" t="n">
        <v>46252</v>
      </c>
      <c r="F710" s="15" t="n">
        <v>46248</v>
      </c>
      <c r="G710" s="1" t="s">
        <v>131</v>
      </c>
      <c r="H710" s="1" t="n">
        <v>1567564</v>
      </c>
      <c r="I710" s="1" t="n">
        <v>11</v>
      </c>
      <c r="J710" s="1" t="s">
        <v>1753</v>
      </c>
      <c r="K710" s="46" t="n">
        <v>2351.65</v>
      </c>
      <c r="N710" s="67" t="n">
        <v>46252</v>
      </c>
      <c r="O710" s="1" t="n">
        <f aca="false">SUMIFS($K:$K,$E:$E,N710)</f>
        <v>17968.8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36</v>
      </c>
      <c r="D711" s="1" t="s">
        <v>1763</v>
      </c>
      <c r="E711" s="15" t="n">
        <v>46252</v>
      </c>
      <c r="F711" s="15" t="n">
        <v>46251</v>
      </c>
      <c r="G711" s="1" t="s">
        <v>233</v>
      </c>
      <c r="H711" s="1" t="n">
        <v>1566640</v>
      </c>
      <c r="I711" s="1" t="n">
        <v>11</v>
      </c>
      <c r="J711" s="1" t="s">
        <v>1753</v>
      </c>
      <c r="K711" s="46" t="n">
        <v>512.38</v>
      </c>
      <c r="N711" s="67" t="n">
        <v>46252</v>
      </c>
      <c r="O711" s="1" t="n">
        <f aca="false">SUMIFS($K:$K,$E:$E,N711)</f>
        <v>17968.8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1755</v>
      </c>
      <c r="D712" s="1" t="s">
        <v>1756</v>
      </c>
      <c r="E712" s="15" t="n">
        <v>46252</v>
      </c>
      <c r="F712" s="15" t="n">
        <v>46251</v>
      </c>
      <c r="G712" s="1" t="s">
        <v>416</v>
      </c>
      <c r="H712" s="1" t="n">
        <v>1566483</v>
      </c>
      <c r="I712" s="1" t="n">
        <v>11</v>
      </c>
      <c r="J712" s="1" t="s">
        <v>1753</v>
      </c>
      <c r="K712" s="46" t="n">
        <v>151</v>
      </c>
      <c r="N712" s="67" t="n">
        <v>46252</v>
      </c>
      <c r="O712" s="1" t="n">
        <f aca="false">SUMIFS($K:$K,$E:$E,N712)</f>
        <v>17968.8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36</v>
      </c>
      <c r="D713" s="1" t="s">
        <v>1864</v>
      </c>
      <c r="E713" s="15" t="n">
        <v>46252</v>
      </c>
      <c r="F713" s="15" t="n">
        <v>46252</v>
      </c>
      <c r="G713" s="1" t="s">
        <v>90</v>
      </c>
      <c r="H713" s="1" t="n">
        <v>1581542</v>
      </c>
      <c r="I713" s="1" t="n">
        <v>11</v>
      </c>
      <c r="J713" s="1" t="s">
        <v>1753</v>
      </c>
      <c r="K713" s="46" t="n">
        <v>3463.94</v>
      </c>
      <c r="N713" s="67" t="n">
        <v>46252</v>
      </c>
      <c r="O713" s="1" t="n">
        <f aca="false">SUMIFS($K:$K,$E:$E,N713)</f>
        <v>17968.8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85</v>
      </c>
      <c r="D714" s="1" t="s">
        <v>1884</v>
      </c>
      <c r="E714" s="15" t="n">
        <v>46252</v>
      </c>
      <c r="F714" s="15" t="n">
        <v>46248</v>
      </c>
      <c r="G714" s="1" t="s">
        <v>1491</v>
      </c>
      <c r="H714" s="1" t="n">
        <v>1568081</v>
      </c>
      <c r="I714" s="1" t="n">
        <v>11</v>
      </c>
      <c r="J714" s="1" t="s">
        <v>1753</v>
      </c>
      <c r="K714" s="46" t="n">
        <v>1937.14</v>
      </c>
      <c r="N714" s="67" t="n">
        <v>46252</v>
      </c>
      <c r="O714" s="1" t="n">
        <f aca="false">SUMIFS($K:$K,$E:$E,N714)</f>
        <v>17968.8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1778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1753</v>
      </c>
      <c r="K715" s="46" t="n">
        <v>949.5</v>
      </c>
      <c r="N715" s="67" t="n">
        <v>46252</v>
      </c>
      <c r="O715" s="1" t="n">
        <f aca="false">SUMIFS($K:$K,$E:$E,N715)</f>
        <v>17968.8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36</v>
      </c>
      <c r="D716" s="1" t="s">
        <v>1869</v>
      </c>
      <c r="E716" s="15" t="n">
        <v>46252</v>
      </c>
      <c r="F716" s="15" t="n">
        <v>46248</v>
      </c>
      <c r="G716" s="1" t="s">
        <v>293</v>
      </c>
      <c r="H716" s="1" t="n">
        <v>1566789</v>
      </c>
      <c r="I716" s="1" t="n">
        <v>11</v>
      </c>
      <c r="J716" s="1" t="s">
        <v>1753</v>
      </c>
      <c r="K716" s="46" t="n">
        <v>470.34</v>
      </c>
      <c r="N716" s="67" t="n">
        <v>46252</v>
      </c>
      <c r="O716" s="1" t="n">
        <f aca="false">SUMIFS($K:$K,$E:$E,N716)</f>
        <v>17968.8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36</v>
      </c>
      <c r="D717" s="1" t="s">
        <v>1766</v>
      </c>
      <c r="E717" s="15" t="n">
        <v>46252</v>
      </c>
      <c r="F717" s="15" t="n">
        <v>46252</v>
      </c>
      <c r="G717" s="1" t="s">
        <v>146</v>
      </c>
      <c r="H717" s="1" t="n">
        <v>1567601</v>
      </c>
      <c r="I717" s="1" t="n">
        <v>6</v>
      </c>
      <c r="J717" s="1" t="s">
        <v>1753</v>
      </c>
      <c r="K717" s="46" t="n">
        <v>200</v>
      </c>
      <c r="N717" s="67" t="n">
        <v>46252</v>
      </c>
      <c r="O717" s="1" t="n">
        <f aca="false">SUMIFS($K:$K,$E:$E,N717)</f>
        <v>17968.8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36</v>
      </c>
      <c r="D718" s="1" t="s">
        <v>1766</v>
      </c>
      <c r="E718" s="15" t="n">
        <v>46252</v>
      </c>
      <c r="F718" s="15" t="n">
        <v>46252</v>
      </c>
      <c r="G718" s="1" t="s">
        <v>146</v>
      </c>
      <c r="H718" s="1" t="n">
        <v>1567627</v>
      </c>
      <c r="I718" s="1" t="n">
        <v>6</v>
      </c>
      <c r="J718" s="1" t="s">
        <v>1753</v>
      </c>
      <c r="K718" s="46" t="n">
        <v>1404</v>
      </c>
      <c r="N718" s="67" t="n">
        <v>46252</v>
      </c>
      <c r="O718" s="1" t="n">
        <f aca="false">SUMIFS($K:$K,$E:$E,N718)</f>
        <v>17968.8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36</v>
      </c>
      <c r="D719" s="1" t="s">
        <v>1767</v>
      </c>
      <c r="E719" s="15" t="n">
        <v>46252</v>
      </c>
      <c r="F719" s="15" t="n">
        <v>46251</v>
      </c>
      <c r="G719" s="1" t="s">
        <v>105</v>
      </c>
      <c r="H719" s="1" t="n">
        <v>1566662</v>
      </c>
      <c r="I719" s="1" t="n">
        <v>11</v>
      </c>
      <c r="J719" s="1" t="s">
        <v>1753</v>
      </c>
      <c r="K719" s="46" t="n">
        <v>301.95</v>
      </c>
      <c r="N719" s="67" t="n">
        <v>46252</v>
      </c>
      <c r="O719" s="1" t="n">
        <f aca="false">SUMIFS($K:$K,$E:$E,N719)</f>
        <v>17968.8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88</v>
      </c>
      <c r="D720" s="1" t="s">
        <v>1758</v>
      </c>
      <c r="E720" s="15" t="n">
        <v>46252</v>
      </c>
      <c r="F720" s="15" t="n">
        <v>46251</v>
      </c>
      <c r="G720" s="1" t="s">
        <v>211</v>
      </c>
      <c r="H720" s="1" t="n">
        <v>1566531</v>
      </c>
      <c r="I720" s="1" t="n">
        <v>11</v>
      </c>
      <c r="J720" s="1" t="s">
        <v>1753</v>
      </c>
      <c r="K720" s="46" t="n">
        <v>237.74</v>
      </c>
      <c r="N720" s="67" t="n">
        <v>46252</v>
      </c>
      <c r="O720" s="1" t="n">
        <f aca="false">SUMIFS($K:$K,$E:$E,N720)</f>
        <v>17968.8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36</v>
      </c>
      <c r="D721" s="1" t="s">
        <v>1844</v>
      </c>
      <c r="E721" s="15" t="n">
        <v>46252</v>
      </c>
      <c r="F721" s="15" t="n">
        <v>46251</v>
      </c>
      <c r="G721" s="1" t="s">
        <v>775</v>
      </c>
      <c r="H721" s="1" t="n">
        <v>1566715</v>
      </c>
      <c r="I721" s="1" t="n">
        <v>11</v>
      </c>
      <c r="J721" s="1" t="s">
        <v>1753</v>
      </c>
      <c r="K721" s="46" t="n">
        <v>1753.92</v>
      </c>
      <c r="N721" s="67" t="n">
        <v>46252</v>
      </c>
      <c r="O721" s="1" t="n">
        <f aca="false">SUMIFS($K:$K,$E:$E,N721)</f>
        <v>17968.8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36</v>
      </c>
      <c r="D722" s="1" t="s">
        <v>1858</v>
      </c>
      <c r="E722" s="15" t="n">
        <v>46252</v>
      </c>
      <c r="F722" s="15" t="n">
        <v>46247</v>
      </c>
      <c r="G722" s="1" t="s">
        <v>101</v>
      </c>
      <c r="H722" s="1" t="n">
        <v>1567122</v>
      </c>
      <c r="I722" s="1" t="n">
        <v>11</v>
      </c>
      <c r="J722" s="1" t="s">
        <v>1753</v>
      </c>
      <c r="K722" s="46" t="n">
        <v>3175.25</v>
      </c>
      <c r="N722" s="67" t="n">
        <v>46252</v>
      </c>
      <c r="O722" s="1" t="n">
        <f aca="false">SUMIFS($K:$K,$E:$E,N722)</f>
        <v>17968.8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76</v>
      </c>
      <c r="D723" s="1" t="s">
        <v>1885</v>
      </c>
      <c r="E723" s="15" t="n">
        <v>46252</v>
      </c>
      <c r="F723" s="15" t="n">
        <v>46245</v>
      </c>
      <c r="G723" s="1" t="s">
        <v>1423</v>
      </c>
      <c r="H723" s="1" t="n">
        <v>1566577</v>
      </c>
      <c r="I723" s="1" t="n">
        <v>11</v>
      </c>
      <c r="J723" s="1" t="s">
        <v>1753</v>
      </c>
      <c r="K723" s="46" t="n">
        <v>855.99</v>
      </c>
      <c r="N723" s="67" t="n">
        <v>46252</v>
      </c>
      <c r="O723" s="1" t="n">
        <f aca="false">SUMIFS($K:$K,$E:$E,N723)</f>
        <v>17968.8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76</v>
      </c>
      <c r="D724" s="1" t="s">
        <v>1768</v>
      </c>
      <c r="E724" s="15" t="n">
        <v>46253</v>
      </c>
      <c r="F724" s="15" t="n">
        <v>46252</v>
      </c>
      <c r="G724" s="1" t="s">
        <v>129</v>
      </c>
      <c r="H724" s="1" t="n">
        <v>1570866</v>
      </c>
      <c r="I724" s="1" t="n">
        <v>11</v>
      </c>
      <c r="J724" s="1" t="s">
        <v>1753</v>
      </c>
      <c r="K724" s="46" t="n">
        <v>1276.2</v>
      </c>
      <c r="N724" s="67" t="n">
        <v>46253</v>
      </c>
      <c r="O724" s="1" t="n">
        <f aca="false">SUMIFS($K:$K,$E:$E,N724)</f>
        <v>10076.2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1769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1753</v>
      </c>
      <c r="K725" s="46" t="n">
        <v>2334.75</v>
      </c>
      <c r="N725" s="67" t="n">
        <v>46253</v>
      </c>
      <c r="O725" s="1" t="n">
        <f aca="false">SUMIFS($K:$K,$E:$E,N725)</f>
        <v>10076.2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36</v>
      </c>
      <c r="D726" s="1" t="s">
        <v>1803</v>
      </c>
      <c r="E726" s="15" t="n">
        <v>46253</v>
      </c>
      <c r="F726" s="15" t="n">
        <v>46248</v>
      </c>
      <c r="G726" s="1" t="s">
        <v>94</v>
      </c>
      <c r="H726" s="1" t="n">
        <v>1570965</v>
      </c>
      <c r="I726" s="1" t="n">
        <v>11</v>
      </c>
      <c r="J726" s="1" t="s">
        <v>1753</v>
      </c>
      <c r="K726" s="46" t="n">
        <v>1213.11</v>
      </c>
      <c r="N726" s="67" t="n">
        <v>46253</v>
      </c>
      <c r="O726" s="1" t="n">
        <f aca="false">SUMIFS($K:$K,$E:$E,N726)</f>
        <v>10076.2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36</v>
      </c>
      <c r="D727" s="1" t="s">
        <v>1803</v>
      </c>
      <c r="E727" s="15" t="n">
        <v>46253</v>
      </c>
      <c r="F727" s="15" t="n">
        <v>46248</v>
      </c>
      <c r="G727" s="1" t="s">
        <v>94</v>
      </c>
      <c r="H727" s="1" t="n">
        <v>1570885</v>
      </c>
      <c r="I727" s="1" t="n">
        <v>11</v>
      </c>
      <c r="J727" s="1" t="s">
        <v>1753</v>
      </c>
      <c r="K727" s="46" t="n">
        <v>431.3</v>
      </c>
      <c r="N727" s="67" t="n">
        <v>46253</v>
      </c>
      <c r="O727" s="1" t="n">
        <f aca="false">SUMIFS($K:$K,$E:$E,N727)</f>
        <v>10076.2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36</v>
      </c>
      <c r="D728" s="1" t="s">
        <v>1851</v>
      </c>
      <c r="E728" s="15" t="n">
        <v>46253</v>
      </c>
      <c r="F728" s="15" t="n">
        <v>46247</v>
      </c>
      <c r="G728" s="1" t="s">
        <v>939</v>
      </c>
      <c r="H728" s="1" t="n">
        <v>1572684</v>
      </c>
      <c r="I728" s="1" t="n">
        <v>11</v>
      </c>
      <c r="J728" s="1" t="s">
        <v>1753</v>
      </c>
      <c r="K728" s="46" t="n">
        <v>812.8</v>
      </c>
      <c r="N728" s="67" t="n">
        <v>46253</v>
      </c>
      <c r="O728" s="1" t="n">
        <f aca="false">SUMIFS($K:$K,$E:$E,N728)</f>
        <v>10076.2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36</v>
      </c>
      <c r="D729" s="1" t="s">
        <v>1851</v>
      </c>
      <c r="E729" s="15" t="n">
        <v>46253</v>
      </c>
      <c r="F729" s="15" t="n">
        <v>46247</v>
      </c>
      <c r="G729" s="1" t="s">
        <v>939</v>
      </c>
      <c r="H729" s="1" t="n">
        <v>1572075</v>
      </c>
      <c r="I729" s="1" t="n">
        <v>11</v>
      </c>
      <c r="J729" s="1" t="s">
        <v>1753</v>
      </c>
      <c r="K729" s="46" t="n">
        <v>2138.5</v>
      </c>
      <c r="N729" s="67" t="n">
        <v>46253</v>
      </c>
      <c r="O729" s="1" t="n">
        <f aca="false">SUMIFS($K:$K,$E:$E,N729)</f>
        <v>10076.2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36</v>
      </c>
      <c r="D730" s="1" t="s">
        <v>1766</v>
      </c>
      <c r="E730" s="15" t="n">
        <v>46253</v>
      </c>
      <c r="F730" s="15" t="n">
        <v>46253</v>
      </c>
      <c r="G730" s="1" t="s">
        <v>146</v>
      </c>
      <c r="H730" s="1" t="n">
        <v>1572278</v>
      </c>
      <c r="I730" s="1" t="n">
        <v>6</v>
      </c>
      <c r="J730" s="1" t="s">
        <v>1753</v>
      </c>
      <c r="K730" s="46" t="n">
        <v>225</v>
      </c>
      <c r="N730" s="67" t="n">
        <v>46253</v>
      </c>
      <c r="O730" s="1" t="n">
        <f aca="false">SUMIFS($K:$K,$E:$E,N730)</f>
        <v>10076.2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36</v>
      </c>
      <c r="D731" s="1" t="s">
        <v>1827</v>
      </c>
      <c r="E731" s="15" t="n">
        <v>46253</v>
      </c>
      <c r="F731" s="15" t="n">
        <v>46247</v>
      </c>
      <c r="G731" s="1" t="s">
        <v>269</v>
      </c>
      <c r="H731" s="1" t="n">
        <v>1572865</v>
      </c>
      <c r="I731" s="1" t="n">
        <v>11</v>
      </c>
      <c r="J731" s="1" t="s">
        <v>1753</v>
      </c>
      <c r="K731" s="46" t="n">
        <v>1644.54</v>
      </c>
      <c r="N731" s="67" t="n">
        <v>46253</v>
      </c>
      <c r="O731" s="1" t="n">
        <f aca="false">SUMIFS($K:$K,$E:$E,N731)</f>
        <v>10076.2</v>
      </c>
    </row>
    <row r="732" customFormat="false" ht="15" hidden="false" customHeight="true" outlineLevel="0" collapsed="false">
      <c r="A732" s="1" t="n">
        <v>2</v>
      </c>
      <c r="B732" s="1" t="n">
        <v>368</v>
      </c>
      <c r="C732" s="1" t="s">
        <v>36</v>
      </c>
      <c r="D732" s="1" t="s">
        <v>1762</v>
      </c>
      <c r="E732" s="15" t="n">
        <v>46254</v>
      </c>
      <c r="F732" s="15" t="n">
        <v>46254</v>
      </c>
      <c r="G732" s="1" t="s">
        <v>243</v>
      </c>
      <c r="H732" s="1" t="n">
        <v>1577556</v>
      </c>
      <c r="I732" s="1" t="n">
        <v>11</v>
      </c>
      <c r="J732" s="1" t="s">
        <v>1753</v>
      </c>
      <c r="K732" s="46" t="n">
        <v>1734.8</v>
      </c>
      <c r="N732" s="67" t="n">
        <v>46254</v>
      </c>
      <c r="O732" s="1" t="n">
        <f aca="false">SUMIFS($K:$K,$E:$E,N732)</f>
        <v>5891.3</v>
      </c>
    </row>
    <row r="733" customFormat="false" ht="15" hidden="false" customHeight="true" outlineLevel="0" collapsed="false">
      <c r="A733" s="1" t="n">
        <v>2</v>
      </c>
      <c r="B733" s="1" t="n">
        <v>1666696</v>
      </c>
      <c r="C733" s="1" t="s">
        <v>1755</v>
      </c>
      <c r="D733" s="1" t="s">
        <v>1756</v>
      </c>
      <c r="E733" s="15" t="n">
        <v>46254</v>
      </c>
      <c r="F733" s="15" t="n">
        <v>46253</v>
      </c>
      <c r="G733" s="1" t="s">
        <v>416</v>
      </c>
      <c r="H733" s="1" t="n">
        <v>1576171</v>
      </c>
      <c r="I733" s="1" t="n">
        <v>11</v>
      </c>
      <c r="J733" s="1" t="s">
        <v>1753</v>
      </c>
      <c r="K733" s="46" t="n">
        <v>156</v>
      </c>
      <c r="N733" s="67" t="n">
        <v>46254</v>
      </c>
      <c r="O733" s="1" t="n">
        <f aca="false">SUMIFS($K:$K,$E:$E,N733)</f>
        <v>5891.3</v>
      </c>
    </row>
    <row r="734" customFormat="false" ht="15" hidden="false" customHeight="true" outlineLevel="0" collapsed="false">
      <c r="A734" s="1" t="n">
        <v>2</v>
      </c>
      <c r="B734" s="1" t="n">
        <v>37213</v>
      </c>
      <c r="C734" s="1" t="s">
        <v>36</v>
      </c>
      <c r="D734" s="1" t="s">
        <v>1886</v>
      </c>
      <c r="E734" s="15" t="n">
        <v>46254</v>
      </c>
      <c r="F734" s="15" t="n">
        <v>46252</v>
      </c>
      <c r="G734" s="1" t="s">
        <v>1495</v>
      </c>
      <c r="H734" s="1" t="n">
        <v>1576139</v>
      </c>
      <c r="I734" s="1" t="n">
        <v>11</v>
      </c>
      <c r="J734" s="1" t="s">
        <v>1753</v>
      </c>
      <c r="K734" s="46" t="n">
        <v>842</v>
      </c>
      <c r="N734" s="67" t="n">
        <v>46254</v>
      </c>
      <c r="O734" s="1" t="n">
        <f aca="false">SUMIFS($K:$K,$E:$E,N734)</f>
        <v>5891.3</v>
      </c>
    </row>
    <row r="735" customFormat="false" ht="15" hidden="false" customHeight="true" outlineLevel="0" collapsed="false">
      <c r="A735" s="1" t="n">
        <v>2</v>
      </c>
      <c r="B735" s="1" t="n">
        <v>2617</v>
      </c>
      <c r="C735" s="1" t="s">
        <v>36</v>
      </c>
      <c r="D735" s="1" t="s">
        <v>1766</v>
      </c>
      <c r="E735" s="15" t="n">
        <v>46254</v>
      </c>
      <c r="F735" s="15" t="n">
        <v>46254</v>
      </c>
      <c r="G735" s="1" t="s">
        <v>146</v>
      </c>
      <c r="H735" s="1" t="n">
        <v>1576425</v>
      </c>
      <c r="I735" s="1" t="n">
        <v>6</v>
      </c>
      <c r="J735" s="1" t="s">
        <v>1753</v>
      </c>
      <c r="K735" s="46" t="n">
        <v>300</v>
      </c>
      <c r="N735" s="67" t="n">
        <v>46254</v>
      </c>
      <c r="O735" s="1" t="n">
        <f aca="false">SUMIFS($K:$K,$E:$E,N735)</f>
        <v>5891.3</v>
      </c>
    </row>
    <row r="736" customFormat="false" ht="15" hidden="false" customHeight="false" outlineLevel="0" collapsed="false">
      <c r="A736" s="1" t="n">
        <v>2</v>
      </c>
      <c r="B736" s="1" t="n">
        <v>1966312</v>
      </c>
      <c r="C736" s="1" t="s">
        <v>36</v>
      </c>
      <c r="D736" s="1" t="s">
        <v>1845</v>
      </c>
      <c r="E736" s="15" t="n">
        <v>46254</v>
      </c>
      <c r="F736" s="15" t="n">
        <v>46251</v>
      </c>
      <c r="G736" s="1" t="s">
        <v>176</v>
      </c>
      <c r="H736" s="1" t="n">
        <v>1577200</v>
      </c>
      <c r="I736" s="1" t="n">
        <v>11</v>
      </c>
      <c r="J736" s="1" t="s">
        <v>1753</v>
      </c>
      <c r="K736" s="46" t="n">
        <v>1564.9</v>
      </c>
      <c r="N736" s="15" t="n">
        <v>46254</v>
      </c>
      <c r="O736" s="46" t="n">
        <f aca="false">SUMIFS($K:$K,$E:$E,N736)</f>
        <v>5891.3</v>
      </c>
    </row>
    <row r="737" customFormat="false" ht="15" hidden="false" customHeight="false" outlineLevel="0" collapsed="false">
      <c r="A737" s="1" t="n">
        <v>2</v>
      </c>
      <c r="B737" s="1" t="n">
        <v>32564</v>
      </c>
      <c r="C737" s="1" t="s">
        <v>36</v>
      </c>
      <c r="D737" s="1" t="s">
        <v>1771</v>
      </c>
      <c r="E737" s="15" t="n">
        <v>46254</v>
      </c>
      <c r="F737" s="15" t="n">
        <v>46253</v>
      </c>
      <c r="G737" s="1" t="s">
        <v>142</v>
      </c>
      <c r="H737" s="1" t="n">
        <v>1576222</v>
      </c>
      <c r="I737" s="1" t="n">
        <v>11</v>
      </c>
      <c r="J737" s="1" t="s">
        <v>1753</v>
      </c>
      <c r="K737" s="46" t="n">
        <v>1293.6</v>
      </c>
      <c r="N737" s="15" t="n">
        <v>46254</v>
      </c>
      <c r="O737" s="46" t="n">
        <f aca="false">SUMIFS($K:$K,$E:$E,N737)</f>
        <v>5891.3</v>
      </c>
    </row>
    <row r="738" customFormat="false" ht="15" hidden="false" customHeight="false" outlineLevel="0" collapsed="false">
      <c r="A738" s="1" t="n">
        <v>2</v>
      </c>
      <c r="B738" s="1" t="n">
        <v>175169</v>
      </c>
      <c r="C738" s="1" t="s">
        <v>36</v>
      </c>
      <c r="D738" s="1" t="s">
        <v>1769</v>
      </c>
      <c r="E738" s="15" t="n">
        <v>46255</v>
      </c>
      <c r="F738" s="15" t="n">
        <v>46254</v>
      </c>
      <c r="G738" s="1" t="s">
        <v>373</v>
      </c>
      <c r="H738" s="1" t="n">
        <v>1581785</v>
      </c>
      <c r="I738" s="1" t="n">
        <v>11</v>
      </c>
      <c r="J738" s="1" t="s">
        <v>1753</v>
      </c>
      <c r="K738" s="46" t="n">
        <v>3809.5</v>
      </c>
      <c r="N738" s="15" t="n">
        <v>46255</v>
      </c>
      <c r="O738" s="46" t="n">
        <f aca="false">SUMIFS($K:$K,$E:$E,N738)</f>
        <v>11092.41</v>
      </c>
    </row>
    <row r="739" customFormat="false" ht="15" hidden="false" customHeight="false" outlineLevel="0" collapsed="false">
      <c r="A739" s="1" t="n">
        <v>2</v>
      </c>
      <c r="B739" s="1" t="n">
        <v>1668090</v>
      </c>
      <c r="C739" s="1" t="s">
        <v>1755</v>
      </c>
      <c r="D739" s="1" t="s">
        <v>1756</v>
      </c>
      <c r="E739" s="15" t="n">
        <v>46255</v>
      </c>
      <c r="F739" s="15" t="n">
        <v>46255</v>
      </c>
      <c r="G739" s="1" t="s">
        <v>416</v>
      </c>
      <c r="H739" s="1" t="n">
        <v>1581998</v>
      </c>
      <c r="I739" s="1" t="n">
        <v>11</v>
      </c>
      <c r="J739" s="1" t="s">
        <v>1753</v>
      </c>
      <c r="K739" s="46" t="n">
        <v>100.5</v>
      </c>
      <c r="N739" s="15" t="n">
        <v>46255</v>
      </c>
      <c r="O739" s="46" t="n">
        <f aca="false">SUMIFS($K:$K,$E:$E,N739)</f>
        <v>11092.41</v>
      </c>
    </row>
    <row r="740" customFormat="false" ht="15" hidden="false" customHeight="false" outlineLevel="0" collapsed="false">
      <c r="A740" s="1" t="n">
        <v>2</v>
      </c>
      <c r="B740" s="1" t="n">
        <v>39521</v>
      </c>
      <c r="C740" s="1" t="s">
        <v>1887</v>
      </c>
      <c r="D740" s="1" t="s">
        <v>1888</v>
      </c>
      <c r="E740" s="15" t="n">
        <v>46255</v>
      </c>
      <c r="F740" s="15" t="n">
        <v>46254</v>
      </c>
      <c r="G740" s="1" t="s">
        <v>1533</v>
      </c>
      <c r="H740" s="1" t="n">
        <v>1581136</v>
      </c>
      <c r="I740" s="1" t="n">
        <v>11</v>
      </c>
      <c r="J740" s="1" t="s">
        <v>1753</v>
      </c>
      <c r="K740" s="46" t="n">
        <v>2055.66</v>
      </c>
      <c r="N740" s="15" t="n">
        <v>46255</v>
      </c>
      <c r="O740" s="46" t="n">
        <f aca="false">SUMIFS($K:$K,$E:$E,N740)</f>
        <v>11092.41</v>
      </c>
    </row>
    <row r="741" customFormat="false" ht="15" hidden="false" customHeight="false" outlineLevel="0" collapsed="false">
      <c r="A741" s="1" t="n">
        <v>2</v>
      </c>
      <c r="B741" s="1" t="n">
        <v>189</v>
      </c>
      <c r="C741" s="1" t="s">
        <v>36</v>
      </c>
      <c r="D741" s="1" t="s">
        <v>1873</v>
      </c>
      <c r="E741" s="15" t="n">
        <v>46255</v>
      </c>
      <c r="F741" s="15" t="n">
        <v>46253</v>
      </c>
      <c r="G741" s="1" t="s">
        <v>624</v>
      </c>
      <c r="H741" s="1" t="n">
        <v>1585107</v>
      </c>
      <c r="I741" s="1" t="n">
        <v>11</v>
      </c>
      <c r="J741" s="1" t="s">
        <v>1753</v>
      </c>
      <c r="K741" s="46" t="n">
        <v>200</v>
      </c>
      <c r="N741" s="15" t="n">
        <v>46255</v>
      </c>
      <c r="O741" s="46" t="n">
        <f aca="false">SUMIFS($K:$K,$E:$E,N741)</f>
        <v>11092.41</v>
      </c>
    </row>
    <row r="742" customFormat="false" ht="15" hidden="false" customHeight="false" outlineLevel="0" collapsed="false">
      <c r="A742" s="1" t="n">
        <v>2</v>
      </c>
      <c r="B742" s="1" t="n">
        <v>398</v>
      </c>
      <c r="C742" s="1" t="s">
        <v>36</v>
      </c>
      <c r="D742" s="1" t="s">
        <v>1783</v>
      </c>
      <c r="E742" s="15" t="n">
        <v>46255</v>
      </c>
      <c r="F742" s="15" t="n">
        <v>46246</v>
      </c>
      <c r="G742" s="1" t="s">
        <v>109</v>
      </c>
      <c r="H742" s="1" t="n">
        <v>1580962</v>
      </c>
      <c r="I742" s="1" t="n">
        <v>11</v>
      </c>
      <c r="J742" s="1" t="s">
        <v>1753</v>
      </c>
      <c r="K742" s="46" t="n">
        <v>183</v>
      </c>
      <c r="N742" s="15" t="n">
        <v>46255</v>
      </c>
      <c r="O742" s="46" t="n">
        <f aca="false">SUMIFS($K:$K,$E:$E,N742)</f>
        <v>11092.41</v>
      </c>
    </row>
    <row r="743" customFormat="false" ht="15" hidden="false" customHeight="false" outlineLevel="0" collapsed="false">
      <c r="A743" s="1" t="n">
        <v>2</v>
      </c>
      <c r="B743" s="1" t="n">
        <v>408</v>
      </c>
      <c r="C743" s="1" t="s">
        <v>36</v>
      </c>
      <c r="D743" s="1" t="s">
        <v>1783</v>
      </c>
      <c r="E743" s="15" t="n">
        <v>46255</v>
      </c>
      <c r="F743" s="15" t="n">
        <v>46255</v>
      </c>
      <c r="G743" s="1" t="s">
        <v>109</v>
      </c>
      <c r="H743" s="1" t="n">
        <v>1580972</v>
      </c>
      <c r="I743" s="1" t="n">
        <v>11</v>
      </c>
      <c r="J743" s="1" t="s">
        <v>1753</v>
      </c>
      <c r="K743" s="46" t="n">
        <v>183</v>
      </c>
      <c r="N743" s="15" t="n">
        <v>46255</v>
      </c>
      <c r="O743" s="46" t="n">
        <f aca="false">SUMIFS($K:$K,$E:$E,N743)</f>
        <v>11092.41</v>
      </c>
    </row>
    <row r="744" customFormat="false" ht="15" hidden="false" customHeight="false" outlineLevel="0" collapsed="false">
      <c r="A744" s="1" t="n">
        <v>2</v>
      </c>
      <c r="B744" s="1" t="n">
        <v>2619</v>
      </c>
      <c r="C744" s="1" t="s">
        <v>36</v>
      </c>
      <c r="D744" s="1" t="s">
        <v>1766</v>
      </c>
      <c r="E744" s="15" t="n">
        <v>46255</v>
      </c>
      <c r="F744" s="15" t="n">
        <v>46255</v>
      </c>
      <c r="G744" s="1" t="s">
        <v>146</v>
      </c>
      <c r="H744" s="1" t="n">
        <v>1581741</v>
      </c>
      <c r="I744" s="1" t="n">
        <v>6</v>
      </c>
      <c r="J744" s="1" t="s">
        <v>1753</v>
      </c>
      <c r="K744" s="46" t="n">
        <v>300</v>
      </c>
      <c r="N744" s="15" t="n">
        <v>46255</v>
      </c>
      <c r="O744" s="46" t="n">
        <f aca="false">SUMIFS($K:$K,$E:$E,N744)</f>
        <v>11092.41</v>
      </c>
    </row>
    <row r="745" customFormat="false" ht="15" hidden="false" customHeight="false" outlineLevel="0" collapsed="false">
      <c r="A745" s="1" t="n">
        <v>2</v>
      </c>
      <c r="B745" s="1" t="n">
        <v>2622</v>
      </c>
      <c r="C745" s="1" t="s">
        <v>36</v>
      </c>
      <c r="D745" s="1" t="s">
        <v>1766</v>
      </c>
      <c r="E745" s="15" t="n">
        <v>46255</v>
      </c>
      <c r="F745" s="15" t="n">
        <v>46255</v>
      </c>
      <c r="G745" s="1" t="s">
        <v>146</v>
      </c>
      <c r="H745" s="1" t="n">
        <v>1581902</v>
      </c>
      <c r="I745" s="1" t="n">
        <v>6</v>
      </c>
      <c r="J745" s="1" t="s">
        <v>1753</v>
      </c>
      <c r="K745" s="46" t="n">
        <v>200</v>
      </c>
      <c r="N745" s="15" t="n">
        <v>46255</v>
      </c>
      <c r="O745" s="46" t="n">
        <f aca="false">SUMIFS($K:$K,$E:$E,N745)</f>
        <v>11092.41</v>
      </c>
    </row>
    <row r="746" customFormat="false" ht="15" hidden="false" customHeight="false" outlineLevel="0" collapsed="false">
      <c r="A746" s="1" t="n">
        <v>2</v>
      </c>
      <c r="B746" s="1" t="n">
        <v>2623</v>
      </c>
      <c r="C746" s="1" t="s">
        <v>36</v>
      </c>
      <c r="D746" s="1" t="s">
        <v>1766</v>
      </c>
      <c r="E746" s="15" t="n">
        <v>46255</v>
      </c>
      <c r="F746" s="15" t="n">
        <v>46255</v>
      </c>
      <c r="G746" s="1" t="s">
        <v>146</v>
      </c>
      <c r="H746" s="1" t="n">
        <v>1581941</v>
      </c>
      <c r="I746" s="1" t="n">
        <v>6</v>
      </c>
      <c r="J746" s="1" t="s">
        <v>1753</v>
      </c>
      <c r="K746" s="46" t="n">
        <v>1863.5</v>
      </c>
      <c r="N746" s="15" t="n">
        <v>46255</v>
      </c>
      <c r="O746" s="46" t="n">
        <f aca="false">SUMIFS($K:$K,$E:$E,N746)</f>
        <v>11092.41</v>
      </c>
    </row>
    <row r="747" customFormat="false" ht="15" hidden="false" customHeight="false" outlineLevel="0" collapsed="false">
      <c r="A747" s="1" t="n">
        <v>2</v>
      </c>
      <c r="B747" s="1" t="n">
        <v>2624</v>
      </c>
      <c r="C747" s="1" t="s">
        <v>36</v>
      </c>
      <c r="D747" s="1" t="s">
        <v>1766</v>
      </c>
      <c r="E747" s="15" t="n">
        <v>46255</v>
      </c>
      <c r="F747" s="15" t="n">
        <v>46255</v>
      </c>
      <c r="G747" s="1" t="s">
        <v>146</v>
      </c>
      <c r="H747" s="1" t="n">
        <v>1582083</v>
      </c>
      <c r="I747" s="1" t="n">
        <v>6</v>
      </c>
      <c r="J747" s="1" t="s">
        <v>1753</v>
      </c>
      <c r="K747" s="46" t="n">
        <v>1383</v>
      </c>
      <c r="N747" s="15" t="n">
        <v>46255</v>
      </c>
      <c r="O747" s="46" t="n">
        <f aca="false">SUMIFS($K:$K,$E:$E,N747)</f>
        <v>11092.41</v>
      </c>
    </row>
    <row r="748" customFormat="false" ht="15" hidden="false" customHeight="false" outlineLevel="0" collapsed="false">
      <c r="A748" s="1" t="n">
        <v>2</v>
      </c>
      <c r="B748" s="1" t="n">
        <v>3877</v>
      </c>
      <c r="C748" s="1" t="s">
        <v>36</v>
      </c>
      <c r="D748" s="1" t="s">
        <v>1759</v>
      </c>
      <c r="E748" s="15" t="n">
        <v>46255</v>
      </c>
      <c r="F748" s="15" t="n">
        <v>46255</v>
      </c>
      <c r="G748" s="1" t="s">
        <v>205</v>
      </c>
      <c r="H748" s="1" t="n">
        <v>1580948</v>
      </c>
      <c r="I748" s="1" t="n">
        <v>11</v>
      </c>
      <c r="J748" s="1" t="s">
        <v>1753</v>
      </c>
      <c r="K748" s="46" t="n">
        <v>814.25</v>
      </c>
      <c r="N748" s="15" t="n">
        <v>46255</v>
      </c>
      <c r="O748" s="46" t="n">
        <f aca="false">SUMIFS($K:$K,$E:$E,N748)</f>
        <v>11092.41</v>
      </c>
    </row>
    <row r="749" customFormat="false" ht="15" hidden="false" customHeight="false" outlineLevel="0" collapsed="false">
      <c r="A749" s="1" t="n">
        <v>2</v>
      </c>
      <c r="B749" s="1" t="n">
        <v>613</v>
      </c>
      <c r="C749" s="1" t="s">
        <v>36</v>
      </c>
      <c r="D749" s="1" t="s">
        <v>1761</v>
      </c>
      <c r="E749" s="15" t="n">
        <v>46256</v>
      </c>
      <c r="F749" s="15" t="n">
        <v>46255</v>
      </c>
      <c r="G749" s="1" t="s">
        <v>144</v>
      </c>
      <c r="H749" s="1" t="n">
        <v>1585334</v>
      </c>
      <c r="I749" s="1" t="n">
        <v>11</v>
      </c>
      <c r="J749" s="1" t="s">
        <v>1753</v>
      </c>
      <c r="K749" s="46" t="n">
        <v>240</v>
      </c>
      <c r="N749" s="15" t="n">
        <v>46256</v>
      </c>
      <c r="O749" s="46" t="n">
        <f aca="false">SUMIFS($K:$K,$E:$E,N749)</f>
        <v>22363.58</v>
      </c>
    </row>
    <row r="750" customFormat="false" ht="15" hidden="false" customHeight="false" outlineLevel="0" collapsed="false">
      <c r="A750" s="1" t="n">
        <v>2</v>
      </c>
      <c r="B750" s="1" t="n">
        <v>13976</v>
      </c>
      <c r="C750" s="1" t="s">
        <v>36</v>
      </c>
      <c r="D750" s="1" t="s">
        <v>1889</v>
      </c>
      <c r="E750" s="15" t="n">
        <v>46256</v>
      </c>
      <c r="F750" s="15" t="n">
        <v>46251</v>
      </c>
      <c r="G750" s="1" t="s">
        <v>75</v>
      </c>
      <c r="H750" s="1" t="n">
        <v>1585379</v>
      </c>
      <c r="I750" s="1" t="n">
        <v>39</v>
      </c>
      <c r="J750" s="1" t="s">
        <v>1753</v>
      </c>
      <c r="K750" s="46" t="n">
        <v>79.8</v>
      </c>
      <c r="N750" s="15" t="n">
        <v>46256</v>
      </c>
      <c r="O750" s="46" t="n">
        <f aca="false">SUMIFS($K:$K,$E:$E,N750)</f>
        <v>22363.58</v>
      </c>
    </row>
    <row r="751" customFormat="false" ht="15" hidden="false" customHeight="false" outlineLevel="0" collapsed="false">
      <c r="A751" s="1" t="n">
        <v>2</v>
      </c>
      <c r="B751" s="1" t="n">
        <v>570907</v>
      </c>
      <c r="C751" s="1" t="s">
        <v>1792</v>
      </c>
      <c r="D751" s="1" t="s">
        <v>1793</v>
      </c>
      <c r="E751" s="15" t="n">
        <v>46256</v>
      </c>
      <c r="F751" s="15" t="n">
        <v>46253</v>
      </c>
      <c r="G751" s="1" t="s">
        <v>229</v>
      </c>
      <c r="H751" s="1" t="n">
        <v>1585257</v>
      </c>
      <c r="I751" s="1" t="n">
        <v>11</v>
      </c>
      <c r="J751" s="1" t="s">
        <v>1753</v>
      </c>
      <c r="K751" s="46" t="n">
        <v>21495.36</v>
      </c>
      <c r="N751" s="15" t="n">
        <v>46256</v>
      </c>
      <c r="O751" s="46" t="n">
        <f aca="false">SUMIFS($K:$K,$E:$E,N751)</f>
        <v>22363.58</v>
      </c>
    </row>
    <row r="752" customFormat="false" ht="15" hidden="false" customHeight="false" outlineLevel="0" collapsed="false">
      <c r="A752" s="1" t="n">
        <v>2</v>
      </c>
      <c r="B752" s="1" t="n">
        <v>357892</v>
      </c>
      <c r="C752" s="1" t="s">
        <v>88</v>
      </c>
      <c r="D752" s="1" t="s">
        <v>1832</v>
      </c>
      <c r="E752" s="15" t="n">
        <v>46256</v>
      </c>
      <c r="F752" s="15" t="n">
        <v>46254</v>
      </c>
      <c r="G752" s="1" t="s">
        <v>170</v>
      </c>
      <c r="H752" s="1" t="n">
        <v>1585061</v>
      </c>
      <c r="I752" s="1" t="n">
        <v>11</v>
      </c>
      <c r="J752" s="1" t="s">
        <v>1753</v>
      </c>
      <c r="K752" s="46" t="n">
        <v>548.42</v>
      </c>
      <c r="N752" s="15" t="n">
        <v>46256</v>
      </c>
      <c r="O752" s="46" t="n">
        <f aca="false">SUMIFS($K:$K,$E:$E,N752)</f>
        <v>22363.58</v>
      </c>
    </row>
    <row r="753" customFormat="false" ht="15" hidden="false" customHeight="false" outlineLevel="0" collapsed="false">
      <c r="A753" s="1" t="n">
        <v>2</v>
      </c>
      <c r="B753" s="1" t="n">
        <v>91661</v>
      </c>
      <c r="C753" s="1" t="s">
        <v>88</v>
      </c>
      <c r="D753" s="1" t="s">
        <v>1752</v>
      </c>
      <c r="E753" s="15" t="n">
        <v>46258</v>
      </c>
      <c r="F753" s="15" t="n">
        <v>46255</v>
      </c>
      <c r="G753" s="1" t="s">
        <v>239</v>
      </c>
      <c r="H753" s="1" t="n">
        <v>1594340</v>
      </c>
      <c r="I753" s="1" t="n">
        <v>11</v>
      </c>
      <c r="J753" s="1" t="s">
        <v>1753</v>
      </c>
      <c r="K753" s="46" t="n">
        <v>618.65</v>
      </c>
      <c r="N753" s="15" t="n">
        <v>46258</v>
      </c>
      <c r="O753" s="46" t="n">
        <f aca="false">SUMIFS($K:$K,$E:$E,N753)</f>
        <v>6013.64</v>
      </c>
    </row>
    <row r="754" customFormat="false" ht="15" hidden="false" customHeight="false" outlineLevel="0" collapsed="false">
      <c r="A754" s="1" t="n">
        <v>2</v>
      </c>
      <c r="B754" s="1" t="n">
        <v>1668483</v>
      </c>
      <c r="C754" s="1" t="s">
        <v>1755</v>
      </c>
      <c r="D754" s="1" t="s">
        <v>1756</v>
      </c>
      <c r="E754" s="15" t="n">
        <v>46258</v>
      </c>
      <c r="F754" s="15" t="n">
        <v>46256</v>
      </c>
      <c r="G754" s="1" t="s">
        <v>416</v>
      </c>
      <c r="H754" s="1" t="n">
        <v>1594273</v>
      </c>
      <c r="I754" s="1" t="n">
        <v>11</v>
      </c>
      <c r="J754" s="1" t="s">
        <v>1753</v>
      </c>
      <c r="K754" s="46" t="n">
        <v>140</v>
      </c>
      <c r="N754" s="15" t="n">
        <v>46258</v>
      </c>
      <c r="O754" s="46" t="n">
        <f aca="false">SUMIFS($K:$K,$E:$E,N754)</f>
        <v>6013.64</v>
      </c>
    </row>
    <row r="755" customFormat="false" ht="15" hidden="false" customHeight="false" outlineLevel="0" collapsed="false">
      <c r="A755" s="1" t="n">
        <v>2</v>
      </c>
      <c r="B755" s="1" t="n">
        <v>201</v>
      </c>
      <c r="C755" s="1" t="s">
        <v>36</v>
      </c>
      <c r="D755" s="1" t="s">
        <v>1873</v>
      </c>
      <c r="E755" s="15" t="n">
        <v>46258</v>
      </c>
      <c r="F755" s="15" t="n">
        <v>46256</v>
      </c>
      <c r="G755" s="1" t="s">
        <v>624</v>
      </c>
      <c r="H755" s="1" t="n">
        <v>1609741</v>
      </c>
      <c r="I755" s="1" t="n">
        <v>11</v>
      </c>
      <c r="J755" s="1" t="s">
        <v>1753</v>
      </c>
      <c r="K755" s="46" t="n">
        <v>140</v>
      </c>
      <c r="N755" s="15" t="n">
        <v>46258</v>
      </c>
      <c r="O755" s="46" t="n">
        <f aca="false">SUMIFS($K:$K,$E:$E,N755)</f>
        <v>6013.64</v>
      </c>
    </row>
    <row r="756" customFormat="false" ht="15" hidden="false" customHeight="false" outlineLevel="0" collapsed="false">
      <c r="A756" s="1" t="n">
        <v>2</v>
      </c>
      <c r="B756" s="1" t="n">
        <v>15127</v>
      </c>
      <c r="C756" s="1" t="s">
        <v>36</v>
      </c>
      <c r="D756" s="1" t="s">
        <v>1757</v>
      </c>
      <c r="E756" s="15" t="n">
        <v>46258</v>
      </c>
      <c r="F756" s="15" t="n">
        <v>46256</v>
      </c>
      <c r="G756" s="1" t="s">
        <v>272</v>
      </c>
      <c r="H756" s="1" t="n">
        <v>1595549</v>
      </c>
      <c r="I756" s="1" t="n">
        <v>11</v>
      </c>
      <c r="J756" s="1" t="s">
        <v>1753</v>
      </c>
      <c r="K756" s="46" t="n">
        <v>4164.18</v>
      </c>
      <c r="N756" s="15" t="n">
        <v>46258</v>
      </c>
      <c r="O756" s="46" t="n">
        <f aca="false">SUMIFS($K:$K,$E:$E,N756)</f>
        <v>6013.64</v>
      </c>
    </row>
    <row r="757" customFormat="false" ht="15" hidden="false" customHeight="false" outlineLevel="0" collapsed="false">
      <c r="A757" s="1" t="n">
        <v>2</v>
      </c>
      <c r="B757" s="1" t="n">
        <v>2625</v>
      </c>
      <c r="C757" s="1" t="s">
        <v>36</v>
      </c>
      <c r="D757" s="1" t="s">
        <v>1766</v>
      </c>
      <c r="E757" s="15" t="n">
        <v>46258</v>
      </c>
      <c r="F757" s="15" t="n">
        <v>46258</v>
      </c>
      <c r="G757" s="1" t="s">
        <v>146</v>
      </c>
      <c r="H757" s="1" t="n">
        <v>1595265</v>
      </c>
      <c r="I757" s="1" t="n">
        <v>6</v>
      </c>
      <c r="J757" s="1" t="s">
        <v>1753</v>
      </c>
      <c r="K757" s="46" t="n">
        <v>225</v>
      </c>
      <c r="N757" s="15" t="n">
        <v>46258</v>
      </c>
      <c r="O757" s="46" t="n">
        <f aca="false">SUMIFS($K:$K,$E:$E,N757)</f>
        <v>6013.64</v>
      </c>
    </row>
    <row r="758" customFormat="false" ht="15" hidden="false" customHeight="false" outlineLevel="0" collapsed="false">
      <c r="A758" s="1" t="n">
        <v>2</v>
      </c>
      <c r="B758" s="1" t="n">
        <v>46622</v>
      </c>
      <c r="C758" s="1" t="s">
        <v>36</v>
      </c>
      <c r="D758" s="1" t="s">
        <v>1781</v>
      </c>
      <c r="E758" s="15" t="n">
        <v>46258</v>
      </c>
      <c r="F758" s="15" t="n">
        <v>46258</v>
      </c>
      <c r="G758" s="1" t="s">
        <v>437</v>
      </c>
      <c r="H758" s="1" t="n">
        <v>1595740</v>
      </c>
      <c r="I758" s="1" t="n">
        <v>11</v>
      </c>
      <c r="J758" s="1" t="s">
        <v>1753</v>
      </c>
      <c r="K758" s="46" t="n">
        <v>460</v>
      </c>
      <c r="N758" s="15" t="n">
        <v>46258</v>
      </c>
      <c r="O758" s="46" t="n">
        <f aca="false">SUMIFS($K:$K,$E:$E,N758)</f>
        <v>6013.64</v>
      </c>
    </row>
    <row r="759" customFormat="false" ht="15" hidden="false" customHeight="false" outlineLevel="0" collapsed="false">
      <c r="A759" s="1" t="n">
        <v>2</v>
      </c>
      <c r="B759" s="1" t="n">
        <v>772</v>
      </c>
      <c r="C759" s="1" t="s">
        <v>88</v>
      </c>
      <c r="D759" s="1" t="s">
        <v>1758</v>
      </c>
      <c r="E759" s="15" t="n">
        <v>46258</v>
      </c>
      <c r="F759" s="15" t="n">
        <v>46256</v>
      </c>
      <c r="G759" s="1" t="s">
        <v>211</v>
      </c>
      <c r="H759" s="1" t="n">
        <v>1594447</v>
      </c>
      <c r="I759" s="1" t="n">
        <v>11</v>
      </c>
      <c r="J759" s="1" t="s">
        <v>1753</v>
      </c>
      <c r="K759" s="46" t="n">
        <v>265.81</v>
      </c>
      <c r="N759" s="15" t="n">
        <v>46258</v>
      </c>
      <c r="O759" s="46" t="n">
        <f aca="false">SUMIFS($K:$K,$E:$E,N759)</f>
        <v>6013.64</v>
      </c>
    </row>
    <row r="760" customFormat="false" ht="15" hidden="false" customHeight="false" outlineLevel="0" collapsed="false">
      <c r="A760" s="1" t="n">
        <v>2</v>
      </c>
      <c r="B760" s="1" t="n">
        <v>621</v>
      </c>
      <c r="C760" s="1" t="s">
        <v>36</v>
      </c>
      <c r="D760" s="1" t="s">
        <v>1761</v>
      </c>
      <c r="E760" s="15" t="n">
        <v>46259</v>
      </c>
      <c r="F760" s="15" t="n">
        <v>46258</v>
      </c>
      <c r="G760" s="1" t="s">
        <v>144</v>
      </c>
      <c r="H760" s="1" t="n">
        <v>1599470</v>
      </c>
      <c r="I760" s="1" t="n">
        <v>11</v>
      </c>
      <c r="J760" s="1" t="s">
        <v>1753</v>
      </c>
      <c r="K760" s="46" t="n">
        <v>240</v>
      </c>
      <c r="N760" s="15" t="n">
        <v>46259</v>
      </c>
      <c r="O760" s="46" t="n">
        <f aca="false">SUMIFS($K:$K,$E:$E,N760)</f>
        <v>15725.2</v>
      </c>
    </row>
    <row r="761" customFormat="false" ht="15" hidden="false" customHeight="false" outlineLevel="0" collapsed="false">
      <c r="A761" s="1" t="n">
        <v>2</v>
      </c>
      <c r="B761" s="1" t="n">
        <v>1262093</v>
      </c>
      <c r="C761" s="1" t="s">
        <v>49</v>
      </c>
      <c r="D761" s="1" t="s">
        <v>1754</v>
      </c>
      <c r="E761" s="15" t="n">
        <v>46259</v>
      </c>
      <c r="F761" s="15" t="n">
        <v>46255</v>
      </c>
      <c r="G761" s="1" t="s">
        <v>131</v>
      </c>
      <c r="H761" s="1" t="n">
        <v>1600062</v>
      </c>
      <c r="I761" s="1" t="n">
        <v>11</v>
      </c>
      <c r="J761" s="1" t="s">
        <v>1753</v>
      </c>
      <c r="K761" s="46" t="n">
        <v>639.05</v>
      </c>
      <c r="N761" s="15" t="n">
        <v>46259</v>
      </c>
      <c r="O761" s="46" t="n">
        <f aca="false">SUMIFS($K:$K,$E:$E,N761)</f>
        <v>15725.2</v>
      </c>
    </row>
    <row r="762" customFormat="false" ht="15" hidden="false" customHeight="false" outlineLevel="0" collapsed="false">
      <c r="A762" s="1" t="n">
        <v>2</v>
      </c>
      <c r="B762" s="1" t="n">
        <v>2004983</v>
      </c>
      <c r="C762" s="1" t="s">
        <v>67</v>
      </c>
      <c r="D762" s="1" t="s">
        <v>1754</v>
      </c>
      <c r="E762" s="15" t="n">
        <v>46259</v>
      </c>
      <c r="F762" s="15" t="n">
        <v>46255</v>
      </c>
      <c r="G762" s="1" t="s">
        <v>131</v>
      </c>
      <c r="H762" s="1" t="n">
        <v>1600073</v>
      </c>
      <c r="I762" s="1" t="n">
        <v>11</v>
      </c>
      <c r="J762" s="1" t="s">
        <v>1753</v>
      </c>
      <c r="K762" s="46" t="n">
        <v>3064.41</v>
      </c>
      <c r="N762" s="15" t="n">
        <v>46259</v>
      </c>
      <c r="O762" s="46" t="n">
        <f aca="false">SUMIFS($K:$K,$E:$E,N762)</f>
        <v>15725.2</v>
      </c>
    </row>
    <row r="763" customFormat="false" ht="15" hidden="false" customHeight="false" outlineLevel="0" collapsed="false">
      <c r="A763" s="1" t="n">
        <v>2</v>
      </c>
      <c r="B763" s="1" t="n">
        <v>1038558</v>
      </c>
      <c r="C763" s="1" t="s">
        <v>36</v>
      </c>
      <c r="D763" s="1" t="s">
        <v>1763</v>
      </c>
      <c r="E763" s="15" t="n">
        <v>46259</v>
      </c>
      <c r="F763" s="15" t="n">
        <v>46258</v>
      </c>
      <c r="G763" s="1" t="s">
        <v>233</v>
      </c>
      <c r="H763" s="1" t="n">
        <v>1598912</v>
      </c>
      <c r="I763" s="1" t="n">
        <v>11</v>
      </c>
      <c r="J763" s="1" t="s">
        <v>1753</v>
      </c>
      <c r="K763" s="46" t="n">
        <v>437.2</v>
      </c>
      <c r="N763" s="15" t="n">
        <v>46259</v>
      </c>
      <c r="O763" s="46" t="n">
        <f aca="false">SUMIFS($K:$K,$E:$E,N763)</f>
        <v>15725.2</v>
      </c>
    </row>
    <row r="764" customFormat="false" ht="15" hidden="false" customHeight="false" outlineLevel="0" collapsed="false">
      <c r="A764" s="1" t="n">
        <v>2</v>
      </c>
      <c r="B764" s="1" t="n">
        <v>1668884</v>
      </c>
      <c r="C764" s="1" t="s">
        <v>1755</v>
      </c>
      <c r="D764" s="1" t="s">
        <v>1756</v>
      </c>
      <c r="E764" s="15" t="n">
        <v>46259</v>
      </c>
      <c r="F764" s="15" t="n">
        <v>46258</v>
      </c>
      <c r="G764" s="1" t="s">
        <v>416</v>
      </c>
      <c r="H764" s="1" t="n">
        <v>1598935</v>
      </c>
      <c r="I764" s="1" t="n">
        <v>11</v>
      </c>
      <c r="J764" s="1" t="s">
        <v>1753</v>
      </c>
      <c r="K764" s="46" t="n">
        <v>126</v>
      </c>
      <c r="N764" s="15" t="n">
        <v>46259</v>
      </c>
      <c r="O764" s="46" t="n">
        <f aca="false">SUMIFS($K:$K,$E:$E,N764)</f>
        <v>15725.2</v>
      </c>
    </row>
    <row r="765" customFormat="false" ht="15" hidden="false" customHeight="false" outlineLevel="0" collapsed="false">
      <c r="A765" s="1" t="n">
        <v>2</v>
      </c>
      <c r="B765" s="1" t="n">
        <v>229698</v>
      </c>
      <c r="C765" s="1" t="s">
        <v>88</v>
      </c>
      <c r="D765" s="1" t="s">
        <v>1780</v>
      </c>
      <c r="E765" s="15" t="n">
        <v>46259</v>
      </c>
      <c r="F765" s="15" t="n">
        <v>46259</v>
      </c>
      <c r="G765" s="1" t="s">
        <v>439</v>
      </c>
      <c r="H765" s="1" t="n">
        <v>1600435</v>
      </c>
      <c r="I765" s="1" t="n">
        <v>11</v>
      </c>
      <c r="J765" s="1" t="s">
        <v>1753</v>
      </c>
      <c r="K765" s="46" t="n">
        <v>363.97</v>
      </c>
      <c r="N765" s="15" t="n">
        <v>46259</v>
      </c>
      <c r="O765" s="46" t="n">
        <f aca="false">SUMIFS($K:$K,$E:$E,N765)</f>
        <v>15725.2</v>
      </c>
    </row>
    <row r="766" customFormat="false" ht="15" hidden="false" customHeight="false" outlineLevel="0" collapsed="false">
      <c r="A766" s="1" t="n">
        <v>2</v>
      </c>
      <c r="B766" s="1" t="n">
        <v>1441731</v>
      </c>
      <c r="C766" s="1" t="s">
        <v>36</v>
      </c>
      <c r="D766" s="1" t="s">
        <v>1807</v>
      </c>
      <c r="E766" s="15" t="n">
        <v>46259</v>
      </c>
      <c r="F766" s="15" t="n">
        <v>46258</v>
      </c>
      <c r="G766" s="1" t="s">
        <v>469</v>
      </c>
      <c r="H766" s="1" t="n">
        <v>1600294</v>
      </c>
      <c r="I766" s="1" t="n">
        <v>11</v>
      </c>
      <c r="J766" s="1" t="s">
        <v>1753</v>
      </c>
      <c r="K766" s="46" t="n">
        <v>1255.7</v>
      </c>
      <c r="N766" s="15" t="n">
        <v>46259</v>
      </c>
      <c r="O766" s="46" t="n">
        <f aca="false">SUMIFS($K:$K,$E:$E,N766)</f>
        <v>15725.2</v>
      </c>
    </row>
    <row r="767" customFormat="false" ht="15" hidden="false" customHeight="false" outlineLevel="0" collapsed="false">
      <c r="A767" s="1" t="n">
        <v>2</v>
      </c>
      <c r="B767" s="1" t="n">
        <v>1441732</v>
      </c>
      <c r="C767" s="1" t="s">
        <v>36</v>
      </c>
      <c r="D767" s="1" t="s">
        <v>1807</v>
      </c>
      <c r="E767" s="15" t="n">
        <v>46259</v>
      </c>
      <c r="F767" s="15" t="n">
        <v>46258</v>
      </c>
      <c r="G767" s="1" t="s">
        <v>469</v>
      </c>
      <c r="H767" s="1" t="n">
        <v>1600162</v>
      </c>
      <c r="I767" s="1" t="n">
        <v>11</v>
      </c>
      <c r="J767" s="1" t="s">
        <v>1753</v>
      </c>
      <c r="K767" s="46" t="n">
        <v>202.95</v>
      </c>
      <c r="N767" s="15" t="n">
        <v>46259</v>
      </c>
      <c r="O767" s="46" t="n">
        <f aca="false">SUMIFS($K:$K,$E:$E,N767)</f>
        <v>15725.2</v>
      </c>
    </row>
    <row r="768" customFormat="false" ht="15" hidden="false" customHeight="false" outlineLevel="0" collapsed="false">
      <c r="A768" s="1" t="n">
        <v>2</v>
      </c>
      <c r="B768" s="1" t="n">
        <v>1442200</v>
      </c>
      <c r="C768" s="1" t="s">
        <v>36</v>
      </c>
      <c r="D768" s="1" t="s">
        <v>1807</v>
      </c>
      <c r="E768" s="15" t="n">
        <v>46259</v>
      </c>
      <c r="F768" s="15" t="n">
        <v>46258</v>
      </c>
      <c r="G768" s="1" t="s">
        <v>469</v>
      </c>
      <c r="H768" s="1" t="n">
        <v>1600188</v>
      </c>
      <c r="I768" s="1" t="n">
        <v>11</v>
      </c>
      <c r="J768" s="1" t="s">
        <v>1753</v>
      </c>
      <c r="K768" s="46" t="n">
        <v>1268.78</v>
      </c>
      <c r="N768" s="15" t="n">
        <v>46259</v>
      </c>
      <c r="O768" s="46" t="n">
        <f aca="false">SUMIFS($K:$K,$E:$E,N768)</f>
        <v>15725.2</v>
      </c>
    </row>
    <row r="769" customFormat="false" ht="15" hidden="false" customHeight="false" outlineLevel="0" collapsed="false">
      <c r="A769" s="1" t="n">
        <v>2</v>
      </c>
      <c r="B769" s="1" t="n">
        <v>1442202</v>
      </c>
      <c r="C769" s="1" t="s">
        <v>36</v>
      </c>
      <c r="D769" s="1" t="s">
        <v>1807</v>
      </c>
      <c r="E769" s="15" t="n">
        <v>46259</v>
      </c>
      <c r="F769" s="15" t="n">
        <v>46258</v>
      </c>
      <c r="G769" s="1" t="s">
        <v>469</v>
      </c>
      <c r="H769" s="1" t="n">
        <v>1600136</v>
      </c>
      <c r="I769" s="1" t="n">
        <v>11</v>
      </c>
      <c r="J769" s="1" t="s">
        <v>1753</v>
      </c>
      <c r="K769" s="46" t="n">
        <v>1509.12</v>
      </c>
      <c r="N769" s="15" t="n">
        <v>46259</v>
      </c>
      <c r="O769" s="46" t="n">
        <f aca="false">SUMIFS($K:$K,$E:$E,N769)</f>
        <v>15725.2</v>
      </c>
    </row>
    <row r="770" customFormat="false" ht="15" hidden="false" customHeight="false" outlineLevel="0" collapsed="false">
      <c r="A770" s="1" t="n">
        <v>2</v>
      </c>
      <c r="B770" s="1" t="n">
        <v>1442668</v>
      </c>
      <c r="C770" s="1" t="s">
        <v>36</v>
      </c>
      <c r="D770" s="1" t="s">
        <v>1807</v>
      </c>
      <c r="E770" s="15" t="n">
        <v>46259</v>
      </c>
      <c r="F770" s="15" t="n">
        <v>46258</v>
      </c>
      <c r="G770" s="1" t="s">
        <v>469</v>
      </c>
      <c r="H770" s="1" t="n">
        <v>1600343</v>
      </c>
      <c r="I770" s="1" t="n">
        <v>11</v>
      </c>
      <c r="J770" s="1" t="s">
        <v>1753</v>
      </c>
      <c r="K770" s="46" t="n">
        <v>2477.62</v>
      </c>
      <c r="N770" s="15" t="n">
        <v>46259</v>
      </c>
      <c r="O770" s="46" t="n">
        <f aca="false">SUMIFS($K:$K,$E:$E,N770)</f>
        <v>15725.2</v>
      </c>
    </row>
    <row r="771" customFormat="false" ht="15" hidden="false" customHeight="false" outlineLevel="0" collapsed="false">
      <c r="A771" s="1" t="n">
        <v>2</v>
      </c>
      <c r="B771" s="1" t="n">
        <v>2628</v>
      </c>
      <c r="C771" s="1" t="s">
        <v>36</v>
      </c>
      <c r="D771" s="1" t="s">
        <v>1766</v>
      </c>
      <c r="E771" s="15" t="n">
        <v>46259</v>
      </c>
      <c r="F771" s="15" t="n">
        <v>46259</v>
      </c>
      <c r="G771" s="1" t="s">
        <v>146</v>
      </c>
      <c r="H771" s="1" t="n">
        <v>1599496</v>
      </c>
      <c r="I771" s="1" t="n">
        <v>6</v>
      </c>
      <c r="J771" s="1" t="s">
        <v>1753</v>
      </c>
      <c r="K771" s="46" t="n">
        <v>200</v>
      </c>
      <c r="N771" s="15" t="n">
        <v>46259</v>
      </c>
      <c r="O771" s="46" t="n">
        <f aca="false">SUMIFS($K:$K,$E:$E,N771)</f>
        <v>15725.2</v>
      </c>
    </row>
    <row r="772" customFormat="false" ht="15" hidden="false" customHeight="false" outlineLevel="0" collapsed="false">
      <c r="A772" s="1" t="n">
        <v>2</v>
      </c>
      <c r="B772" s="1" t="n">
        <v>2629</v>
      </c>
      <c r="C772" s="1" t="s">
        <v>36</v>
      </c>
      <c r="D772" s="1" t="s">
        <v>1766</v>
      </c>
      <c r="E772" s="15" t="n">
        <v>46259</v>
      </c>
      <c r="F772" s="15" t="n">
        <v>46259</v>
      </c>
      <c r="G772" s="1" t="s">
        <v>146</v>
      </c>
      <c r="H772" s="1" t="n">
        <v>1600582</v>
      </c>
      <c r="I772" s="1" t="n">
        <v>6</v>
      </c>
      <c r="J772" s="1" t="s">
        <v>1753</v>
      </c>
      <c r="K772" s="46" t="n">
        <v>1352</v>
      </c>
      <c r="N772" s="15" t="n">
        <v>46259</v>
      </c>
      <c r="O772" s="46" t="n">
        <f aca="false">SUMIFS($K:$K,$E:$E,N772)</f>
        <v>15725.2</v>
      </c>
    </row>
    <row r="773" customFormat="false" ht="15" hidden="false" customHeight="false" outlineLevel="0" collapsed="false">
      <c r="A773" s="1" t="n">
        <v>2</v>
      </c>
      <c r="B773" s="1" t="n">
        <v>4446</v>
      </c>
      <c r="C773" s="1" t="s">
        <v>36</v>
      </c>
      <c r="D773" s="1" t="s">
        <v>1767</v>
      </c>
      <c r="E773" s="15" t="n">
        <v>46259</v>
      </c>
      <c r="F773" s="15" t="n">
        <v>46258</v>
      </c>
      <c r="G773" s="1" t="s">
        <v>105</v>
      </c>
      <c r="H773" s="1" t="n">
        <v>1598926</v>
      </c>
      <c r="I773" s="1" t="n">
        <v>11</v>
      </c>
      <c r="J773" s="1" t="s">
        <v>1753</v>
      </c>
      <c r="K773" s="46" t="n">
        <v>215.9</v>
      </c>
      <c r="N773" s="15" t="n">
        <v>46259</v>
      </c>
      <c r="O773" s="46" t="n">
        <f aca="false">SUMIFS($K:$K,$E:$E,N773)</f>
        <v>15725.2</v>
      </c>
    </row>
    <row r="774" customFormat="false" ht="15" hidden="false" customHeight="false" outlineLevel="0" collapsed="false">
      <c r="A774" s="1" t="n">
        <v>2</v>
      </c>
      <c r="B774" s="1" t="n">
        <v>1262474</v>
      </c>
      <c r="C774" s="1" t="s">
        <v>36</v>
      </c>
      <c r="D774" s="1" t="s">
        <v>1798</v>
      </c>
      <c r="E774" s="15" t="n">
        <v>46259</v>
      </c>
      <c r="F774" s="15" t="n">
        <v>46259</v>
      </c>
      <c r="G774" s="1" t="s">
        <v>462</v>
      </c>
      <c r="H774" s="1" t="n">
        <v>1599314</v>
      </c>
      <c r="I774" s="1" t="n">
        <v>11</v>
      </c>
      <c r="J774" s="1" t="s">
        <v>1753</v>
      </c>
      <c r="K774" s="46" t="n">
        <v>2372.5</v>
      </c>
      <c r="N774" s="15" t="n">
        <v>46259</v>
      </c>
      <c r="O774" s="46" t="n">
        <f aca="false">SUMIFS($K:$K,$E:$E,N774)</f>
        <v>15725.2</v>
      </c>
    </row>
    <row r="775" customFormat="false" ht="15" hidden="false" customHeight="false" outlineLevel="0" collapsed="false">
      <c r="A775" s="1" t="n">
        <v>2</v>
      </c>
      <c r="B775" s="1" t="n">
        <v>1263938</v>
      </c>
      <c r="C775" s="1" t="s">
        <v>49</v>
      </c>
      <c r="D775" s="1" t="s">
        <v>1754</v>
      </c>
      <c r="E775" s="15" t="n">
        <v>46260</v>
      </c>
      <c r="F775" s="15" t="n">
        <v>46258</v>
      </c>
      <c r="G775" s="1" t="s">
        <v>131</v>
      </c>
      <c r="H775" s="1" t="n">
        <v>1603816</v>
      </c>
      <c r="I775" s="1" t="n">
        <v>11</v>
      </c>
      <c r="J775" s="1" t="s">
        <v>1753</v>
      </c>
      <c r="K775" s="46" t="n">
        <v>259.86</v>
      </c>
      <c r="N775" s="15" t="n">
        <v>46260</v>
      </c>
      <c r="O775" s="46" t="n">
        <f aca="false">SUMIFS($K:$K,$E:$E,N775)</f>
        <v>27548.31</v>
      </c>
    </row>
    <row r="776" customFormat="false" ht="15" hidden="false" customHeight="false" outlineLevel="0" collapsed="false">
      <c r="A776" s="1" t="n">
        <v>2</v>
      </c>
      <c r="B776" s="1" t="n">
        <v>2007955</v>
      </c>
      <c r="C776" s="1" t="s">
        <v>67</v>
      </c>
      <c r="D776" s="1" t="s">
        <v>1754</v>
      </c>
      <c r="E776" s="15" t="n">
        <v>46260</v>
      </c>
      <c r="F776" s="15" t="n">
        <v>46258</v>
      </c>
      <c r="G776" s="1" t="s">
        <v>131</v>
      </c>
      <c r="H776" s="1" t="n">
        <v>1603837</v>
      </c>
      <c r="I776" s="1" t="n">
        <v>11</v>
      </c>
      <c r="J776" s="1" t="s">
        <v>1753</v>
      </c>
      <c r="K776" s="46" t="n">
        <v>3257.14</v>
      </c>
      <c r="N776" s="15" t="n">
        <v>46260</v>
      </c>
      <c r="O776" s="46" t="n">
        <f aca="false">SUMIFS($K:$K,$E:$E,N776)</f>
        <v>27548.31</v>
      </c>
    </row>
    <row r="777" customFormat="false" ht="15" hidden="false" customHeight="false" outlineLevel="0" collapsed="false">
      <c r="A777" s="1" t="n">
        <v>2</v>
      </c>
      <c r="B777" s="1" t="n">
        <v>866347</v>
      </c>
      <c r="C777" s="1" t="s">
        <v>36</v>
      </c>
      <c r="D777" s="1" t="s">
        <v>1796</v>
      </c>
      <c r="E777" s="15" t="n">
        <v>46260</v>
      </c>
      <c r="F777" s="15" t="n">
        <v>46258</v>
      </c>
      <c r="G777" s="1" t="s">
        <v>192</v>
      </c>
      <c r="H777" s="1" t="n">
        <v>1603982</v>
      </c>
      <c r="I777" s="1" t="n">
        <v>11</v>
      </c>
      <c r="J777" s="1" t="s">
        <v>1753</v>
      </c>
      <c r="K777" s="46" t="n">
        <v>2530.95</v>
      </c>
      <c r="N777" s="15" t="n">
        <v>46260</v>
      </c>
      <c r="O777" s="46" t="n">
        <f aca="false">SUMIFS($K:$K,$E:$E,N777)</f>
        <v>27548.31</v>
      </c>
    </row>
    <row r="778" customFormat="false" ht="15" hidden="false" customHeight="false" outlineLevel="0" collapsed="false">
      <c r="A778" s="1" t="n">
        <v>2</v>
      </c>
      <c r="B778" s="1" t="n">
        <v>8744</v>
      </c>
      <c r="C778" s="1" t="s">
        <v>36</v>
      </c>
      <c r="D778" s="1" t="s">
        <v>1847</v>
      </c>
      <c r="E778" s="15" t="n">
        <v>46260</v>
      </c>
      <c r="F778" s="15" t="n">
        <v>46259</v>
      </c>
      <c r="G778" s="1" t="s">
        <v>343</v>
      </c>
      <c r="H778" s="1" t="n">
        <v>1604138</v>
      </c>
      <c r="I778" s="1" t="n">
        <v>11</v>
      </c>
      <c r="J778" s="1" t="s">
        <v>1753</v>
      </c>
      <c r="K778" s="46" t="n">
        <v>3492.3</v>
      </c>
      <c r="N778" s="15" t="n">
        <v>46260</v>
      </c>
      <c r="O778" s="46" t="n">
        <f aca="false">SUMIFS($K:$K,$E:$E,N778)</f>
        <v>27548.31</v>
      </c>
    </row>
    <row r="779" customFormat="false" ht="15" hidden="false" customHeight="false" outlineLevel="0" collapsed="false">
      <c r="A779" s="1" t="n">
        <v>2</v>
      </c>
      <c r="B779" s="1" t="n">
        <v>1670242</v>
      </c>
      <c r="C779" s="1" t="s">
        <v>1755</v>
      </c>
      <c r="D779" s="1" t="s">
        <v>1756</v>
      </c>
      <c r="E779" s="15" t="n">
        <v>46260</v>
      </c>
      <c r="F779" s="15" t="n">
        <v>46260</v>
      </c>
      <c r="G779" s="1" t="s">
        <v>416</v>
      </c>
      <c r="H779" s="1" t="n">
        <v>1605240</v>
      </c>
      <c r="I779" s="1" t="n">
        <v>11</v>
      </c>
      <c r="J779" s="1" t="s">
        <v>1753</v>
      </c>
      <c r="K779" s="46" t="n">
        <v>137</v>
      </c>
      <c r="N779" s="15" t="n">
        <v>46260</v>
      </c>
      <c r="O779" s="46" t="n">
        <f aca="false">SUMIFS($K:$K,$E:$E,N779)</f>
        <v>27548.31</v>
      </c>
    </row>
    <row r="780" customFormat="false" ht="15" hidden="false" customHeight="false" outlineLevel="0" collapsed="false">
      <c r="A780" s="1" t="n">
        <v>2</v>
      </c>
      <c r="B780" s="1" t="n">
        <v>33028</v>
      </c>
      <c r="C780" s="1" t="s">
        <v>61</v>
      </c>
      <c r="D780" s="1" t="s">
        <v>1787</v>
      </c>
      <c r="E780" s="15" t="n">
        <v>46260</v>
      </c>
      <c r="F780" s="15" t="n">
        <v>46260</v>
      </c>
      <c r="G780" s="1" t="s">
        <v>274</v>
      </c>
      <c r="H780" s="1" t="n">
        <v>1605116</v>
      </c>
      <c r="I780" s="1" t="n">
        <v>11</v>
      </c>
      <c r="J780" s="1" t="s">
        <v>1753</v>
      </c>
      <c r="K780" s="46" t="n">
        <v>5504.3</v>
      </c>
      <c r="N780" s="15" t="n">
        <v>46260</v>
      </c>
      <c r="O780" s="46" t="n">
        <f aca="false">SUMIFS($K:$K,$E:$E,N780)</f>
        <v>27548.31</v>
      </c>
    </row>
    <row r="781" customFormat="false" ht="15" hidden="false" customHeight="false" outlineLevel="0" collapsed="false">
      <c r="A781" s="1" t="n">
        <v>2</v>
      </c>
      <c r="B781" s="1" t="n">
        <v>319020</v>
      </c>
      <c r="C781" s="1" t="s">
        <v>36</v>
      </c>
      <c r="D781" s="1" t="s">
        <v>1773</v>
      </c>
      <c r="E781" s="15" t="n">
        <v>46260</v>
      </c>
      <c r="F781" s="15" t="n">
        <v>46259</v>
      </c>
      <c r="G781" s="1" t="s">
        <v>96</v>
      </c>
      <c r="H781" s="1" t="n">
        <v>1605209</v>
      </c>
      <c r="I781" s="1" t="n">
        <v>11</v>
      </c>
      <c r="J781" s="1" t="s">
        <v>1753</v>
      </c>
      <c r="K781" s="46" t="n">
        <v>2029.99</v>
      </c>
      <c r="N781" s="15" t="n">
        <v>46260</v>
      </c>
      <c r="O781" s="46" t="n">
        <f aca="false">SUMIFS($K:$K,$E:$E,N781)</f>
        <v>27548.31</v>
      </c>
    </row>
    <row r="782" customFormat="false" ht="15" hidden="false" customHeight="false" outlineLevel="0" collapsed="false">
      <c r="A782" s="1" t="n">
        <v>2</v>
      </c>
      <c r="B782" s="1" t="n">
        <v>110228</v>
      </c>
      <c r="C782" s="1" t="s">
        <v>76</v>
      </c>
      <c r="D782" s="1" t="s">
        <v>1890</v>
      </c>
      <c r="E782" s="15" t="n">
        <v>46260</v>
      </c>
      <c r="F782" s="15" t="n">
        <v>46260</v>
      </c>
      <c r="G782" s="1" t="s">
        <v>1593</v>
      </c>
      <c r="H782" s="1" t="n">
        <v>1605254</v>
      </c>
      <c r="I782" s="1" t="n">
        <v>39</v>
      </c>
      <c r="J782" s="1" t="s">
        <v>1753</v>
      </c>
      <c r="K782" s="46" t="n">
        <v>353.63</v>
      </c>
      <c r="N782" s="15" t="n">
        <v>46260</v>
      </c>
      <c r="O782" s="46" t="n">
        <f aca="false">SUMIFS($K:$K,$E:$E,N782)</f>
        <v>27548.31</v>
      </c>
    </row>
    <row r="783" customFormat="false" ht="15" hidden="false" customHeight="false" outlineLevel="0" collapsed="false">
      <c r="A783" s="1" t="n">
        <v>2</v>
      </c>
      <c r="B783" s="1" t="n">
        <v>1430146</v>
      </c>
      <c r="C783" s="1" t="s">
        <v>36</v>
      </c>
      <c r="D783" s="1" t="s">
        <v>1790</v>
      </c>
      <c r="E783" s="15" t="n">
        <v>46260</v>
      </c>
      <c r="F783" s="15" t="n">
        <v>46254</v>
      </c>
      <c r="G783" s="1" t="s">
        <v>340</v>
      </c>
      <c r="H783" s="1" t="n">
        <v>1605098</v>
      </c>
      <c r="I783" s="1" t="n">
        <v>11</v>
      </c>
      <c r="J783" s="1" t="s">
        <v>1753</v>
      </c>
      <c r="K783" s="46" t="n">
        <v>1515.2</v>
      </c>
      <c r="N783" s="15" t="n">
        <v>46260</v>
      </c>
      <c r="O783" s="46" t="n">
        <f aca="false">SUMIFS($K:$K,$E:$E,N783)</f>
        <v>27548.31</v>
      </c>
    </row>
    <row r="784" customFormat="false" ht="15" hidden="false" customHeight="false" outlineLevel="0" collapsed="false">
      <c r="A784" s="1" t="n">
        <v>2</v>
      </c>
      <c r="B784" s="1" t="n">
        <v>15150</v>
      </c>
      <c r="C784" s="1" t="s">
        <v>36</v>
      </c>
      <c r="D784" s="1" t="s">
        <v>1757</v>
      </c>
      <c r="E784" s="15" t="n">
        <v>46260</v>
      </c>
      <c r="F784" s="15" t="n">
        <v>46259</v>
      </c>
      <c r="G784" s="1" t="s">
        <v>272</v>
      </c>
      <c r="H784" s="1" t="n">
        <v>1604506</v>
      </c>
      <c r="I784" s="1" t="n">
        <v>11</v>
      </c>
      <c r="J784" s="1" t="s">
        <v>1753</v>
      </c>
      <c r="K784" s="46" t="n">
        <v>3363.75</v>
      </c>
      <c r="N784" s="15" t="n">
        <v>46260</v>
      </c>
      <c r="O784" s="46" t="n">
        <f aca="false">SUMIFS($K:$K,$E:$E,N784)</f>
        <v>27548.31</v>
      </c>
    </row>
    <row r="785" customFormat="false" ht="15" hidden="false" customHeight="false" outlineLevel="0" collapsed="false">
      <c r="A785" s="1" t="n">
        <v>2</v>
      </c>
      <c r="B785" s="1" t="n">
        <v>2630</v>
      </c>
      <c r="C785" s="1" t="s">
        <v>36</v>
      </c>
      <c r="D785" s="1" t="s">
        <v>1766</v>
      </c>
      <c r="E785" s="15" t="n">
        <v>46260</v>
      </c>
      <c r="F785" s="15" t="n">
        <v>46260</v>
      </c>
      <c r="G785" s="1" t="s">
        <v>146</v>
      </c>
      <c r="H785" s="1" t="n">
        <v>1604345</v>
      </c>
      <c r="I785" s="1" t="n">
        <v>6</v>
      </c>
      <c r="J785" s="1" t="s">
        <v>1753</v>
      </c>
      <c r="K785" s="46" t="n">
        <v>225</v>
      </c>
      <c r="N785" s="15" t="n">
        <v>46260</v>
      </c>
      <c r="O785" s="46" t="n">
        <f aca="false">SUMIFS($K:$K,$E:$E,N785)</f>
        <v>27548.31</v>
      </c>
    </row>
    <row r="786" customFormat="false" ht="15" hidden="false" customHeight="false" outlineLevel="0" collapsed="false">
      <c r="A786" s="1" t="n">
        <v>2</v>
      </c>
      <c r="B786" s="1" t="n">
        <v>447609</v>
      </c>
      <c r="C786" s="1" t="s">
        <v>76</v>
      </c>
      <c r="D786" s="1" t="s">
        <v>1831</v>
      </c>
      <c r="E786" s="15" t="n">
        <v>46260</v>
      </c>
      <c r="F786" s="15" t="n">
        <v>46259</v>
      </c>
      <c r="G786" s="1" t="s">
        <v>227</v>
      </c>
      <c r="H786" s="1" t="n">
        <v>1605152</v>
      </c>
      <c r="I786" s="1" t="n">
        <v>11</v>
      </c>
      <c r="J786" s="1" t="s">
        <v>1753</v>
      </c>
      <c r="K786" s="46" t="n">
        <v>4531.01</v>
      </c>
      <c r="N786" s="15" t="n">
        <v>46260</v>
      </c>
      <c r="O786" s="46" t="n">
        <f aca="false">SUMIFS($K:$K,$E:$E,N786)</f>
        <v>27548.31</v>
      </c>
    </row>
    <row r="787" customFormat="false" ht="15" hidden="false" customHeight="false" outlineLevel="0" collapsed="false">
      <c r="A787" s="1" t="n">
        <v>2</v>
      </c>
      <c r="B787" s="1" t="n">
        <v>7287</v>
      </c>
      <c r="C787" s="1" t="s">
        <v>88</v>
      </c>
      <c r="D787" s="1" t="s">
        <v>1891</v>
      </c>
      <c r="E787" s="15" t="n">
        <v>46260</v>
      </c>
      <c r="F787" s="15" t="n">
        <v>46258</v>
      </c>
      <c r="G787" s="1" t="s">
        <v>1643</v>
      </c>
      <c r="H787" s="1" t="n">
        <v>1603777</v>
      </c>
      <c r="I787" s="1" t="n">
        <v>11</v>
      </c>
      <c r="J787" s="1" t="s">
        <v>1753</v>
      </c>
      <c r="K787" s="46" t="n">
        <v>348.18</v>
      </c>
      <c r="N787" s="15" t="n">
        <v>46260</v>
      </c>
      <c r="O787" s="46" t="n">
        <f aca="false">SUMIFS($K:$K,$E:$E,N787)</f>
        <v>27548.31</v>
      </c>
    </row>
    <row r="788" customFormat="false" ht="15" hidden="false" customHeight="false" outlineLevel="0" collapsed="false">
      <c r="A788" s="1" t="n">
        <v>2</v>
      </c>
      <c r="B788" s="1" t="n">
        <v>374</v>
      </c>
      <c r="C788" s="1" t="s">
        <v>36</v>
      </c>
      <c r="D788" s="1" t="s">
        <v>1762</v>
      </c>
      <c r="E788" s="15" t="n">
        <v>46261</v>
      </c>
      <c r="F788" s="15" t="n">
        <v>46261</v>
      </c>
      <c r="G788" s="1" t="s">
        <v>243</v>
      </c>
      <c r="H788" s="1" t="n">
        <v>1610075</v>
      </c>
      <c r="I788" s="1" t="n">
        <v>11</v>
      </c>
      <c r="J788" s="1" t="s">
        <v>1753</v>
      </c>
      <c r="K788" s="46" t="n">
        <v>895</v>
      </c>
      <c r="N788" s="15" t="n">
        <v>46261</v>
      </c>
      <c r="O788" s="46" t="n">
        <f aca="false">SUMIFS($K:$K,$E:$E,N788)</f>
        <v>11063.74</v>
      </c>
    </row>
    <row r="789" customFormat="false" ht="15" hidden="false" customHeight="false" outlineLevel="0" collapsed="false">
      <c r="A789" s="1" t="n">
        <v>2</v>
      </c>
      <c r="B789" s="1" t="n">
        <v>206697</v>
      </c>
      <c r="C789" s="1" t="s">
        <v>88</v>
      </c>
      <c r="D789" s="1" t="s">
        <v>1892</v>
      </c>
      <c r="E789" s="15" t="n">
        <v>46261</v>
      </c>
      <c r="F789" s="15" t="n">
        <v>46258</v>
      </c>
      <c r="G789" s="1" t="s">
        <v>1595</v>
      </c>
      <c r="H789" s="1" t="n">
        <v>1608544</v>
      </c>
      <c r="I789" s="1" t="n">
        <v>11</v>
      </c>
      <c r="J789" s="1" t="s">
        <v>1753</v>
      </c>
      <c r="K789" s="46" t="n">
        <v>2416.2</v>
      </c>
      <c r="N789" s="15" t="n">
        <v>46261</v>
      </c>
      <c r="O789" s="46" t="n">
        <f aca="false">SUMIFS($K:$K,$E:$E,N789)</f>
        <v>11063.74</v>
      </c>
    </row>
    <row r="790" customFormat="false" ht="15" hidden="false" customHeight="false" outlineLevel="0" collapsed="false">
      <c r="A790" s="1" t="n">
        <v>2</v>
      </c>
      <c r="B790" s="1" t="n">
        <v>1925381</v>
      </c>
      <c r="C790" s="1" t="s">
        <v>36</v>
      </c>
      <c r="D790" s="1" t="s">
        <v>1842</v>
      </c>
      <c r="E790" s="15" t="n">
        <v>46261</v>
      </c>
      <c r="F790" s="15" t="n">
        <v>46259</v>
      </c>
      <c r="G790" s="1" t="s">
        <v>870</v>
      </c>
      <c r="H790" s="1" t="n">
        <v>1608949</v>
      </c>
      <c r="I790" s="1" t="n">
        <v>11</v>
      </c>
      <c r="J790" s="1" t="s">
        <v>1753</v>
      </c>
      <c r="K790" s="46" t="n">
        <v>942.69</v>
      </c>
      <c r="N790" s="15" t="n">
        <v>46261</v>
      </c>
      <c r="O790" s="46" t="n">
        <f aca="false">SUMIFS($K:$K,$E:$E,N790)</f>
        <v>11063.74</v>
      </c>
    </row>
    <row r="791" customFormat="false" ht="15" hidden="false" customHeight="false" outlineLevel="0" collapsed="false">
      <c r="A791" s="1" t="n">
        <v>2</v>
      </c>
      <c r="B791" s="1" t="n">
        <v>1925382</v>
      </c>
      <c r="C791" s="1" t="s">
        <v>36</v>
      </c>
      <c r="D791" s="1" t="s">
        <v>1842</v>
      </c>
      <c r="E791" s="15" t="n">
        <v>46261</v>
      </c>
      <c r="F791" s="15" t="n">
        <v>46259</v>
      </c>
      <c r="G791" s="1" t="s">
        <v>870</v>
      </c>
      <c r="H791" s="1" t="n">
        <v>1608917</v>
      </c>
      <c r="I791" s="1" t="n">
        <v>11</v>
      </c>
      <c r="J791" s="1" t="s">
        <v>1753</v>
      </c>
      <c r="K791" s="46" t="n">
        <v>974.55</v>
      </c>
      <c r="N791" s="15" t="n">
        <v>46261</v>
      </c>
      <c r="O791" s="46" t="n">
        <f aca="false">SUMIFS($K:$K,$E:$E,N791)</f>
        <v>11063.74</v>
      </c>
    </row>
    <row r="792" customFormat="false" ht="15" hidden="false" customHeight="false" outlineLevel="0" collapsed="false">
      <c r="A792" s="1" t="n">
        <v>2</v>
      </c>
      <c r="B792" s="1" t="n">
        <v>1719576</v>
      </c>
      <c r="C792" s="1" t="s">
        <v>36</v>
      </c>
      <c r="D792" s="1" t="s">
        <v>1764</v>
      </c>
      <c r="E792" s="15" t="n">
        <v>46261</v>
      </c>
      <c r="F792" s="15" t="n">
        <v>46260</v>
      </c>
      <c r="G792" s="1" t="s">
        <v>224</v>
      </c>
      <c r="H792" s="1" t="n">
        <v>1608374</v>
      </c>
      <c r="I792" s="1" t="n">
        <v>11</v>
      </c>
      <c r="J792" s="1" t="s">
        <v>1753</v>
      </c>
      <c r="K792" s="46" t="n">
        <v>774.74</v>
      </c>
      <c r="N792" s="15" t="n">
        <v>46261</v>
      </c>
      <c r="O792" s="46" t="n">
        <f aca="false">SUMIFS($K:$K,$E:$E,N792)</f>
        <v>11063.74</v>
      </c>
    </row>
    <row r="793" customFormat="false" ht="15" hidden="false" customHeight="false" outlineLevel="0" collapsed="false">
      <c r="A793" s="1" t="n">
        <v>2</v>
      </c>
      <c r="B793" s="1" t="n">
        <v>3242273</v>
      </c>
      <c r="C793" s="1" t="s">
        <v>36</v>
      </c>
      <c r="D793" s="1" t="s">
        <v>1797</v>
      </c>
      <c r="E793" s="15" t="n">
        <v>46261</v>
      </c>
      <c r="F793" s="15" t="n">
        <v>46259</v>
      </c>
      <c r="G793" s="1" t="s">
        <v>98</v>
      </c>
      <c r="H793" s="1" t="n">
        <v>1609043</v>
      </c>
      <c r="I793" s="1" t="n">
        <v>11</v>
      </c>
      <c r="J793" s="1" t="s">
        <v>1753</v>
      </c>
      <c r="K793" s="46" t="n">
        <v>2195.6</v>
      </c>
      <c r="N793" s="15" t="n">
        <v>46261</v>
      </c>
      <c r="O793" s="46" t="n">
        <f aca="false">SUMIFS($K:$K,$E:$E,N793)</f>
        <v>11063.74</v>
      </c>
    </row>
    <row r="794" customFormat="false" ht="15" hidden="false" customHeight="false" outlineLevel="0" collapsed="false">
      <c r="A794" s="1" t="n">
        <v>2</v>
      </c>
      <c r="B794" s="1" t="n">
        <v>213</v>
      </c>
      <c r="C794" s="1" t="s">
        <v>36</v>
      </c>
      <c r="D794" s="1" t="s">
        <v>1873</v>
      </c>
      <c r="E794" s="15" t="n">
        <v>46261</v>
      </c>
      <c r="F794" s="15" t="n">
        <v>46258</v>
      </c>
      <c r="G794" s="1" t="s">
        <v>624</v>
      </c>
      <c r="H794" s="1" t="n">
        <v>1613643</v>
      </c>
      <c r="I794" s="1" t="n">
        <v>11</v>
      </c>
      <c r="J794" s="1" t="s">
        <v>1753</v>
      </c>
      <c r="K794" s="46" t="n">
        <v>140</v>
      </c>
      <c r="N794" s="15" t="n">
        <v>46261</v>
      </c>
      <c r="O794" s="46" t="n">
        <f aca="false">SUMIFS($K:$K,$E:$E,N794)</f>
        <v>11063.74</v>
      </c>
    </row>
    <row r="795" customFormat="false" ht="15" hidden="false" customHeight="false" outlineLevel="0" collapsed="false">
      <c r="A795" s="1" t="n">
        <v>2</v>
      </c>
      <c r="B795" s="1" t="n">
        <v>6042</v>
      </c>
      <c r="C795" s="1" t="s">
        <v>36</v>
      </c>
      <c r="D795" s="1" t="s">
        <v>1775</v>
      </c>
      <c r="E795" s="15" t="n">
        <v>46261</v>
      </c>
      <c r="F795" s="15" t="n">
        <v>46260</v>
      </c>
      <c r="G795" s="1" t="s">
        <v>103</v>
      </c>
      <c r="H795" s="1" t="n">
        <v>1609106</v>
      </c>
      <c r="I795" s="1" t="n">
        <v>11</v>
      </c>
      <c r="J795" s="1" t="s">
        <v>1753</v>
      </c>
      <c r="K795" s="46" t="n">
        <v>741.3</v>
      </c>
      <c r="N795" s="15" t="n">
        <v>46261</v>
      </c>
      <c r="O795" s="46" t="n">
        <f aca="false">SUMIFS($K:$K,$E:$E,N795)</f>
        <v>11063.74</v>
      </c>
    </row>
    <row r="796" customFormat="false" ht="15" hidden="false" customHeight="false" outlineLevel="0" collapsed="false">
      <c r="A796" s="1" t="n">
        <v>2</v>
      </c>
      <c r="B796" s="1" t="n">
        <v>2859</v>
      </c>
      <c r="C796" s="1" t="s">
        <v>36</v>
      </c>
      <c r="D796" s="1" t="s">
        <v>1867</v>
      </c>
      <c r="E796" s="15" t="n">
        <v>46261</v>
      </c>
      <c r="F796" s="15" t="n">
        <v>46261</v>
      </c>
      <c r="G796" s="1" t="s">
        <v>925</v>
      </c>
      <c r="H796" s="1" t="n">
        <v>1609971</v>
      </c>
      <c r="I796" s="1" t="n">
        <v>11</v>
      </c>
      <c r="J796" s="1" t="s">
        <v>1753</v>
      </c>
      <c r="K796" s="46" t="n">
        <v>190</v>
      </c>
      <c r="N796" s="15" t="n">
        <v>46261</v>
      </c>
      <c r="O796" s="46" t="n">
        <f aca="false">SUMIFS($K:$K,$E:$E,N796)</f>
        <v>11063.74</v>
      </c>
    </row>
    <row r="797" customFormat="false" ht="15" hidden="false" customHeight="false" outlineLevel="0" collapsed="false">
      <c r="A797" s="1" t="n">
        <v>2</v>
      </c>
      <c r="B797" s="1" t="n">
        <v>2635</v>
      </c>
      <c r="C797" s="1" t="s">
        <v>36</v>
      </c>
      <c r="D797" s="1" t="s">
        <v>1766</v>
      </c>
      <c r="E797" s="15" t="n">
        <v>46261</v>
      </c>
      <c r="F797" s="15" t="n">
        <v>46261</v>
      </c>
      <c r="G797" s="1" t="s">
        <v>146</v>
      </c>
      <c r="H797" s="1" t="n">
        <v>1609212</v>
      </c>
      <c r="I797" s="1" t="n">
        <v>6</v>
      </c>
      <c r="J797" s="1" t="s">
        <v>1753</v>
      </c>
      <c r="K797" s="46" t="n">
        <v>225</v>
      </c>
      <c r="N797" s="15" t="n">
        <v>46261</v>
      </c>
      <c r="O797" s="46" t="n">
        <f aca="false">SUMIFS($K:$K,$E:$E,N797)</f>
        <v>11063.74</v>
      </c>
    </row>
    <row r="798" customFormat="false" ht="15" hidden="false" customHeight="false" outlineLevel="0" collapsed="false">
      <c r="A798" s="1" t="n">
        <v>2</v>
      </c>
      <c r="B798" s="1" t="n">
        <v>32719</v>
      </c>
      <c r="C798" s="1" t="s">
        <v>36</v>
      </c>
      <c r="D798" s="1" t="s">
        <v>1771</v>
      </c>
      <c r="E798" s="15" t="n">
        <v>46261</v>
      </c>
      <c r="F798" s="15" t="n">
        <v>46260</v>
      </c>
      <c r="G798" s="1" t="s">
        <v>142</v>
      </c>
      <c r="H798" s="1" t="n">
        <v>1608603</v>
      </c>
      <c r="I798" s="1" t="n">
        <v>11</v>
      </c>
      <c r="J798" s="1" t="s">
        <v>1753</v>
      </c>
      <c r="K798" s="46" t="n">
        <v>1069.2</v>
      </c>
      <c r="N798" s="15" t="n">
        <v>46261</v>
      </c>
      <c r="O798" s="46" t="n">
        <f aca="false">SUMIFS($K:$K,$E:$E,N798)</f>
        <v>11063.74</v>
      </c>
    </row>
    <row r="799" customFormat="false" ht="15" hidden="false" customHeight="false" outlineLevel="0" collapsed="false">
      <c r="A799" s="1" t="n">
        <v>2</v>
      </c>
      <c r="B799" s="1" t="n">
        <v>10951</v>
      </c>
      <c r="C799" s="1" t="s">
        <v>36</v>
      </c>
      <c r="D799" s="1" t="s">
        <v>1846</v>
      </c>
      <c r="E799" s="15" t="n">
        <v>46261</v>
      </c>
      <c r="F799" s="15" t="n">
        <v>46261</v>
      </c>
      <c r="G799" s="1" t="s">
        <v>198</v>
      </c>
      <c r="H799" s="1" t="n">
        <v>1608886</v>
      </c>
      <c r="I799" s="1" t="n">
        <v>11</v>
      </c>
      <c r="J799" s="1" t="s">
        <v>1753</v>
      </c>
      <c r="K799" s="46" t="n">
        <v>228</v>
      </c>
      <c r="N799" s="15" t="n">
        <v>46261</v>
      </c>
      <c r="O799" s="46" t="n">
        <f aca="false">SUMIFS($K:$K,$E:$E,N799)</f>
        <v>11063.74</v>
      </c>
    </row>
    <row r="800" customFormat="false" ht="15" hidden="false" customHeight="false" outlineLevel="0" collapsed="false">
      <c r="A800" s="1" t="n">
        <v>2</v>
      </c>
      <c r="B800" s="1" t="n">
        <v>588254</v>
      </c>
      <c r="C800" s="1" t="s">
        <v>36</v>
      </c>
      <c r="D800" s="1" t="s">
        <v>1858</v>
      </c>
      <c r="E800" s="15" t="n">
        <v>46261</v>
      </c>
      <c r="F800" s="15" t="n">
        <v>46258</v>
      </c>
      <c r="G800" s="1" t="s">
        <v>101</v>
      </c>
      <c r="H800" s="1" t="n">
        <v>1610044</v>
      </c>
      <c r="I800" s="1" t="n">
        <v>11</v>
      </c>
      <c r="J800" s="1" t="s">
        <v>1753</v>
      </c>
      <c r="K800" s="46" t="n">
        <v>271.46</v>
      </c>
      <c r="N800" s="15" t="n">
        <v>46261</v>
      </c>
      <c r="O800" s="46" t="n">
        <f aca="false">SUMIFS($K:$K,$E:$E,N800)</f>
        <v>11063.74</v>
      </c>
    </row>
    <row r="801" customFormat="false" ht="15" hidden="false" customHeight="false" outlineLevel="0" collapsed="false">
      <c r="A801" s="1" t="n">
        <v>2</v>
      </c>
      <c r="B801" s="1" t="n">
        <v>20104</v>
      </c>
      <c r="C801" s="1" t="s">
        <v>85</v>
      </c>
      <c r="D801" s="1" t="s">
        <v>1795</v>
      </c>
      <c r="E801" s="15" t="n">
        <v>46262</v>
      </c>
      <c r="F801" s="15" t="n">
        <v>46261</v>
      </c>
      <c r="G801" s="1" t="s">
        <v>392</v>
      </c>
      <c r="H801" s="1" t="n">
        <v>1613781</v>
      </c>
      <c r="I801" s="1" t="n">
        <v>11</v>
      </c>
      <c r="J801" s="1" t="s">
        <v>1753</v>
      </c>
      <c r="K801" s="46" t="n">
        <v>3191.52</v>
      </c>
      <c r="N801" s="15" t="n">
        <v>46262</v>
      </c>
      <c r="O801" s="46" t="n">
        <f aca="false">SUMIFS($K:$K,$E:$E,N801)</f>
        <v>9682.11</v>
      </c>
    </row>
    <row r="802" customFormat="false" ht="15" hidden="false" customHeight="false" outlineLevel="0" collapsed="false">
      <c r="A802" s="1" t="n">
        <v>2</v>
      </c>
      <c r="B802" s="1" t="n">
        <v>197945</v>
      </c>
      <c r="C802" s="1" t="s">
        <v>36</v>
      </c>
      <c r="D802" s="1" t="s">
        <v>1772</v>
      </c>
      <c r="E802" s="15" t="n">
        <v>46262</v>
      </c>
      <c r="F802" s="15" t="n">
        <v>46262</v>
      </c>
      <c r="G802" s="1" t="s">
        <v>196</v>
      </c>
      <c r="H802" s="1" t="n">
        <v>1614684</v>
      </c>
      <c r="I802" s="1" t="n">
        <v>11</v>
      </c>
      <c r="J802" s="1" t="s">
        <v>1753</v>
      </c>
      <c r="K802" s="46" t="n">
        <v>624.41</v>
      </c>
      <c r="N802" s="15" t="n">
        <v>46262</v>
      </c>
      <c r="O802" s="46" t="n">
        <f aca="false">SUMIFS($K:$K,$E:$E,N802)</f>
        <v>9682.11</v>
      </c>
    </row>
    <row r="803" customFormat="false" ht="15" hidden="false" customHeight="false" outlineLevel="0" collapsed="false">
      <c r="A803" s="1" t="n">
        <v>2</v>
      </c>
      <c r="B803" s="1" t="n">
        <v>1671612</v>
      </c>
      <c r="C803" s="1" t="s">
        <v>1755</v>
      </c>
      <c r="D803" s="1" t="s">
        <v>1756</v>
      </c>
      <c r="E803" s="15" t="n">
        <v>46262</v>
      </c>
      <c r="F803" s="15" t="n">
        <v>46262</v>
      </c>
      <c r="G803" s="1" t="s">
        <v>416</v>
      </c>
      <c r="H803" s="1" t="n">
        <v>1614836</v>
      </c>
      <c r="I803" s="1" t="n">
        <v>11</v>
      </c>
      <c r="J803" s="1" t="s">
        <v>1753</v>
      </c>
      <c r="K803" s="46" t="n">
        <v>192</v>
      </c>
      <c r="N803" s="15" t="n">
        <v>46262</v>
      </c>
      <c r="O803" s="46" t="n">
        <f aca="false">SUMIFS($K:$K,$E:$E,N803)</f>
        <v>9682.11</v>
      </c>
    </row>
    <row r="804" customFormat="false" ht="15" hidden="false" customHeight="false" outlineLevel="0" collapsed="false">
      <c r="A804" s="1" t="n">
        <v>2</v>
      </c>
      <c r="B804" s="1" t="n">
        <v>421</v>
      </c>
      <c r="C804" s="1" t="s">
        <v>36</v>
      </c>
      <c r="D804" s="1" t="s">
        <v>1783</v>
      </c>
      <c r="E804" s="15" t="n">
        <v>46262</v>
      </c>
      <c r="F804" s="15" t="n">
        <v>46262</v>
      </c>
      <c r="G804" s="1" t="s">
        <v>109</v>
      </c>
      <c r="H804" s="1" t="n">
        <v>1614658</v>
      </c>
      <c r="I804" s="1" t="n">
        <v>11</v>
      </c>
      <c r="J804" s="1" t="s">
        <v>1753</v>
      </c>
      <c r="K804" s="46" t="n">
        <v>214.5</v>
      </c>
      <c r="N804" s="15" t="n">
        <v>46262</v>
      </c>
      <c r="O804" s="46" t="n">
        <f aca="false">SUMIFS($K:$K,$E:$E,N804)</f>
        <v>9682.11</v>
      </c>
    </row>
    <row r="805" customFormat="false" ht="15" hidden="false" customHeight="false" outlineLevel="0" collapsed="false">
      <c r="A805" s="1" t="n">
        <v>2</v>
      </c>
      <c r="B805" s="1" t="n">
        <v>532</v>
      </c>
      <c r="C805" s="1" t="s">
        <v>36</v>
      </c>
      <c r="D805" s="1" t="s">
        <v>1789</v>
      </c>
      <c r="E805" s="15" t="n">
        <v>46262</v>
      </c>
      <c r="F805" s="15" t="n">
        <v>46262</v>
      </c>
      <c r="G805" s="1" t="s">
        <v>356</v>
      </c>
      <c r="H805" s="1" t="n">
        <v>1614696</v>
      </c>
      <c r="I805" s="1" t="n">
        <v>11</v>
      </c>
      <c r="J805" s="1" t="s">
        <v>1753</v>
      </c>
      <c r="K805" s="46" t="n">
        <v>160.32</v>
      </c>
      <c r="N805" s="15" t="n">
        <v>46262</v>
      </c>
      <c r="O805" s="46" t="n">
        <f aca="false">SUMIFS($K:$K,$E:$E,N805)</f>
        <v>9682.11</v>
      </c>
    </row>
    <row r="806" customFormat="false" ht="15" hidden="false" customHeight="false" outlineLevel="0" collapsed="false">
      <c r="A806" s="1" t="n">
        <v>2</v>
      </c>
      <c r="B806" s="1" t="n">
        <v>2636</v>
      </c>
      <c r="C806" s="1" t="s">
        <v>36</v>
      </c>
      <c r="D806" s="1" t="s">
        <v>1766</v>
      </c>
      <c r="E806" s="15" t="n">
        <v>46262</v>
      </c>
      <c r="F806" s="15" t="n">
        <v>46262</v>
      </c>
      <c r="G806" s="1" t="s">
        <v>146</v>
      </c>
      <c r="H806" s="1" t="n">
        <v>1614644</v>
      </c>
      <c r="I806" s="1" t="n">
        <v>6</v>
      </c>
      <c r="J806" s="1" t="s">
        <v>1753</v>
      </c>
      <c r="K806" s="46" t="n">
        <v>200</v>
      </c>
      <c r="N806" s="15" t="n">
        <v>46262</v>
      </c>
      <c r="O806" s="46" t="n">
        <f aca="false">SUMIFS($K:$K,$E:$E,N806)</f>
        <v>9682.11</v>
      </c>
    </row>
    <row r="807" customFormat="false" ht="15" hidden="false" customHeight="false" outlineLevel="0" collapsed="false">
      <c r="A807" s="1" t="n">
        <v>2</v>
      </c>
      <c r="B807" s="1" t="n">
        <v>2637</v>
      </c>
      <c r="C807" s="1" t="s">
        <v>36</v>
      </c>
      <c r="D807" s="1" t="s">
        <v>1766</v>
      </c>
      <c r="E807" s="15" t="n">
        <v>46262</v>
      </c>
      <c r="F807" s="15" t="n">
        <v>46262</v>
      </c>
      <c r="G807" s="1" t="s">
        <v>146</v>
      </c>
      <c r="H807" s="1" t="n">
        <v>1614784</v>
      </c>
      <c r="I807" s="1" t="n">
        <v>6</v>
      </c>
      <c r="J807" s="1" t="s">
        <v>1753</v>
      </c>
      <c r="K807" s="46" t="n">
        <v>1457.5</v>
      </c>
      <c r="N807" s="15" t="n">
        <v>46262</v>
      </c>
      <c r="O807" s="46" t="n">
        <f aca="false">SUMIFS($K:$K,$E:$E,N807)</f>
        <v>9682.11</v>
      </c>
    </row>
    <row r="808" customFormat="false" ht="15" hidden="false" customHeight="false" outlineLevel="0" collapsed="false">
      <c r="A808" s="1" t="n">
        <v>2</v>
      </c>
      <c r="B808" s="1" t="n">
        <v>13070</v>
      </c>
      <c r="C808" s="1" t="s">
        <v>76</v>
      </c>
      <c r="D808" s="1" t="s">
        <v>1885</v>
      </c>
      <c r="E808" s="15" t="n">
        <v>46262</v>
      </c>
      <c r="F808" s="15" t="n">
        <v>46261</v>
      </c>
      <c r="G808" s="1" t="s">
        <v>1423</v>
      </c>
      <c r="H808" s="1" t="n">
        <v>1614508</v>
      </c>
      <c r="I808" s="1" t="n">
        <v>11</v>
      </c>
      <c r="J808" s="1" t="s">
        <v>1753</v>
      </c>
      <c r="K808" s="46" t="n">
        <v>3641.86</v>
      </c>
      <c r="N808" s="15" t="n">
        <v>46262</v>
      </c>
      <c r="O808" s="46" t="n">
        <f aca="false">SUMIFS($K:$K,$E:$E,N808)</f>
        <v>9682.11</v>
      </c>
    </row>
    <row r="809" customFormat="false" ht="15" hidden="false" customHeight="false" outlineLevel="0" collapsed="false">
      <c r="A809" s="1" t="n">
        <v>2</v>
      </c>
      <c r="B809" s="1" t="n">
        <v>627</v>
      </c>
      <c r="C809" s="1" t="s">
        <v>36</v>
      </c>
      <c r="D809" s="1" t="s">
        <v>1761</v>
      </c>
      <c r="E809" s="15" t="n">
        <v>46263</v>
      </c>
      <c r="F809" s="15" t="n">
        <v>46262</v>
      </c>
      <c r="G809" s="1" t="s">
        <v>144</v>
      </c>
      <c r="H809" s="1" t="n">
        <v>1618509</v>
      </c>
      <c r="I809" s="1" t="n">
        <v>11</v>
      </c>
      <c r="J809" s="1" t="s">
        <v>1753</v>
      </c>
      <c r="K809" s="46" t="n">
        <v>240</v>
      </c>
      <c r="N809" s="15" t="n">
        <v>46263</v>
      </c>
      <c r="O809" s="46" t="n">
        <f aca="false">SUMIFS($K:$K,$E:$E,N809)</f>
        <v>5740.07</v>
      </c>
    </row>
    <row r="810" customFormat="false" ht="15" hidden="false" customHeight="false" outlineLevel="0" collapsed="false">
      <c r="A810" s="1" t="n">
        <v>2</v>
      </c>
      <c r="B810" s="1" t="n">
        <v>299</v>
      </c>
      <c r="C810" s="1" t="s">
        <v>36</v>
      </c>
      <c r="D810" s="1" t="s">
        <v>1861</v>
      </c>
      <c r="E810" s="15" t="n">
        <v>46263</v>
      </c>
      <c r="F810" s="15" t="n">
        <v>46262</v>
      </c>
      <c r="G810" s="1" t="s">
        <v>1539</v>
      </c>
      <c r="H810" s="1" t="n">
        <v>1618569</v>
      </c>
      <c r="I810" s="1" t="n">
        <v>11</v>
      </c>
      <c r="J810" s="1" t="s">
        <v>1753</v>
      </c>
      <c r="K810" s="46" t="n">
        <v>2024.87</v>
      </c>
      <c r="N810" s="15" t="n">
        <v>46263</v>
      </c>
      <c r="O810" s="46" t="n">
        <f aca="false">SUMIFS($K:$K,$E:$E,N810)</f>
        <v>5740.07</v>
      </c>
    </row>
    <row r="811" customFormat="false" ht="15" hidden="false" customHeight="false" outlineLevel="0" collapsed="false">
      <c r="A811" s="1" t="n">
        <v>2</v>
      </c>
      <c r="B811" s="1" t="n">
        <v>218</v>
      </c>
      <c r="C811" s="1" t="s">
        <v>36</v>
      </c>
      <c r="D811" s="1" t="s">
        <v>1873</v>
      </c>
      <c r="E811" s="15" t="n">
        <v>46263</v>
      </c>
      <c r="F811" s="15" t="n">
        <v>46260</v>
      </c>
      <c r="G811" s="1" t="s">
        <v>624</v>
      </c>
      <c r="H811" s="1" t="n">
        <v>1628832</v>
      </c>
      <c r="I811" s="1" t="n">
        <v>11</v>
      </c>
      <c r="J811" s="1" t="s">
        <v>1753</v>
      </c>
      <c r="K811" s="46" t="n">
        <v>140</v>
      </c>
      <c r="N811" s="15" t="n">
        <v>46263</v>
      </c>
      <c r="O811" s="46" t="n">
        <f aca="false">SUMIFS($K:$K,$E:$E,N811)</f>
        <v>5740.07</v>
      </c>
    </row>
    <row r="812" customFormat="false" ht="15" hidden="false" customHeight="false" outlineLevel="0" collapsed="false">
      <c r="A812" s="1" t="n">
        <v>2</v>
      </c>
      <c r="B812" s="1" t="n">
        <v>32154</v>
      </c>
      <c r="C812" s="1" t="s">
        <v>36</v>
      </c>
      <c r="D812" s="1" t="s">
        <v>1770</v>
      </c>
      <c r="E812" s="15" t="n">
        <v>46263</v>
      </c>
      <c r="F812" s="15" t="n">
        <v>46262</v>
      </c>
      <c r="G812" s="1" t="s">
        <v>140</v>
      </c>
      <c r="H812" s="1" t="n">
        <v>1618522</v>
      </c>
      <c r="I812" s="1" t="n">
        <v>11</v>
      </c>
      <c r="J812" s="1" t="s">
        <v>1753</v>
      </c>
      <c r="K812" s="46" t="n">
        <v>264</v>
      </c>
      <c r="N812" s="15" t="n">
        <v>46263</v>
      </c>
      <c r="O812" s="46" t="n">
        <f aca="false">SUMIFS($K:$K,$E:$E,N812)</f>
        <v>5740.07</v>
      </c>
    </row>
    <row r="813" customFormat="false" ht="15" hidden="false" customHeight="false" outlineLevel="0" collapsed="false">
      <c r="A813" s="1" t="n">
        <v>2</v>
      </c>
      <c r="B813" s="1" t="n">
        <v>15192</v>
      </c>
      <c r="C813" s="1" t="s">
        <v>36</v>
      </c>
      <c r="D813" s="1" t="s">
        <v>1757</v>
      </c>
      <c r="E813" s="15" t="n">
        <v>46263</v>
      </c>
      <c r="F813" s="15" t="n">
        <v>46262</v>
      </c>
      <c r="G813" s="1" t="s">
        <v>272</v>
      </c>
      <c r="H813" s="1" t="n">
        <v>1618689</v>
      </c>
      <c r="I813" s="1" t="n">
        <v>11</v>
      </c>
      <c r="J813" s="1" t="s">
        <v>1753</v>
      </c>
      <c r="K813" s="46" t="n">
        <v>2771.2</v>
      </c>
      <c r="N813" s="15" t="n">
        <v>46263</v>
      </c>
      <c r="O813" s="46" t="n">
        <f aca="false">SUMIFS($K:$K,$E:$E,N813)</f>
        <v>5740.07</v>
      </c>
    </row>
    <row r="814" customFormat="false" ht="15" hidden="false" customHeight="false" outlineLevel="0" collapsed="false">
      <c r="A814" s="1" t="n">
        <v>2</v>
      </c>
      <c r="B814" s="1" t="n">
        <v>2640</v>
      </c>
      <c r="C814" s="1" t="s">
        <v>36</v>
      </c>
      <c r="D814" s="1" t="s">
        <v>1766</v>
      </c>
      <c r="E814" s="15" t="n">
        <v>46263</v>
      </c>
      <c r="F814" s="15" t="n">
        <v>46263</v>
      </c>
      <c r="G814" s="1" t="s">
        <v>146</v>
      </c>
      <c r="H814" s="1" t="n">
        <v>1619409</v>
      </c>
      <c r="I814" s="1" t="n">
        <v>6</v>
      </c>
      <c r="J814" s="1" t="s">
        <v>1753</v>
      </c>
      <c r="K814" s="46" t="n">
        <v>300</v>
      </c>
      <c r="N814" s="15" t="n">
        <v>46263</v>
      </c>
      <c r="O814" s="46" t="n">
        <f aca="false">SUMIFS($K:$K,$E:$E,N814)</f>
        <v>5740.07</v>
      </c>
    </row>
    <row r="815" customFormat="false" ht="15" hidden="false" customHeight="false" outlineLevel="0" collapsed="false">
      <c r="A815" s="1" t="n">
        <v>2</v>
      </c>
      <c r="B815" s="1" t="n">
        <v>1927745</v>
      </c>
      <c r="C815" s="1" t="s">
        <v>36</v>
      </c>
      <c r="D815" s="1" t="s">
        <v>1842</v>
      </c>
      <c r="E815" s="15" t="n">
        <v>46265</v>
      </c>
      <c r="F815" s="15" t="n">
        <v>46263</v>
      </c>
      <c r="G815" s="1" t="s">
        <v>870</v>
      </c>
      <c r="H815" s="1" t="n">
        <v>1629183</v>
      </c>
      <c r="I815" s="1" t="n">
        <v>11</v>
      </c>
      <c r="J815" s="1" t="s">
        <v>1753</v>
      </c>
      <c r="K815" s="46" t="n">
        <v>1348.29</v>
      </c>
      <c r="N815" s="15" t="n">
        <v>46265</v>
      </c>
      <c r="O815" s="46" t="n">
        <f aca="false">SUMIFS($K:$K,$E:$E,N815)</f>
        <v>10746.92</v>
      </c>
    </row>
    <row r="816" customFormat="false" ht="15" hidden="false" customHeight="false" outlineLevel="0" collapsed="false">
      <c r="A816" s="1" t="n">
        <v>2</v>
      </c>
      <c r="B816" s="1" t="n">
        <v>4363</v>
      </c>
      <c r="C816" s="1" t="s">
        <v>76</v>
      </c>
      <c r="D816" s="1" t="s">
        <v>1768</v>
      </c>
      <c r="E816" s="15" t="n">
        <v>46265</v>
      </c>
      <c r="F816" s="15" t="n">
        <v>46260</v>
      </c>
      <c r="G816" s="1" t="s">
        <v>129</v>
      </c>
      <c r="H816" s="1" t="n">
        <v>1628847</v>
      </c>
      <c r="I816" s="1" t="n">
        <v>11</v>
      </c>
      <c r="J816" s="1" t="s">
        <v>1753</v>
      </c>
      <c r="K816" s="46" t="n">
        <v>938.06</v>
      </c>
      <c r="N816" s="15" t="n">
        <v>46265</v>
      </c>
      <c r="O816" s="46" t="n">
        <f aca="false">SUMIFS($K:$K,$E:$E,N816)</f>
        <v>10746.92</v>
      </c>
    </row>
    <row r="817" customFormat="false" ht="15" hidden="false" customHeight="false" outlineLevel="0" collapsed="false">
      <c r="A817" s="1" t="n">
        <v>2</v>
      </c>
      <c r="B817" s="1" t="n">
        <v>1272321</v>
      </c>
      <c r="C817" s="1" t="s">
        <v>49</v>
      </c>
      <c r="D817" s="1" t="s">
        <v>1754</v>
      </c>
      <c r="E817" s="15" t="n">
        <v>46265</v>
      </c>
      <c r="F817" s="15" t="n">
        <v>46262</v>
      </c>
      <c r="G817" s="1" t="s">
        <v>131</v>
      </c>
      <c r="H817" s="1" t="n">
        <v>1630542</v>
      </c>
      <c r="I817" s="1" t="n">
        <v>11</v>
      </c>
      <c r="J817" s="1" t="s">
        <v>1753</v>
      </c>
      <c r="K817" s="46" t="n">
        <v>1134.85</v>
      </c>
      <c r="N817" s="15" t="n">
        <v>46265</v>
      </c>
      <c r="O817" s="46" t="n">
        <f aca="false">SUMIFS($K:$K,$E:$E,N817)</f>
        <v>10746.92</v>
      </c>
    </row>
    <row r="818" customFormat="false" ht="15" hidden="false" customHeight="false" outlineLevel="0" collapsed="false">
      <c r="A818" s="1" t="n">
        <v>2</v>
      </c>
      <c r="B818" s="1" t="n">
        <v>982558</v>
      </c>
      <c r="C818" s="1" t="s">
        <v>1811</v>
      </c>
      <c r="D818" s="1" t="s">
        <v>1812</v>
      </c>
      <c r="E818" s="15" t="n">
        <v>46265</v>
      </c>
      <c r="F818" s="15" t="n">
        <v>46261</v>
      </c>
      <c r="G818" s="1" t="s">
        <v>235</v>
      </c>
      <c r="H818" s="1" t="n">
        <v>1630677</v>
      </c>
      <c r="I818" s="1" t="n">
        <v>11</v>
      </c>
      <c r="J818" s="1" t="s">
        <v>1753</v>
      </c>
      <c r="K818" s="46" t="n">
        <v>1823.82</v>
      </c>
      <c r="N818" s="15" t="n">
        <v>46265</v>
      </c>
      <c r="O818" s="46" t="n">
        <f aca="false">SUMIFS($K:$K,$E:$E,N818)</f>
        <v>10746.92</v>
      </c>
    </row>
    <row r="819" customFormat="false" ht="15" hidden="false" customHeight="false" outlineLevel="0" collapsed="false">
      <c r="A819" s="1" t="n">
        <v>2</v>
      </c>
      <c r="B819" s="1" t="n">
        <v>656817</v>
      </c>
      <c r="C819" s="1" t="s">
        <v>36</v>
      </c>
      <c r="D819" s="1" t="s">
        <v>1803</v>
      </c>
      <c r="E819" s="15" t="n">
        <v>46265</v>
      </c>
      <c r="F819" s="15" t="n">
        <v>46262</v>
      </c>
      <c r="G819" s="1" t="s">
        <v>94</v>
      </c>
      <c r="H819" s="1" t="n">
        <v>1629497</v>
      </c>
      <c r="I819" s="1" t="n">
        <v>11</v>
      </c>
      <c r="J819" s="1" t="s">
        <v>1753</v>
      </c>
      <c r="K819" s="46" t="n">
        <v>1830.58</v>
      </c>
      <c r="N819" s="15" t="n">
        <v>46265</v>
      </c>
      <c r="O819" s="46" t="n">
        <f aca="false">SUMIFS($K:$K,$E:$E,N819)</f>
        <v>10746.92</v>
      </c>
    </row>
    <row r="820" customFormat="false" ht="15" hidden="false" customHeight="false" outlineLevel="0" collapsed="false">
      <c r="A820" s="1" t="n">
        <v>2</v>
      </c>
      <c r="B820" s="1" t="n">
        <v>1672073</v>
      </c>
      <c r="C820" s="1" t="s">
        <v>1755</v>
      </c>
      <c r="D820" s="1" t="s">
        <v>1756</v>
      </c>
      <c r="E820" s="15" t="n">
        <v>46265</v>
      </c>
      <c r="F820" s="15" t="n">
        <v>46263</v>
      </c>
      <c r="G820" s="1" t="s">
        <v>416</v>
      </c>
      <c r="H820" s="1" t="n">
        <v>1628734</v>
      </c>
      <c r="I820" s="1" t="n">
        <v>11</v>
      </c>
      <c r="J820" s="1" t="s">
        <v>1753</v>
      </c>
      <c r="K820" s="46" t="n">
        <v>150</v>
      </c>
      <c r="N820" s="15" t="n">
        <v>46265</v>
      </c>
      <c r="O820" s="46" t="n">
        <f aca="false">SUMIFS($K:$K,$E:$E,N820)</f>
        <v>10746.92</v>
      </c>
    </row>
    <row r="821" customFormat="false" ht="15" hidden="false" customHeight="false" outlineLevel="0" collapsed="false">
      <c r="A821" s="1" t="n">
        <v>2</v>
      </c>
      <c r="B821" s="1" t="n">
        <v>1672484</v>
      </c>
      <c r="C821" s="1" t="s">
        <v>1755</v>
      </c>
      <c r="D821" s="1" t="s">
        <v>1756</v>
      </c>
      <c r="E821" s="15" t="n">
        <v>46265</v>
      </c>
      <c r="F821" s="15" t="n">
        <v>46265</v>
      </c>
      <c r="G821" s="1" t="s">
        <v>416</v>
      </c>
      <c r="H821" s="1" t="n">
        <v>1630577</v>
      </c>
      <c r="I821" s="1" t="n">
        <v>11</v>
      </c>
      <c r="J821" s="1" t="s">
        <v>1753</v>
      </c>
      <c r="K821" s="46" t="n">
        <v>148.5</v>
      </c>
      <c r="N821" s="15" t="n">
        <v>46265</v>
      </c>
      <c r="O821" s="46" t="n">
        <f aca="false">SUMIFS($K:$K,$E:$E,N821)</f>
        <v>10746.92</v>
      </c>
    </row>
    <row r="822" customFormat="false" ht="15" hidden="false" customHeight="false" outlineLevel="0" collapsed="false">
      <c r="A822" s="1" t="n">
        <v>2</v>
      </c>
      <c r="B822" s="1" t="n">
        <v>3829</v>
      </c>
      <c r="C822" s="1" t="s">
        <v>36</v>
      </c>
      <c r="D822" s="1" t="s">
        <v>1774</v>
      </c>
      <c r="E822" s="15" t="n">
        <v>46265</v>
      </c>
      <c r="F822" s="15" t="n">
        <v>46263</v>
      </c>
      <c r="G822" s="1" t="s">
        <v>187</v>
      </c>
      <c r="H822" s="1" t="n">
        <v>1628784</v>
      </c>
      <c r="I822" s="1" t="n">
        <v>11</v>
      </c>
      <c r="J822" s="1" t="s">
        <v>1753</v>
      </c>
      <c r="K822" s="46" t="n">
        <v>125</v>
      </c>
      <c r="N822" s="15" t="n">
        <v>46265</v>
      </c>
      <c r="O822" s="46" t="n">
        <f aca="false">SUMIFS($K:$K,$E:$E,N822)</f>
        <v>10746.92</v>
      </c>
    </row>
    <row r="823" customFormat="false" ht="15" hidden="false" customHeight="false" outlineLevel="0" collapsed="false">
      <c r="A823" s="1" t="n">
        <v>2</v>
      </c>
      <c r="B823" s="1" t="n">
        <v>15213</v>
      </c>
      <c r="C823" s="1" t="s">
        <v>36</v>
      </c>
      <c r="D823" s="1" t="s">
        <v>1757</v>
      </c>
      <c r="E823" s="15" t="n">
        <v>46265</v>
      </c>
      <c r="F823" s="15" t="n">
        <v>46263</v>
      </c>
      <c r="G823" s="1" t="s">
        <v>272</v>
      </c>
      <c r="H823" s="1" t="n">
        <v>1629072</v>
      </c>
      <c r="I823" s="1" t="n">
        <v>11</v>
      </c>
      <c r="J823" s="1" t="s">
        <v>1753</v>
      </c>
      <c r="K823" s="46" t="n">
        <v>1557.6</v>
      </c>
      <c r="N823" s="15" t="n">
        <v>46265</v>
      </c>
      <c r="O823" s="46" t="n">
        <f aca="false">SUMIFS($K:$K,$E:$E,N823)</f>
        <v>10746.92</v>
      </c>
    </row>
    <row r="824" customFormat="false" ht="15" hidden="false" customHeight="false" outlineLevel="0" collapsed="false">
      <c r="A824" s="1" t="n">
        <v>2</v>
      </c>
      <c r="B824" s="1" t="n">
        <v>2643</v>
      </c>
      <c r="C824" s="1" t="s">
        <v>36</v>
      </c>
      <c r="D824" s="1" t="s">
        <v>1766</v>
      </c>
      <c r="E824" s="15" t="n">
        <v>46265</v>
      </c>
      <c r="F824" s="15" t="n">
        <v>46265</v>
      </c>
      <c r="G824" s="1" t="s">
        <v>146</v>
      </c>
      <c r="H824" s="1" t="n">
        <v>1630071</v>
      </c>
      <c r="I824" s="1" t="n">
        <v>6</v>
      </c>
      <c r="J824" s="1" t="s">
        <v>1753</v>
      </c>
      <c r="K824" s="46" t="n">
        <v>300</v>
      </c>
      <c r="N824" s="15" t="n">
        <v>46265</v>
      </c>
      <c r="O824" s="46" t="n">
        <f aca="false">SUMIFS($K:$K,$E:$E,N824)</f>
        <v>10746.92</v>
      </c>
    </row>
    <row r="825" customFormat="false" ht="15" hidden="false" customHeight="false" outlineLevel="0" collapsed="false">
      <c r="A825" s="1" t="n">
        <v>2</v>
      </c>
      <c r="B825" s="1" t="n">
        <v>4492</v>
      </c>
      <c r="C825" s="1" t="s">
        <v>36</v>
      </c>
      <c r="D825" s="1" t="s">
        <v>1767</v>
      </c>
      <c r="E825" s="15" t="n">
        <v>46265</v>
      </c>
      <c r="F825" s="15" t="n">
        <v>46262</v>
      </c>
      <c r="G825" s="1" t="s">
        <v>105</v>
      </c>
      <c r="H825" s="1" t="n">
        <v>1628793</v>
      </c>
      <c r="I825" s="1" t="n">
        <v>11</v>
      </c>
      <c r="J825" s="1" t="s">
        <v>1753</v>
      </c>
      <c r="K825" s="46" t="n">
        <v>300</v>
      </c>
      <c r="N825" s="15" t="n">
        <v>46265</v>
      </c>
      <c r="O825" s="46" t="n">
        <f aca="false">SUMIFS($K:$K,$E:$E,N825)</f>
        <v>10746.92</v>
      </c>
    </row>
    <row r="826" customFormat="false" ht="15" hidden="false" customHeight="false" outlineLevel="0" collapsed="false">
      <c r="A826" s="1" t="n">
        <v>2</v>
      </c>
      <c r="B826" s="1" t="n">
        <v>780</v>
      </c>
      <c r="C826" s="1" t="s">
        <v>88</v>
      </c>
      <c r="D826" s="1" t="s">
        <v>1758</v>
      </c>
      <c r="E826" s="15" t="n">
        <v>46265</v>
      </c>
      <c r="F826" s="15" t="n">
        <v>46263</v>
      </c>
      <c r="G826" s="1" t="s">
        <v>211</v>
      </c>
      <c r="H826" s="1" t="n">
        <v>1628810</v>
      </c>
      <c r="I826" s="1" t="n">
        <v>11</v>
      </c>
      <c r="J826" s="1" t="s">
        <v>1753</v>
      </c>
      <c r="K826" s="46" t="n">
        <v>180.22</v>
      </c>
      <c r="N826" s="15" t="n">
        <v>46265</v>
      </c>
      <c r="O826" s="46" t="n">
        <f aca="false">SUMIFS($K:$K,$E:$E,N826)</f>
        <v>10746.92</v>
      </c>
    </row>
    <row r="827" customFormat="false" ht="15" hidden="false" customHeight="false" outlineLevel="0" collapsed="false">
      <c r="A827" s="1" t="n">
        <v>2</v>
      </c>
      <c r="B827" s="1" t="n">
        <v>782</v>
      </c>
      <c r="C827" s="1" t="s">
        <v>88</v>
      </c>
      <c r="D827" s="1" t="s">
        <v>1758</v>
      </c>
      <c r="E827" s="15" t="n">
        <v>46265</v>
      </c>
      <c r="F827" s="15" t="n">
        <v>46265</v>
      </c>
      <c r="G827" s="1" t="s">
        <v>211</v>
      </c>
      <c r="H827" s="1" t="n">
        <v>1630506</v>
      </c>
      <c r="I827" s="1" t="n">
        <v>11</v>
      </c>
      <c r="J827" s="1" t="s">
        <v>1753</v>
      </c>
      <c r="K827" s="46" t="n">
        <v>90</v>
      </c>
      <c r="N827" s="15" t="n">
        <v>46265</v>
      </c>
      <c r="O827" s="46" t="n">
        <f aca="false">SUMIFS($K:$K,$E:$E,N827)</f>
        <v>10746.92</v>
      </c>
    </row>
    <row r="828" customFormat="false" ht="15" hidden="false" customHeight="false" outlineLevel="0" collapsed="false">
      <c r="A828" s="1" t="n">
        <v>2</v>
      </c>
      <c r="B828" s="1" t="n">
        <v>13095</v>
      </c>
      <c r="C828" s="1" t="s">
        <v>76</v>
      </c>
      <c r="D828" s="1" t="s">
        <v>1885</v>
      </c>
      <c r="E828" s="15" t="n">
        <v>46265</v>
      </c>
      <c r="F828" s="15" t="n">
        <v>46262</v>
      </c>
      <c r="G828" s="1" t="s">
        <v>1423</v>
      </c>
      <c r="H828" s="1" t="n">
        <v>1629251</v>
      </c>
      <c r="I828" s="1" t="n">
        <v>11</v>
      </c>
      <c r="J828" s="1" t="s">
        <v>1753</v>
      </c>
      <c r="K828" s="46" t="n">
        <v>820</v>
      </c>
      <c r="N828" s="15" t="n">
        <v>46265</v>
      </c>
      <c r="O828" s="46" t="n">
        <f aca="false">SUMIFS($K:$K,$E:$E,N828)</f>
        <v>10746.92</v>
      </c>
    </row>
    <row r="829" customFormat="false" ht="15" hidden="false" customHeight="false" outlineLevel="0" collapsed="false">
      <c r="A829" s="1" t="n">
        <v>2</v>
      </c>
      <c r="B829" s="1" t="n">
        <v>633</v>
      </c>
      <c r="C829" s="1" t="s">
        <v>36</v>
      </c>
      <c r="D829" s="1" t="s">
        <v>1761</v>
      </c>
      <c r="E829" s="15" t="n">
        <v>46266</v>
      </c>
      <c r="F829" s="15" t="n">
        <v>46265</v>
      </c>
      <c r="G829" s="1" t="s">
        <v>144</v>
      </c>
      <c r="H829" s="1" t="n">
        <v>1635004</v>
      </c>
      <c r="I829" s="1" t="n">
        <v>11</v>
      </c>
      <c r="J829" s="1" t="s">
        <v>1753</v>
      </c>
      <c r="K829" s="46" t="n">
        <v>180</v>
      </c>
      <c r="N829" s="15" t="n">
        <v>46266</v>
      </c>
      <c r="O829" s="46" t="n">
        <f aca="false">SUMIFS($K:$K,$E:$E,N829)</f>
        <v>8548.48</v>
      </c>
    </row>
    <row r="830" customFormat="false" ht="15" hidden="false" customHeight="false" outlineLevel="0" collapsed="false">
      <c r="A830" s="1" t="n">
        <v>2</v>
      </c>
      <c r="B830" s="1" t="n">
        <v>21345</v>
      </c>
      <c r="C830" s="1" t="s">
        <v>36</v>
      </c>
      <c r="D830" s="1" t="s">
        <v>1779</v>
      </c>
      <c r="E830" s="15" t="n">
        <v>46266</v>
      </c>
      <c r="F830" s="15" t="n">
        <v>46265</v>
      </c>
      <c r="G830" s="1" t="s">
        <v>182</v>
      </c>
      <c r="H830" s="1" t="n">
        <v>1633942</v>
      </c>
      <c r="I830" s="1" t="n">
        <v>11</v>
      </c>
      <c r="J830" s="1" t="s">
        <v>1753</v>
      </c>
      <c r="K830" s="46" t="n">
        <v>540.99</v>
      </c>
      <c r="N830" s="15" t="n">
        <v>46266</v>
      </c>
      <c r="O830" s="46" t="n">
        <f aca="false">SUMIFS($K:$K,$E:$E,N830)</f>
        <v>8548.48</v>
      </c>
    </row>
    <row r="831" customFormat="false" ht="15" hidden="false" customHeight="false" outlineLevel="0" collapsed="false">
      <c r="A831" s="1" t="n">
        <v>2</v>
      </c>
      <c r="B831" s="1" t="n">
        <v>1039683</v>
      </c>
      <c r="C831" s="1" t="s">
        <v>36</v>
      </c>
      <c r="D831" s="1" t="s">
        <v>1763</v>
      </c>
      <c r="E831" s="15" t="n">
        <v>46266</v>
      </c>
      <c r="F831" s="15" t="n">
        <v>46265</v>
      </c>
      <c r="G831" s="1" t="s">
        <v>233</v>
      </c>
      <c r="H831" s="1" t="n">
        <v>1633900</v>
      </c>
      <c r="I831" s="1" t="n">
        <v>11</v>
      </c>
      <c r="J831" s="1" t="s">
        <v>1753</v>
      </c>
      <c r="K831" s="46" t="n">
        <v>492.29</v>
      </c>
      <c r="N831" s="15" t="n">
        <v>46266</v>
      </c>
      <c r="O831" s="46" t="n">
        <f aca="false">SUMIFS($K:$K,$E:$E,N831)</f>
        <v>8548.48</v>
      </c>
    </row>
    <row r="832" customFormat="false" ht="15" hidden="false" customHeight="false" outlineLevel="0" collapsed="false">
      <c r="A832" s="1" t="n">
        <v>2</v>
      </c>
      <c r="B832" s="1" t="n">
        <v>8802</v>
      </c>
      <c r="C832" s="1" t="s">
        <v>36</v>
      </c>
      <c r="D832" s="1" t="s">
        <v>1847</v>
      </c>
      <c r="E832" s="15" t="n">
        <v>46266</v>
      </c>
      <c r="F832" s="15" t="n">
        <v>46265</v>
      </c>
      <c r="G832" s="1" t="s">
        <v>343</v>
      </c>
      <c r="H832" s="1" t="n">
        <v>1633924</v>
      </c>
      <c r="I832" s="1" t="n">
        <v>39</v>
      </c>
      <c r="J832" s="1" t="s">
        <v>1753</v>
      </c>
      <c r="K832" s="46" t="n">
        <v>5330.2</v>
      </c>
      <c r="N832" s="15" t="n">
        <v>46266</v>
      </c>
      <c r="O832" s="46" t="n">
        <f aca="false">SUMIFS($K:$K,$E:$E,N832)</f>
        <v>8548.48</v>
      </c>
    </row>
    <row r="833" customFormat="false" ht="15" hidden="false" customHeight="false" outlineLevel="0" collapsed="false">
      <c r="A833" s="1" t="n">
        <v>2</v>
      </c>
      <c r="B833" s="1" t="n">
        <v>2142</v>
      </c>
      <c r="C833" s="1" t="s">
        <v>36</v>
      </c>
      <c r="D833" s="1" t="s">
        <v>1788</v>
      </c>
      <c r="E833" s="15" t="n">
        <v>46266</v>
      </c>
      <c r="F833" s="15" t="n">
        <v>46266</v>
      </c>
      <c r="G833" s="1" t="s">
        <v>451</v>
      </c>
      <c r="H833" s="1" t="n">
        <v>1635021</v>
      </c>
      <c r="I833" s="1" t="n">
        <v>11</v>
      </c>
      <c r="J833" s="1" t="s">
        <v>1753</v>
      </c>
      <c r="K833" s="46" t="n">
        <v>250</v>
      </c>
      <c r="N833" s="15" t="n">
        <v>46266</v>
      </c>
      <c r="O833" s="46" t="n">
        <f aca="false">SUMIFS($K:$K,$E:$E,N833)</f>
        <v>8548.48</v>
      </c>
    </row>
    <row r="834" customFormat="false" ht="15" hidden="false" customHeight="false" outlineLevel="0" collapsed="false">
      <c r="A834" s="1" t="n">
        <v>2</v>
      </c>
      <c r="B834" s="1" t="n">
        <v>2649</v>
      </c>
      <c r="C834" s="1" t="s">
        <v>36</v>
      </c>
      <c r="D834" s="1" t="s">
        <v>1766</v>
      </c>
      <c r="E834" s="15" t="n">
        <v>46266</v>
      </c>
      <c r="F834" s="15" t="n">
        <v>46266</v>
      </c>
      <c r="G834" s="1" t="s">
        <v>146</v>
      </c>
      <c r="H834" s="1" t="n">
        <v>1635063</v>
      </c>
      <c r="I834" s="1" t="n">
        <v>6</v>
      </c>
      <c r="J834" s="1" t="s">
        <v>1753</v>
      </c>
      <c r="K834" s="46" t="n">
        <v>315</v>
      </c>
      <c r="N834" s="15" t="n">
        <v>46266</v>
      </c>
      <c r="O834" s="46" t="n">
        <f aca="false">SUMIFS($K:$K,$E:$E,N834)</f>
        <v>8548.48</v>
      </c>
    </row>
    <row r="835" customFormat="false" ht="15" hidden="false" customHeight="false" outlineLevel="0" collapsed="false">
      <c r="A835" s="1" t="n">
        <v>2</v>
      </c>
      <c r="B835" s="1" t="n">
        <v>2650</v>
      </c>
      <c r="C835" s="1" t="s">
        <v>36</v>
      </c>
      <c r="D835" s="1" t="s">
        <v>1766</v>
      </c>
      <c r="E835" s="15" t="n">
        <v>46266</v>
      </c>
      <c r="F835" s="15" t="n">
        <v>46266</v>
      </c>
      <c r="G835" s="1" t="s">
        <v>146</v>
      </c>
      <c r="H835" s="1" t="n">
        <v>1635174</v>
      </c>
      <c r="I835" s="1" t="n">
        <v>6</v>
      </c>
      <c r="J835" s="1" t="s">
        <v>1753</v>
      </c>
      <c r="K835" s="46" t="n">
        <v>1440</v>
      </c>
      <c r="N835" s="15" t="n">
        <v>46266</v>
      </c>
      <c r="O835" s="46" t="n">
        <f aca="false">SUMIFS($K:$K,$E:$E,N835)</f>
        <v>8548.48</v>
      </c>
    </row>
    <row r="836" customFormat="false" ht="15" hidden="false" customHeight="false" outlineLevel="0" collapsed="false">
      <c r="A836" s="1" t="n">
        <v>2</v>
      </c>
      <c r="B836" s="1" t="n">
        <v>1674087</v>
      </c>
      <c r="C836" s="1" t="s">
        <v>1755</v>
      </c>
      <c r="D836" s="1" t="s">
        <v>1756</v>
      </c>
      <c r="E836" s="15" t="n">
        <v>46267</v>
      </c>
      <c r="F836" s="15" t="n">
        <v>46267</v>
      </c>
      <c r="G836" s="1" t="s">
        <v>416</v>
      </c>
      <c r="H836" s="1" t="n">
        <v>1639284</v>
      </c>
      <c r="I836" s="1" t="n">
        <v>11</v>
      </c>
      <c r="J836" s="1" t="s">
        <v>1753</v>
      </c>
      <c r="K836" s="46" t="n">
        <v>96</v>
      </c>
      <c r="N836" s="15" t="n">
        <v>46267</v>
      </c>
      <c r="O836" s="46" t="n">
        <f aca="false">SUMIFS($K:$K,$E:$E,N836)</f>
        <v>5340.22</v>
      </c>
    </row>
    <row r="837" customFormat="false" ht="15" hidden="false" customHeight="false" outlineLevel="0" collapsed="false">
      <c r="A837" s="1" t="n">
        <v>2</v>
      </c>
      <c r="B837" s="1" t="n">
        <v>1796899</v>
      </c>
      <c r="C837" s="1" t="s">
        <v>1816</v>
      </c>
      <c r="D837" s="1" t="s">
        <v>1817</v>
      </c>
      <c r="E837" s="15" t="n">
        <v>46267</v>
      </c>
      <c r="F837" s="15" t="n">
        <v>46265</v>
      </c>
      <c r="G837" s="1" t="s">
        <v>172</v>
      </c>
      <c r="H837" s="1" t="n">
        <v>1643036</v>
      </c>
      <c r="I837" s="1" t="n">
        <v>11</v>
      </c>
      <c r="J837" s="1" t="s">
        <v>1753</v>
      </c>
      <c r="K837" s="46" t="n">
        <v>57.82</v>
      </c>
      <c r="N837" s="15" t="n">
        <v>46267</v>
      </c>
      <c r="O837" s="46" t="n">
        <f aca="false">SUMIFS($K:$K,$E:$E,N837)</f>
        <v>5340.22</v>
      </c>
    </row>
    <row r="838" customFormat="false" ht="15" hidden="false" customHeight="false" outlineLevel="0" collapsed="false">
      <c r="A838" s="1" t="n">
        <v>2</v>
      </c>
      <c r="B838" s="1" t="n">
        <v>15237</v>
      </c>
      <c r="C838" s="1" t="s">
        <v>36</v>
      </c>
      <c r="D838" s="1" t="s">
        <v>1757</v>
      </c>
      <c r="E838" s="15" t="n">
        <v>46267</v>
      </c>
      <c r="F838" s="15" t="n">
        <v>46266</v>
      </c>
      <c r="G838" s="1" t="s">
        <v>272</v>
      </c>
      <c r="H838" s="1" t="n">
        <v>1638572</v>
      </c>
      <c r="I838" s="1" t="n">
        <v>11</v>
      </c>
      <c r="J838" s="1" t="s">
        <v>1753</v>
      </c>
      <c r="K838" s="46" t="n">
        <v>4886.4</v>
      </c>
      <c r="N838" s="15" t="n">
        <v>46267</v>
      </c>
      <c r="O838" s="46" t="n">
        <f aca="false">SUMIFS($K:$K,$E:$E,N838)</f>
        <v>5340.22</v>
      </c>
    </row>
    <row r="839" customFormat="false" ht="15" hidden="false" customHeight="false" outlineLevel="0" collapsed="false">
      <c r="A839" s="1" t="n">
        <v>2</v>
      </c>
      <c r="B839" s="1" t="n">
        <v>2653</v>
      </c>
      <c r="C839" s="1" t="s">
        <v>36</v>
      </c>
      <c r="D839" s="1" t="s">
        <v>1766</v>
      </c>
      <c r="E839" s="15" t="n">
        <v>46267</v>
      </c>
      <c r="F839" s="15" t="n">
        <v>46267</v>
      </c>
      <c r="G839" s="1" t="s">
        <v>146</v>
      </c>
      <c r="H839" s="1" t="n">
        <v>1641414</v>
      </c>
      <c r="I839" s="1" t="n">
        <v>6</v>
      </c>
      <c r="J839" s="1" t="s">
        <v>1753</v>
      </c>
      <c r="K839" s="46" t="n">
        <v>300</v>
      </c>
      <c r="N839" s="15" t="n">
        <v>46267</v>
      </c>
      <c r="O839" s="46" t="n">
        <f aca="false">SUMIFS($K:$K,$E:$E,N839)</f>
        <v>5340.22</v>
      </c>
    </row>
    <row r="840" customFormat="false" ht="15" hidden="false" customHeight="false" outlineLevel="0" collapsed="false">
      <c r="A840" s="1" t="n">
        <v>2</v>
      </c>
      <c r="B840" s="1" t="n">
        <v>491629</v>
      </c>
      <c r="C840" s="1" t="s">
        <v>36</v>
      </c>
      <c r="D840" s="1" t="s">
        <v>1785</v>
      </c>
      <c r="E840" s="15" t="n">
        <v>46268</v>
      </c>
      <c r="F840" s="15" t="n">
        <v>46263</v>
      </c>
      <c r="G840" s="1" t="s">
        <v>400</v>
      </c>
      <c r="H840" s="1" t="n">
        <v>1646714</v>
      </c>
      <c r="I840" s="1" t="n">
        <v>11</v>
      </c>
      <c r="J840" s="1" t="s">
        <v>1753</v>
      </c>
      <c r="K840" s="46" t="n">
        <v>229.85</v>
      </c>
      <c r="N840" s="15" t="n">
        <v>46268</v>
      </c>
      <c r="O840" s="46" t="n">
        <f aca="false">SUMIFS($K:$K,$E:$E,N840)</f>
        <v>11768.86</v>
      </c>
    </row>
    <row r="841" customFormat="false" ht="15" hidden="false" customHeight="false" outlineLevel="0" collapsed="false">
      <c r="A841" s="1" t="n">
        <v>2</v>
      </c>
      <c r="B841" s="1" t="n">
        <v>4884</v>
      </c>
      <c r="C841" s="1" t="s">
        <v>76</v>
      </c>
      <c r="D841" s="1" t="s">
        <v>1768</v>
      </c>
      <c r="E841" s="15" t="n">
        <v>46268</v>
      </c>
      <c r="F841" s="15" t="n">
        <v>46267</v>
      </c>
      <c r="G841" s="1" t="s">
        <v>129</v>
      </c>
      <c r="H841" s="1" t="n">
        <v>1647278</v>
      </c>
      <c r="I841" s="1" t="n">
        <v>11</v>
      </c>
      <c r="J841" s="1" t="s">
        <v>1753</v>
      </c>
      <c r="K841" s="46" t="n">
        <v>278.1</v>
      </c>
      <c r="N841" s="15" t="n">
        <v>46268</v>
      </c>
      <c r="O841" s="46" t="n">
        <f aca="false">SUMIFS($K:$K,$E:$E,N841)</f>
        <v>11768.86</v>
      </c>
    </row>
    <row r="842" customFormat="false" ht="15" hidden="false" customHeight="false" outlineLevel="0" collapsed="false">
      <c r="A842" s="1" t="n">
        <v>2</v>
      </c>
      <c r="B842" s="1" t="n">
        <v>993555</v>
      </c>
      <c r="C842" s="1" t="s">
        <v>1811</v>
      </c>
      <c r="D842" s="1" t="s">
        <v>1812</v>
      </c>
      <c r="E842" s="15" t="n">
        <v>46268</v>
      </c>
      <c r="F842" s="15" t="n">
        <v>46267</v>
      </c>
      <c r="G842" s="1" t="s">
        <v>235</v>
      </c>
      <c r="H842" s="1" t="n">
        <v>1646642</v>
      </c>
      <c r="I842" s="1" t="n">
        <v>11</v>
      </c>
      <c r="J842" s="1" t="s">
        <v>1753</v>
      </c>
      <c r="K842" s="46" t="n">
        <v>488.19</v>
      </c>
      <c r="N842" s="15" t="n">
        <v>46268</v>
      </c>
      <c r="O842" s="46" t="n">
        <f aca="false">SUMIFS($K:$K,$E:$E,N842)</f>
        <v>11768.86</v>
      </c>
    </row>
    <row r="843" customFormat="false" ht="15" hidden="false" customHeight="false" outlineLevel="0" collapsed="false">
      <c r="A843" s="1" t="n">
        <v>2</v>
      </c>
      <c r="B843" s="1" t="n">
        <v>3867</v>
      </c>
      <c r="C843" s="1" t="s">
        <v>36</v>
      </c>
      <c r="D843" s="1" t="s">
        <v>1774</v>
      </c>
      <c r="E843" s="15" t="n">
        <v>46268</v>
      </c>
      <c r="F843" s="15" t="n">
        <v>46268</v>
      </c>
      <c r="G843" s="1" t="s">
        <v>187</v>
      </c>
      <c r="H843" s="1" t="n">
        <v>1647835</v>
      </c>
      <c r="I843" s="1" t="n">
        <v>11</v>
      </c>
      <c r="J843" s="1" t="s">
        <v>1753</v>
      </c>
      <c r="K843" s="46" t="n">
        <v>125</v>
      </c>
      <c r="N843" s="15" t="n">
        <v>46268</v>
      </c>
      <c r="O843" s="46" t="n">
        <f aca="false">SUMIFS($K:$K,$E:$E,N843)</f>
        <v>11768.86</v>
      </c>
    </row>
    <row r="844" customFormat="false" ht="15" hidden="false" customHeight="false" outlineLevel="0" collapsed="false">
      <c r="A844" s="1" t="n">
        <v>2</v>
      </c>
      <c r="B844" s="1" t="n">
        <v>1796900</v>
      </c>
      <c r="C844" s="1" t="s">
        <v>1816</v>
      </c>
      <c r="D844" s="1" t="s">
        <v>1817</v>
      </c>
      <c r="E844" s="15" t="n">
        <v>46268</v>
      </c>
      <c r="F844" s="15" t="n">
        <v>46265</v>
      </c>
      <c r="G844" s="1" t="s">
        <v>172</v>
      </c>
      <c r="H844" s="1" t="n">
        <v>1646233</v>
      </c>
      <c r="I844" s="1" t="n">
        <v>11</v>
      </c>
      <c r="J844" s="1" t="s">
        <v>1753</v>
      </c>
      <c r="K844" s="46" t="n">
        <v>471.9</v>
      </c>
      <c r="N844" s="15" t="n">
        <v>46268</v>
      </c>
      <c r="O844" s="46" t="n">
        <f aca="false">SUMIFS($K:$K,$E:$E,N844)</f>
        <v>11768.86</v>
      </c>
    </row>
    <row r="845" customFormat="false" ht="15" hidden="false" customHeight="false" outlineLevel="0" collapsed="false">
      <c r="A845" s="1" t="n">
        <v>2</v>
      </c>
      <c r="B845" s="1" t="n">
        <v>4523</v>
      </c>
      <c r="C845" s="1" t="s">
        <v>36</v>
      </c>
      <c r="D845" s="1" t="s">
        <v>1767</v>
      </c>
      <c r="E845" s="15" t="n">
        <v>46268</v>
      </c>
      <c r="F845" s="15" t="n">
        <v>46266</v>
      </c>
      <c r="G845" s="1" t="s">
        <v>105</v>
      </c>
      <c r="H845" s="1" t="n">
        <v>1646205</v>
      </c>
      <c r="I845" s="1" t="n">
        <v>11</v>
      </c>
      <c r="J845" s="1" t="s">
        <v>1753</v>
      </c>
      <c r="K845" s="46" t="n">
        <v>133.5</v>
      </c>
      <c r="N845" s="15" t="n">
        <v>46268</v>
      </c>
      <c r="O845" s="46" t="n">
        <f aca="false">SUMIFS($K:$K,$E:$E,N845)</f>
        <v>11768.86</v>
      </c>
    </row>
    <row r="846" customFormat="false" ht="15" hidden="false" customHeight="false" outlineLevel="0" collapsed="false">
      <c r="A846" s="1" t="n">
        <v>2</v>
      </c>
      <c r="B846" s="1" t="n">
        <v>8180</v>
      </c>
      <c r="C846" s="1" t="s">
        <v>36</v>
      </c>
      <c r="D846" s="1" t="s">
        <v>1805</v>
      </c>
      <c r="E846" s="15" t="n">
        <v>46268</v>
      </c>
      <c r="F846" s="15" t="n">
        <v>46266</v>
      </c>
      <c r="G846" s="1" t="s">
        <v>428</v>
      </c>
      <c r="H846" s="1" t="n">
        <v>1646673</v>
      </c>
      <c r="I846" s="1" t="n">
        <v>11</v>
      </c>
      <c r="J846" s="1" t="s">
        <v>1753</v>
      </c>
      <c r="K846" s="46" t="n">
        <v>314</v>
      </c>
      <c r="N846" s="15" t="n">
        <v>46268</v>
      </c>
      <c r="O846" s="46" t="n">
        <f aca="false">SUMIFS($K:$K,$E:$E,N846)</f>
        <v>11768.86</v>
      </c>
    </row>
    <row r="847" customFormat="false" ht="15" hidden="false" customHeight="false" outlineLevel="0" collapsed="false">
      <c r="A847" s="1" t="n">
        <v>2</v>
      </c>
      <c r="B847" s="1" t="n">
        <v>790</v>
      </c>
      <c r="C847" s="1" t="s">
        <v>88</v>
      </c>
      <c r="D847" s="1" t="s">
        <v>1758</v>
      </c>
      <c r="E847" s="15" t="n">
        <v>46268</v>
      </c>
      <c r="F847" s="15" t="n">
        <v>46268</v>
      </c>
      <c r="G847" s="1" t="s">
        <v>211</v>
      </c>
      <c r="H847" s="1" t="n">
        <v>1647875</v>
      </c>
      <c r="I847" s="1" t="n">
        <v>11</v>
      </c>
      <c r="J847" s="1" t="s">
        <v>1753</v>
      </c>
      <c r="K847" s="46" t="n">
        <v>204.77</v>
      </c>
      <c r="N847" s="15" t="n">
        <v>46268</v>
      </c>
      <c r="O847" s="46" t="n">
        <f aca="false">SUMIFS($K:$K,$E:$E,N847)</f>
        <v>11768.86</v>
      </c>
    </row>
    <row r="848" customFormat="false" ht="15" hidden="false" customHeight="false" outlineLevel="0" collapsed="false">
      <c r="A848" s="1" t="n">
        <v>2</v>
      </c>
      <c r="B848" s="1" t="n">
        <v>572518</v>
      </c>
      <c r="C848" s="1" t="s">
        <v>1792</v>
      </c>
      <c r="D848" s="1" t="s">
        <v>1793</v>
      </c>
      <c r="E848" s="15" t="n">
        <v>46268</v>
      </c>
      <c r="F848" s="15" t="n">
        <v>46266</v>
      </c>
      <c r="G848" s="1" t="s">
        <v>229</v>
      </c>
      <c r="H848" s="1" t="n">
        <v>1647431</v>
      </c>
      <c r="I848" s="1" t="n">
        <v>11</v>
      </c>
      <c r="J848" s="1" t="s">
        <v>1753</v>
      </c>
      <c r="K848" s="46" t="n">
        <v>9523.55</v>
      </c>
      <c r="N848" s="15" t="n">
        <v>46268</v>
      </c>
      <c r="O848" s="46" t="n">
        <f aca="false">SUMIFS($K:$K,$E:$E,N848)</f>
        <v>11768.86</v>
      </c>
    </row>
    <row r="849" customFormat="false" ht="15" hidden="false" customHeight="false" outlineLevel="0" collapsed="false">
      <c r="A849" s="1" t="n">
        <v>2</v>
      </c>
      <c r="B849" s="1" t="n">
        <v>894544</v>
      </c>
      <c r="C849" s="1" t="s">
        <v>36</v>
      </c>
      <c r="D849" s="1" t="s">
        <v>1810</v>
      </c>
      <c r="E849" s="15" t="n">
        <v>46269</v>
      </c>
      <c r="F849" s="15" t="n">
        <v>46268</v>
      </c>
      <c r="G849" s="1" t="s">
        <v>220</v>
      </c>
      <c r="H849" s="1" t="n">
        <v>1652069</v>
      </c>
      <c r="I849" s="1" t="n">
        <v>11</v>
      </c>
      <c r="J849" s="1" t="s">
        <v>1753</v>
      </c>
      <c r="K849" s="46" t="n">
        <v>365</v>
      </c>
      <c r="N849" s="15" t="n">
        <v>46269</v>
      </c>
      <c r="O849" s="46" t="n">
        <f aca="false">SUMIFS($K:$K,$E:$E,N849)</f>
        <v>16676.6</v>
      </c>
    </row>
    <row r="850" customFormat="false" ht="15" hidden="false" customHeight="false" outlineLevel="0" collapsed="false">
      <c r="A850" s="1" t="n">
        <v>2</v>
      </c>
      <c r="B850" s="1" t="n">
        <v>378</v>
      </c>
      <c r="C850" s="1" t="s">
        <v>36</v>
      </c>
      <c r="D850" s="1" t="s">
        <v>1762</v>
      </c>
      <c r="E850" s="15" t="n">
        <v>46269</v>
      </c>
      <c r="F850" s="15" t="n">
        <v>46268</v>
      </c>
      <c r="G850" s="1" t="s">
        <v>243</v>
      </c>
      <c r="H850" s="1" t="n">
        <v>1653363</v>
      </c>
      <c r="I850" s="1" t="n">
        <v>11</v>
      </c>
      <c r="J850" s="1" t="s">
        <v>1753</v>
      </c>
      <c r="K850" s="46" t="n">
        <v>1045</v>
      </c>
      <c r="N850" s="15" t="n">
        <v>46269</v>
      </c>
      <c r="O850" s="46" t="n">
        <f aca="false">SUMIFS($K:$K,$E:$E,N850)</f>
        <v>16676.6</v>
      </c>
    </row>
    <row r="851" customFormat="false" ht="15" hidden="false" customHeight="false" outlineLevel="0" collapsed="false">
      <c r="A851" s="1" t="n">
        <v>2</v>
      </c>
      <c r="B851" s="1" t="n">
        <v>1627324</v>
      </c>
      <c r="C851" s="1" t="s">
        <v>36</v>
      </c>
      <c r="D851" s="1" t="s">
        <v>1802</v>
      </c>
      <c r="E851" s="15" t="n">
        <v>46269</v>
      </c>
      <c r="F851" s="15" t="n">
        <v>46269</v>
      </c>
      <c r="G851" s="1" t="s">
        <v>107</v>
      </c>
      <c r="H851" s="1" t="n">
        <v>1653042</v>
      </c>
      <c r="I851" s="1" t="n">
        <v>11</v>
      </c>
      <c r="J851" s="1" t="s">
        <v>1753</v>
      </c>
      <c r="K851" s="46" t="n">
        <v>4591.99</v>
      </c>
      <c r="N851" s="15" t="n">
        <v>46269</v>
      </c>
      <c r="O851" s="46" t="n">
        <f aca="false">SUMIFS($K:$K,$E:$E,N851)</f>
        <v>16676.6</v>
      </c>
    </row>
    <row r="852" customFormat="false" ht="15" hidden="false" customHeight="false" outlineLevel="0" collapsed="false">
      <c r="A852" s="1" t="n">
        <v>2</v>
      </c>
      <c r="B852" s="1" t="n">
        <v>1724435</v>
      </c>
      <c r="C852" s="1" t="s">
        <v>36</v>
      </c>
      <c r="D852" s="1" t="s">
        <v>1764</v>
      </c>
      <c r="E852" s="15" t="n">
        <v>46269</v>
      </c>
      <c r="F852" s="15" t="n">
        <v>46268</v>
      </c>
      <c r="G852" s="1" t="s">
        <v>224</v>
      </c>
      <c r="H852" s="1" t="n">
        <v>1652919</v>
      </c>
      <c r="I852" s="1" t="n">
        <v>11</v>
      </c>
      <c r="J852" s="1" t="s">
        <v>1753</v>
      </c>
      <c r="K852" s="46" t="n">
        <v>3999.35</v>
      </c>
      <c r="N852" s="15" t="n">
        <v>46269</v>
      </c>
      <c r="O852" s="46" t="n">
        <f aca="false">SUMIFS($K:$K,$E:$E,N852)</f>
        <v>16676.6</v>
      </c>
    </row>
    <row r="853" customFormat="false" ht="15" hidden="false" customHeight="false" outlineLevel="0" collapsed="false">
      <c r="A853" s="1" t="n">
        <v>2</v>
      </c>
      <c r="B853" s="1" t="n">
        <v>1724730</v>
      </c>
      <c r="C853" s="1" t="s">
        <v>36</v>
      </c>
      <c r="D853" s="1" t="s">
        <v>1764</v>
      </c>
      <c r="E853" s="15" t="n">
        <v>46269</v>
      </c>
      <c r="F853" s="15" t="n">
        <v>46268</v>
      </c>
      <c r="G853" s="1" t="s">
        <v>224</v>
      </c>
      <c r="H853" s="1" t="n">
        <v>1652216</v>
      </c>
      <c r="I853" s="1" t="n">
        <v>11</v>
      </c>
      <c r="J853" s="1" t="s">
        <v>1753</v>
      </c>
      <c r="K853" s="46" t="n">
        <v>832.2</v>
      </c>
      <c r="N853" s="15" t="n">
        <v>46269</v>
      </c>
      <c r="O853" s="46" t="n">
        <f aca="false">SUMIFS($K:$K,$E:$E,N853)</f>
        <v>16676.6</v>
      </c>
    </row>
    <row r="854" customFormat="false" ht="15" hidden="false" customHeight="false" outlineLevel="0" collapsed="false">
      <c r="A854" s="1" t="n">
        <v>2</v>
      </c>
      <c r="B854" s="1" t="n">
        <v>1675430</v>
      </c>
      <c r="C854" s="1" t="s">
        <v>1755</v>
      </c>
      <c r="D854" s="1" t="s">
        <v>1756</v>
      </c>
      <c r="E854" s="15" t="n">
        <v>46269</v>
      </c>
      <c r="F854" s="15" t="n">
        <v>46269</v>
      </c>
      <c r="G854" s="1" t="s">
        <v>416</v>
      </c>
      <c r="H854" s="1" t="n">
        <v>1652472</v>
      </c>
      <c r="I854" s="1" t="n">
        <v>11</v>
      </c>
      <c r="J854" s="1" t="s">
        <v>1753</v>
      </c>
      <c r="K854" s="46" t="n">
        <v>166.5</v>
      </c>
      <c r="N854" s="15" t="n">
        <v>46269</v>
      </c>
      <c r="O854" s="46" t="n">
        <f aca="false">SUMIFS($K:$K,$E:$E,N854)</f>
        <v>16676.6</v>
      </c>
    </row>
    <row r="855" customFormat="false" ht="15" hidden="false" customHeight="false" outlineLevel="0" collapsed="false">
      <c r="A855" s="1" t="n">
        <v>2</v>
      </c>
      <c r="B855" s="1" t="n">
        <v>58376</v>
      </c>
      <c r="C855" s="1" t="s">
        <v>36</v>
      </c>
      <c r="D855" s="1" t="s">
        <v>1806</v>
      </c>
      <c r="E855" s="15" t="n">
        <v>46269</v>
      </c>
      <c r="F855" s="15" t="n">
        <v>46269</v>
      </c>
      <c r="G855" s="1" t="s">
        <v>477</v>
      </c>
      <c r="H855" s="1" t="n">
        <v>1652140</v>
      </c>
      <c r="I855" s="1" t="n">
        <v>11</v>
      </c>
      <c r="J855" s="1" t="s">
        <v>1753</v>
      </c>
      <c r="K855" s="46" t="n">
        <v>495.11</v>
      </c>
      <c r="N855" s="15" t="n">
        <v>46269</v>
      </c>
      <c r="O855" s="46" t="n">
        <f aca="false">SUMIFS($K:$K,$E:$E,N855)</f>
        <v>16676.6</v>
      </c>
    </row>
    <row r="856" customFormat="false" ht="15" hidden="false" customHeight="false" outlineLevel="0" collapsed="false">
      <c r="A856" s="1" t="n">
        <v>2</v>
      </c>
      <c r="B856" s="1" t="n">
        <v>401423</v>
      </c>
      <c r="C856" s="1" t="s">
        <v>36</v>
      </c>
      <c r="D856" s="1" t="s">
        <v>1777</v>
      </c>
      <c r="E856" s="15" t="n">
        <v>46269</v>
      </c>
      <c r="F856" s="15" t="n">
        <v>46268</v>
      </c>
      <c r="G856" s="1" t="s">
        <v>180</v>
      </c>
      <c r="H856" s="1" t="n">
        <v>1652427</v>
      </c>
      <c r="I856" s="1" t="n">
        <v>11</v>
      </c>
      <c r="J856" s="1" t="s">
        <v>1753</v>
      </c>
      <c r="K856" s="46" t="n">
        <v>474.45</v>
      </c>
      <c r="N856" s="15" t="n">
        <v>46269</v>
      </c>
      <c r="O856" s="46" t="n">
        <f aca="false">SUMIFS($K:$K,$E:$E,N856)</f>
        <v>16676.6</v>
      </c>
    </row>
    <row r="857" customFormat="false" ht="15" hidden="false" customHeight="false" outlineLevel="0" collapsed="false">
      <c r="A857" s="1" t="n">
        <v>2</v>
      </c>
      <c r="B857" s="1" t="n">
        <v>427</v>
      </c>
      <c r="C857" s="1" t="s">
        <v>36</v>
      </c>
      <c r="D857" s="1" t="s">
        <v>1783</v>
      </c>
      <c r="E857" s="15" t="n">
        <v>46269</v>
      </c>
      <c r="F857" s="15" t="n">
        <v>46269</v>
      </c>
      <c r="G857" s="1" t="s">
        <v>109</v>
      </c>
      <c r="H857" s="1" t="n">
        <v>1651831</v>
      </c>
      <c r="I857" s="1" t="n">
        <v>11</v>
      </c>
      <c r="J857" s="1" t="s">
        <v>1753</v>
      </c>
      <c r="K857" s="46" t="n">
        <v>177.5</v>
      </c>
      <c r="N857" s="15" t="n">
        <v>46269</v>
      </c>
      <c r="O857" s="46" t="n">
        <f aca="false">SUMIFS($K:$K,$E:$E,N857)</f>
        <v>16676.6</v>
      </c>
    </row>
    <row r="858" customFormat="false" ht="15" hidden="false" customHeight="false" outlineLevel="0" collapsed="false">
      <c r="A858" s="1" t="n">
        <v>2</v>
      </c>
      <c r="B858" s="1" t="n">
        <v>1440541</v>
      </c>
      <c r="C858" s="1" t="s">
        <v>36</v>
      </c>
      <c r="D858" s="1" t="s">
        <v>1790</v>
      </c>
      <c r="E858" s="15" t="n">
        <v>46269</v>
      </c>
      <c r="F858" s="15" t="n">
        <v>46266</v>
      </c>
      <c r="G858" s="1" t="s">
        <v>340</v>
      </c>
      <c r="H858" s="1" t="n">
        <v>1651521</v>
      </c>
      <c r="I858" s="1" t="n">
        <v>11</v>
      </c>
      <c r="J858" s="1" t="s">
        <v>1753</v>
      </c>
      <c r="K858" s="46" t="n">
        <v>1917.5</v>
      </c>
      <c r="N858" s="15" t="n">
        <v>46269</v>
      </c>
      <c r="O858" s="46" t="n">
        <f aca="false">SUMIFS($K:$K,$E:$E,N858)</f>
        <v>16676.6</v>
      </c>
    </row>
    <row r="859" customFormat="false" ht="15" hidden="false" customHeight="false" outlineLevel="0" collapsed="false">
      <c r="A859" s="1" t="n">
        <v>2</v>
      </c>
      <c r="B859" s="1" t="n">
        <v>2654</v>
      </c>
      <c r="C859" s="1" t="s">
        <v>36</v>
      </c>
      <c r="D859" s="1" t="s">
        <v>1766</v>
      </c>
      <c r="E859" s="15" t="n">
        <v>46269</v>
      </c>
      <c r="F859" s="15" t="n">
        <v>46269</v>
      </c>
      <c r="G859" s="1" t="s">
        <v>146</v>
      </c>
      <c r="H859" s="1" t="n">
        <v>1652454</v>
      </c>
      <c r="I859" s="1" t="n">
        <v>6</v>
      </c>
      <c r="J859" s="1" t="s">
        <v>1753</v>
      </c>
      <c r="K859" s="46" t="n">
        <v>300</v>
      </c>
      <c r="N859" s="15" t="n">
        <v>46269</v>
      </c>
      <c r="O859" s="46" t="n">
        <f aca="false">SUMIFS($K:$K,$E:$E,N859)</f>
        <v>16676.6</v>
      </c>
    </row>
    <row r="860" customFormat="false" ht="15" hidden="false" customHeight="false" outlineLevel="0" collapsed="false">
      <c r="A860" s="1" t="n">
        <v>2</v>
      </c>
      <c r="B860" s="1" t="n">
        <v>2656</v>
      </c>
      <c r="C860" s="1" t="s">
        <v>36</v>
      </c>
      <c r="D860" s="1" t="s">
        <v>1766</v>
      </c>
      <c r="E860" s="15" t="n">
        <v>46269</v>
      </c>
      <c r="F860" s="15" t="n">
        <v>46269</v>
      </c>
      <c r="G860" s="1" t="s">
        <v>146</v>
      </c>
      <c r="H860" s="1" t="n">
        <v>1652758</v>
      </c>
      <c r="I860" s="1" t="n">
        <v>6</v>
      </c>
      <c r="J860" s="1" t="s">
        <v>1753</v>
      </c>
      <c r="K860" s="46" t="n">
        <v>340</v>
      </c>
      <c r="N860" s="15" t="n">
        <v>46269</v>
      </c>
      <c r="O860" s="46" t="n">
        <f aca="false">SUMIFS($K:$K,$E:$E,N860)</f>
        <v>16676.6</v>
      </c>
    </row>
    <row r="861" customFormat="false" ht="15" hidden="false" customHeight="false" outlineLevel="0" collapsed="false">
      <c r="A861" s="1" t="n">
        <v>2</v>
      </c>
      <c r="B861" s="1" t="n">
        <v>2657</v>
      </c>
      <c r="C861" s="1" t="s">
        <v>36</v>
      </c>
      <c r="D861" s="1" t="s">
        <v>1766</v>
      </c>
      <c r="E861" s="15" t="n">
        <v>46269</v>
      </c>
      <c r="F861" s="15" t="n">
        <v>46269</v>
      </c>
      <c r="G861" s="1" t="s">
        <v>146</v>
      </c>
      <c r="H861" s="1" t="n">
        <v>1653148</v>
      </c>
      <c r="I861" s="1" t="n">
        <v>6</v>
      </c>
      <c r="J861" s="1" t="s">
        <v>1753</v>
      </c>
      <c r="K861" s="46" t="n">
        <v>1972</v>
      </c>
      <c r="N861" s="15" t="n">
        <v>46269</v>
      </c>
      <c r="O861" s="46" t="n">
        <f aca="false">SUMIFS($K:$K,$E:$E,N861)</f>
        <v>16676.6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1714</v>
      </c>
      <c r="C1" s="1" t="s">
        <v>1893</v>
      </c>
      <c r="D1" s="1" t="s">
        <v>1894</v>
      </c>
      <c r="E1" s="1" t="s">
        <v>1895</v>
      </c>
      <c r="F1" s="1" t="s">
        <v>13</v>
      </c>
      <c r="I1" s="1" t="s">
        <v>1896</v>
      </c>
      <c r="J1" s="1" t="s">
        <v>1897</v>
      </c>
      <c r="K1" s="1" t="s">
        <v>1898</v>
      </c>
      <c r="L1" s="1" t="s">
        <v>1899</v>
      </c>
      <c r="N1" s="1" t="s">
        <v>1900</v>
      </c>
      <c r="O1" s="1" t="s">
        <v>1901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1902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1903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1902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1904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1902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1905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1902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1906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1902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1907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1902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1908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1902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1909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1902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1910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1902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1911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1902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1912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1902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1913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1902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1914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1902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1915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1902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1916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1902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1917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1902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1918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1902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1919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1902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1920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1902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1921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1902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1922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1902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1923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1902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1924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1902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1925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1902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1926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1902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1927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1902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1928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1902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1929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1930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1931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1930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1932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1930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1933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1930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1934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1930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1935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1930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1936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1930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1937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1938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1939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1938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1939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1938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1940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1938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1941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1938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1942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1938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1943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1938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1944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1938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1945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1938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1945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1938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1946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1938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1947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1938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1948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1938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1949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1938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1950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1938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1951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1938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1952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1938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1953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1938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1954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1938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1955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1938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1955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1938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1956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1938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1956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1938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1957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1938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1957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1958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1939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1958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1944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1958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1945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1958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1946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1958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1947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1958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1948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1958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1949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1958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1950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1958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1951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1958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1952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1958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1953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1958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1954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1958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1955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1958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1956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1958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1957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1958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1939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1958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1940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1958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1941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1958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1942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1958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1943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1958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1945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1958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1955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1958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1956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1958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1957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1902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1959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1902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1960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1902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1961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1902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1962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1902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1963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1902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1964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1902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1965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1902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1966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1902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1905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1902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1967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1902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1968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1902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1969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1902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1970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1902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1971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1902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1972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1902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1973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1902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1974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1902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1975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1902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1976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1902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1924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1902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1926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1902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1977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1902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1978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1902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1979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1902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1980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1902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1981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1902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1982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1902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1983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1902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1984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1902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1985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1902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1986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1902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1987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1902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1988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1902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1989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1902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1990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1902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1991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1992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1993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1992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1994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1992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1995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1992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1996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1992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1997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1992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1998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1992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1999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1992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2000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1992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2001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1992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2002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1992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2003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1992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2004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1992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2005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1992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2006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1992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2007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1992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2008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1992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2009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1992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2010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1992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2011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2012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1993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2012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1994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2012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1995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2012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1996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2012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1997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2012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1998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2012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1999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2012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2000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2012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2001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2012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2002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2012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2003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2012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2004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2012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2005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2012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2006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2012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2007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2012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2008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2012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2009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2012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2010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2012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2011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1902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1908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1902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2013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1902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2014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1902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2015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1902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2016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1902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2017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1902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2018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1902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2019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1902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2020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1902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1922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1902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2021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1902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2022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1902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2023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1902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2024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1902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2025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1902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2026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1902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2027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1902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2028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1902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2029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1902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2030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1902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2031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1902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2032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1902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1929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1902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2033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1902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2034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1902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2035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1902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2036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1902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2037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1930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2038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1930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2039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1930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2034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1938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1939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1938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1944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1938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1945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1938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1946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1938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1947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1938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1948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1938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1949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1938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1950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1938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1951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1938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1952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1938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1953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1938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1954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1938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1955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1938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1956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1938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1957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1958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1939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1958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1944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1958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1945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1958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1946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1958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1947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1958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1948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1958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1949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1958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1950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1958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1951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1958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1952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1958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1953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1958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1954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1958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1955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1958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1956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1958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1957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1930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1959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1930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1909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1938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1939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1938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1940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1938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1941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1938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1942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1938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1943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1938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2040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1938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1945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1938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2041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1938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1955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1938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1956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1938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1957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1958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1939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1958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1940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1958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1941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1958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1942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1958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1943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1958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2040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1958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1945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1958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2041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1958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1955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1958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1956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1958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1957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1902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1903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1902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1904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1902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2042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1902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1906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1902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2043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1902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2044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1902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2045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1902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2046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1902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2047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1902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1961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1902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1963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1902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1964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1902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2048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1902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1965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1902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1905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1902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1967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1902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1968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1902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1969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1902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2049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1902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2050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1902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2051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1902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2052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1902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2053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1902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2054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1902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1924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1902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1925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1902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1926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1902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1926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1902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1924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1902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1925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1902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1926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1992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1995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1992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1998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1992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2000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1992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2001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1992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2002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1992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2003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1992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2055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1992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2056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1992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2006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1992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2057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1992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2058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1992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2009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1992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1993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2012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1995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2012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1998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2012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2000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2012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2001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2012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2002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2012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2003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2012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2055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2012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2056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2012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2006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2012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2057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2012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2058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2012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2009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2012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1993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1930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2059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1930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2060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1930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2061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1930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2062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1930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2063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1930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2064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1902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1960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1902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1903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1902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1904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1902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1905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1902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2042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1902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1906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1902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2065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1902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1907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1902</v>
      </c>
      <c r="E314" s="1" t="n">
        <v>1609</v>
      </c>
      <c r="F314" s="1" t="s">
        <v>103</v>
      </c>
      <c r="I314" s="1" t="n">
        <v>5642</v>
      </c>
      <c r="J314" s="1" t="n">
        <v>17163</v>
      </c>
      <c r="K314" s="1" t="n">
        <v>7896981600567</v>
      </c>
      <c r="L314" s="1" t="s">
        <v>2066</v>
      </c>
      <c r="N314" s="1" t="n">
        <v>9</v>
      </c>
      <c r="O314" s="1" t="n">
        <v>80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1902</v>
      </c>
      <c r="E315" s="1" t="n">
        <v>1609</v>
      </c>
      <c r="F315" s="1" t="s">
        <v>103</v>
      </c>
      <c r="I315" s="1" t="n">
        <v>5642</v>
      </c>
      <c r="J315" s="1" t="n">
        <v>13720</v>
      </c>
      <c r="K315" s="1" t="n">
        <v>7896981600307</v>
      </c>
      <c r="L315" s="1" t="s">
        <v>2067</v>
      </c>
      <c r="N315" s="1" t="n">
        <v>9</v>
      </c>
      <c r="O315" s="1" t="n">
        <v>55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1902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2068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1902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2069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1902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2070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1902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2071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1902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2072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1902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2073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1902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2074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1902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2075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1902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2076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1902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2077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1902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2078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1902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2079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1902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2080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1902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2081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1902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1968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1902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1969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1902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1908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1902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1909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1902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2082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1902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2083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1902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2084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1902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2085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1902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2086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1902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2087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1902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2088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1902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2089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1902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2090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1902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2091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1902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2092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1902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2093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1902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2094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1902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2095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1902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2096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1902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1924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1902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1925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1902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1926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1902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1926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1902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2097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1902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2098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1902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2099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1902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2100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1902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2101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1902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2102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1902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2103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1902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2104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1902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2105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1902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2106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1902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2107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1902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2108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1902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2109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1902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2110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1902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2111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1902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2112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1902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2113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1902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2114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1902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2028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1902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2115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1902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2031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1902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1927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1902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2116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1902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1937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1992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2117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1992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1993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2012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2117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2012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1993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1930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1929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1930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2118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1930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2119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1938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1946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1938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1954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1938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1957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1938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1939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1938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1939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1938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1940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1938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1941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1938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1942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1938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1943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1938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1943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1938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2040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1938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1944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1938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1945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1938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1945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1938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1946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1938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1947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1938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1948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1938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1949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1938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1950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1938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1951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1938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1952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1938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1953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1938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2120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1938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2041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1938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1954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1938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1955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1938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1955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1938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1956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1938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1956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1938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1957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1938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1957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1938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2121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1958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1946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1958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1954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1958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1957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1958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1939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1958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1940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1958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1941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1958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1942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1958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1943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1958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2040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1958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1945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1958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2041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1958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1955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1958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1956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1958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1957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1958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1939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1958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1943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1958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1944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1958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1945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1958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1946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1958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1947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1958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1948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1958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1949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1958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1950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1958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1951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1958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1952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1958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1953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1958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2120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1958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1954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1958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1955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1958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1956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1958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1957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1958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2121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1902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1960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1902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1961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1902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1962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1902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1963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1902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1964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1902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2048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1902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1965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1902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1966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1902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1905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1902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2122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1902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2123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1902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2124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1902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2125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1902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2126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1902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2127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1902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2128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1902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2129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1902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2130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1902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2131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1902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2132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1902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2133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1902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2134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1902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2135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1902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2136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1902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2137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1902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2138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1902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2139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1902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2140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1902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2141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1902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2142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1902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2143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1902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2144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1902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2145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1902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2146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1902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2147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1902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2148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1902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2149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1902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2150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1992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1994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1992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2151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1992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1995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1992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1996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1992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1998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1992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2152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1992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2001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1992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2002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1992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2153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1992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2056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1992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2005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1992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2006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1992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2058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1992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2007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1992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2008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1992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2154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1992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2009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1992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2010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2012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1994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2012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2151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2012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1995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2012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1996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2012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1998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2012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2152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2012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2001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2012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2002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2012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2153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2012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2056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2012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2005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2012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2006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2012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2058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2012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2007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2012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2008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2012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2154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2012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2009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2012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2010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1930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2155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1930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2156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1930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2157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1930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2158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1930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2159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1930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2160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1930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2161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1930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2162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1930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2163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1930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2164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1930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2165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1930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2166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1930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2167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1930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2168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1902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2169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1902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2170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1902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2171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1902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2172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1902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1968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1902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1969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1902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1908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1902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1909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1902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2082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1902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2173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1902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1948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1902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1949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1902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2174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1902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2175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1902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2176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1902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2177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1902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2178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1902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2179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1902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2180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1902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2181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1902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2182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1902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2183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1902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2184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1902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2185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1902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2186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1902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2187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1902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2188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1902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2189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1902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2190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1902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2191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1902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2192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1902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1924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1902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1925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1902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1926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1992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2193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1992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2194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1992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2195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1992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1993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1992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2196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1992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2197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1992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2198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2012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2193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2012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2194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2012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2195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2012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2196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2012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2197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2012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2198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2012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1993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1930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2199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1930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2200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1930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2201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1930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2202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1930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2203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1930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2204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1930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2205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1930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2206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1930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2207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1930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2208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1930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2209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1930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2210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1930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2211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1930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2212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1930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2213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1930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2214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1930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2215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1930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2216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1930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2217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1930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2218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1930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2219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1930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2220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1930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2221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1938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1939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1938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1939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1938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1940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1938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1941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1938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1942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1938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1943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1938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2040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1938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1944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1938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1945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1938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1945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1938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1946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1938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1946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1938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1947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1938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1948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1938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1949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1938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1950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1938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1951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1938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1952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1938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1952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1938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1953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1938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1954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1938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1954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1938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1955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1938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1955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1938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1956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1938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1956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1938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1957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1938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1957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1938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1957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1958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1939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1958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1944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1958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1945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1958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1946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1958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1947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1958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1948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1958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1949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1958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1950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1958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1951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1958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1952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1958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1953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1958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1954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1958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1955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1958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1956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1958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1957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1958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1946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1958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1952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1958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1954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1958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1957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1958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1939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1958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1940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1958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1941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1958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1942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1958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1943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1958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2040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1958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1945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1958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1955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1958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1956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1958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1957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1902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2222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1902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2223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1902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2224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1902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2225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1902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2226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1902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2227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1902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2228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1902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2229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1902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2230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1902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2231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1902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2232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1902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2233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1902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2233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1902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2234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1902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2235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1902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2236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1902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2237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1902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2238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1902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2239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1902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2240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1902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2241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1902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2242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1902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2243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1902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2244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1902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2245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1902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2246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1902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2247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1902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2248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1902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2249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1902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2250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1902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2251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1902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2252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1902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2253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1902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2254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1902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2255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1902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2256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1902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2257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1902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2258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1902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2259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1902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2260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1902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2261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1902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2262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1902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2263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1902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2264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1902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2265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1902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2266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1902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2267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1902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2268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1902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2269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1902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2270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1902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2271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1902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2272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1902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2273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1902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2274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1902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2275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1902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2276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1902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2277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1902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2278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1902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2279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1902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2280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1902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2281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1902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2282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1902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2283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1902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2284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1902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2285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1902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2286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1902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2287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1902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2288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1902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2289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1902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2290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1902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2291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1902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2292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1902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2293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1930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2294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1930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2295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1930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2296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1930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2297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1930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2298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1930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2299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1930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2300</v>
      </c>
      <c r="N744" s="1" t="n">
        <v>2</v>
      </c>
      <c r="O744" s="1" t="n">
        <v>20.1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1930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2301</v>
      </c>
      <c r="N745" s="1" t="n">
        <v>2</v>
      </c>
      <c r="O745" s="1" t="n">
        <v>21.4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1930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2302</v>
      </c>
      <c r="N746" s="1" t="n">
        <v>2</v>
      </c>
      <c r="O746" s="1" t="n">
        <v>30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1930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2303</v>
      </c>
      <c r="N747" s="1" t="n">
        <v>12</v>
      </c>
      <c r="O747" s="1" t="n">
        <v>24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1930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2304</v>
      </c>
      <c r="N748" s="1" t="n">
        <v>9</v>
      </c>
      <c r="O748" s="1" t="n">
        <v>270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1930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2305</v>
      </c>
      <c r="N749" s="1" t="n">
        <v>12</v>
      </c>
      <c r="O749" s="1" t="n">
        <v>408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1930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2306</v>
      </c>
      <c r="N750" s="1" t="n">
        <v>1</v>
      </c>
      <c r="O750" s="1" t="n">
        <v>38.34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1930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2307</v>
      </c>
      <c r="N751" s="1" t="n">
        <v>40</v>
      </c>
      <c r="O751" s="1" t="n">
        <v>10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1930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2308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1930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2309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1930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2310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1930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2311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1930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2312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1930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2313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1930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2314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1930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2315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1930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2316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1930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2317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1930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2318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1930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2319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1930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2320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1930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2321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1930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2322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1930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2323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1930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2324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1930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2325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1930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2326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1930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2327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1930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2328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1930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2329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1930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2330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1930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2331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1930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2332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1930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2333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1930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2334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1930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2335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1930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2336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1930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2337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1930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2338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1930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2339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1930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2340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1930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2341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1930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2342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1930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2343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1930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2344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1930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2345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1930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2346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1930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2347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1930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2348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1930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2349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1930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2350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1930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2351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1930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2352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1930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2353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1930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2354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1930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2355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1930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2356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1930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2357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1930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2358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1930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2359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1930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2360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1930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2361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1930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2362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1930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2363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1930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2364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1930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2365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1930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2366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1930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2367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1930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2368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1930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2369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1930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2370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1930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2371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1930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2372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1930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2373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1930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2374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1930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2375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1930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2376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1930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2377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1930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2378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1930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2379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1930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2380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1930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2381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1930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2382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1930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2383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1930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2384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1930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2385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1930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2386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1930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2387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1930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2388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1930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2389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1930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2390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1930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2391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1930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2392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1930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2393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1930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2394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1930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2395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1930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2396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1930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2397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1930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2398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1930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2399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1930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2400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1930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2401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1930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2402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1902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1903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1902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1904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1902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1905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1902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2403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1902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2042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1902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1906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1902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1961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1902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1962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1902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1963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1902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1964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1902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2048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1902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1965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1902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1966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1902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1905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1902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1967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1902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2038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1902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2039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1902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2404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1902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2405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1902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2406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1902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2407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1902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2408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1902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2409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1902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2410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1902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2411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1902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2412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1902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2413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1902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2414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1902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2415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1902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2416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1902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2417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1902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2418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1902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2419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1902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2420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1902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1970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1902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1971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1902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1972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1902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1973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1902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1974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1902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1975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1902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2421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1902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2016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1902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2422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1902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2423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1902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2424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1902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2425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1902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2426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1902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2427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1902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2428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1902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2429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1902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2430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1902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2431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1902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2432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1902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2433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1902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2434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1902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2434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1902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2435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1902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2436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1902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2436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1902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2437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1902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2437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1902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2438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1902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2438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1902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2439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1902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2097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1902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2440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1902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2100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1902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2441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1902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2103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1902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2442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1902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2443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1902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1977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1902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1979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1902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2444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1902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2445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1902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2446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1902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1981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1902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1982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1902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2447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1902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1983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1902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2448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1902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2449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1902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1984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1902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2450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1902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2451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1902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2452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1902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2027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1902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2112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1902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2034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1902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2453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1902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2018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1902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2114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1902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2027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1902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2028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1902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2029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1902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2031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1902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2032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1902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1929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1902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2454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1902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2023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1902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2037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1992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1993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1992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2455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1992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1997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1992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1998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1992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2000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1992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2001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1992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2002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1992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2003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1992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2004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1992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2005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1992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2006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1992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2057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1992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2008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1992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2009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1992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2010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2012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1993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2012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2455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2012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1997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2012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1998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2012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2000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2012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2001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2012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2002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2012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2003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2012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2004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2012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2005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2012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2006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2012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2057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2012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2008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2012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2009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2012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2010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1930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2456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1930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2457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1930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2458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1930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2459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1930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2460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1930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2461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1930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2462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1930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2463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1930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2464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1930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2465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1930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2466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1930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2467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1930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2468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1930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2469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1930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2470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1930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2471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1930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2472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1930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2473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1930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2474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2475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2476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1902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1959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1902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1960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1902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2477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1902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2478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1902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2479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1902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2480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1902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2481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1902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2482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1902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2483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1902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2484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1902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2485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1902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2486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1902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2487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1902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2487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1902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2488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1902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2489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1902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2490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1902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2491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1902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2492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1902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2493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1902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2494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1902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2495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1902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2208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1902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2209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1902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2210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1902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2211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1902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2213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1902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2216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1902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2217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1902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2218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1902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2219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1902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2496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1902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2497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1902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2498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1902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2499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1902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2500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1902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2501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1902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2502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1902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2503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1902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2504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1902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2505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1902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2506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1902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2507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1902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2508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1902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2509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1902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2510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1902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2510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1902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2511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1902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2512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1902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1925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1902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1926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1902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2513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1902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2514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1902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2515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1902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2516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1902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2517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1902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2518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1902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2519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1902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2520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1902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1908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1902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1909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1902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2082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1902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2521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1902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2522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1902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2523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1902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2524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1902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2525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1902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2526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1902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2527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1902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2528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1902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2529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1902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2529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1902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2530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1902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2531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1902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2532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1902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2532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1902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2533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1902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2533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1902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2534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1902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2534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1902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2535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1902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2536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1902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2536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1902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2537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1902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2538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1902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2538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1902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2539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1902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2540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1902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2541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1902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2542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1902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2543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1902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2544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1902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2545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1902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2546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1902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2547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1902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2548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1902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2549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1902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2550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1902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2551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1902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2551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1902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2552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1902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2553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1902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2554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1902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2555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1902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2556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1902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2556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1902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2557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1902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2558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1902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2559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1902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2560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1902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2561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1902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2562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1902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2563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1902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2564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1902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2565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1902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2566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1902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2567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1902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2568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1902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2569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1902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2569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1902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2569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1902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2570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1902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2571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1902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2572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1902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2573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1902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2574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1902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2575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1902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2228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1902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2576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1902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2577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1902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2578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1902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2579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1902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2580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1902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2581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1902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2582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1902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2583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1902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2584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1902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2585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1902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2586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1902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2587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1902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2588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1902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2589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1902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2590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1902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2591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1902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2592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1902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2593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1902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2594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1902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2595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1902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2596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1902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2597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1902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2598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1902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2599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1902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2600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1902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2601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1902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2602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1902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2603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1902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2604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1902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2605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1902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2606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1902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2607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1902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2608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1902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2609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1902</v>
      </c>
      <c r="E1160" s="1" t="n">
        <v>10009</v>
      </c>
      <c r="F1160" s="1" t="s">
        <v>469</v>
      </c>
      <c r="I1160" s="1" t="n">
        <v>1415529</v>
      </c>
      <c r="J1160" s="1" t="n">
        <v>57201</v>
      </c>
      <c r="K1160" s="1" t="n">
        <v>7891000369203</v>
      </c>
      <c r="L1160" s="1" t="s">
        <v>2610</v>
      </c>
      <c r="N1160" s="1" t="n">
        <v>12</v>
      </c>
      <c r="O1160" s="1" t="n">
        <v>47.73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1902</v>
      </c>
      <c r="E1161" s="1" t="n">
        <v>10009</v>
      </c>
      <c r="F1161" s="1" t="s">
        <v>469</v>
      </c>
      <c r="I1161" s="1" t="n">
        <v>1415529</v>
      </c>
      <c r="J1161" s="1" t="n">
        <v>46617</v>
      </c>
      <c r="K1161" s="1" t="n">
        <v>7891000350119</v>
      </c>
      <c r="L1161" s="1" t="s">
        <v>2611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1902</v>
      </c>
      <c r="E1162" s="1" t="n">
        <v>10009</v>
      </c>
      <c r="F1162" s="1" t="s">
        <v>469</v>
      </c>
      <c r="I1162" s="1" t="n">
        <v>1415529</v>
      </c>
      <c r="J1162" s="1" t="n">
        <v>47582</v>
      </c>
      <c r="K1162" s="1" t="n">
        <v>7891000350072</v>
      </c>
      <c r="L1162" s="1" t="s">
        <v>2612</v>
      </c>
      <c r="N1162" s="1" t="n">
        <v>24</v>
      </c>
      <c r="O1162" s="1" t="n">
        <v>60.33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1902</v>
      </c>
      <c r="E1163" s="1" t="n">
        <v>10009</v>
      </c>
      <c r="F1163" s="1" t="s">
        <v>469</v>
      </c>
      <c r="I1163" s="1" t="n">
        <v>1415529</v>
      </c>
      <c r="J1163" s="1" t="n">
        <v>48382</v>
      </c>
      <c r="K1163" s="1" t="n">
        <v>7891000097694</v>
      </c>
      <c r="L1163" s="1" t="s">
        <v>2613</v>
      </c>
      <c r="N1163" s="1" t="n">
        <v>12</v>
      </c>
      <c r="O1163" s="1" t="n">
        <v>80.31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1902</v>
      </c>
      <c r="E1164" s="1" t="n">
        <v>10009</v>
      </c>
      <c r="F1164" s="1" t="s">
        <v>469</v>
      </c>
      <c r="I1164" s="1" t="n">
        <v>1415529</v>
      </c>
      <c r="J1164" s="1" t="n">
        <v>48754</v>
      </c>
      <c r="K1164" s="1" t="n">
        <v>7891000339558</v>
      </c>
      <c r="L1164" s="1" t="s">
        <v>2614</v>
      </c>
      <c r="N1164" s="1" t="n">
        <v>24</v>
      </c>
      <c r="O1164" s="1" t="n">
        <v>60.35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1902</v>
      </c>
      <c r="E1165" s="1" t="n">
        <v>10009</v>
      </c>
      <c r="F1165" s="1" t="s">
        <v>469</v>
      </c>
      <c r="I1165" s="1" t="n">
        <v>1415529</v>
      </c>
      <c r="J1165" s="1" t="n">
        <v>48868</v>
      </c>
      <c r="K1165" s="1" t="n">
        <v>7891000359822</v>
      </c>
      <c r="L1165" s="1" t="s">
        <v>2615</v>
      </c>
      <c r="N1165" s="1" t="n">
        <v>54</v>
      </c>
      <c r="O1165" s="1" t="n">
        <v>118.94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1902</v>
      </c>
      <c r="E1166" s="1" t="n">
        <v>10009</v>
      </c>
      <c r="F1166" s="1" t="s">
        <v>469</v>
      </c>
      <c r="I1166" s="1" t="n">
        <v>1415529</v>
      </c>
      <c r="J1166" s="1" t="n">
        <v>50552</v>
      </c>
      <c r="K1166" s="1" t="n">
        <v>7891000369340</v>
      </c>
      <c r="L1166" s="1" t="s">
        <v>2232</v>
      </c>
      <c r="N1166" s="1" t="n">
        <v>48</v>
      </c>
      <c r="O1166" s="1" t="n">
        <v>213.74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1902</v>
      </c>
      <c r="E1167" s="1" t="n">
        <v>10009</v>
      </c>
      <c r="F1167" s="1" t="s">
        <v>469</v>
      </c>
      <c r="I1167" s="1" t="n">
        <v>1415529</v>
      </c>
      <c r="J1167" s="1" t="n">
        <v>51852</v>
      </c>
      <c r="K1167" s="1" t="n">
        <v>7891000372586</v>
      </c>
      <c r="L1167" s="1" t="s">
        <v>2616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1902</v>
      </c>
      <c r="E1168" s="1" t="n">
        <v>10009</v>
      </c>
      <c r="F1168" s="1" t="s">
        <v>469</v>
      </c>
      <c r="I1168" s="1" t="n">
        <v>1415529</v>
      </c>
      <c r="J1168" s="1" t="n">
        <v>52108</v>
      </c>
      <c r="K1168" s="1" t="n">
        <v>7891000364253</v>
      </c>
      <c r="L1168" s="1" t="s">
        <v>2617</v>
      </c>
      <c r="N1168" s="1" t="n">
        <v>12</v>
      </c>
      <c r="O1168" s="1" t="n">
        <v>47.63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1902</v>
      </c>
      <c r="E1169" s="1" t="n">
        <v>10009</v>
      </c>
      <c r="F1169" s="1" t="s">
        <v>469</v>
      </c>
      <c r="I1169" s="1" t="n">
        <v>1415529</v>
      </c>
      <c r="J1169" s="1" t="n">
        <v>54900</v>
      </c>
      <c r="K1169" s="1" t="n">
        <v>7891000376805</v>
      </c>
      <c r="L1169" s="1" t="s">
        <v>2618</v>
      </c>
      <c r="N1169" s="1" t="n">
        <v>33</v>
      </c>
      <c r="O1169" s="1" t="n">
        <v>76.94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1902</v>
      </c>
      <c r="E1170" s="1" t="n">
        <v>10009</v>
      </c>
      <c r="F1170" s="1" t="s">
        <v>469</v>
      </c>
      <c r="I1170" s="1" t="n">
        <v>1415529</v>
      </c>
      <c r="J1170" s="1" t="n">
        <v>54906</v>
      </c>
      <c r="K1170" s="1" t="n">
        <v>7891000377130</v>
      </c>
      <c r="L1170" s="1" t="s">
        <v>2619</v>
      </c>
      <c r="N1170" s="1" t="n">
        <v>66</v>
      </c>
      <c r="O1170" s="1" t="n">
        <v>147.98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1902</v>
      </c>
      <c r="E1171" s="1" t="n">
        <v>10009</v>
      </c>
      <c r="F1171" s="1" t="s">
        <v>469</v>
      </c>
      <c r="I1171" s="1" t="n">
        <v>1415529</v>
      </c>
      <c r="J1171" s="1" t="n">
        <v>55164</v>
      </c>
      <c r="K1171" s="1" t="n">
        <v>7891000365335</v>
      </c>
      <c r="L1171" s="1" t="s">
        <v>2620</v>
      </c>
      <c r="N1171" s="1" t="n">
        <v>20</v>
      </c>
      <c r="O1171" s="1" t="n">
        <v>79.89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1902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2621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1902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2622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1902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2623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1902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2624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1902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2625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1902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2626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1902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2627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1902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2628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1902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2629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1902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2630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1902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2631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1902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2632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1902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2633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1902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2634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1902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2635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1902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2636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1902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2637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1902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2638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1902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1924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1902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1925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1902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1926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1902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1925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1902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1926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1902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2639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1992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1993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2012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1993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1930</v>
      </c>
      <c r="E1198" s="1" t="n">
        <v>10081</v>
      </c>
      <c r="F1198" s="1" t="s">
        <v>1814</v>
      </c>
      <c r="I1198" s="1" t="n">
        <v>10</v>
      </c>
      <c r="J1198" s="1" t="n">
        <v>10470</v>
      </c>
      <c r="K1198" s="1" t="n">
        <v>7898392930059</v>
      </c>
      <c r="L1198" s="1" t="s">
        <v>2640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1930</v>
      </c>
      <c r="E1199" s="1" t="n">
        <v>10081</v>
      </c>
      <c r="F1199" s="1" t="s">
        <v>1814</v>
      </c>
      <c r="I1199" s="1" t="n">
        <v>10</v>
      </c>
      <c r="J1199" s="1" t="n">
        <v>30511</v>
      </c>
      <c r="K1199" s="1" t="n">
        <v>7891751000042</v>
      </c>
      <c r="L1199" s="1" t="s">
        <v>2641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1930</v>
      </c>
      <c r="E1200" s="1" t="n">
        <v>10081</v>
      </c>
      <c r="F1200" s="1" t="s">
        <v>1814</v>
      </c>
      <c r="I1200" s="1" t="n">
        <v>10</v>
      </c>
      <c r="J1200" s="1" t="n">
        <v>30828</v>
      </c>
      <c r="K1200" s="1" t="n">
        <v>7896818211867</v>
      </c>
      <c r="L1200" s="1" t="s">
        <v>2642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1930</v>
      </c>
      <c r="E1201" s="1" t="n">
        <v>10081</v>
      </c>
      <c r="F1201" s="1" t="s">
        <v>1814</v>
      </c>
      <c r="I1201" s="1" t="n">
        <v>10</v>
      </c>
      <c r="J1201" s="1" t="n">
        <v>30829</v>
      </c>
      <c r="K1201" s="1" t="n">
        <v>7896818218873</v>
      </c>
      <c r="L1201" s="1" t="s">
        <v>2643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1930</v>
      </c>
      <c r="E1202" s="1" t="n">
        <v>10081</v>
      </c>
      <c r="F1202" s="1" t="s">
        <v>1814</v>
      </c>
      <c r="I1202" s="1" t="n">
        <v>10</v>
      </c>
      <c r="J1202" s="1" t="n">
        <v>61698</v>
      </c>
      <c r="K1202" s="1" t="n">
        <v>7890785492434</v>
      </c>
      <c r="L1202" s="1" t="s">
        <v>2644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1930</v>
      </c>
      <c r="E1203" s="1" t="n">
        <v>10081</v>
      </c>
      <c r="F1203" s="1" t="s">
        <v>1814</v>
      </c>
      <c r="I1203" s="1" t="n">
        <v>10</v>
      </c>
      <c r="J1203" s="1" t="n">
        <v>81141</v>
      </c>
      <c r="K1203" s="1" t="n">
        <v>7899958261846</v>
      </c>
      <c r="L1203" s="1" t="s">
        <v>2645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1930</v>
      </c>
      <c r="E1204" s="1" t="n">
        <v>10081</v>
      </c>
      <c r="F1204" s="1" t="s">
        <v>1814</v>
      </c>
      <c r="I1204" s="1" t="n">
        <v>10</v>
      </c>
      <c r="J1204" s="1" t="n">
        <v>81285</v>
      </c>
      <c r="K1204" s="1" t="n">
        <v>7898611091042</v>
      </c>
      <c r="L1204" s="1" t="s">
        <v>2646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1930</v>
      </c>
      <c r="E1205" s="1" t="n">
        <v>10081</v>
      </c>
      <c r="F1205" s="1" t="s">
        <v>1814</v>
      </c>
      <c r="I1205" s="1" t="n">
        <v>10</v>
      </c>
      <c r="J1205" s="1" t="n">
        <v>81286</v>
      </c>
      <c r="K1205" s="1" t="n">
        <v>812870</v>
      </c>
      <c r="L1205" s="1" t="s">
        <v>2647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1930</v>
      </c>
      <c r="E1206" s="1" t="n">
        <v>10081</v>
      </c>
      <c r="F1206" s="1" t="s">
        <v>1814</v>
      </c>
      <c r="I1206" s="1" t="n">
        <v>10</v>
      </c>
      <c r="J1206" s="1" t="n">
        <v>81288</v>
      </c>
      <c r="K1206" s="1" t="n">
        <v>7908629713741</v>
      </c>
      <c r="L1206" s="1" t="s">
        <v>2648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1930</v>
      </c>
      <c r="E1207" s="1" t="n">
        <v>10081</v>
      </c>
      <c r="F1207" s="1" t="s">
        <v>1814</v>
      </c>
      <c r="I1207" s="1" t="n">
        <v>10</v>
      </c>
      <c r="J1207" s="1" t="n">
        <v>81289</v>
      </c>
      <c r="K1207" s="1" t="n">
        <v>7899958261884</v>
      </c>
      <c r="L1207" s="1" t="s">
        <v>2649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1930</v>
      </c>
      <c r="E1208" s="1" t="n">
        <v>10081</v>
      </c>
      <c r="F1208" s="1" t="s">
        <v>1814</v>
      </c>
      <c r="I1208" s="1" t="n">
        <v>10</v>
      </c>
      <c r="J1208" s="1" t="n">
        <v>81290</v>
      </c>
      <c r="K1208" s="1" t="n">
        <v>7898505850137</v>
      </c>
      <c r="L1208" s="1" t="s">
        <v>2650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1930</v>
      </c>
      <c r="E1209" s="1" t="n">
        <v>10081</v>
      </c>
      <c r="F1209" s="1" t="s">
        <v>1814</v>
      </c>
      <c r="I1209" s="1" t="n">
        <v>10</v>
      </c>
      <c r="J1209" s="1" t="n">
        <v>81291</v>
      </c>
      <c r="K1209" s="1" t="n">
        <v>7899958255685</v>
      </c>
      <c r="L1209" s="1" t="s">
        <v>2651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1930</v>
      </c>
      <c r="E1210" s="1" t="n">
        <v>10081</v>
      </c>
      <c r="F1210" s="1" t="s">
        <v>1814</v>
      </c>
      <c r="I1210" s="1" t="n">
        <v>10</v>
      </c>
      <c r="J1210" s="1" t="n">
        <v>81292</v>
      </c>
      <c r="K1210" s="1" t="n">
        <v>7908629714236</v>
      </c>
      <c r="L1210" s="1" t="s">
        <v>2652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1930</v>
      </c>
      <c r="E1211" s="1" t="n">
        <v>10081</v>
      </c>
      <c r="F1211" s="1" t="s">
        <v>1814</v>
      </c>
      <c r="I1211" s="1" t="n">
        <v>10</v>
      </c>
      <c r="J1211" s="1" t="n">
        <v>81293</v>
      </c>
      <c r="K1211" s="1" t="n">
        <v>7899110643312</v>
      </c>
      <c r="L1211" s="1" t="s">
        <v>2653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1930</v>
      </c>
      <c r="E1212" s="1" t="n">
        <v>10081</v>
      </c>
      <c r="F1212" s="1" t="s">
        <v>1814</v>
      </c>
      <c r="I1212" s="1" t="n">
        <v>10</v>
      </c>
      <c r="J1212" s="1" t="n">
        <v>81294</v>
      </c>
      <c r="K1212" s="1" t="n">
        <v>7898505884392</v>
      </c>
      <c r="L1212" s="1" t="s">
        <v>2654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1930</v>
      </c>
      <c r="E1213" s="1" t="n">
        <v>10081</v>
      </c>
      <c r="F1213" s="1" t="s">
        <v>1814</v>
      </c>
      <c r="I1213" s="1" t="n">
        <v>10</v>
      </c>
      <c r="J1213" s="1" t="n">
        <v>81295</v>
      </c>
      <c r="K1213" s="1" t="n">
        <v>7908629710382</v>
      </c>
      <c r="L1213" s="1" t="s">
        <v>2655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1930</v>
      </c>
      <c r="E1214" s="1" t="n">
        <v>10081</v>
      </c>
      <c r="F1214" s="1" t="s">
        <v>1814</v>
      </c>
      <c r="I1214" s="1" t="n">
        <v>10</v>
      </c>
      <c r="J1214" s="1" t="n">
        <v>81296</v>
      </c>
      <c r="K1214" s="1" t="n">
        <v>7898740980651</v>
      </c>
      <c r="L1214" s="1" t="s">
        <v>2656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1930</v>
      </c>
      <c r="E1215" s="1" t="n">
        <v>937</v>
      </c>
      <c r="F1215" s="1" t="s">
        <v>700</v>
      </c>
      <c r="I1215" s="1" t="n">
        <v>2316</v>
      </c>
      <c r="J1215" s="1" t="n">
        <v>81172</v>
      </c>
      <c r="K1215" s="1" t="n">
        <v>811736</v>
      </c>
      <c r="L1215" s="1" t="s">
        <v>2657</v>
      </c>
      <c r="N1215" s="1" t="n">
        <v>12</v>
      </c>
      <c r="O1215" s="1" t="n">
        <v>15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1930</v>
      </c>
      <c r="E1216" s="1" t="n">
        <v>937</v>
      </c>
      <c r="F1216" s="1" t="s">
        <v>700</v>
      </c>
      <c r="I1216" s="1" t="n">
        <v>2316</v>
      </c>
      <c r="J1216" s="1" t="n">
        <v>81147</v>
      </c>
      <c r="K1216" s="1" t="n">
        <v>9786555165807</v>
      </c>
      <c r="L1216" s="1" t="s">
        <v>2658</v>
      </c>
      <c r="N1216" s="1" t="n">
        <v>20</v>
      </c>
      <c r="O1216" s="1" t="n">
        <v>500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1930</v>
      </c>
      <c r="E1217" s="1" t="n">
        <v>937</v>
      </c>
      <c r="F1217" s="1" t="s">
        <v>700</v>
      </c>
      <c r="I1217" s="1" t="n">
        <v>2316</v>
      </c>
      <c r="J1217" s="1" t="n">
        <v>81160</v>
      </c>
      <c r="K1217" s="1" t="n">
        <v>7899471685273</v>
      </c>
      <c r="L1217" s="1" t="s">
        <v>2659</v>
      </c>
      <c r="N1217" s="1" t="n">
        <v>3</v>
      </c>
      <c r="O1217" s="1" t="n">
        <v>30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1930</v>
      </c>
      <c r="E1218" s="1" t="n">
        <v>937</v>
      </c>
      <c r="F1218" s="1" t="s">
        <v>700</v>
      </c>
      <c r="I1218" s="1" t="n">
        <v>2316</v>
      </c>
      <c r="J1218" s="1" t="n">
        <v>81161</v>
      </c>
      <c r="K1218" s="1" t="n">
        <v>811620</v>
      </c>
      <c r="L1218" s="1" t="s">
        <v>2660</v>
      </c>
      <c r="N1218" s="1" t="n">
        <v>3</v>
      </c>
      <c r="O1218" s="1" t="n">
        <v>54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1930</v>
      </c>
      <c r="E1219" s="1" t="n">
        <v>937</v>
      </c>
      <c r="F1219" s="1" t="s">
        <v>700</v>
      </c>
      <c r="I1219" s="1" t="n">
        <v>2316</v>
      </c>
      <c r="J1219" s="1" t="n">
        <v>81163</v>
      </c>
      <c r="K1219" s="1" t="n">
        <v>6926720607661</v>
      </c>
      <c r="L1219" s="1" t="s">
        <v>2661</v>
      </c>
      <c r="N1219" s="1" t="n">
        <v>3</v>
      </c>
      <c r="O1219" s="1" t="n">
        <v>60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1930</v>
      </c>
      <c r="E1220" s="1" t="n">
        <v>937</v>
      </c>
      <c r="F1220" s="1" t="s">
        <v>700</v>
      </c>
      <c r="I1220" s="1" t="n">
        <v>2316</v>
      </c>
      <c r="J1220" s="1" t="n">
        <v>81164</v>
      </c>
      <c r="K1220" s="1" t="n">
        <v>811651</v>
      </c>
      <c r="L1220" s="1" t="s">
        <v>2662</v>
      </c>
      <c r="N1220" s="1" t="n">
        <v>1</v>
      </c>
      <c r="O1220" s="1" t="n">
        <v>56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1930</v>
      </c>
      <c r="E1221" s="1" t="n">
        <v>937</v>
      </c>
      <c r="F1221" s="1" t="s">
        <v>700</v>
      </c>
      <c r="I1221" s="1" t="n">
        <v>2316</v>
      </c>
      <c r="J1221" s="1" t="n">
        <v>81170</v>
      </c>
      <c r="K1221" s="1" t="n">
        <v>811712</v>
      </c>
      <c r="L1221" s="1" t="s">
        <v>2663</v>
      </c>
      <c r="N1221" s="1" t="n">
        <v>12</v>
      </c>
      <c r="O1221" s="1" t="n">
        <v>12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1930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2664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1930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2665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1930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2666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1930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2667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1930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2668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1930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2669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1930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2670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1930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2671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1930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2672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1930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2673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1930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2674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1930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2675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1930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2676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1930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2677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1930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2678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1930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2679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1930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2678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1938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1939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1938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1939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1938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1940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1938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1941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1938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1942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1938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1943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1938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2040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1938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1944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1938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1945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1938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1945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1938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1946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1938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1946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1938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1947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1938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1948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1938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1949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1938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1950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1938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1951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1938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1952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1938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1953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1938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1954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1938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1954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1938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1955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1938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1955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1938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1956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1938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1956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1938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1957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1938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1957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1958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1946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1958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1954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1958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1939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1958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1940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1958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1941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1958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1942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1958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1943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1958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2040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1958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1945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1958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1955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1958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1956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1958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1957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1958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1939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1958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1944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1958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1945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1958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1946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1958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1947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1958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1948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1958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1949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1958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1950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1958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1951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1958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1952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1958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1953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1958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1954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1958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1955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1958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1956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1958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1957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1902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1961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1902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1962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1902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1963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1902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1964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1902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2048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1902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1965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1902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1905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1902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1967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1902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2680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1902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2681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1902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2682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1902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2683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1902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2684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1902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2685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1902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2686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1902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2687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1902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2688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1902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2689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1902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2690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1902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2690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1902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2691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1902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2692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1902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2693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1902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2694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1902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2695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1902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2696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1902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2697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1902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2698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1902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2699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1902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2700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1902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2701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1902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2702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1902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2703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1902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2704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1902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2705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1902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2706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1902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2707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1902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2708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1902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2709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1902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2710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1902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2711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1902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1921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1902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2712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1902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2017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1902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2713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1902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2022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1902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2714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1902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2034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1902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2028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1902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2029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1902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2031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1902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2032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1902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1927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1902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1928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1902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1929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1902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2118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1902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2715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1902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2454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1902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2034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1902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2035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1992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1994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1992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1995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1992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2716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1992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1996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1992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2152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1992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2000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1992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2001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1992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2002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1992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2003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1992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2153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1992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2004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1992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2005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1992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2006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1992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2717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1992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2008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1992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2154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1992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2009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1992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2010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1992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2011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2012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1994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2012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1995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2012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2716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2012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1996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2012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2152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2012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2000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2012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2001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2012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2002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2012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2003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2012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2153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2012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2004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2012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2005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2012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2006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2012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2717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2012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2008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2012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2154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2012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2009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2012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2010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2012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2011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1930</v>
      </c>
      <c r="E1391" s="1" t="n">
        <v>1391</v>
      </c>
      <c r="F1391" s="1" t="s">
        <v>1819</v>
      </c>
      <c r="I1391" s="1" t="n">
        <v>394</v>
      </c>
      <c r="J1391" s="1" t="n">
        <v>25750</v>
      </c>
      <c r="K1391" s="1" t="n">
        <v>78937529</v>
      </c>
      <c r="L1391" s="1" t="s">
        <v>2718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1930</v>
      </c>
      <c r="E1392" s="1" t="n">
        <v>1391</v>
      </c>
      <c r="F1392" s="1" t="s">
        <v>1819</v>
      </c>
      <c r="I1392" s="1" t="n">
        <v>394</v>
      </c>
      <c r="J1392" s="1" t="n">
        <v>36733</v>
      </c>
      <c r="K1392" s="1" t="n">
        <v>78939035</v>
      </c>
      <c r="L1392" s="1" t="s">
        <v>2719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1930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2720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1930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2721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1930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2722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1930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2723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1930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2724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1930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2725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1930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2726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1930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2727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1930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2728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1930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2729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1930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2730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1930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2731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1930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2732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1930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2733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1930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2734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1930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2735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1930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2736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1930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2737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1930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2738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1930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2739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1930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2740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1930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2741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1930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2742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1930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2743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1930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2744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1930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2745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1930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2746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1930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2747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1930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2748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1930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2749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1930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2750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1930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2751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1930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2752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1930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2753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1930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2754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2755</v>
      </c>
      <c r="E1428" s="1" t="n">
        <v>1203</v>
      </c>
      <c r="F1428" s="1" t="s">
        <v>1823</v>
      </c>
      <c r="I1428" s="1" t="n">
        <v>18964</v>
      </c>
      <c r="J1428" s="1" t="n">
        <v>80007</v>
      </c>
      <c r="K1428" s="1" t="n">
        <v>800082</v>
      </c>
      <c r="L1428" s="1" t="s">
        <v>2756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2755</v>
      </c>
      <c r="E1429" s="1" t="n">
        <v>1203</v>
      </c>
      <c r="F1429" s="1" t="s">
        <v>1823</v>
      </c>
      <c r="I1429" s="1" t="n">
        <v>18964</v>
      </c>
      <c r="J1429" s="1" t="n">
        <v>80009</v>
      </c>
      <c r="K1429" s="1" t="n">
        <v>800105</v>
      </c>
      <c r="L1429" s="1" t="s">
        <v>2757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2755</v>
      </c>
      <c r="E1430" s="1" t="n">
        <v>1203</v>
      </c>
      <c r="F1430" s="1" t="s">
        <v>1823</v>
      </c>
      <c r="I1430" s="1" t="n">
        <v>18964</v>
      </c>
      <c r="J1430" s="1" t="n">
        <v>80011</v>
      </c>
      <c r="K1430" s="1" t="n">
        <v>800129</v>
      </c>
      <c r="L1430" s="1" t="s">
        <v>2758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2755</v>
      </c>
      <c r="E1431" s="1" t="n">
        <v>1203</v>
      </c>
      <c r="F1431" s="1" t="s">
        <v>1823</v>
      </c>
      <c r="I1431" s="1" t="n">
        <v>18964</v>
      </c>
      <c r="J1431" s="1" t="n">
        <v>81423</v>
      </c>
      <c r="K1431" s="1" t="n">
        <v>814249</v>
      </c>
      <c r="L1431" s="1" t="s">
        <v>2759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2755</v>
      </c>
      <c r="E1432" s="1" t="n">
        <v>1203</v>
      </c>
      <c r="F1432" s="1" t="s">
        <v>1823</v>
      </c>
      <c r="I1432" s="1" t="n">
        <v>18964</v>
      </c>
      <c r="J1432" s="1" t="n">
        <v>81425</v>
      </c>
      <c r="K1432" s="1" t="n">
        <v>814263</v>
      </c>
      <c r="L1432" s="1" t="s">
        <v>2760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2755</v>
      </c>
      <c r="E1433" s="1" t="n">
        <v>1203</v>
      </c>
      <c r="F1433" s="1" t="s">
        <v>1823</v>
      </c>
      <c r="I1433" s="1" t="n">
        <v>18964</v>
      </c>
      <c r="J1433" s="1" t="n">
        <v>81427</v>
      </c>
      <c r="K1433" s="1" t="n">
        <v>814287</v>
      </c>
      <c r="L1433" s="1" t="s">
        <v>2761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2755</v>
      </c>
      <c r="E1434" s="1" t="n">
        <v>645</v>
      </c>
      <c r="F1434" s="1" t="s">
        <v>1825</v>
      </c>
      <c r="I1434" s="1" t="n">
        <v>35695</v>
      </c>
      <c r="J1434" s="1" t="n">
        <v>81429</v>
      </c>
      <c r="K1434" s="1" t="n">
        <v>814300</v>
      </c>
      <c r="L1434" s="1" t="s">
        <v>2762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2475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2658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1902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1959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1902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1903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1902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1904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1902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2403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1902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2042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1902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1906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1902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2763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1902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2764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1902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2065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1902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1907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1902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2765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1902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2766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1902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2766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1902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2767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1902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2768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1902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2769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1902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2770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1902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2771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1902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2772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1902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2766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1902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2766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1902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2773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1902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2774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1902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2775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1902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2776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1902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2777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1902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2778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1902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2779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1902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2780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1902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2781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1902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2782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1902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2783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1902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2784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1902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2785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1902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2786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1902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2787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1902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2788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1902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2789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1902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2790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1902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2791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1902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2792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1902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2793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1902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2794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1902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2725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1902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2795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1902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2796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1902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2797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1902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2798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1902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2799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1902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2800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1902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2534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1902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2801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1902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1924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1902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1925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1902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1926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1992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1993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2012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1993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1930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2802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2475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2803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2475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2804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1902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2805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1902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2806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1902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2807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1902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2808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1902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2809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1902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2810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1902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2811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1902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2812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1902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2813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1902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2814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1902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2815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1902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2816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1902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2817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1902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2818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1902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2819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1902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2820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1902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2821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1902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2822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1902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2823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1902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2824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1902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2825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1902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2826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1902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2827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1902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2828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1902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2829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1902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2830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1902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2831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1902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2832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1902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2833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1902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2834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1902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2835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1902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1908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1902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1909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1902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2082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1902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2836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1902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2836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1902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2837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1902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2838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1902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2839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1902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2840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1902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2841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1902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2842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1902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2843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1902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2038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1902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2039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1902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2844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1902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2845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1902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2846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1902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2847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1902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2848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1902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2849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1902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2850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1902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2851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1902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1948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1902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1949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1902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1950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1902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2852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1902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2096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1902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2853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1902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2854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1902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2855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1902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2856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1902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2857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1902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2858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1902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2859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1902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2860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1902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2861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1902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2860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1902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2862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1902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2863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1902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2864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1902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2865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1902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2866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1902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2867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1902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2868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1902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2869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1902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2870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1902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2871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1902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2872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1902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2873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1902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2874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1902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2875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1902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2876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1902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2877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1902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2878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1902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2879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1902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2880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1902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2881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1902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2882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1902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2883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1902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2884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1902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2885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1902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2886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1902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2887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1902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2558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1902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2888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1902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2889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1902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2890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1902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2891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1902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2892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1902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2893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1902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2894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1902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2895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1902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2896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1902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2897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1902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2453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1902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2027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1902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2028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1902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2031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1902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2898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1902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2116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1902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1937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1930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2899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1938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1939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1938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1939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1938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1940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1938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1941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1938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1942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1938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1943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1938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2040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1938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1944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1938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1945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1938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1945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1938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1946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1938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1946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1938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1947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1938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1948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1938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1949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1938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1950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1938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1951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1938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1952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1938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1952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1938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1953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1938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1954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1938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1954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1938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1955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1938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1955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1938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1956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1938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1956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1938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1957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1938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1957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1938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1957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2755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2900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2755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2901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1958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1939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1958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1944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1958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1945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1958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1946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1958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1947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1958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1948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1958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1949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1958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1950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1958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1951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1958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1952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1958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1953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1958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1954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1958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1955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1958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1956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1958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1957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1958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1946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1958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1952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1958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1954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1958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1957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1958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1939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1958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1940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1958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1941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1958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1942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1958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1943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1958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2040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1958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1945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1958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1955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1958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1956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1958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1957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1902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2902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1902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2169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1902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2170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1902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1960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1902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2903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1902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2904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1902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2905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1902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2906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1902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2907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1902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2908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1902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2043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1902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2045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1902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2046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1902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2047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1902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2065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1902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1907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1902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2909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1902</v>
      </c>
      <c r="E1686" s="1" t="n">
        <v>1609</v>
      </c>
      <c r="F1686" s="1" t="s">
        <v>103</v>
      </c>
      <c r="I1686" s="1" t="n">
        <v>5679</v>
      </c>
      <c r="J1686" s="1" t="n">
        <v>17163</v>
      </c>
      <c r="K1686" s="1" t="n">
        <v>7896981600567</v>
      </c>
      <c r="L1686" s="1" t="s">
        <v>2066</v>
      </c>
      <c r="N1686" s="1" t="n">
        <v>9</v>
      </c>
      <c r="O1686" s="1" t="n">
        <v>80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1902</v>
      </c>
      <c r="E1687" s="1" t="n">
        <v>1609</v>
      </c>
      <c r="F1687" s="1" t="s">
        <v>103</v>
      </c>
      <c r="I1687" s="1" t="n">
        <v>5679</v>
      </c>
      <c r="J1687" s="1" t="n">
        <v>13225</v>
      </c>
      <c r="K1687" s="1" t="n">
        <v>7896981601151</v>
      </c>
      <c r="L1687" s="1" t="s">
        <v>2910</v>
      </c>
      <c r="N1687" s="1" t="n">
        <v>12</v>
      </c>
      <c r="O1687" s="1" t="n">
        <v>45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1902</v>
      </c>
      <c r="E1688" s="1" t="n">
        <v>1609</v>
      </c>
      <c r="F1688" s="1" t="s">
        <v>103</v>
      </c>
      <c r="I1688" s="1" t="n">
        <v>5679</v>
      </c>
      <c r="J1688" s="1" t="n">
        <v>13720</v>
      </c>
      <c r="K1688" s="1" t="n">
        <v>7896981600307</v>
      </c>
      <c r="L1688" s="1" t="s">
        <v>2067</v>
      </c>
      <c r="N1688" s="1" t="n">
        <v>9</v>
      </c>
      <c r="O1688" s="1" t="n">
        <v>55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1902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2072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1902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2911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1902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2912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1902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2912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1902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1910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1902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1911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1902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1912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1902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1913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1902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1914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1902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1915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1902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1917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1902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1919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1902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1920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1902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2913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1902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2914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1902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2227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1902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2915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1902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2916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1902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2917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1902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2230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1902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2918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1902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2919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1902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2920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1902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2921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1902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2922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1902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2923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1902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2924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1902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1909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1902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2925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1902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2926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1902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2927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1902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2928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1902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2929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1902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2930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1902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2931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1902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2932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1902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2933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1902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2934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1902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2935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1902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2936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1902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2937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1902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2938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1902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2939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1902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2940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1902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2917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1902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2941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1902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2942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1902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2943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1902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2944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1902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2945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1902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2946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1902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2947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1902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2948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1902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2949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1902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2950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1902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2949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1902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2951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1902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2952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1902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2953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1902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2954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1902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2955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1902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2956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1902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2957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1902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2958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1902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2959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1902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1970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1902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1971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1902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1972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1902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1973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1902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1975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1902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2421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1902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2021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1902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2960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1902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2020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1902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1921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1902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2961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1902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1922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1902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2422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1902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2962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1902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2427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1902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2432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1902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2963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1902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2964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1902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2965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1902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2437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1902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2966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1902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2967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1902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2439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1902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2968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1902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2969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1902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2970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1902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2971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1902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2972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1902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2973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1902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2974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1902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2975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1902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2976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1902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2977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1902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2978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1902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2979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1902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2980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1902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2981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1902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2982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1902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2983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1902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2984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1902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2985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1902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2986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1902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2987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1902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2988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1902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2989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1902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2990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1902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2991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1902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2992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1902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2993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1902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2994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1902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2995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1902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2996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1902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2997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1902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2998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1902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2982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1902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2293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1902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2999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1902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3000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1902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3001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1902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3002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1902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3003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1902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3004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1902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3005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1902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3006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1902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3007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1902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2100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1902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2441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1902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2103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1902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2104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1902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2105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1902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2108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1902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2109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1902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2446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1902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1982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1902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2110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1902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1984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1902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3008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1902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1987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1902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1991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1902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3003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1902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3009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1902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2114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1902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2115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1902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1927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1902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3010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1902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2034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1902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3011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1902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3012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1902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3013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1902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3014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1902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3015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1902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3016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1902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3017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1902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3018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1902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3019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1902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3020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1902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3021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1902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3022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1902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3023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1902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3024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1902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3025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1902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3026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1902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3027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1902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3028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1902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3029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1902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3030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1902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3031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1902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3032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1902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3032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1902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3033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1902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3034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1902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3035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1902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3036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1992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1993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1992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1996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1992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1999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1992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2001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1992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2002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1992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2153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1992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2055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1992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2005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1992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2006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1992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2007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1992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2008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1992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2009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1992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2196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1992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2010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2012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1993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2012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1996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2012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1999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2012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2001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2012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2002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2012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2153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2012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2055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2012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2005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2012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2006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2012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2007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2012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2008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2012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2009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2012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2196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2012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2010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1930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3037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1930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3038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1930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2059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1930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2061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1930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3039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1930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3040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1930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3041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1930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2062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1930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3042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1930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3043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1930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3044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1930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1928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1930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1929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1930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3045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1930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2026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1930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2018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1930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3046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1938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1939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1938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1940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1938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1941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1938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1942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1938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1943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1938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2040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1938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1945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1938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2041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1938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1955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1938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1956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1938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1957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1958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1939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1958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1940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1958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1941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1958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1942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1958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1943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1958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2040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1958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1945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1958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2041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1958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1955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1958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1956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1958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1957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1902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1960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1902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1961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1902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1962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1902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1963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1902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1964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1902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2048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1902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1965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1902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1966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1902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1905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1902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1967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1902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3047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1902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3048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1902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3049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1902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3050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1902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3051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1902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3052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1902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3053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1902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3054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1902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3055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1902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3055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1902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3056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1902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3056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1902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3057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1902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3057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1902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1924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1902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1925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1902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1926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1902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1924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1902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1926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1902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1924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1902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1925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1902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1926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1992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1994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1992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1995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1992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1996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1992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2455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1992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1998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1992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1999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1992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2000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1992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2001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1992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2002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1992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2003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1992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2055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1992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2004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1992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2005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1992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2006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1992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2057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1992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2058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1992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2008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1992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2009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1992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2010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2012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1994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2012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1995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2012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1996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2012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2455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2012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1998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2012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1999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2012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2000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2012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2001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2012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2002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2012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2003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2012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2055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2012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2004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2012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2005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2012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2006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2012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2057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2012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2058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2012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2008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2012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2009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2012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2010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3058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3059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2755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3060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2755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3061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2755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3062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2755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3063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2755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3064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2755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3065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1902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1968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1902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1969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1902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1968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1902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1969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1902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1968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1902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1969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1902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1968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1902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3066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1902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3067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1902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1903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1902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1904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1902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2403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1902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2042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1902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1906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1902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1903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1902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1904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1902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1905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1902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2403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1902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1906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1902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3068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1902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3069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1902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3070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1902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3071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1902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3072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1902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3073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1902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3074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1902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3075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1902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3076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1902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3077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1902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3078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1902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3079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1902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3080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1902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3081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1902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3082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1902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3083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1902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3084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1902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3085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1902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3086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1902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3087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1902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3088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1902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3089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1902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3090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1902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3091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1902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3092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1902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3093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1902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3094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1902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3095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1902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3096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1902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3097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1902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3098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1902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3099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1902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3100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1902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3101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1902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3102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1902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3103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1902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3104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1902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3105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1902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3106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1902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3107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1902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3108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1902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2853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1902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3109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1902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3110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1902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3111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1902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3112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1902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3113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1902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2178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1902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2179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1902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2180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1902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2182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1902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3114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1902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3115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1902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3116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1902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3117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1902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2185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1902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2186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1902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3118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1902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2187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1902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3119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1902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2189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1902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2191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1902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2192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1902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1968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1902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3120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1902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3121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1902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3122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1902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2089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1902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3123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1902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3124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1902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3125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1902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3126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1902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2577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1902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3127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1902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3128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1902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3129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1902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3130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1902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3131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1902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3132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1902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3133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1902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3134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1902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3135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1902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3136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1902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3137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1902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3138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1902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3139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1902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3140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1902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3141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1902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3142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1902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3143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1902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3144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1902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3145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1902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3146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1902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3147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1902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3148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1902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3149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1902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3150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1902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3151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1902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3152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1902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3153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1902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3154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1902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3155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1902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1908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1902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1909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1902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2082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1902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3156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1902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2248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1902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2249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1902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3157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1902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3158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1902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1924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1902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1926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1902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3159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1902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3160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1902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3161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1902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3162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1902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3163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1902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3164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1902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3165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1902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3166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1902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3167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1902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3168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1902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3169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1902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3170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1902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3171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1902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3172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1902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3173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1902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3174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1902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3175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1902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3176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1902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3177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1902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3178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1902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3179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1902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2113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1902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2034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1902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2026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1902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2029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1902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2032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1902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1929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1902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2454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1902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2034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1902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2035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1930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3180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1930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3181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1930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3182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1930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3183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1930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3184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1930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3185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1930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3186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1930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3187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1930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3188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1930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3189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1930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3190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1930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3191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1930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3192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1930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3193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1930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3194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1930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3195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1930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2016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1938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1939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1938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1939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1938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1940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1938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1941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1938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1942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1938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1943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1938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2040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1938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1944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1938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1945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1938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1945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1938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1946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1938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1946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1938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1947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1938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1948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1938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1949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1938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1950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1938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1951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1938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1952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1938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1953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1938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1954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1938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1954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1938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1955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1938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1955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1938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1956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1938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1956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1938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1957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1938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1957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1938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2121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1958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1946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1958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1954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1958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1939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1958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1940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1958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1941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1958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1942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1958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1943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1958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2040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1958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1945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1958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1955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1958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1956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1958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1957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1958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1939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1958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1944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1958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1945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1958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1946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1958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1947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1958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1948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1958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1949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1958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1950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1958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1951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1958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1952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1958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1953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1958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1954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1958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1955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1958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1956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1958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1957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1958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2121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1902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1903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1902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1904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1902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1905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1902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2403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1902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2042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1902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1906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1902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2038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1902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2039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1902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2084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1902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3196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1902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3197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1902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3198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1902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3199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1902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3200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1902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3201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1902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3202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1902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3203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1902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3204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1902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3205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1902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3206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1902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3207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1902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3208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1902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3209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1902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3210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1902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3211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1902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1970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1902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1971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1902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1972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1902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1974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1902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1975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1902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3212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1902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3213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1902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3214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1902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2083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1902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2084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1902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3215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1902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2430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1902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3216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1902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3217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1902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3218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1902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2436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1902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3219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1902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3220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1992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1993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1992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2151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1992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2716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1992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1998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1992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2152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1992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2000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1992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2001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1992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2002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1992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2056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1992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2004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1992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2005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1992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2006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1992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2058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1992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2007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1992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2008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1992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2009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1992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2010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2012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1993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2012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2151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2012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2716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2012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1998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2012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2152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2012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2000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2012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2001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2012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2002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2012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2056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2012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2004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2012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2005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2012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2006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2012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2058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2012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2007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2012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2008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2012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2009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2012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2010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1930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2678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1902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2169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1902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2170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1902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1959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1902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2169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1902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2170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1902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2066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1902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2070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1902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2071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1902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2074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1902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2080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1902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2082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1902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2082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1902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2082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1902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2229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1902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2918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1902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3221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1902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3222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1902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3223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1902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3224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1902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3225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1902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3226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1902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3227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1902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1926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1930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2204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1930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2208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1930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2209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1930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2210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1930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2211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1930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2213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1930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2214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1930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2215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1930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2216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1930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2217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1930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2218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1930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2219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1930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2221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1938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1946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1938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1952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1938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1954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1938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1957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1958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1946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1958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1952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1958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1954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1958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1957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1958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1946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1958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1952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1958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1954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1958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1957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1958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1946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1958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1952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1958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1954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1958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1957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1902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1960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1902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1908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1902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3228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1902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2522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1902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2523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1902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2525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1902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2526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1902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2527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1902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3056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1902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2530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1902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3229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1902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2538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1902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3230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1902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2539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1902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2540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1902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3231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1902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3231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1902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3232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1902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3233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1902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2549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1902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2556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1902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2557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1902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3234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1902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3235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1902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1924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1902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1926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1902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1927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1902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2116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1902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2034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1902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2035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1902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2112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1902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2113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1992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1993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2012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1993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1930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2425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1938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1939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1938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1944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1938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1945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1938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1946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1938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1947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1938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1948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1938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1949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1938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1950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1938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1951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1938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1952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1938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1953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1938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3236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1938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1954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1938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1955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1938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3237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1938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1957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1958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1939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1958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1944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1958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1945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1958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1946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1958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1947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1958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1948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1958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1949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1958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1950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1958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1951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1958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1952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1958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1953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1958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3236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1958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1954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1958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1955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1958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3237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1958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1957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1902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1960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1902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2043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1902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2045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1902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2046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1902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2047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1902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1924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1902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1925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1902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1926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1992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1994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1992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1995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1992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1996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1992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2000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1992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2001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1992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2002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1992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2003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1992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2153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1992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2055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1992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2004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1992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2005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1992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2006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1992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2117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1992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2154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1992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2009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1992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2010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2012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1994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2012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1995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2012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1996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2012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2000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2012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2001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2012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2002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2012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2003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2012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2153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2012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2055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2012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2004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2012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2005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2012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2006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2012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2117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2012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2154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2012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2009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2012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2010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1902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1904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1902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1905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1902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2403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1902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2042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1902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1906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1902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2065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1902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1907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1902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1961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1902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1962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1902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1963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1902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1964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1902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1966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1902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1905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1902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1967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1902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1908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1902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1909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1902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3238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1902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3239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1902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3240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1902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3241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1902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3242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1902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3243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1902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3244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1902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3245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1902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3246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1902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3247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1902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3248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1902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3249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1902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3250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1902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3251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1902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3252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1902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3253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1902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3254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1902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3255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1902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3256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1902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2639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1992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1993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2012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1993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1938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1939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1938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1939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1938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1940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1938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1941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1938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1942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1938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1943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1938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1943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1938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1944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1938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1945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1938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1945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1938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1946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1938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1947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1938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1948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1938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1949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1938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1950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1938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1952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1938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1953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1938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2120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1938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2041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1938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1954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1938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1955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1938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3237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1938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3237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1938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1957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1938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2121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1958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1939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1958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1940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1958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1941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1958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1942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1958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1943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1958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1945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1958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2041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1958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3237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1958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1939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1958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1943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1958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1944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1958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1945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1958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1946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1958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1947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1958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1948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1958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1949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1958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1950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1958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1952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1958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1953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1958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2120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1958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1954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1958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1955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1958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3237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1958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1957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1958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2121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2475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3257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1902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3258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1902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3259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1902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3260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1902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3261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1902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3262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1902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3263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1902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3264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1902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3265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1902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3266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1902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3267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1902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3268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1902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3269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1902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3270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1902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3271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1902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3272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1902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3273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1902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3274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1902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3275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1902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3276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1902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3277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1902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3278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1902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3278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1902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3279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1902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3280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1902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3281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1902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3282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1902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3283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1902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3284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1902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3284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1902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3285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1902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3286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1902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3287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1902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3288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1902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3289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1902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3290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1902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3291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1902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3292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1902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3293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1902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3294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1902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3295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1902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3296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1902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3297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1902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3298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1902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3299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1902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3300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1902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3301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1902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3302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1902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3303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1902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2049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1902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2050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1902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3304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1902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2051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1902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2053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1902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2050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1902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3305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1902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2233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1902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3306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1902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3307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1902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2233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1902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2234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1902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3308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1902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2235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1902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2233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1902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3309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1902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3310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1902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3311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1902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3312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1902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2239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1902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2240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1902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2244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1902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2245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1902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3313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1902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3314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1902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1947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1902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1948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1902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1949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1902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1950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1902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2802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1902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2174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1902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1924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1902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1926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1902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3315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1902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3316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1902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3317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1902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3318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1902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2092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1902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2232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1902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3319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1902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3320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1902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2169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1902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2170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1902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3321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1902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3322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1902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3323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1902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3324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1902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2069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1902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2070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1902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2071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1902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2072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1902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2073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1902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2075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1902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2076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1902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2077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1902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2078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1902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2079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1902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2080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1902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2081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1902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2226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1902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2426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1902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3325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1902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2091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1902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2142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1902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2143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1902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2144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1902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3326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1902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3327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1902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2149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1902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3328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1902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3228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1902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3329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1902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2524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1902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2527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1902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3056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1902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2528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1902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3330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1902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2529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1902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2531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1902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3331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1902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2533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1902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2535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1902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2537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1902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2540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1902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3231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1902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2801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1902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2543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1902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2549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1902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2553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1902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2554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1902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3332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1902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2556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1902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3057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1902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3234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1902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1970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1902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1971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1902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1972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1902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1973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1902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1974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1902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1975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1902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3333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1902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2177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1902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3113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1902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2179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1902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3334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1902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3335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1902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2184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1902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2185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1902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2186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1902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3336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1902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2188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1902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3119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1902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2189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1902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1925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1902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1926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1902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2097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1902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2440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1902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2100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1902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2101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1902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2103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1902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2104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1902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2105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1902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2443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1902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2106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1902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1977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1902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3337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1902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2108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1902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2109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1902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2446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1902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1981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1902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2110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1902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2447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1902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1983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1902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3338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1902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2449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1902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3339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1902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1984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1902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1985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1902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1986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1902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3008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1902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2450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1902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1991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1902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2452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1992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1993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1992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1994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1992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1996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1992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1998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1992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2152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1992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1999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1992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2000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1992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2001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1992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2002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1992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2004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1992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2006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1992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2058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1992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2008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1992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2009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1992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2010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2012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1993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2012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1994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2012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1996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2012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1998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2012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2152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2012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1999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2012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2000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2012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2001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2012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2002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2012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2004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2012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2006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2012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2058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2012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2008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2012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2009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2012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2010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1902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1960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1902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1903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1902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1904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1902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1905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1902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2403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1902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2042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1902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1906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1902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1908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1902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1909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1902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2082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1902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2082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1902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2082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1938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1939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1938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1939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1938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1940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1938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1941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1938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1942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1938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1943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1938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1944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1938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1945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1938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1945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1938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1945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1938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1946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1938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1946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1938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1947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1938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1948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1938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1949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1938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1950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1938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1951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1938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1952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1938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1952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1938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1953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1938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3340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1938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1954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1938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1954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1938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1955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1938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1955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1938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1955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1938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1956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1938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3237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1938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3237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1938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1957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1958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1939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1958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1944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1958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1945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1958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1946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1958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1947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1958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1948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1958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1949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1958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1950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1958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1951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1958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1952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1958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1953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1958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1954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1958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1955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1958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3237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1958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1957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1958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1939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1958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1940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1958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1941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1958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1942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1958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1943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1958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1945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1958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1955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1958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3237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1958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1945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1958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1946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1958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1952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1958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3340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1958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1954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1958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1955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1958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1956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1958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1945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1958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1946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1958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1952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1958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3340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1958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1954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1958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1955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1958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1956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1958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1945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1958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1946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1958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1952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1958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1954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1958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1955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1958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1956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1902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2171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1902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2044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1902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2045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1902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2046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1902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2047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1902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1908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1902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1921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1902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1923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1902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2899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1902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3341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1902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2423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1902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1924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1902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1925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1902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1926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1902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2032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1992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1993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2012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1993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1930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2113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1930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2034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1930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2453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1930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2026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1930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2115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1930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2029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1930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2032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1930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1927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1930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1928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1930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1929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1930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3342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1930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3343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1930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3344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1930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2116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1930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3046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1930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3045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1930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3345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1930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2454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1930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2034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1930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2035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1930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3346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1930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3346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1930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3346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1930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3347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1930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3011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1930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2036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1938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1939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1938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1944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1938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1945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1938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1946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1938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1947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1938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1948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1938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1949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1938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1950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1938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1951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1938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1952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1938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1953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1938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1954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1938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1955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1938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3237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1938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1957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1958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1939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1958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1944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1958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1945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1958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1946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1958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1947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1958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1948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1958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1949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1958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1950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1958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1951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1958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1952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1958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1953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1958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1954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1958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1955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1958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3237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1958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1957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1902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1961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1902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1962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1902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1963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1902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1964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1902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2048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1902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1965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1902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1905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1902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1967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1902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3348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1902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3349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1902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3350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1902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3351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1902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3352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1902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3353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1902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3352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1902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3354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1902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2420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1902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1970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1902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1971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1902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1972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1902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1973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1902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1975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1902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3355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1902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2425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1902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2427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1902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2429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1902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3356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1902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2437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1902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3357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1902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2439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1902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1924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1902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1925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1902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1926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1992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1994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1992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1995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1992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2716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1992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1996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1992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2455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1992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1998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1992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2152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1992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1999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1992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2000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1992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2001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1992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2002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1992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2003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1992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2153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1992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2055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1992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2056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1992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2004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1992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2005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1992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2006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1992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2057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1992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2008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1992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2154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1992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2009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1992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2011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2012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1994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2012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1995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2012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2716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2012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1996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2012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2455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2012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1998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2012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2152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2012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1999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2012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2000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2012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2001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2012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2002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2012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2003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2012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2153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2012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2055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2012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2056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2012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2004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2012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2005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2012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2006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2012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2057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2012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2008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2012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2154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2012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2009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2012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2011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1930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3358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1902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3359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1902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3360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1902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3361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1902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3362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1902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3363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1902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3364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1902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1960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1902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1904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1902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1905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1902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2403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1902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2042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1902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1906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1902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2065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1902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1907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1902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2122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1902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2123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1902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3365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1902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3366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1902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2124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1902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2125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1902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2127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1902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2132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1902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3367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1902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3368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1902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2133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1902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3369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1902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3370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1902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2136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1902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3371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1902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3372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1902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2138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1902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3373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1902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3374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1902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3375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1902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3376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1902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3377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1902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3378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1902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3379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1902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1909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1902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2016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1902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3380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1902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2712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1902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2017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1902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1921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1902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2114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1902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2027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1902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2714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1902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2960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1902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2016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1902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3380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1902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2712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1902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2017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1902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1921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1902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1924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1902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1925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1902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1926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1902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2030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1902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2030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1902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2028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2012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2193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2012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2194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2012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2195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2012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3381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1938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1939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1938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1940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1938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1941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1938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1942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1938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2040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1938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1945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1938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3236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1938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1955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1938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3237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1938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1957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1958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1939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1958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1940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1958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1941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1958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1942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1958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2040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1958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1945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1958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3236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1958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1955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1958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3237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1958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1957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1902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1959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1902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2038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1902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2039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1902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2404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1902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1908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1902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1909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1902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3382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1902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2487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1902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3383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1902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3384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1902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3385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1902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3386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1902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2865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1902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2874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1902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3387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1902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3388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1902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3389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1902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2227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1902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3390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1902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2713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1902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2278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1902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2279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1902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2282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1902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2283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1902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3391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1902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2285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1902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2286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1902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3392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1902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2287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1902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3393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1902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2289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1902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2290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1902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2292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1902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3394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1902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2104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1902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2107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1902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2109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1902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1981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1902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2110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1902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2447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1902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1985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1902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2450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1902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2028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1902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2913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1902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3395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1902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3396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1902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3397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1902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3398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1902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3399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1902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3400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1902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3401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1902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3402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1902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3403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1902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3404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1902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3405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1902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3406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1902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3407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1902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3408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1902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3409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1902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3410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1902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3411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1902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3412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1902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3413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1902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3414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1902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3415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1902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3416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1902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3417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1902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3418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2012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1945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2012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2802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2012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3419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2012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3420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2012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3421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2012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3422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2012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1955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2012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3423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2012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1993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1930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3424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1930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3425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1930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3426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1930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3426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1938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1939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1938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1939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1938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1940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1938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1941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1938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1942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1938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1943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1938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1943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1938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2040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1938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1944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1938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1945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1938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1945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1938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1946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1938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1947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1938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1948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1938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1949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1938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1950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1938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1951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1938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1952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1938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1953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1938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3236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1938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2120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1938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2041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1938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1954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1938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1955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1938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3237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1938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3237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1938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1957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1938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2121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1958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1939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1958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1940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1958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1941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1958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1942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1958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1943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1958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2040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1958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1945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1958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3236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1958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2041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1958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3237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1958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1957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1958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1939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1958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1943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1958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1944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1958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1945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1958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1946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1958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1947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1958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1948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1958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1949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1958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1950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1958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1951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1958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1952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1958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1953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1958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2120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1958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1954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1958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1955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1958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3237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1958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2121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2475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3427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2475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3412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2475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3414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1902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3428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1902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3429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1902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3430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1902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3431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1902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3432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1902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3433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1902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3434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1902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2915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1902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3435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1902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3436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1902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2916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1902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3437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1902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3438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1902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3439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1902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3440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1902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3441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1902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3440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1902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2169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1902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3442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1902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3443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1902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3444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1902</v>
      </c>
      <c r="E3274" s="1" t="n">
        <v>1609</v>
      </c>
      <c r="F3274" s="1" t="s">
        <v>103</v>
      </c>
      <c r="I3274" s="1" t="n">
        <v>5786</v>
      </c>
      <c r="J3274" s="1" t="n">
        <v>17163</v>
      </c>
      <c r="K3274" s="1" t="n">
        <v>7896981600567</v>
      </c>
      <c r="L3274" s="1" t="s">
        <v>2066</v>
      </c>
      <c r="N3274" s="1" t="n">
        <v>9</v>
      </c>
      <c r="O3274" s="1" t="n">
        <v>80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1902</v>
      </c>
      <c r="E3275" s="1" t="n">
        <v>1609</v>
      </c>
      <c r="F3275" s="1" t="s">
        <v>103</v>
      </c>
      <c r="I3275" s="1" t="n">
        <v>5786</v>
      </c>
      <c r="J3275" s="1" t="n">
        <v>13225</v>
      </c>
      <c r="K3275" s="1" t="n">
        <v>7896981601151</v>
      </c>
      <c r="L3275" s="1" t="s">
        <v>2910</v>
      </c>
      <c r="N3275" s="1" t="n">
        <v>12</v>
      </c>
      <c r="O3275" s="1" t="n">
        <v>45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1902</v>
      </c>
      <c r="E3276" s="1" t="n">
        <v>1609</v>
      </c>
      <c r="F3276" s="1" t="s">
        <v>103</v>
      </c>
      <c r="I3276" s="1" t="n">
        <v>5786</v>
      </c>
      <c r="J3276" s="1" t="n">
        <v>13720</v>
      </c>
      <c r="K3276" s="1" t="n">
        <v>7896981600307</v>
      </c>
      <c r="L3276" s="1" t="s">
        <v>2067</v>
      </c>
      <c r="N3276" s="1" t="n">
        <v>9</v>
      </c>
      <c r="O3276" s="1" t="n">
        <v>55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1902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2068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1902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2071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1902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2072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1902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2074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1902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3445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1902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3446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1902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3447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1902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3448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1902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3449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1902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3450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1902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2238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1902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3451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1902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3452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1902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3453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1902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3454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1902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3455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1902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3456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1902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2699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1902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2700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1902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3457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1902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3458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1902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3459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1902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3460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1902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3461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1902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3462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1902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3463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1902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3464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1902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3465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1902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3466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1902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3466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1902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3467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1902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3468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1902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3469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1902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3470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1902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3471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1902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2462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1902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3472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1902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3473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1902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3474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1902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3475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1902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3476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1902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3477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1902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3478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1902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3479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1902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3480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1902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3481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1902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3482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1902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3483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1902</v>
      </c>
      <c r="E3325" s="1" t="n">
        <v>1107</v>
      </c>
      <c r="F3325" s="1" t="s">
        <v>227</v>
      </c>
      <c r="I3325" s="1" t="n">
        <v>426652</v>
      </c>
      <c r="J3325" s="1" t="n">
        <v>27023</v>
      </c>
      <c r="K3325" s="1" t="n">
        <v>7891048050637</v>
      </c>
      <c r="L3325" s="1" t="s">
        <v>3484</v>
      </c>
      <c r="N3325" s="1" t="n">
        <v>15</v>
      </c>
      <c r="O3325" s="1" t="n">
        <v>22.44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1902</v>
      </c>
      <c r="E3326" s="1" t="n">
        <v>1107</v>
      </c>
      <c r="F3326" s="1" t="s">
        <v>227</v>
      </c>
      <c r="I3326" s="1" t="n">
        <v>426652</v>
      </c>
      <c r="J3326" s="1" t="n">
        <v>24270</v>
      </c>
      <c r="K3326" s="1" t="n">
        <v>7891962050089</v>
      </c>
      <c r="L3326" s="1" t="s">
        <v>2946</v>
      </c>
      <c r="N3326" s="1" t="n">
        <v>45</v>
      </c>
      <c r="O3326" s="1" t="n">
        <v>172.89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1902</v>
      </c>
      <c r="E3327" s="1" t="n">
        <v>1107</v>
      </c>
      <c r="F3327" s="1" t="s">
        <v>227</v>
      </c>
      <c r="I3327" s="1" t="n">
        <v>426652</v>
      </c>
      <c r="J3327" s="1" t="n">
        <v>24523</v>
      </c>
      <c r="K3327" s="1" t="n">
        <v>7891048038321</v>
      </c>
      <c r="L3327" s="1" t="s">
        <v>3485</v>
      </c>
      <c r="N3327" s="1" t="n">
        <v>12</v>
      </c>
      <c r="O3327" s="1" t="n">
        <v>40.64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1902</v>
      </c>
      <c r="E3328" s="1" t="n">
        <v>1107</v>
      </c>
      <c r="F3328" s="1" t="s">
        <v>227</v>
      </c>
      <c r="I3328" s="1" t="n">
        <v>426652</v>
      </c>
      <c r="J3328" s="1" t="n">
        <v>24548</v>
      </c>
      <c r="K3328" s="1" t="n">
        <v>7891962050072</v>
      </c>
      <c r="L3328" s="1" t="s">
        <v>2947</v>
      </c>
      <c r="N3328" s="1" t="n">
        <v>45</v>
      </c>
      <c r="O3328" s="1" t="n">
        <v>172.89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1902</v>
      </c>
      <c r="E3329" s="1" t="n">
        <v>1107</v>
      </c>
      <c r="F3329" s="1" t="s">
        <v>227</v>
      </c>
      <c r="I3329" s="1" t="n">
        <v>426652</v>
      </c>
      <c r="J3329" s="1" t="n">
        <v>26494</v>
      </c>
      <c r="K3329" s="1" t="n">
        <v>7891048050606</v>
      </c>
      <c r="L3329" s="1" t="s">
        <v>3486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1902</v>
      </c>
      <c r="E3330" s="1" t="n">
        <v>1107</v>
      </c>
      <c r="F3330" s="1" t="s">
        <v>227</v>
      </c>
      <c r="I3330" s="1" t="n">
        <v>426652</v>
      </c>
      <c r="J3330" s="1" t="n">
        <v>26496</v>
      </c>
      <c r="K3330" s="1" t="n">
        <v>7891048050668</v>
      </c>
      <c r="L3330" s="1" t="s">
        <v>3487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1902</v>
      </c>
      <c r="E3331" s="1" t="n">
        <v>1107</v>
      </c>
      <c r="F3331" s="1" t="s">
        <v>227</v>
      </c>
      <c r="I3331" s="1" t="n">
        <v>426652</v>
      </c>
      <c r="J3331" s="1" t="n">
        <v>27021</v>
      </c>
      <c r="K3331" s="1" t="n">
        <v>7891048050613</v>
      </c>
      <c r="L3331" s="1" t="s">
        <v>3488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1902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2948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1902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2949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1902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2950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1902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2949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1902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2951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1902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3489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1902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3490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1902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3491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1902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3492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1902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3493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1902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2953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1902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3494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1902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3495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1902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2957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1902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3496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1902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2958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1902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3497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1902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2246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1902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2247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1902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2249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1902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3498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1902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2250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1902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3499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1902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1971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1902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1972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1902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1973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1902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1974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1902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1975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1902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2095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1902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2083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1902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2430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1902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3216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1902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2431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1902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3500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1902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2436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1902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3501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2012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1995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2012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1996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2012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1998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2012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2152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2012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1999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2012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2001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2012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2002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2012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2003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2012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2153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2012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2004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2012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2005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2012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2006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2012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2007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2012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2008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2012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2009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2012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2010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2012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3502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1902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1960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1902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1903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1902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1904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1902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1905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1902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2042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1902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1906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1902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2456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1902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3503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1902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2458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1902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3504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1902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3505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1902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3506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1902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2204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1902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3507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1902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3508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1902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2207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1902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2208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1902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2209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1902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3509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1902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2210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1902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2211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1902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2213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1902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2215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1902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2216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1902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2217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1902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2219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1902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3510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1902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1924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1902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1926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2755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3511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2755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3512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1902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1904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1902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2172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1902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3513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1902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3514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1902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3515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1902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2062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1902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3042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1902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3516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1902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2063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1902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3517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1902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3518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1902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3519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1902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3520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1902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3521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1902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3522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1902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3523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1902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3524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1902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3525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1902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3526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1902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3527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1902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3528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1902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3529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1902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3530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1902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3531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1902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3532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1902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3533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1902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3534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1902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3535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1902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3536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1902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3537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1902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3538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1902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3539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1902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3540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1902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3541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1902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3542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1902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3543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1902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3544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1902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3545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1902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3546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1902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3547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1902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3548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1902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3549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1902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3550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1902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3551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1902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3552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1902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3553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1902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3554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1902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3555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1902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3556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1902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3557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1902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3558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1902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3559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1902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3560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1902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3561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1902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3562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1902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3562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1902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3562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1902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3562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1902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3563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1902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3564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1902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3565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1902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3566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1902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3566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1902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3567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1902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3568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1902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3569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1902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3570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1902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3571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1902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3572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1902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3573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1902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3574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1902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3575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1902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3576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1902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3577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1902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2021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1902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1922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1902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3578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1902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2022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1902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1924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1902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1925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1902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1926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1902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1928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1902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1929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1902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2116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1902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2715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1902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3579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1902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3580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1902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3581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1902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3582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1902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3583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1902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3584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1902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3585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1902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3015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1902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3586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1902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3587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1902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3588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1902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3589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1902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3590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1902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3591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1902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3592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1902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3593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1902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3594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1902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3595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1902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3596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1902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3597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1902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3598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1902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3599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1902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3600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1902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3601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1902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3602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1902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3603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1902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3604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1902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3605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1902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3606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1902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3607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1902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3608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1902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3609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1902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3610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1902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3611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1902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3612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1902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3613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1902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3614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1902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3615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1902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3616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1902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3617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1902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3618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1902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3619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1902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3620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1902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3621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1902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3622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1902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3623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1902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3624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1902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3625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1902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3626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1902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3626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1902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3627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1902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3628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1902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3629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1902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3630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1902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3631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1902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3632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1902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3633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1902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3634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1902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3635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1902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3636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1902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3637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1902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3638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1902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3639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1902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3640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1902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3641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1902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3642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1902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3643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1902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3644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1902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3645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1902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3646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1902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3647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1902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3648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1902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3649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1902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3650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1902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3651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1902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3652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1902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3653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1902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3654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1902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3654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1902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3655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1902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3655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1902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3656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1902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3657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1902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3654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1902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3658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1902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3659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1902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3660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1902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3661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1902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3662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1902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3663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1902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3664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1902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3665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1902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3666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2012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1993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2755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3667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2755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3668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2755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3669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1902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1908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1902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1909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1902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3670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1902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1970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1902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1971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1902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1975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1902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1926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2012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1994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2012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2151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2012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1995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2012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2716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2012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1996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2012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1998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2012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2152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2012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1999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2012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2000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2012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2001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2012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2002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2012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2003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2012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2055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2012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2056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2012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2004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2012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2005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2012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2006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2012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2717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2012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2058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2012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2008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2012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3671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2012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2154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2012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2009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2012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2010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2012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3672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2012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1993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1930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1961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1930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1962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1930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1963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1930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1964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1930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2048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1930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1965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1930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1966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1930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1905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1930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1967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1930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1910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1930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1911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1930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1912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1930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1913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1930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1914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1930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1915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1930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1916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1930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1917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1930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1918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1930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1919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1930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1920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1930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3527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1930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3673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1930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3674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1930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3675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1930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3676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1930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3677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1930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2200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1930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3678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1930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3679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1930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3680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1930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3681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1930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3682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1930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3683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1930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3684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1930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3685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1930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3686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1930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3687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1930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3688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1930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3689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1930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3690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1930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3691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1938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1939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1938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1939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1938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1940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1938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1941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1938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1942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1938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2040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1938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1944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1938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1945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1938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1945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1938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1946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1938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1947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1938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1948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1938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1949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1938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1950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1938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1951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1938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1952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1938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1953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1938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3236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1938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3236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1938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1954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1938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1955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1938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1955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1938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3237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1938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3237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1938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1957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1938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1957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1958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1939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1958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1944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1958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1945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1958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1946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1958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1947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1958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1948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1958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1949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1958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1950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1958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1951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1958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1952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1958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1953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1958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3236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1958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1954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1958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1955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1958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3237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1958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1957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1958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1939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1958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1940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1958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1941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1958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1942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1958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2040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1958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1945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1958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3236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1958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1955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1958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3237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1958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1957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1902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1924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1902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1926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1930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3692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1930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3693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1930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3694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1930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3695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1930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2766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1930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2767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1930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2770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1930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2771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1930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3696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1930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2766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1930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2766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1930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3697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1930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3698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1930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3699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1930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3700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1930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3701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1930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3702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1930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3703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1930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1947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1930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1948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1930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1949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1930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1950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1930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2802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1930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3704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1930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3705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1930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2971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1930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3706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1930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2972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1930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2973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1930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3707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1930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3708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1930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2975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1930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2977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1930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2978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1930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2979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1930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3709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1930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3710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1930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2980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1930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2981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1930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2982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1930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2983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1930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2984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1930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2985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1930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2986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1930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2987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1930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2988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1930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2989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1930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2990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1930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2991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1930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2992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1930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2994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1930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2995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1930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2996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1930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2997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1930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3711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1930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2982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1930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2293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1930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2999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1930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3000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1930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3001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1930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3712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1930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3004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1930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3005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1930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3006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1930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3713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1930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3714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1930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3714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1930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3714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1930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3715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1930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3716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1930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3717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1930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3718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1930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3719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1930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3720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1930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3721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1930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3722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1930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3723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1930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3724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1930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3725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1930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3726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1930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3727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1930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3728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1930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3729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1930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3730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1930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3731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1930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3732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1930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3733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1930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3734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1930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3735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1930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3736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1930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3223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1930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3737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1930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3738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1930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3224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1930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3225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1930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3739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1930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3739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1930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3225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1930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3740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1930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3741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1930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3742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1930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3743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1930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3744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1930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3745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1930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3746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1930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3747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1930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3748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1930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3749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1930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2729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1930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2730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1930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3750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1930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3751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1930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3752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1930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2205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1930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3753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1930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2206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1930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3754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1930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3755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1930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3756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1930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3755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1930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3755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1930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3757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1930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3757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1930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3757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1930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3758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1930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3757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1930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3759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1930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3760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1930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3761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1930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3762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1930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3763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1930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3764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1930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3765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1930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3766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1930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3767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1930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3768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1930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3769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1930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2477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1930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3124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1930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2481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1930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3770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1930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3771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1930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2484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1930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2065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1930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1907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1930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1908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1930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1909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1930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2085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1930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2086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1930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3772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1930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3773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1930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2090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1930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3774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1930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3775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1930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3776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1930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3777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1930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3778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1930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3779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1930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2581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1930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3780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1930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3781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1930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2572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1930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2471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1930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2407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1930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3782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1930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3783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1930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3784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1930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2409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1930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2410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1930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3785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1930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3786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1930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3787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1930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3788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1930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2411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1930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2412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1930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3789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1930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3790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1930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3791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1930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3792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1930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3793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1930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3794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1930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3795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1930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3796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1930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2720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1930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2722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1930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2723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1930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2724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1930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2855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1930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2857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1930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2866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1930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2867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1930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2869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1930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2871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1930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2873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1930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3797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1930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3798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1930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2876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1930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3799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1930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2726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1930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3800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1930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2727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1930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3801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1930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3802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1930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2113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1930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2713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1930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2020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1930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3803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1930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3804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1930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1921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1930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3805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1930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2022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1930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3806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1930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3807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1930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3807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1930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3808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1930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3809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1930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3810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1930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2499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1930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2626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1930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2627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1930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3811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1930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2590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1930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2593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1930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2598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1930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2600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1930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2602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1930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3812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1930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3813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1930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3814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1930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3212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1930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3213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1930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3214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1930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2615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1930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2630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1930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2633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1930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3815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1930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3816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1930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2622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1930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3817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1930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2637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1930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2112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1930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2034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1930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2026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1930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2028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1930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2032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1930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1927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1930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3818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1930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1929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1930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3342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1930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2116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1930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2034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1930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3819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1930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3522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1930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3820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1930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3821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1930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3822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1930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3823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1930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3824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1930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3825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1930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3826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1930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3827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1930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3828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1930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3829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1930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2373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1930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3204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1930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3205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1930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3206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1930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3830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1930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3831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1930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3832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1930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3833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1930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2375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1930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2376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1930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2377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1930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3834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1930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2380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1930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2382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1930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2383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1930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2384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1930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3835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1930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3836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1930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2385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1930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3837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1930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3838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1930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2386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1930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2387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1930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2388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1930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2389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1930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2390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1930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2392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1930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2394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1930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3839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1930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2395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1930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2396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1930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3840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1930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3841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1930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3842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1930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3843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1938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1939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1938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1939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1938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1940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1938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1941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1938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1942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1938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1943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1938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2040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1938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1944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1938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1945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1938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1945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1938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1946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1938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1947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1938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1948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1938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1949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1938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1950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1938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1951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1938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1952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1938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1953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1938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3236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1938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3236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1938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1954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1938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1955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1938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1955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1938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3237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1938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3237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1938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1957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1938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1957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1958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1939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1958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1944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1958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1945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1958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1946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1958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1947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1958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1948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1958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1949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1958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1950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1958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1951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1958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1953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1958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3236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1958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1954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1958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1955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1958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3237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1958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1957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1958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1939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1958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1940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1958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1941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1958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1942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1958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1943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1958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2040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1958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1945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1958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1952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1958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3236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1958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1955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1958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3237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1958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1957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2012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1993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2012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1994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2012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1995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2012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1996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2012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1997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2012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1998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2012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1999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2012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2002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2012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2153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2012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2056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2012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2005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2012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2006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2012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2057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2012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2008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2012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2009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2012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2010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1930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1968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1930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1968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1930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1969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1930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1968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1930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1968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1930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1968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1930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1968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1930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1969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1930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1968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1930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1969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1930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1968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1930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1969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1930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1959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1930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2169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1930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2170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1930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1903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1930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1904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1930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2044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1930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2045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1930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2046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1930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2047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1930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2817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1930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3844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1930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3845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1930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2822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1930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3846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1930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3847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1930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3848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1930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3849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1930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2835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1930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3850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1930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3851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1930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3852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1930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3853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1930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3854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1930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2082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1930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2082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1930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3855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1930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3856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1930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3857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1930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3858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1930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3859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1930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3860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1930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3861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1930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3862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1930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3863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1930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3864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1930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3865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1930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3866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1930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3867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1930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3868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1930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3869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1930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3870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1930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3871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1930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3872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1930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3873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1930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3874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1930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3875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1930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3876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1930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3877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1930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3878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1930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3879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1930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3880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1930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3881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1930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3882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1930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3883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1930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3884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1930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3885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1930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3886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1930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3887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1930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3888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1930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3889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1930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3890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1930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3891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1930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3892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1930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3893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1930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3894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1930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3895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1930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3896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1930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3897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1930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3898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1930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3899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1930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3900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1930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3901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1930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3902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1930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3903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1930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3904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1930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3905</v>
      </c>
      <c r="N4181" s="1" t="n">
        <v>12</v>
      </c>
      <c r="O4181" s="1" t="n">
        <v>155.64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1930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3906</v>
      </c>
      <c r="N4182" s="1" t="n">
        <v>24</v>
      </c>
      <c r="O4182" s="1" t="n">
        <v>73.68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1930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3907</v>
      </c>
      <c r="N4183" s="1" t="n">
        <v>24</v>
      </c>
      <c r="O4183" s="1" t="n">
        <v>52.08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1930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3908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1930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3909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1930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3910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1930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3911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1930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3912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1930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3913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1930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3914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1930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3915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1930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3916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1930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3917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1930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3918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1930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3919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1930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3920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1930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3921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1930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3922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1930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3923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1930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3924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1930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3920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1930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3925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1930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3926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1930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3927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1930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3928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1930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3929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1930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2251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1930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1970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1930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1971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1930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1972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1930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1974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1930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1975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1930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2421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1930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2430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1930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3216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1930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3216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1930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2963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1930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3930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1930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2966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1930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2439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1930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2969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1930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2097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1930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2440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1930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2099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1930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2100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1930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2102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1930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2105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1930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1979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1930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2109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1930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2445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1930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2446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1930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1982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1930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2110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1930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2447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1930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2448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1930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1991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1938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1945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1938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1946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1938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1952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1938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3236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1938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1954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1938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1955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1938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1956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1938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1957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1958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1945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1958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1946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1958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1952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1958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3236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1958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1954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1958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1955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1958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1956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1958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1957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1958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1945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1958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1946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1958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1952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1958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3236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1958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1954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1958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1955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1958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1956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1958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1957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1930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1968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1930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1960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1930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3931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1930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3238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1930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3932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1930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3239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1930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3240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1930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3933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1930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3934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1930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3935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1930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3241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1930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3936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1930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3242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1930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3937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1930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3938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1930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3939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1930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3243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1930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3940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1930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3244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1930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3941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1930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3942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1930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3943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1930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3944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1930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3945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1930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3245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1930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3946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1930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3947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1930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3948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1930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3949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1930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3950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1930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3247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1930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3951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1930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3248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1930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3952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1930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3953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1930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3954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1930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3955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1930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3249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1930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3250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1930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3251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1930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3956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1930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3957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1930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3958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1930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3959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1930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3960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1930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3961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1930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3962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1930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3253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1930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3963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1930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3964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1930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3965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1930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3966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1930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3967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1930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3255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1930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3968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1930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3969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1930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3970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1930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3971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1930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1924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1930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1926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1930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3972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1930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3973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1930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3974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1930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3975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2755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3976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2755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3977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2475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3978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2012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2193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2012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2194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2012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1993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1930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1968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1930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1969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1930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1968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1930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1969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1930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3068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1930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3979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1930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3980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1930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3980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1930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3981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1930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3982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1930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3983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1930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1908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1930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1909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1930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2038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1930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2039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1930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3984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1930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3985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1930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3986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1930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2257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1930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3987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1930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3988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1930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3989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1930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3990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1930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3991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1930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2258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1930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3992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1930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2261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1930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2262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1930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3993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1930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2264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1930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2265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1930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3994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1930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3995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1930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3996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1930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3997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1930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3998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1930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3999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1930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2271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1930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2272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1930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2274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1930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2276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1930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4000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1930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2114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1930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2714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1930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4001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1930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1924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1930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1925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1930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1926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1930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2028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1930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2030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1930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2031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1930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2715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1930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4002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1930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4003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1930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4004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1930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4005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1930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4006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1930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4007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1930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4008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1930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4009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1938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1939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1938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1939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1938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1940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1938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1941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1938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1942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1938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1943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1938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1944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1938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1945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1938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1945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1938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1946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1938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1947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1938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1948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1938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1949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1938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1950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1938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1951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1938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1952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1938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1953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1938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3236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1938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3236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1938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1954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1938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1955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1938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1955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1938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1956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1938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1956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1938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1957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1938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1957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1958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1939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1958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1944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1958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1945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1958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1946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1958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1947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1958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1948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1958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1949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1958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1950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1958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1951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1958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1952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1958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1953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1958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3236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1958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1954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1958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1955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1958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1956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1958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1957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1958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1939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1958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1940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1958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1941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1958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1942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1958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1943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1958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1945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1958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3236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1958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1955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1958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1956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1958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1957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2012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1995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2012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1996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2012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2455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2012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1997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2012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2152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2012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1999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2012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2000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2012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2002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2012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2153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2012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2055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2012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2005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2012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2006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2012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2008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2012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2154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2012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2009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2012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2010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2012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1998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2012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1993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1930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1903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1930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1904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1930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2042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1930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1906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1930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2043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1930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2044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1930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2045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1930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2046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1930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2047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1930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1961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1930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1962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1930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1963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1930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1964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1930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2048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1930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1965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1930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1966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1930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1905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1930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1967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1930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1924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1930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1925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1930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1926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2755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4010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2012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1993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1930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1968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1930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3067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1930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4011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1930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4012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1930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4013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1930</v>
      </c>
      <c r="E4489" s="1" t="n">
        <v>1609</v>
      </c>
      <c r="F4489" s="1" t="s">
        <v>103</v>
      </c>
      <c r="I4489" s="1" t="n">
        <v>5844</v>
      </c>
      <c r="J4489" s="1" t="n">
        <v>17163</v>
      </c>
      <c r="K4489" s="1" t="n">
        <v>7896981600567</v>
      </c>
      <c r="L4489" s="1" t="s">
        <v>2066</v>
      </c>
      <c r="N4489" s="1" t="n">
        <v>9</v>
      </c>
      <c r="O4489" s="1" t="n">
        <v>80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1930</v>
      </c>
      <c r="E4490" s="1" t="n">
        <v>1609</v>
      </c>
      <c r="F4490" s="1" t="s">
        <v>103</v>
      </c>
      <c r="I4490" s="1" t="n">
        <v>5844</v>
      </c>
      <c r="J4490" s="1" t="n">
        <v>13720</v>
      </c>
      <c r="K4490" s="1" t="n">
        <v>7896981600307</v>
      </c>
      <c r="L4490" s="1" t="s">
        <v>2067</v>
      </c>
      <c r="N4490" s="1" t="n">
        <v>9</v>
      </c>
      <c r="O4490" s="1" t="n">
        <v>55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1930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2068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1930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2071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1930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2072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1930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2080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1930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2174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1930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2852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1930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2096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1930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2853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1930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2112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1930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2113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1930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2898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1930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3111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1930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3333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1930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2177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1930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3113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1930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2178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1930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4014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1930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2180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1930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4015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1930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2182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1930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4016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1930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3115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1930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3117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1930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4017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1930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2185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1930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2186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1930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3336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1930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2187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1930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2188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1930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2189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1930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4018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1930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4019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1930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2190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1930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2192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1930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4020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1930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4021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1930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3003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1930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2034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1930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2026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1930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2029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1930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2116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1930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2715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1930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2454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1930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2034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1930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2035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2755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4022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2755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4023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1930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1904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1930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1905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1930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2403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1930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2042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1930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1906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1930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4024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1930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4025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1930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4026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1930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4027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1930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4028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1930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4029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1930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4030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1930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4031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1930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4032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1930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4033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1930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4034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1930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4035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1930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4036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1930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4037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1930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4038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1930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4039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1930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4040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1930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4041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1930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4042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1930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4043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1930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4044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1930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4045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1930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1908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1930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1909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1930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3156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1930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4046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1930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4047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1930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4048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1930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3157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1930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4049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1930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4049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1930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4050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1930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4051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1930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4052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1930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4053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1930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4054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1930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4055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1930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4056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1930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4057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1930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4058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1930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4059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1930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2575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1930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2228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1930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4060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1930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2564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1930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2562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1930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4061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1930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2576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1930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1924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1930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1926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1930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2996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1938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1939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1938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1939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1938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1940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1938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1941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1938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1942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1938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1943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1938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2040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1938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1944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1938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1945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1938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1945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1938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1946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1938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1947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1938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1948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1938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1949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1938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1950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1938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1951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1938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1952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1938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1953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1938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3236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1938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1954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1938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1955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1938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1955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1938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3237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1938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3237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1938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1957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1938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1957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1958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1939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1958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1940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1958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1941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1958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1942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1958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1943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1958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2040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1958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1945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1958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3236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1958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1955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1958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3237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1958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1957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1958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1939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1958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1944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1958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1945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1958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1946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1958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1947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1958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1948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1958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1949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1958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1950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1958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1951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1958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1952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1958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1953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1958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1954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1958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1955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1958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3237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1958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1957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2012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1994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2012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1995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2012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1996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2012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2455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2012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1998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2012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2152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2012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1999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2012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2001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2012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2002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2012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2003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2012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2153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2012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2055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2012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2004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2012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2005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2012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2006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2012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2008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2012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2009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2012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2010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2012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3502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2012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4062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2012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1993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1930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2169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1930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2123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1930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2125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1930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2126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1930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2129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1930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2135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1930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2137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1930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2138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1930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4063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1930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4064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1930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4065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1930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4066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1930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4067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1930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4068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1930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4069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1930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2763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1930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3506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1930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2204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1930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2208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1930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2209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1930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2210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1930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2211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1930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2212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1930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2213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1930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2215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1930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2216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1930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2217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1930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2218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1930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2219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1930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2220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1930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2221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1930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3510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1930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1970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1930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1971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1930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1972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1930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1975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1930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3217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1930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2434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1930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4070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1930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3500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1930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2436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1930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2436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1930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2437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1930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2439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1930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1925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1930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1926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1930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4071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1930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3160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1930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3161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1930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3162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1930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3163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1930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4072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1930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3164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1930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3166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1930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3167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1930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3168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1930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3169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1930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3175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1930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3176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1930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4073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1930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4074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1930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4075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1930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4076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1930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2097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1930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2440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1930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2101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1930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2102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1930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2104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1930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4077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1930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1978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1930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1979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1930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1980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1930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2108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1930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2109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1930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2445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1930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2447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1930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2448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1930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1984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1930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1985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1930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1986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1930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1987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1930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2450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1930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1991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2755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4078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2755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4079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2012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2117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1930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1960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1930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1903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1930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1904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1930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1905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1930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2175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1930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2911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1930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2912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1930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2912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2012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1993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1930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1968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1930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1969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1930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1959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1930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4080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1930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4081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1930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4082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1930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4083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1930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2043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1930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2044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1930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2045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1930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2046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1930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2047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1930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1908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1930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1909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1930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2082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1930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2082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1930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1910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1930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1912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1930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1913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1930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1914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1930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1915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1930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1916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1930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1918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1930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1920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1930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2924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1930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2522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1930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2523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1930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2526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1930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4084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1930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2540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1930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4085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1930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3232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1930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2018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1930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4086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1930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1921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1930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3805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1930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2118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1930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3578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1930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2021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1930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2023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1930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2119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1930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1923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1930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1924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1930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1925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1930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1926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1930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1936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1930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2027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1930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2028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1930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2031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1930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1928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1930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1929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1930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2898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1930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2715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1930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3046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1930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3045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1930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2715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1938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1939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1938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1939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1938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1940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1938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1941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1938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1942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1938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1943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1938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2040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1938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2040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1938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1944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1938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1945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1938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1945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1938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1946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1938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1946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1938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1947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1938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1948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1938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1949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1938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1950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1938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1951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1938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1952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1938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1952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1938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1953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1938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2041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1938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1954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1938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1954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1938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1955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1938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1955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1938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1956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1938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1956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1938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1957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1938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1957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1958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1939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1958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2040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1958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1944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1958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1945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1958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1946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1958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1947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1958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1948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1958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1949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1958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1950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1958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1951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1958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1952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1958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1953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1958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1954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1958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1955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1958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1956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1958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1957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1958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1939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1958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1940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1958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1941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1958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1942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1958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1943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1958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2040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1958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1945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1958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2041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1958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1955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1958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1956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1958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1957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1958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1946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1958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1952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1958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1954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1958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1946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1958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1952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1958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1954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2012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1994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2012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1995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2012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1996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2012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1997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2012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2152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2012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2000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2012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2001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2012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2002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2012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2056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2012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2005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2012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2006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2012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2057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2012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2058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2012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2154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2012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2009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2012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2010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2012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2011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1930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2065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1930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1907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1930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1962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1930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1963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1930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1964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1930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2048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1930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1965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1930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1966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1930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1905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1930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1967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1930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1909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1930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1970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1930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1971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1930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1972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1930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1973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1930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1974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1930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1975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1930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1926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1938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1939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1938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1940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1938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1941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1938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1942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1938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1943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1938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2040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1938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1945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1938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1955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1938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1956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1938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1957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1958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1939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1958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1940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1958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1941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1958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1942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1958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1943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1958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2040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1958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1945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1958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1955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1958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1956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1958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1957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1930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4087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1930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2802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1930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4088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1930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4089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1930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4090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1930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1924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1930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1925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1930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1926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2012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1993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2012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1993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1930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2477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1930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3315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1930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3316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1930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2426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1930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4091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1930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2171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1930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1960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1930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1903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1930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1904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1930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1905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1930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2403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1930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2042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1930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1906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1930</v>
      </c>
      <c r="E4959" s="1" t="n">
        <v>1609</v>
      </c>
      <c r="F4959" s="1" t="s">
        <v>103</v>
      </c>
      <c r="I4959" s="1" t="n">
        <v>5889</v>
      </c>
      <c r="J4959" s="1" t="n">
        <v>17163</v>
      </c>
      <c r="K4959" s="1" t="n">
        <v>7896981600567</v>
      </c>
      <c r="L4959" s="1" t="s">
        <v>2066</v>
      </c>
      <c r="N4959" s="1" t="n">
        <v>9</v>
      </c>
      <c r="O4959" s="1" t="n">
        <v>80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1930</v>
      </c>
      <c r="E4960" s="1" t="n">
        <v>1609</v>
      </c>
      <c r="F4960" s="1" t="s">
        <v>103</v>
      </c>
      <c r="I4960" s="1" t="n">
        <v>5889</v>
      </c>
      <c r="J4960" s="1" t="n">
        <v>13225</v>
      </c>
      <c r="K4960" s="1" t="n">
        <v>7896981601151</v>
      </c>
      <c r="L4960" s="1" t="s">
        <v>2910</v>
      </c>
      <c r="N4960" s="1" t="n">
        <v>12</v>
      </c>
      <c r="O4960" s="1" t="n">
        <v>45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1930</v>
      </c>
      <c r="E4961" s="1" t="n">
        <v>1609</v>
      </c>
      <c r="F4961" s="1" t="s">
        <v>103</v>
      </c>
      <c r="I4961" s="1" t="n">
        <v>5889</v>
      </c>
      <c r="J4961" s="1" t="n">
        <v>13720</v>
      </c>
      <c r="K4961" s="1" t="n">
        <v>7896981600307</v>
      </c>
      <c r="L4961" s="1" t="s">
        <v>2067</v>
      </c>
      <c r="N4961" s="1" t="n">
        <v>9</v>
      </c>
      <c r="O4961" s="1" t="n">
        <v>55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1930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2069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1930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2070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1930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2072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1930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2073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1930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2074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1930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2075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1930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2076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1930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2077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1930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2078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1930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2079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1930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2081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1930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1908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1930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2082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1930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2082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1930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2049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1930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2050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1930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4092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1930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2052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1930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2053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1930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2054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1930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2050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1930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2233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1930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3306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1930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4093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1930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3307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1930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2233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1930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2234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1930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3308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1930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3309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1930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2236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1930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3310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1930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2238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1930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3312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1930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4094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1930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4095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1930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2240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1930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4096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1930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2242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1930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2245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1930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2277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1930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2278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1930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4097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1930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2279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1930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4098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1930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3391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1930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2286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1930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2287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1930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2289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1930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2290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1930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4099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1930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4100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1930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4101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1930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4102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1930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2280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1930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3394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1930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4103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1938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1939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1938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1944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1938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1945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1938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1946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1938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1946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1938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1947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1938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1948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1938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1949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1938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1950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1938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1951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1938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1952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1938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1952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1938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1953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1938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1954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1938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1954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1938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1955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1938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1956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1938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1957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1958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1939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1958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1944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1958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1945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1958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1946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1958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1947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1958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1948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1958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1949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1958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1950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1958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1951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1958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1952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1958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1953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1958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1954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1958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1955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1958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1956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1958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1957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1958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1946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1958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1952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1958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1954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1958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1946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1958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1952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1958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1954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2475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2283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2475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4104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2475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4101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2475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2292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2475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3394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2012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2716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2012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1996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2012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1998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2012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1999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2012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2000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2012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2001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2012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2002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2012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2003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2012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2004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2012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2005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2012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2006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2012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2717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2012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2058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2012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2007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2012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2008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2012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2009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1930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1968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1930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1969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1930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2169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1930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2170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1930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2038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1930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2039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1930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3228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1930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4105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1930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2542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1930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4106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1930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4107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1930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4108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1930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1970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1930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1971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1930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1973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1930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1974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1930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1975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1930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2421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1930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2112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1930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2113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1930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3803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1930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4109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1930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3805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1930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2118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1930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2714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1930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4110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1930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4111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1930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3341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1930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2095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1930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2083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1930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2427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1930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2428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1930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2429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1930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2430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1930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3216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1930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2964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1930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4112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1930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2966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1930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2439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1930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4113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1930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1925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1930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1926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1930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2098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1930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4114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1930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2103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1930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2104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1930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2105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1930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2444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1930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2108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1930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2446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1930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1981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1930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2110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1930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2447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1930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1985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1930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2032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1930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2034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1930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2034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1930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2026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1930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2027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1930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4115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1930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2115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1930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2029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1930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2032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1930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3818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1930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1928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1930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1929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1930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3342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1930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2898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1930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2116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1930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3010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1930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2454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1930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1937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1930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2034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1930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2035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1930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2715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1930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1960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1930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1903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1930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1904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1930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1905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1930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2042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1930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1906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1930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2089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1930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2478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1930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2479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1930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4116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1930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2480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1930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2764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1930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1909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1938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1939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1938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1940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1938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1941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1938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1942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1938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1943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1938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2040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1938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1945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1938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3236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1938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1955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1938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3237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1938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1957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1958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1939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1958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1940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1958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1941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1958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1942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1958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1943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1958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2040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1958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1945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1958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3236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1958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1955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1958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3237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1958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1957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2012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1993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2012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1993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1930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2083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1930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4117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1930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2226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1930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2226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1930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2777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1930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4118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1930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4119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1930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2736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1930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2920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1930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2921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1930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2092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1930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2231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1930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4120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1930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1908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1930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1909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1930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2059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1930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2060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1930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3039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1930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2062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1930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3042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1930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3043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1930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2096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1930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2853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1930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1924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1930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1926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1938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1939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1938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1939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1938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1940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1938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1941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1938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1942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1938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1943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1938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1943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1938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2040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1938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1944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1938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1945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1938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1945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1938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1946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1938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1947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1938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1948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1938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1949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1938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1950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1938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1951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1938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1953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1938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2120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1938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2041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1938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1954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1938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1955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1938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3237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1938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3237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1938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1957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1938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2121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1958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1939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1958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1940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1958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1941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1958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1942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1958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1943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1958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2040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1958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1945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1958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2041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1958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3237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1958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1939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1958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1943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1958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1944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1958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1945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1958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1946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1958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1947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1958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1948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1958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1949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1958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1950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1958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1951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1958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1953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1958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2120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1958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1954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1958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1955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1958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3237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1958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1957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1958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2121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2012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1995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2012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1996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2012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1998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2012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2152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2012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1999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2012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2001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2012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2002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2012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2153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2012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2055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2012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2056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2012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2004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2012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2005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2012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2006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2012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2008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2012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2009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2012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2010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2012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2011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1930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1960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1930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1961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1930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1962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1930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1963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1930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1964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1930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2048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1930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1965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1930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1966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1930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1905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1930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1967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1930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1924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1930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1925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1930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1926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2475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3532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2475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3533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2475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3534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2475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4121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2475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3539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2475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4122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2475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4123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2475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3564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2475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3565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2475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4124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2475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4125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2475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4126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2475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4127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2475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4128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2475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3569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2475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4129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2475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4130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2012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1993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1930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1968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1930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1969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1930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4131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1930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4132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1930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1903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1930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1904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1930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1905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1930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2403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1930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1906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1930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2043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1930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2045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1930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2046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1930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2047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1930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4133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1930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1908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1930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2143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1930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2144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1930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2145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1930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3326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1930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2148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1930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2149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1930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4134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1930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2525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1930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2526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1930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2527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1930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2528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1930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2801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1930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3232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1930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2549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1930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3234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1930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2230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1930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2230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1930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2230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1938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1939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1938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1944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1938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1945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1938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1946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1938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1947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1938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1948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1938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1949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1938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1950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1938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1951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1938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1952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1938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1953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1938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1954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1938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1955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1938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1956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1938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1957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1958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1939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1958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1944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1958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1945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1958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1946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1958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1947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1958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1948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1958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1949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1958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1950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1958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1951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1958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1952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1958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1953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1958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1954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1958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1955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1958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1956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1958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1957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2012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1993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1930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3359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1930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3360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1930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3361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1930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3362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1930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3363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1930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3364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1930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2014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1930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2439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1930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1907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1930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4135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1930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2142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1930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1947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1930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1950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1930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3156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1930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2251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1930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1924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1930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1925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1930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1926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2012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2196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2012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2197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2012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2198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2012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1998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2012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2008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2012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1994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2012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1995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2012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1996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2012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1999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2012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2000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2012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2002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2012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2003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2012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2056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2012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2004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2012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2005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2012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2006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2012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2057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2012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4136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2012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2154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2012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2009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2012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2010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2012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2011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2012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4137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1930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1959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1930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2169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1930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2170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1930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1903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1930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1904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1930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1905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1930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2403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1930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2042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1930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1906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1930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2172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1930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4138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1930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4139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1930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4140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1930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4141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1930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3063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1930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3064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1930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4142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1930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1908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1930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1909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1930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1949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1930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2420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1930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1970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1930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1971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1930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4143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1930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1972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1930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1973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1930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1974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1930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1975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1930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2113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1930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2019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1930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4086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1930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2714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1930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4144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1930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3424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1930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3425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1930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4110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1930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2714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1930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4145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1930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4146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1930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2016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1930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3424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1930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3425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1930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3426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1930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3426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1930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2095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1930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2083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1930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2084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1930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2430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1930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3216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1930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2434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1930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2965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1930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2438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1930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4147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1930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1937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1930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1936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1930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2034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1930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2453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1930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2026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1930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2114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1930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2028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1930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2029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1930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2030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1930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4148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1930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2031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1930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3818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1930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1928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1930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1929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1930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3342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1930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3805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1930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2116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1930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2715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1930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2033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1930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3046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1930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3045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1930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2715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1930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3345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1930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2454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1930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1937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1930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2023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1930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2035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1930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3011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1930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2119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1930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2036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1938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1939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1938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1939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1938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1940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1938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1941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1938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1942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1938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1943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1938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2040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1938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1944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1938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1945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1938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1945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1938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1946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1938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1947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1938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1948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1938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1949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1938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1950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1938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1951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1938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1952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1938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1953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1938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1954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1938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1955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1938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1955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1938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1956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1938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1956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1938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1957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1938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1957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4149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3062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4149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3064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4149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4150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4149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4151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1958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1939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1958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1944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1958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1945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1958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1946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1958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1947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1958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1948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1958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1949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1958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1950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1958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1951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1958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1952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1958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1953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1958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1954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1958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1955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1958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1956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1958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1957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1958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1939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1958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1940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1958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1941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1958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1942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1958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1943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1958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2040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1958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1945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1958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1955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1958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1956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1958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1957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1930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1968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1930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1969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2012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1993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1930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1960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1930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1908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1930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1909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1930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2082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1930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2082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1930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1910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1930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1912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1930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1914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1930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1915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1930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1917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1930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1918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1930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1919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1930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2039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1930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1948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1930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2924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1930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2204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1930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2206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1930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2207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1930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2208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1930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2209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1930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2211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1930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2213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1930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2215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1930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2216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1930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4152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1930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2217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1930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2218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1930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2219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1930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4153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1930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2537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1930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3499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1930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4154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1930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4155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1930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4156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1930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4157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1930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1924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1930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1925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1930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1926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1930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1925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1930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1926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1938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1939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1938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1939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1938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1940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1938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1941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1938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1942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1938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1943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1938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2040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1938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2040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1938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1944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1938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1945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1938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1945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1938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1945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1938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1946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1938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1946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1938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4158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1938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1947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1938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1948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1938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1949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1938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1950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1938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1951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1938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1952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1938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1952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1938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3340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1938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3236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1938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1954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1938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1954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1938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1955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1938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1955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1938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1955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1938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1956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1938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3237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1938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3237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1938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1957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1958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1939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1958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1944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1958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1945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1958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1946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1958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1947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1958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1948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1958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1949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1958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1950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1958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1951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1958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1952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1958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3236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1958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1954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1958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1955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1958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3237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1958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1957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1958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1939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1958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1940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1958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1941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1958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1942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1958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1943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1958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2040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1958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1945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1958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4158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1958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1955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1958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3237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1958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2040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1958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1945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1958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1946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1958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1952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1958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3340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1958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1954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1958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1955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1958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1956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1958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1945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1958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1946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1958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1952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1958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3340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1958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1954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1958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1956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2012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1998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2012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2008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2012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2151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2012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2716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2012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1996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2012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2455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2012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2152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2012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2001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2012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2002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2012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2153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2012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2055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2012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2004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2012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2005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2012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2006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2012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2058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2012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2009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2012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2010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2012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4137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2012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3502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1930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2735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1930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2091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1930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4159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1930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2323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1930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2324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1930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4160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1930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4161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1930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2332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1930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4162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1930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4163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1930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4164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1930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4165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1930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4166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1930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4167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1930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4168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1930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1961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1930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1962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1930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1963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1930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1964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1930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2048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1930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1965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1930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1966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1930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1905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1930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1967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1930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3382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1930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2485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1930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2486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1930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2487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1930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2487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1930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3383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1930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2488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1930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4169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1930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3111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1930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3333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1930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2177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1930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3112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1930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3113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1930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2181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1930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2182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1930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3114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1930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4016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1930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3335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1930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2183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1930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3117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1930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2184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1930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2185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1930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2186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1930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4170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1930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3336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1930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3118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1930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2187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1930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4171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1930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3119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1930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2189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1930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4018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1930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2190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1930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2191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1930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2192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1930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4020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1930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4021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1930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1968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1930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1969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1930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2229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1930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3358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1930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1960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1930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2766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1930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2770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1930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2772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1930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2766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1930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4172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1930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4173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1930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4174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1930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4175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1930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4176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1930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4177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1930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4178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1930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4179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1930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4180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1930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3325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1930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4181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1930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4182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1930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4183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1930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4184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1930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2897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1930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2970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1930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3705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1930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2971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1930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2972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1930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2973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1930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3707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1930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3708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1930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2977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1930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2978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1930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3709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1930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3710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1930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2980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1930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2981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1930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2982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1930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2983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1930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2984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1930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2985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1930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2986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1930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2987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1930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2988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1930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2989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1930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2990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1930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2991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1930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2992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1930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2994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1930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2995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1930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2997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1930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3711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1930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2982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1930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2999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1930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3000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1930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3712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1930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3004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1930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3005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1930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3006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1930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3713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1930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1968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1930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1903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1930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1904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1930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1905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1930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2403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1930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2042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1930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1906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1930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2802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1930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3697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1930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3698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1930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4185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1930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3700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1930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4186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1930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4187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1930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3701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1930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4188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1930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4189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1930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3702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1930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3703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1930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1908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1930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1909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1930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3446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1930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4190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1930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3448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1930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3449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1930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3450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1930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2238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1930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4191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1930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3451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1930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2241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1930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2242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1930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2460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1930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2461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1930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2462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1930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2464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1930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2465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1930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4192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1930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4193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1930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3474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1930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4194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1930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2468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1930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2470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1930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3476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1930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3477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1930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3478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1930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3012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1930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3876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1930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3878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1930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4195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1930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3157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1930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4196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1930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4197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1930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4198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1930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2710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1930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3985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1930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3986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1930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2711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1930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2914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1930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3390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1930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4199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1930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2277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1930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2278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1930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2279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1930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4098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1930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2281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1930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2282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1930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4200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1930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3391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1930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2286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1930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2289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1930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2290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1930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4102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1930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3394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1930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4201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1930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4103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1930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4202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1930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4203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1930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4204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1930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4205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1930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4206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1930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4207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1930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4208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1930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4209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1930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4210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1930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4211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1930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4212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1930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4213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1930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4214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1930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4215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1930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4216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1930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4217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1930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4218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1930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4219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1930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4220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1930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4221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1930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4222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1930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4223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1930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4224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1930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4225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1930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4226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1930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4227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1930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4228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1930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4229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1930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4230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1930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4231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1930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4232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1930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4233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1930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4234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1930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4235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1930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4236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1938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1939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1938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1939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1938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1940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1938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1941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1938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1942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1938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1943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1938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2040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1938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1944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1938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1945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1938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1945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1938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1946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1938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1947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1938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1948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1938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1949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1938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1950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1938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1951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1938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1952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1938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1953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1938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1954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1938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1955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1938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1955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1938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1956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1938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1956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1938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1957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1938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1957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1958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1939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1958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1940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1958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1941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1958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1942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1958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1943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1958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2040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1958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1945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1958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1955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1958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1956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1958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1957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1958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1939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1958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1944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1958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1945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1958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1946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1958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1947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1958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1948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1958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1949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1958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1950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1958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1951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1958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1952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1958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1953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1958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1954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1958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1955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1958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1956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1958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1957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2475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2283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2475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2285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2012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1993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2012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2008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2012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1995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2012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1997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2012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1998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2012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2152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2012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1999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2012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2055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2012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2056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2012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2004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2012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2005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2012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2006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2012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2057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2012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4136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2012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2154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2012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2009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2012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2010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2012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3672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2012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2011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2012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4137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1930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3066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1930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3067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1930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2169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1930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2170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1930</v>
      </c>
      <c r="E5997" s="1" t="n">
        <v>1609</v>
      </c>
      <c r="F5997" s="1" t="s">
        <v>103</v>
      </c>
      <c r="I5997" s="1" t="n">
        <v>5971</v>
      </c>
      <c r="J5997" s="1" t="n">
        <v>17163</v>
      </c>
      <c r="K5997" s="1" t="n">
        <v>7896981600567</v>
      </c>
      <c r="L5997" s="1" t="s">
        <v>2066</v>
      </c>
      <c r="N5997" s="1" t="n">
        <v>9</v>
      </c>
      <c r="O5997" s="1" t="n">
        <v>80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1930</v>
      </c>
      <c r="E5998" s="1" t="n">
        <v>1609</v>
      </c>
      <c r="F5998" s="1" t="s">
        <v>103</v>
      </c>
      <c r="I5998" s="1" t="n">
        <v>5971</v>
      </c>
      <c r="J5998" s="1" t="n">
        <v>13720</v>
      </c>
      <c r="K5998" s="1" t="n">
        <v>7896981600307</v>
      </c>
      <c r="L5998" s="1" t="s">
        <v>2067</v>
      </c>
      <c r="N5998" s="1" t="n">
        <v>9</v>
      </c>
      <c r="O5998" s="1" t="n">
        <v>55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1930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2068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1930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2070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1930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2071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1930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2072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1930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2073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1930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2074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1930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2075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1930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2080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1930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2081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1930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2038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1930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2404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1930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4237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1930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2142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1930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2925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1930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4238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1930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4239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1930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4240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1930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2927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1930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2928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1930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4241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1930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4242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1930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4243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1930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4244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1930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2931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1930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2932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1930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4245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1930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4246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1930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2933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1930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2934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1930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4247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1930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4248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1930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4249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1930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2936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1930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2937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1930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4250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1930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4251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1930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4252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1930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4253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1930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4254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1930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4255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1930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4256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1930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4257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1930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2939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1930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4258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1930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2147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1930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3328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1930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2150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1930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4259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1930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3504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1930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2202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1930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2884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1930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4260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1930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4261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1930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4262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1930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3228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1930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3055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1930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2522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1930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2523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1930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4263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1930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2524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1930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4264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1930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3056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1930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2529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1930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2531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1930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3229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1930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3331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1930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2532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1930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4105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1930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2533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1930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2534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1930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2536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1930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3230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1930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2539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1930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2539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1930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3231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1930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4265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1930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2801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1930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4106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1930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2545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1930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2553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1930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2556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1930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2557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1930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3057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1930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4266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1930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2020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1930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1921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1930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1922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1930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3578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1930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2022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1930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2899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1930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3341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1930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2174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1930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2084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1930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3215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1930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2429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1930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4267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1930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3216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1930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2431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1930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3217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1930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3930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1930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4268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1930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2436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1930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2437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1930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1924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1930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1926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1930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1924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1930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1925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1930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1926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1930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2097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1930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2098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1930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2440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1930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2099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1930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2100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1930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2441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1930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2101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1930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2102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1930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2103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1930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2104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1930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2443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1930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2106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1930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4077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1930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3337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1930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1978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1930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1979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1930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1980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1930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2444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1930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2109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1930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2445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1930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2446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1930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1981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1930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1982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1930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4269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1930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2110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1930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2447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1930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3338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1930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2448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1930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1984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1930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1986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1930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2450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1930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1990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1930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1991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1930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2452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1930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4270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1930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2453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1930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2026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1930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2114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1930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2027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1930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2115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1930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2029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1930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2030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1930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4086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1930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1929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1930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2118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1930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2116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1930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2715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1930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4271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1930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3046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1930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3345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1930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2454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1930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2034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1930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2035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1930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3347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2012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1993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1930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1968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1930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1969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1930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1959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1930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3355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1930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2096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1930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4272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1930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2721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1930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2724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1930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2856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1930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2857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1930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2858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1930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4273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1930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2859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1930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2860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1930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2861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1930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2862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1930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2863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1930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4274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1930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2864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1930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2866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1930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2868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1930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2869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1930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2870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1930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2873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1930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4275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1930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2875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1930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3797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1930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2876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1930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4276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1930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4277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1930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4278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1930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3800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1930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2877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1930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2878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1930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2879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1930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2880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1930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2881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1930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2882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1930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3387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1930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3388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1930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4279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1930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4280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1930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4281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1930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2883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1930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4282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1930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3802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1930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2735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1930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2736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1930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2738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1930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2739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1930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4283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1930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4284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1930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4285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1930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2748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1930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4286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2012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1993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1930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1968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1930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1969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1930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2043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1930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2044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1930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2045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1930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2046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1930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2047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1930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1908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1930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1909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1930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3366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1930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2124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1930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2125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1930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2128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1930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3367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1930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4287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1930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3369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1930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3370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1930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2135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1930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3371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1930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2138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1930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2139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1930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3373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1930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3374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1930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3375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1930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4288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1930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4289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1930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4290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1930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4291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1930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4292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1930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4293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1930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2491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1930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4294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1930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2493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1930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2494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1930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2495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1930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4295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1930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4296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1930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4297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1930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4298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1930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4299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1930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4300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1930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4301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1930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4302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1930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4303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1930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4304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1930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4305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1930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4306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1930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4307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1930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4308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1930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4309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1930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4310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1930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4311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1930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2085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1930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2086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1930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3773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1930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2090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1930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4312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1930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4313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1930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3774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1930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4314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1930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1924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1930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1926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1930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4313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1930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4315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1930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4316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1930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4317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1930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4318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1930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4319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1930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2514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1930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4320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1930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4321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1930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4322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1930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4323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1930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4324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1930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2516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1930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4325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1930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4325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1930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4326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1930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2519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1930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4327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1930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4328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1930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4329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1930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4330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1930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4331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1938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1939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1938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1939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1938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1940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1938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1941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1938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1942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1938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1943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1938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2040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1938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1944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1938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1945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1938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1945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1938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1946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1938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1947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1938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1948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1938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1949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1938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1950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1938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1951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1938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1952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1938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1953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1938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4332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1938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1954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1938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1955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1938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1955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1938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1956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1938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1956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1938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1957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1938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1957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1958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1939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1958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1944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1958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1945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1958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1946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1958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1947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1958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1948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1958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1949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1958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1950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1958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1951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1958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1952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1958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1953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1958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4332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1958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1954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1958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1955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1958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1956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1958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1957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1958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1939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1958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1940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1958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1941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1958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1942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1958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1943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1958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2040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1958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1945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1958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1955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1958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1956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1958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1957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2012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1998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2012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2008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2012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1994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2012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1995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2012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1996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2012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1999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2012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2001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2012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2002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2012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2153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2012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2056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2012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2004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2012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2005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2012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2006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2012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2117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2012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2009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2012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2010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2012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2011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2012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4137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1930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1960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1930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1903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1930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1904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1930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1905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1930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2042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1930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1906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1930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1961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1930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1962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1930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1963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1930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1964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1930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2048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1930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1965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1930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1966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1930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1905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1930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1967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1930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4333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1930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4334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1930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4335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1930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4336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1930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4337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1930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4338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1930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4339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1930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4340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1930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4341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1930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4342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1930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4343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1930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4344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1930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4345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1930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4346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1930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4347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1930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4348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1930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4349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1930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4350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1930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4351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1930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4352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1930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4353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1930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4354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1930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4355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1930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4356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1930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4357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1930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4358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1930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4359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1930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4360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1930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4361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1930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4362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1930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4363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1930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4364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1930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4365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1930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4366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1930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4367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1930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4368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1930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4369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1930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4370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1930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4371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1930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4372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1930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4373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1930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4374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1930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4375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1930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4376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1930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4377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1930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4378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1930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4379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1930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4380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1930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4381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1930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4382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1930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4383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1930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2940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1930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2917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1930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2084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1930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4384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1930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2558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1930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2561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1930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2203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1930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4385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1930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4386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1930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3931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1930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3238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1930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3932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1930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4387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1930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3934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1930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3935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1930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3241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1930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3936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1930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3242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1930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4388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1930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4389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1930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4390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1930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3243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1930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3244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1930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3942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1930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3245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1930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4391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1930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3950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1930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4392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1930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3247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1930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3248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1930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4393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1930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4394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1930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3856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1930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3857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1930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3858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1930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3859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1930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4395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1930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4396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1930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4397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1930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3864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1930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3865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1930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3866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1930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3867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1930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4398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1930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3249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1930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3250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1930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4399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1930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3251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1930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4400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1930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3962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1930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3253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1930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4401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1930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4402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1930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3964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1930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3254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1930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3967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1930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3255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1930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4403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1930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3670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1930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1970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1930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1971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1930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1972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1930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1973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1930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1974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1930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1975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1930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1924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1930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1925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1930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1926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1930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1936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1930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2112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1930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2113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1930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2034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1930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2453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1930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2026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1930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2114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1930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2028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1930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2115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1930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2031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1930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1929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1930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3805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1930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2715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1930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2023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1930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2034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1930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2119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1930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2913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1930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4404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1930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4405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1930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4406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1930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4407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1930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3689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1930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3411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1930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4408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1930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3413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1930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4409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1930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4410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1930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4411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1930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3406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1930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4412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1930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4413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1930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4414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1930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4415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1930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4416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1930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4417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1930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4418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1930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4419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1930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4420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1930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4421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1930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4422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1930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4423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1930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4424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1930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3408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1930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4425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1930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3416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1930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4426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2475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4427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2012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1993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1930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2175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1930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1908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1930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4428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1930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3455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1930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2699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1930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4429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1930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2703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1930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4430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1930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2704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1930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4431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1930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4432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1930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4433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1930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3464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1930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4434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1930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4435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1930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4436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1930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3467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1930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4437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1930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4438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1930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4439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1930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4440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1930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4441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1930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4442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1930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4443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1930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4444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1930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4445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1930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4446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1930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4447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1930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4448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1930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4449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1930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4450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1930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4451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1930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4452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1930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3092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1930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4453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1930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4454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1930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4455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1930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4456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1930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4457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1930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4458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1930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4459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1930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4460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1930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4460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1930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4461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1930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4462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1930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4463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1930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4464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1930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4465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1930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4466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1930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4467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1930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3078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1930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4468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1930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4469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1930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4341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1930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4470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1930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4471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1930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4472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1930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3078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1930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4473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1930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3079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1930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4474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1930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4475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1930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3082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1930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4476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1930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3083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1930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4477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1930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4478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1930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4479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1930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4480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1930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4481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1930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4482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1930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3085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1930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3086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1930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3087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1930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4483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1930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3094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1930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3095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1930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4484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1930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4485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1930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4486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1930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4487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1930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4488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1930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4489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1930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4490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1930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2222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1930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2223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1930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2224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1930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4491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1930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2225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1930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3047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1930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3048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1930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3049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1930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4492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1930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4056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1930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3053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1930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4493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1930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4494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1930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4495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1938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1939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1938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1944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1938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1945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1938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1946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1938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1947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1938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1948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1938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1949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1938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1950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1938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1951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1938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1952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1938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1953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1938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1954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1938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1955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1938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1956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1938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1957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1958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1939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1958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1944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1958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1945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1958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1946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1958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1947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1958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1948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1958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1949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1958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1950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1958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1951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1958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1952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1958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1953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1958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1954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1958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1955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1958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1956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1958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1957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2012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2802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2012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3419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2012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3420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2012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3421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2012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3422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2012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4496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2012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3423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1930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1959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1930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2196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1930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4091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1930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1909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1930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4497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1930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4498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1930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4499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1930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4500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1930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4501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1930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4502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1930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1925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1930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1926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1930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4503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1930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3580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1930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4504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1930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3016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1930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3017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1930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4505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1930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4506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1930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4507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1930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4508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1930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4509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1930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4510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1930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4511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1930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3617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1930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4512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1930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3619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1930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4513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1930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4514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1930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4515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1930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4516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1930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3030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1930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4517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1930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4518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1930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4519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1938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1939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1938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1940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1938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1941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1938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1942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1938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1943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1938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1945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1938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2041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1938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1955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1938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3237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1958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1939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1958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1940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1958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1941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1958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1942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1958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1943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1958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1945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1958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2041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1958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1955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1958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3237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2012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1993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2012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1998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2012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2008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2012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1995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2012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1996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2012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2455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2012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1999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2012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2000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2012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2003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2012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2055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2012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2004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2012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2005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2012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2006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2012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2058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2012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2009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2012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2010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2012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2011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2012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2193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2012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2194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2012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2195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1930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1968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1930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1969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1930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2169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1930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2170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1930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2169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1930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2170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1930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1907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1930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4135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1930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4520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1930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2924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1930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4521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1930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2422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1930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2923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1930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3319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1930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1908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1930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2082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1930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1924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1930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1925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1930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1926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1938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1939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1938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1944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1938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1945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1938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1946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1938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1946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1938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1947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1938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1948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1938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1949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1938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1950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1938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1951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1938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1952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1938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1953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1938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1954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1938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1954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1938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1955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1938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1955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1938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1956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1938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1957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4522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1949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4522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3236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4522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2852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4522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4523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4522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1995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4522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1996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4522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2005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4522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2177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4522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2246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4522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2763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4522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2143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4522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4116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4522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2195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4522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2206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4522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2695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1958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1946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1958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1954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1958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1955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1958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1939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1958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1944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1958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1945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1958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1946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1958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1947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1958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1948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1958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1949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1958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1950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1958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1951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1958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1952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1958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1953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1958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1954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1958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1955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1958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1956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1958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1957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1930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1960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1930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4524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1930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4525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1930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4526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1930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4527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1930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4528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1930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4529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1930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2787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1930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2790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1930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2794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1930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2204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1930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2207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1930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2208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1930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2209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1930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2211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1930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2213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1930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2215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1930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4152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1930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2217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1930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2218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1930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2219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1930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2221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1930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3510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2755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4530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2755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4531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2755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4532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2012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1993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1930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1968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1930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1969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1930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1903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1930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1904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1930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1905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1930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2403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1930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2042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1930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1908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1930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1909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1930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2142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1930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1931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1930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1932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1930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1935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1930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4533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1930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1924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1930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1925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1930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1926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1938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1939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1938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1939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1938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1940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1938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1941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1938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1942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1938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1943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1938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2040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1938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1944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1938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1945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1938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1945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1938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1946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1938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1947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1938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1948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1938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1949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1938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1950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1938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1951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1938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1952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1938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1953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1938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3236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1938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1954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1938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1955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1938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1955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1938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1956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1938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1956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1938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1957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1938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1957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1958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1939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1958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1944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1958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1945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1958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1946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1958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1947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1958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1948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1958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1949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1958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1950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1958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1951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1958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1952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1958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1953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1958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1954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1958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1955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1958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1956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1958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1957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1958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1939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1958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1940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1958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1941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1958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1942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1958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1943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1958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2040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1958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1945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1958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3236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1958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1955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1958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1956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1958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1957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2475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2229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2475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2790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2012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1998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2012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2008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2012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1994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2012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1995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2012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2716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2012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1996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2012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2001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2012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2002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2012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2153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2012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2056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2012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2005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2012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2006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2012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2058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2012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2009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2012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2010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2012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3502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1930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1960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1930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1962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1930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1963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1930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1964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1930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1965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1930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1966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1930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1905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1930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1967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1930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2143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1930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2144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1930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2145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1930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2146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1930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2149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1930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4534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1930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3670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1930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1970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1930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1971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1930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4143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1930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1972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1930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1973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1930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1974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1930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1975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1930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2713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1930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3803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1930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4109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1930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4535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1930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1921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1930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1922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1930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2021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1930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2423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1930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2714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1930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4144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1930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2852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1930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2496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1930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2497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1930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4536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1930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2499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1930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2500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1930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2501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1930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2502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1930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2503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1930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2506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1930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4537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1930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2507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1930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2508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1930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4538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1930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2509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1930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2510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1930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2679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1930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4539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1930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4540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1930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4541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1930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2605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1930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4542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1930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2594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1930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2595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1930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2596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1930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2599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1930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2600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1930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4543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1930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2603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1930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2609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1930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4544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1930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3814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1930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3212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1930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3213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1930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3214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1930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2232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1930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2620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1930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2626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1930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2627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1930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4545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1930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4546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1930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4547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1930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2629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1930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2630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1930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2631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1930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2632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1930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2633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1930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2634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1930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3816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1930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4548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1930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4549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1930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2637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1930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4550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1930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4551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1930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2582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1930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3811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1930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4552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1930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4553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1930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2589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1930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2590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1930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4554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1930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4555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1930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2593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1930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2598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1930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2601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1930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2602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1930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3812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1930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4556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1930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4557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1930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4558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1930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4559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1930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2615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1930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2618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1930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2619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1930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4560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1930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4561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1930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4562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1930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4563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1930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4564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1930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2621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1930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2622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1930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2922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1930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4565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1930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4566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1930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2624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1930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4567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1930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1926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1930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2112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1930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2113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1930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2034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1930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2026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1930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2114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1930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2027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1930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2028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1930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4115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1930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2029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1930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2030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1930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2032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1930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1927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1930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4086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1930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3818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1930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1928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1930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1929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1930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2118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1930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2116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1930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2033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1930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3046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1930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2715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1930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2454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1930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1937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1930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2034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1930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2035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1930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2036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2012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1993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1930</v>
      </c>
      <c r="E7092" s="1" t="n">
        <v>1390</v>
      </c>
      <c r="F7092" s="1" t="s">
        <v>1643</v>
      </c>
      <c r="I7092" s="1" t="n">
        <v>7287</v>
      </c>
      <c r="J7092" s="1" t="n">
        <v>74806</v>
      </c>
      <c r="K7092" s="1" t="n">
        <v>7898967923899</v>
      </c>
      <c r="L7092" s="1" t="s">
        <v>4568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1930</v>
      </c>
      <c r="E7093" s="1" t="n">
        <v>1390</v>
      </c>
      <c r="F7093" s="1" t="s">
        <v>1643</v>
      </c>
      <c r="I7093" s="1" t="n">
        <v>7287</v>
      </c>
      <c r="J7093" s="1" t="n">
        <v>74808</v>
      </c>
      <c r="K7093" s="1" t="n">
        <v>7898967923912</v>
      </c>
      <c r="L7093" s="1" t="s">
        <v>4569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1930</v>
      </c>
      <c r="E7094" s="1" t="n">
        <v>1390</v>
      </c>
      <c r="F7094" s="1" t="s">
        <v>1643</v>
      </c>
      <c r="I7094" s="1" t="n">
        <v>7287</v>
      </c>
      <c r="J7094" s="1" t="n">
        <v>75038</v>
      </c>
      <c r="K7094" s="1" t="n">
        <v>7898754690492</v>
      </c>
      <c r="L7094" s="1" t="s">
        <v>4570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1930</v>
      </c>
      <c r="E7095" s="1" t="n">
        <v>794</v>
      </c>
      <c r="F7095" s="1" t="s">
        <v>343</v>
      </c>
      <c r="I7095" s="1" t="n">
        <v>8744</v>
      </c>
      <c r="J7095" s="1" t="n">
        <v>104079</v>
      </c>
      <c r="K7095" s="1" t="n">
        <v>7891055020081</v>
      </c>
      <c r="L7095" s="1" t="s">
        <v>4571</v>
      </c>
      <c r="N7095" s="1" t="n">
        <v>14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1930</v>
      </c>
      <c r="E7096" s="1" t="n">
        <v>794</v>
      </c>
      <c r="F7096" s="1" t="s">
        <v>343</v>
      </c>
      <c r="I7096" s="1" t="n">
        <v>8744</v>
      </c>
      <c r="J7096" s="1" t="n">
        <v>104074</v>
      </c>
      <c r="K7096" s="1" t="n">
        <v>7891055112403</v>
      </c>
      <c r="L7096" s="1" t="s">
        <v>4572</v>
      </c>
      <c r="N7096" s="1" t="n">
        <v>12</v>
      </c>
      <c r="O7096" s="1" t="n">
        <v>116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1930</v>
      </c>
      <c r="E7097" s="1" t="n">
        <v>794</v>
      </c>
      <c r="F7097" s="1" t="s">
        <v>343</v>
      </c>
      <c r="I7097" s="1" t="n">
        <v>8744</v>
      </c>
      <c r="J7097" s="1" t="n">
        <v>104075</v>
      </c>
      <c r="K7097" s="1" t="n">
        <v>7891055112502</v>
      </c>
      <c r="L7097" s="1" t="s">
        <v>4573</v>
      </c>
      <c r="N7097" s="1" t="n">
        <v>12</v>
      </c>
      <c r="O7097" s="1" t="n">
        <v>136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1930</v>
      </c>
      <c r="E7098" s="1" t="n">
        <v>794</v>
      </c>
      <c r="F7098" s="1" t="s">
        <v>343</v>
      </c>
      <c r="I7098" s="1" t="n">
        <v>8744</v>
      </c>
      <c r="J7098" s="1" t="n">
        <v>104078</v>
      </c>
      <c r="K7098" s="1" t="n">
        <v>7891055003589</v>
      </c>
      <c r="L7098" s="1" t="s">
        <v>4574</v>
      </c>
      <c r="N7098" s="1" t="n">
        <v>15</v>
      </c>
      <c r="O7098" s="1" t="n">
        <v>185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1930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4575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1930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4576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1930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4577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1930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4578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1930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4579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1930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4580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1930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4581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1930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4582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1930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4583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1930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4584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1930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4585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1930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4586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1930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4587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1930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4588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1930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4589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1930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4590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1930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4591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1930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4592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1930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4593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1930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4594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1930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4595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1930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4596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1930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4597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1930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4598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1930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4599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1930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1908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1930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2082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1930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1948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1930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1949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1930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1950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1930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3037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1930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3513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1930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3514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1930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2060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1930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3039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1930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3040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1930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2062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1930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3042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1930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3044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1930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3516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1930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2941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1930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2942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1930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4600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1930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4601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1930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2943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1930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2944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1930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2945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1930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4602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1930</v>
      </c>
      <c r="E7147" s="1" t="n">
        <v>1107</v>
      </c>
      <c r="F7147" s="1" t="s">
        <v>227</v>
      </c>
      <c r="I7147" s="1" t="n">
        <v>447609</v>
      </c>
      <c r="J7147" s="1" t="n">
        <v>27023</v>
      </c>
      <c r="K7147" s="1" t="n">
        <v>7891048050637</v>
      </c>
      <c r="L7147" s="1" t="s">
        <v>3484</v>
      </c>
      <c r="N7147" s="1" t="n">
        <v>12</v>
      </c>
      <c r="O7147" s="1" t="n">
        <v>17.82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1930</v>
      </c>
      <c r="E7148" s="1" t="n">
        <v>1107</v>
      </c>
      <c r="F7148" s="1" t="s">
        <v>227</v>
      </c>
      <c r="I7148" s="1" t="n">
        <v>447609</v>
      </c>
      <c r="J7148" s="1" t="n">
        <v>17325</v>
      </c>
      <c r="K7148" s="1" t="n">
        <v>7895144603063</v>
      </c>
      <c r="L7148" s="1" t="s">
        <v>2795</v>
      </c>
      <c r="N7148" s="1" t="n">
        <v>16</v>
      </c>
      <c r="O7148" s="1" t="n">
        <v>32.43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1930</v>
      </c>
      <c r="E7149" s="1" t="n">
        <v>1107</v>
      </c>
      <c r="F7149" s="1" t="s">
        <v>227</v>
      </c>
      <c r="I7149" s="1" t="n">
        <v>447609</v>
      </c>
      <c r="J7149" s="1" t="n">
        <v>20684</v>
      </c>
      <c r="K7149" s="1" t="n">
        <v>7891962045160</v>
      </c>
      <c r="L7149" s="1" t="s">
        <v>4603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1930</v>
      </c>
      <c r="E7150" s="1" t="n">
        <v>1107</v>
      </c>
      <c r="F7150" s="1" t="s">
        <v>227</v>
      </c>
      <c r="I7150" s="1" t="n">
        <v>447609</v>
      </c>
      <c r="J7150" s="1" t="n">
        <v>22780</v>
      </c>
      <c r="K7150" s="1" t="n">
        <v>7891962047560</v>
      </c>
      <c r="L7150" s="1" t="s">
        <v>4604</v>
      </c>
      <c r="N7150" s="1" t="n">
        <v>25</v>
      </c>
      <c r="O7150" s="1" t="n">
        <v>89.81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1930</v>
      </c>
      <c r="E7151" s="1" t="n">
        <v>1107</v>
      </c>
      <c r="F7151" s="1" t="s">
        <v>227</v>
      </c>
      <c r="I7151" s="1" t="n">
        <v>447609</v>
      </c>
      <c r="J7151" s="1" t="n">
        <v>24270</v>
      </c>
      <c r="K7151" s="1" t="n">
        <v>7891962050089</v>
      </c>
      <c r="L7151" s="1" t="s">
        <v>2946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1930</v>
      </c>
      <c r="E7152" s="1" t="n">
        <v>1107</v>
      </c>
      <c r="F7152" s="1" t="s">
        <v>227</v>
      </c>
      <c r="I7152" s="1" t="n">
        <v>447609</v>
      </c>
      <c r="J7152" s="1" t="n">
        <v>24548</v>
      </c>
      <c r="K7152" s="1" t="n">
        <v>7891962050072</v>
      </c>
      <c r="L7152" s="1" t="s">
        <v>2947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1930</v>
      </c>
      <c r="E7153" s="1" t="n">
        <v>1107</v>
      </c>
      <c r="F7153" s="1" t="s">
        <v>227</v>
      </c>
      <c r="I7153" s="1" t="n">
        <v>447609</v>
      </c>
      <c r="J7153" s="1" t="n">
        <v>24780</v>
      </c>
      <c r="K7153" s="1" t="n">
        <v>7891962050065</v>
      </c>
      <c r="L7153" s="1" t="s">
        <v>4605</v>
      </c>
      <c r="N7153" s="1" t="n">
        <v>45</v>
      </c>
      <c r="O7153" s="1" t="n">
        <v>171.59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1930</v>
      </c>
      <c r="E7154" s="1" t="n">
        <v>1107</v>
      </c>
      <c r="F7154" s="1" t="s">
        <v>227</v>
      </c>
      <c r="I7154" s="1" t="n">
        <v>447609</v>
      </c>
      <c r="J7154" s="1" t="n">
        <v>25766</v>
      </c>
      <c r="K7154" s="1" t="n">
        <v>7891962051079</v>
      </c>
      <c r="L7154" s="1" t="s">
        <v>4606</v>
      </c>
      <c r="N7154" s="1" t="n">
        <v>25</v>
      </c>
      <c r="O7154" s="1" t="n">
        <v>89.81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1930</v>
      </c>
      <c r="E7155" s="1" t="n">
        <v>1107</v>
      </c>
      <c r="F7155" s="1" t="s">
        <v>227</v>
      </c>
      <c r="I7155" s="1" t="n">
        <v>447609</v>
      </c>
      <c r="J7155" s="1" t="n">
        <v>27022</v>
      </c>
      <c r="K7155" s="1" t="n">
        <v>7891048050682</v>
      </c>
      <c r="L7155" s="1" t="s">
        <v>4607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1930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2950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1930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2949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1930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2951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1930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3492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1930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2796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1930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4608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1930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3493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1930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4609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1930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4610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1930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4611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1930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2952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1930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2953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1930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2797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1930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3494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1930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2798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1930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4612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1930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4613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1930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2954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1930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2955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1930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2956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1930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3495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1930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2957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1930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3496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1930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2958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1930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2959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1930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4614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1930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4615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1930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4616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1930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4617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1930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4618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1930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2256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1930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2257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1930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4619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1930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4620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1930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4621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1930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2258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1930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4622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1930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2259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1930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2261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1930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4623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1930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4624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1930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2262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1930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2263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1930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4625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1930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4626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1930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2264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1930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2265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1930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4627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1930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4628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1930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4629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1930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2268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1930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2269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1930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2270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1930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3999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1930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2271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1930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2272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1930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2272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1930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2274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1930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4630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1930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4631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1930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2276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1930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4000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1930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2018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1930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2020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1930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2423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1930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2177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1930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3112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1930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3113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1930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2178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1930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4632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1930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2180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1930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4633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1930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4634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1930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2182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1930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4017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1930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2184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1930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3119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1930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3119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1930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2191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1930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2192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1930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1924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1930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1925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1930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1926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1930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4270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1930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2034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1930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2453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1930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2026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1930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2114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1930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2027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1930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2028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1930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2115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1930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2029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1930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4148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1930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2031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1930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1927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1930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1929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1930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3805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1930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2118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1930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2116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1930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2715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1930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4271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1930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3046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1930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4635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1930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2454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1930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2023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1930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2034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1930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2035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1930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2119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1938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1939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1938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2040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1938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1944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1938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1945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1938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1946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1938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1946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1938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1947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1938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1948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1938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1949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1938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1950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1938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1951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1938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1952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1938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1952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1938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1953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1938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4332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1938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1954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1938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1954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1938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1955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1938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1956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1938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1957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1938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1957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2755</v>
      </c>
      <c r="E7285" s="1" t="n">
        <v>1835</v>
      </c>
      <c r="F7285" s="1" t="s">
        <v>1593</v>
      </c>
      <c r="I7285" s="1" t="n">
        <v>110228</v>
      </c>
      <c r="J7285" s="1" t="n">
        <v>82218</v>
      </c>
      <c r="K7285" s="1" t="n">
        <v>7898708505735</v>
      </c>
      <c r="L7285" s="1" t="s">
        <v>4636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2755</v>
      </c>
      <c r="E7286" s="1" t="n">
        <v>1835</v>
      </c>
      <c r="F7286" s="1" t="s">
        <v>1593</v>
      </c>
      <c r="I7286" s="1" t="n">
        <v>110228</v>
      </c>
      <c r="J7286" s="1" t="n">
        <v>82219</v>
      </c>
      <c r="K7286" s="1" t="n">
        <v>7898708505520</v>
      </c>
      <c r="L7286" s="1" t="s">
        <v>4637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1958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1939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1958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2040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1958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1944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1958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1945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1958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1946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1958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1947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1958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1948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1958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1949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1958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1950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1958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1951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1958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1952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1958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1953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1958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4332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1958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1954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1958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1955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1958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1956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1958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1957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1958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1946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1958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1952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1958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1954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1958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1957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2012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1993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1930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1968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1930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1969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1930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1959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1930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4638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1930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4639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1930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2909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1930</v>
      </c>
      <c r="E7315" s="1" t="n">
        <v>1609</v>
      </c>
      <c r="F7315" s="1" t="s">
        <v>103</v>
      </c>
      <c r="I7315" s="1" t="n">
        <v>6042</v>
      </c>
      <c r="J7315" s="1" t="n">
        <v>17163</v>
      </c>
      <c r="K7315" s="1" t="n">
        <v>7896981600567</v>
      </c>
      <c r="L7315" s="1" t="s">
        <v>2066</v>
      </c>
      <c r="N7315" s="1" t="n">
        <v>9</v>
      </c>
      <c r="O7315" s="1" t="n">
        <v>80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1930</v>
      </c>
      <c r="E7316" s="1" t="n">
        <v>1609</v>
      </c>
      <c r="F7316" s="1" t="s">
        <v>103</v>
      </c>
      <c r="I7316" s="1" t="n">
        <v>6042</v>
      </c>
      <c r="J7316" s="1" t="n">
        <v>13225</v>
      </c>
      <c r="K7316" s="1" t="n">
        <v>7896981601151</v>
      </c>
      <c r="L7316" s="1" t="s">
        <v>2910</v>
      </c>
      <c r="N7316" s="1" t="n">
        <v>12</v>
      </c>
      <c r="O7316" s="1" t="n">
        <v>45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1930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2068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1930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2070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1930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2071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1930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2072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1930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2074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1930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3445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1930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2076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1930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2077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1930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2078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1930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2079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1930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2080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1930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2911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1930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2912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1930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2912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1930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1909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1930</v>
      </c>
      <c r="E7332" s="1" t="n">
        <v>1706</v>
      </c>
      <c r="F7332" s="1" t="s">
        <v>1595</v>
      </c>
      <c r="I7332" s="1" t="n">
        <v>206697</v>
      </c>
      <c r="J7332" s="1" t="n">
        <v>57639</v>
      </c>
      <c r="K7332" s="1" t="n">
        <v>7896004006277</v>
      </c>
      <c r="L7332" s="1" t="s">
        <v>4521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1930</v>
      </c>
      <c r="E7333" s="1" t="n">
        <v>1706</v>
      </c>
      <c r="F7333" s="1" t="s">
        <v>1595</v>
      </c>
      <c r="I7333" s="1" t="n">
        <v>206697</v>
      </c>
      <c r="J7333" s="1" t="n">
        <v>57878</v>
      </c>
      <c r="K7333" s="1" t="n">
        <v>7896004006239</v>
      </c>
      <c r="L7333" s="1" t="s">
        <v>4640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1930</v>
      </c>
      <c r="E7334" s="1" t="n">
        <v>1706</v>
      </c>
      <c r="F7334" s="1" t="s">
        <v>1595</v>
      </c>
      <c r="I7334" s="1" t="n">
        <v>206697</v>
      </c>
      <c r="J7334" s="1" t="n">
        <v>61667</v>
      </c>
      <c r="K7334" s="1" t="n">
        <v>7896004006284</v>
      </c>
      <c r="L7334" s="1" t="s">
        <v>4641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1930</v>
      </c>
      <c r="E7335" s="1" t="n">
        <v>1706</v>
      </c>
      <c r="F7335" s="1" t="s">
        <v>1595</v>
      </c>
      <c r="I7335" s="1" t="n">
        <v>206697</v>
      </c>
      <c r="J7335" s="1" t="n">
        <v>63233</v>
      </c>
      <c r="K7335" s="1" t="n">
        <v>7896004006406</v>
      </c>
      <c r="L7335" s="1" t="s">
        <v>4642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1930</v>
      </c>
      <c r="E7336" s="1" t="n">
        <v>1706</v>
      </c>
      <c r="F7336" s="1" t="s">
        <v>1595</v>
      </c>
      <c r="I7336" s="1" t="n">
        <v>206697</v>
      </c>
      <c r="J7336" s="1" t="n">
        <v>63943</v>
      </c>
      <c r="K7336" s="1" t="n">
        <v>7896004008998</v>
      </c>
      <c r="L7336" s="1" t="s">
        <v>4643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1930</v>
      </c>
      <c r="E7337" s="1" t="n">
        <v>1706</v>
      </c>
      <c r="F7337" s="1" t="s">
        <v>1595</v>
      </c>
      <c r="I7337" s="1" t="n">
        <v>206697</v>
      </c>
      <c r="J7337" s="1" t="n">
        <v>66069</v>
      </c>
      <c r="K7337" s="1" t="n">
        <v>7896004010076</v>
      </c>
      <c r="L7337" s="1" t="s">
        <v>2748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1930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3896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1930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3900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1930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3901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1930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3902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1930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3903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1930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3904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1930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3909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1930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3910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1930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3913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1930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4644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1930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3917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1930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2097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1930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2098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1930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2440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1930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2103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1930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2104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1930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2442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1930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2105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1930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2443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1930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1977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1930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4077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1930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2107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1930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1980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1930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2444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1930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2108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1930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2109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1930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2445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1930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2446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1930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1981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1930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1982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1930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2110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1930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2447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1930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1983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1930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2448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1930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4645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1930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1986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1930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1990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1930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1991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1930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4646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1930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2621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1930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4647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1930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3826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1930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2373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1930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2376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1930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2378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1930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2379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1930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2381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1930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2382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1930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2383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1930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2384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1930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2387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1930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2388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1930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2389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1930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2390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1930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2391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1930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2392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1930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2394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1930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2395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1930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2396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1930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2401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1930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2402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1938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1939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1938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1940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1938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1941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1938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1942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1938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1943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1938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1945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1938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2041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1938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1955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1938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1956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1938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1957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1958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1939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1958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1940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1958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1941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1958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1942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1958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1943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1958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1945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1958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2041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1958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1955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1958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1956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1958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1957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2012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1998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2012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2008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2012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1994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2012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2151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2012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1996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2012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2152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2012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1999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2012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2001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2012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2002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2012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2003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2012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2055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2012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2004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2012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2005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2012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2006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2012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4136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2012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2154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2012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2009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2012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2010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2012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2011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2012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3502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1930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2169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1930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2170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1930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2171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1930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4648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1930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4335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1930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4649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1930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4650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1930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4336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1930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4337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1930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4651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1930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4652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1930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4117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1930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2226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1930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2226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1930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2777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1930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4195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1930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4653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1930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2091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1930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4654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1930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2231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1930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2922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1930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2049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1930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2050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1930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3304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1930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2051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1930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2053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1930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2050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1930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2052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1930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1924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1930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1925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1930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1926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2012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1993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1930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1968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1930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1969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1930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4117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1930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3772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1930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2915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1930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4653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1930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4653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1930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2920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1930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2921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1930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3440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1930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2091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1930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4655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1930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1960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1930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1908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1930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2038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1930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2039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1930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2404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1938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1939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1938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1944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1938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1945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1938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1946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1938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1947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1938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1948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1938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1949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1938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1950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1938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1951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1938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1952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1938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1953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1938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4332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1938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1954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1938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1955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1938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1956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1938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1957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1958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1939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1958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1944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1958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1945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1958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1946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1958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1947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1958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1948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1958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1949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1958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1950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1958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1951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1958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1952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1958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1953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1958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4332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1958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1954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1958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1955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1958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1956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1958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1957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2012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1993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1930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1903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1930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1905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1930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2403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1930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2042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1930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1906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1930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1904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1930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2043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1930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2044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1930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2045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1930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2046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1930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2047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1930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2802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1930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1961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1930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1963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1930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1964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1930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1965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1930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1966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1930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1905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1930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1967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1930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4656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1930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1909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1930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2405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1930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4657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1930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4658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1930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2406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1930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4659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1930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4660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1930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4661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1930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4662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1930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4663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1930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4664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1930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4665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1930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3055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1930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2527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1930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3056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1930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2529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1930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2532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1930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2532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1930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2537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1930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2539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1930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3231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1930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4666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1930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4106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1930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2545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1930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4667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1930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3232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1930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3233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1930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2551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1930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4668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1930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2556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1930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4669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1930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4670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1930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1921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1930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1922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1930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2025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1930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2422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1930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2899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1930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3341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1930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1924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1930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1925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1930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1926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1930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1924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1930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1925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1930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1926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1930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4646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1930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2621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1938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1939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1938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1940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1938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1941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1938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1942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1938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1943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1938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2040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1938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1945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1938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1955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1938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1957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1958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1939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1958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1940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1958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1941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1958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1942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1958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1943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1958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2040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1958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1945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1958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1955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1958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1957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2475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4671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2475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4672</v>
      </c>
      <c r="N7606" s="1" t="n">
        <v>6</v>
      </c>
      <c r="O7606" s="1" t="n">
        <v>30.84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2012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1998</v>
      </c>
      <c r="N7607" s="1" t="n">
        <v>20</v>
      </c>
      <c r="O7607" s="1" t="n">
        <v>95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2012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2008</v>
      </c>
      <c r="N7608" s="1" t="n">
        <v>40</v>
      </c>
      <c r="O7608" s="1" t="n">
        <v>220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2012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1994</v>
      </c>
      <c r="N7609" s="1" t="n">
        <v>18</v>
      </c>
      <c r="O7609" s="1" t="n">
        <v>120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2012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1995</v>
      </c>
      <c r="N7610" s="1" t="n">
        <v>24</v>
      </c>
      <c r="O7610" s="1" t="n">
        <v>120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2012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2716</v>
      </c>
      <c r="N7611" s="1" t="n">
        <v>3</v>
      </c>
      <c r="O7611" s="1" t="n">
        <v>36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2012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1996</v>
      </c>
      <c r="N7612" s="1" t="n">
        <v>20</v>
      </c>
      <c r="O7612" s="1" t="n">
        <v>110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2012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1997</v>
      </c>
      <c r="N7613" s="1" t="n">
        <v>11</v>
      </c>
      <c r="O7613" s="1" t="n">
        <v>33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2012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1999</v>
      </c>
      <c r="N7614" s="1" t="n">
        <v>2</v>
      </c>
      <c r="O7614" s="1" t="n">
        <v>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2012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2001</v>
      </c>
      <c r="N7615" s="1" t="n">
        <v>8</v>
      </c>
      <c r="O7615" s="1" t="n">
        <v>96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2012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2002</v>
      </c>
      <c r="N7616" s="1" t="n">
        <v>3</v>
      </c>
      <c r="O7616" s="1" t="n">
        <v>42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2012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2153</v>
      </c>
      <c r="N7617" s="1" t="n">
        <v>3</v>
      </c>
      <c r="O7617" s="1" t="n">
        <v>33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2012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2005</v>
      </c>
      <c r="N7618" s="1" t="n">
        <v>27.46</v>
      </c>
      <c r="O7618" s="1" t="n">
        <v>84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2012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2717</v>
      </c>
      <c r="N7619" s="1" t="n">
        <v>1</v>
      </c>
      <c r="O7619" s="1" t="n">
        <v>35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2012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2058</v>
      </c>
      <c r="N7620" s="1" t="n">
        <v>18</v>
      </c>
      <c r="O7620" s="1" t="n">
        <v>160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2012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2009</v>
      </c>
      <c r="N7621" s="1" t="n">
        <v>60</v>
      </c>
      <c r="O7621" s="1" t="n">
        <v>390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2012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2010</v>
      </c>
      <c r="N7622" s="1" t="n">
        <v>5</v>
      </c>
      <c r="O7622" s="1" t="n">
        <v>15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2012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4137</v>
      </c>
      <c r="N7623" s="1" t="n">
        <v>20</v>
      </c>
      <c r="O7623" s="1" t="n">
        <v>100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2012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3502</v>
      </c>
      <c r="N7624" s="1" t="n">
        <v>12</v>
      </c>
      <c r="O7624" s="1" t="n">
        <v>36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1930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1960</v>
      </c>
      <c r="N7625" s="1" t="n">
        <v>15</v>
      </c>
      <c r="O7625" s="1" t="n">
        <v>180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1930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2172</v>
      </c>
      <c r="N7626" s="1" t="n">
        <v>50</v>
      </c>
      <c r="O7626" s="1" t="n">
        <v>250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1930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4673</v>
      </c>
      <c r="N7627" s="1" t="n">
        <v>12</v>
      </c>
      <c r="O7627" s="1" t="n">
        <v>26.18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1930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2122</v>
      </c>
      <c r="N7628" s="1" t="n">
        <v>15</v>
      </c>
      <c r="O7628" s="1" t="n">
        <v>70.23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1930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2123</v>
      </c>
      <c r="N7629" s="1" t="n">
        <v>40</v>
      </c>
      <c r="O7629" s="1" t="n">
        <v>51.43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1930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3365</v>
      </c>
      <c r="N7630" s="1" t="n">
        <v>20</v>
      </c>
      <c r="O7630" s="1" t="n">
        <v>44.44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1930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2126</v>
      </c>
      <c r="N7631" s="1" t="n">
        <v>20</v>
      </c>
      <c r="O7631" s="1" t="n">
        <v>40.15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1930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2127</v>
      </c>
      <c r="N7632" s="1" t="n">
        <v>20</v>
      </c>
      <c r="O7632" s="1" t="n">
        <v>42.52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1930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2130</v>
      </c>
      <c r="N7633" s="1" t="n">
        <v>20</v>
      </c>
      <c r="O7633" s="1" t="n">
        <v>46.59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1930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2131</v>
      </c>
      <c r="N7634" s="1" t="n">
        <v>20</v>
      </c>
      <c r="O7634" s="1" t="n">
        <v>43.26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1930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2132</v>
      </c>
      <c r="N7635" s="1" t="n">
        <v>20</v>
      </c>
      <c r="O7635" s="1" t="n">
        <v>43.26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1930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3368</v>
      </c>
      <c r="N7636" s="1" t="n">
        <v>15</v>
      </c>
      <c r="O7636" s="1" t="n">
        <v>65.93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1930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4638</v>
      </c>
      <c r="N7637" s="1" t="n">
        <v>12</v>
      </c>
      <c r="O7637" s="1" t="n">
        <v>67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1930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1970</v>
      </c>
      <c r="N7638" s="1" t="n">
        <v>15</v>
      </c>
      <c r="O7638" s="1" t="n">
        <v>160.05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1930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1971</v>
      </c>
      <c r="N7639" s="1" t="n">
        <v>5</v>
      </c>
      <c r="O7639" s="1" t="n">
        <v>34.3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1930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1972</v>
      </c>
      <c r="N7640" s="1" t="n">
        <v>5</v>
      </c>
      <c r="O7640" s="1" t="n">
        <v>68.5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1930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1973</v>
      </c>
      <c r="N7641" s="1" t="n">
        <v>4</v>
      </c>
      <c r="O7641" s="1" t="n">
        <v>50.24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1930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1974</v>
      </c>
      <c r="N7642" s="1" t="n">
        <v>5</v>
      </c>
      <c r="O7642" s="1" t="n">
        <v>62.8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1930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1975</v>
      </c>
      <c r="N7643" s="1" t="n">
        <v>10</v>
      </c>
      <c r="O7643" s="1" t="n">
        <v>116.4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2755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3062</v>
      </c>
      <c r="N7644" s="1" t="n">
        <v>20</v>
      </c>
      <c r="O7644" s="1" t="n">
        <v>640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2755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3063</v>
      </c>
      <c r="N7645" s="1" t="n">
        <v>300</v>
      </c>
      <c r="O7645" s="1" t="n">
        <v>1589.4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2755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3064</v>
      </c>
      <c r="N7646" s="1" t="n">
        <v>320</v>
      </c>
      <c r="O7646" s="1" t="n">
        <v>2545.6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2755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3065</v>
      </c>
      <c r="N7647" s="1" t="n">
        <v>40</v>
      </c>
      <c r="O7647" s="1" t="n">
        <v>555.2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2012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1993</v>
      </c>
      <c r="N7648" s="1" t="n">
        <v>20</v>
      </c>
      <c r="O7648" s="1" t="n">
        <v>300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1930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1908</v>
      </c>
      <c r="N7649" s="1" t="n">
        <v>94.4</v>
      </c>
      <c r="O7649" s="1" t="n">
        <v>3020.8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1930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1909</v>
      </c>
      <c r="N7650" s="1" t="n">
        <v>84.8</v>
      </c>
      <c r="O7650" s="1" t="n">
        <v>1865.6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1930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1924</v>
      </c>
      <c r="N7651" s="1" t="n">
        <v>10</v>
      </c>
      <c r="O7651" s="1" t="n">
        <v>15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1930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1925</v>
      </c>
      <c r="N7652" s="1" t="n">
        <v>10</v>
      </c>
      <c r="O7652" s="1" t="n">
        <v>45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1930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1926</v>
      </c>
      <c r="N7653" s="1" t="n">
        <v>20</v>
      </c>
      <c r="O7653" s="1" t="n">
        <v>36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1930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3680</v>
      </c>
      <c r="N7654" s="1" t="n">
        <v>24</v>
      </c>
      <c r="O7654" s="1" t="n">
        <v>57.82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1938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1939</v>
      </c>
      <c r="N7655" s="1" t="n">
        <v>3.32</v>
      </c>
      <c r="O7655" s="1" t="n">
        <v>61.84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1938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1939</v>
      </c>
      <c r="N7656" s="1" t="n">
        <v>3.676</v>
      </c>
      <c r="O7656" s="1" t="n">
        <v>72.42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1938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1940</v>
      </c>
      <c r="N7657" s="1" t="n">
        <v>12.775</v>
      </c>
      <c r="O7657" s="1" t="n">
        <v>257.79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1938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1941</v>
      </c>
      <c r="N7658" s="1" t="n">
        <v>33.22</v>
      </c>
      <c r="O7658" s="1" t="n">
        <v>773.53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1938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1942</v>
      </c>
      <c r="N7659" s="1" t="n">
        <v>24.44</v>
      </c>
      <c r="O7659" s="1" t="n">
        <v>607.04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1938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1943</v>
      </c>
      <c r="N7660" s="1" t="n">
        <v>1.78</v>
      </c>
      <c r="O7660" s="1" t="n">
        <v>38.68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1938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2040</v>
      </c>
      <c r="N7661" s="1" t="n">
        <v>3.13</v>
      </c>
      <c r="O7661" s="1" t="n">
        <v>72.88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1938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2040</v>
      </c>
      <c r="N7662" s="1" t="n">
        <v>0.698</v>
      </c>
      <c r="O7662" s="1" t="n">
        <v>17.19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1938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1944</v>
      </c>
      <c r="N7663" s="1" t="n">
        <v>3.146</v>
      </c>
      <c r="O7663" s="1" t="n">
        <v>87.82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1938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1945</v>
      </c>
      <c r="N7664" s="1" t="n">
        <v>1.999</v>
      </c>
      <c r="O7664" s="1" t="n">
        <v>46.55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1938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1945</v>
      </c>
      <c r="N7665" s="1" t="n">
        <v>1.864</v>
      </c>
      <c r="O7665" s="1" t="n">
        <v>45.91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1938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1946</v>
      </c>
      <c r="N7666" s="1" t="n">
        <v>21.12</v>
      </c>
      <c r="O7666" s="1" t="n">
        <v>676.26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1938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1947</v>
      </c>
      <c r="N7667" s="1" t="n">
        <v>12.3</v>
      </c>
      <c r="O7667" s="1" t="n">
        <v>454.45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1938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1948</v>
      </c>
      <c r="N7668" s="1" t="n">
        <v>7.145</v>
      </c>
      <c r="O7668" s="1" t="n">
        <v>293.33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1938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1949</v>
      </c>
      <c r="N7669" s="1" t="n">
        <v>13.66</v>
      </c>
      <c r="O7669" s="1" t="n">
        <v>594.44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1938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1950</v>
      </c>
      <c r="N7670" s="1" t="n">
        <v>5.598</v>
      </c>
      <c r="O7670" s="1" t="n">
        <v>248.21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1938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1951</v>
      </c>
      <c r="N7671" s="1" t="n">
        <v>2.076</v>
      </c>
      <c r="O7671" s="1" t="n">
        <v>81.82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1938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1952</v>
      </c>
      <c r="N7672" s="1" t="n">
        <v>2.894</v>
      </c>
      <c r="O7672" s="1" t="n">
        <v>142.58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1938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1953</v>
      </c>
      <c r="N7673" s="1" t="n">
        <v>2.012</v>
      </c>
      <c r="O7673" s="1" t="n">
        <v>115.65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1938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4332</v>
      </c>
      <c r="N7674" s="1" t="n">
        <v>0.786</v>
      </c>
      <c r="O7674" s="1" t="n">
        <v>25.17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1938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1954</v>
      </c>
      <c r="N7675" s="1" t="n">
        <v>3.708</v>
      </c>
      <c r="O7675" s="1" t="n">
        <v>133.96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1938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1955</v>
      </c>
      <c r="N7676" s="1" t="n">
        <v>2.584</v>
      </c>
      <c r="O7676" s="1" t="n">
        <v>6.34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1938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1955</v>
      </c>
      <c r="N7677" s="1" t="n">
        <v>2.198</v>
      </c>
      <c r="O7677" s="1" t="n">
        <v>5.1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1938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1956</v>
      </c>
      <c r="N7678" s="1" t="n">
        <v>10.29</v>
      </c>
      <c r="O7678" s="1" t="n">
        <v>25.27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1938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1956</v>
      </c>
      <c r="N7679" s="1" t="n">
        <v>0.94</v>
      </c>
      <c r="O7679" s="1" t="n">
        <v>2.18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1938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1957</v>
      </c>
      <c r="N7680" s="1" t="n">
        <v>0.998</v>
      </c>
      <c r="O7680" s="1" t="n">
        <v>0.01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1938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1957</v>
      </c>
      <c r="N7681" s="1" t="n">
        <v>0.843</v>
      </c>
      <c r="O7681" s="1" t="n">
        <v>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1958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1939</v>
      </c>
      <c r="N7682" s="1" t="n">
        <v>3.676</v>
      </c>
      <c r="O7682" s="1" t="n">
        <v>72.42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1958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2040</v>
      </c>
      <c r="N7683" s="1" t="n">
        <v>0.698</v>
      </c>
      <c r="O7683" s="1" t="n">
        <v>17.19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1958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1944</v>
      </c>
      <c r="N7684" s="1" t="n">
        <v>3.146</v>
      </c>
      <c r="O7684" s="1" t="n">
        <v>87.82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1958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1945</v>
      </c>
      <c r="N7685" s="1" t="n">
        <v>1.864</v>
      </c>
      <c r="O7685" s="1" t="n">
        <v>45.91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1958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1946</v>
      </c>
      <c r="N7686" s="1" t="n">
        <v>21.12</v>
      </c>
      <c r="O7686" s="1" t="n">
        <v>676.26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1958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1947</v>
      </c>
      <c r="N7687" s="1" t="n">
        <v>12.3</v>
      </c>
      <c r="O7687" s="1" t="n">
        <v>454.45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1958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1948</v>
      </c>
      <c r="N7688" s="1" t="n">
        <v>7.145</v>
      </c>
      <c r="O7688" s="1" t="n">
        <v>293.33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1958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1949</v>
      </c>
      <c r="N7689" s="1" t="n">
        <v>13.66</v>
      </c>
      <c r="O7689" s="1" t="n">
        <v>594.44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1958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1950</v>
      </c>
      <c r="N7690" s="1" t="n">
        <v>5.598</v>
      </c>
      <c r="O7690" s="1" t="n">
        <v>248.21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1958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1951</v>
      </c>
      <c r="N7691" s="1" t="n">
        <v>2.076</v>
      </c>
      <c r="O7691" s="1" t="n">
        <v>81.82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1958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1952</v>
      </c>
      <c r="N7692" s="1" t="n">
        <v>2.894</v>
      </c>
      <c r="O7692" s="1" t="n">
        <v>142.58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1958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1953</v>
      </c>
      <c r="N7693" s="1" t="n">
        <v>2.012</v>
      </c>
      <c r="O7693" s="1" t="n">
        <v>115.65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1958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4332</v>
      </c>
      <c r="N7694" s="1" t="n">
        <v>0.786</v>
      </c>
      <c r="O7694" s="1" t="n">
        <v>25.17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1958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1954</v>
      </c>
      <c r="N7695" s="1" t="n">
        <v>3.708</v>
      </c>
      <c r="O7695" s="1" t="n">
        <v>133.96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1958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1955</v>
      </c>
      <c r="N7696" s="1" t="n">
        <v>2.584</v>
      </c>
      <c r="O7696" s="1" t="n">
        <v>6.34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1958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1956</v>
      </c>
      <c r="N7697" s="1" t="n">
        <v>10.29</v>
      </c>
      <c r="O7697" s="1" t="n">
        <v>25.27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1958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1957</v>
      </c>
      <c r="N7698" s="1" t="n">
        <v>0.843</v>
      </c>
      <c r="O7698" s="1" t="n">
        <v>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1958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1939</v>
      </c>
      <c r="N7699" s="1" t="n">
        <v>3.32</v>
      </c>
      <c r="O7699" s="1" t="n">
        <v>61.84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1958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1940</v>
      </c>
      <c r="N7700" s="1" t="n">
        <v>12.775</v>
      </c>
      <c r="O7700" s="1" t="n">
        <v>257.79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1958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1941</v>
      </c>
      <c r="N7701" s="1" t="n">
        <v>33.22</v>
      </c>
      <c r="O7701" s="1" t="n">
        <v>773.53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1958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1942</v>
      </c>
      <c r="N7702" s="1" t="n">
        <v>24.44</v>
      </c>
      <c r="O7702" s="1" t="n">
        <v>607.04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1958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1943</v>
      </c>
      <c r="N7703" s="1" t="n">
        <v>1.78</v>
      </c>
      <c r="O7703" s="1" t="n">
        <v>38.68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1958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2040</v>
      </c>
      <c r="N7704" s="1" t="n">
        <v>3.13</v>
      </c>
      <c r="O7704" s="1" t="n">
        <v>72.88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1958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1945</v>
      </c>
      <c r="N7705" s="1" t="n">
        <v>1.999</v>
      </c>
      <c r="O7705" s="1" t="n">
        <v>46.55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1958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1955</v>
      </c>
      <c r="N7706" s="1" t="n">
        <v>2.198</v>
      </c>
      <c r="O7706" s="1" t="n">
        <v>5.1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1958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1956</v>
      </c>
      <c r="N7707" s="1" t="n">
        <v>0.94</v>
      </c>
      <c r="O7707" s="1" t="n">
        <v>2.18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1958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1957</v>
      </c>
      <c r="N7708" s="1" t="n">
        <v>0.998</v>
      </c>
      <c r="O7708" s="1" t="n">
        <v>0.01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1930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1903</v>
      </c>
      <c r="M7709" s="1"/>
      <c r="N7709" s="1" t="n">
        <v>10</v>
      </c>
      <c r="O7709" s="1" t="n">
        <v>49.9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1930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1904</v>
      </c>
      <c r="N7710" s="1" t="n">
        <v>10</v>
      </c>
      <c r="O7710" s="1" t="n">
        <v>45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1930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1905</v>
      </c>
      <c r="N7711" s="1" t="n">
        <v>5</v>
      </c>
      <c r="O7711" s="1" t="n">
        <v>24.95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1930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2403</v>
      </c>
      <c r="N7712" s="1" t="n">
        <v>5</v>
      </c>
      <c r="O7712" s="1" t="n">
        <v>22.5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1930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2042</v>
      </c>
      <c r="N7713" s="1" t="n">
        <v>5</v>
      </c>
      <c r="O7713" s="1" t="n">
        <v>22.5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1930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1906</v>
      </c>
      <c r="N7714" s="1" t="n">
        <v>8</v>
      </c>
      <c r="O7714" s="1" t="n">
        <v>39.92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1930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2044</v>
      </c>
      <c r="N7715" s="1" t="n">
        <v>3</v>
      </c>
      <c r="O7715" s="1" t="n">
        <v>18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1930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2045</v>
      </c>
      <c r="N7716" s="1" t="n">
        <v>10</v>
      </c>
      <c r="O7716" s="1" t="n">
        <v>60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1930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2046</v>
      </c>
      <c r="N7717" s="1" t="n">
        <v>2</v>
      </c>
      <c r="O7717" s="1" t="n">
        <v>12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1930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2047</v>
      </c>
      <c r="N7718" s="1" t="n">
        <v>5</v>
      </c>
      <c r="O7718" s="1" t="n">
        <v>35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1930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1961</v>
      </c>
      <c r="N7719" s="1" t="n">
        <v>4</v>
      </c>
      <c r="O7719" s="1" t="n">
        <v>29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1930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1962</v>
      </c>
      <c r="N7720" s="1" t="n">
        <v>5</v>
      </c>
      <c r="O7720" s="1" t="n">
        <v>27.5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1930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1964</v>
      </c>
      <c r="N7721" s="1" t="n">
        <v>5</v>
      </c>
      <c r="O7721" s="1" t="n">
        <v>27.5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1930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2048</v>
      </c>
      <c r="N7722" s="1" t="n">
        <v>4</v>
      </c>
      <c r="O7722" s="1" t="n">
        <v>22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1930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1965</v>
      </c>
      <c r="N7723" s="1" t="n">
        <v>5</v>
      </c>
      <c r="O7723" s="1" t="n">
        <v>27.5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1930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3110</v>
      </c>
      <c r="N7724" s="1" t="n">
        <v>10</v>
      </c>
      <c r="O7724" s="1" t="n">
        <v>135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1930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4674</v>
      </c>
      <c r="N7725" s="1" t="n">
        <v>10</v>
      </c>
      <c r="O7725" s="1" t="n">
        <v>143.1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1930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2457</v>
      </c>
      <c r="N7726" s="1" t="n">
        <v>2</v>
      </c>
      <c r="O7726" s="1" t="n">
        <v>314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1930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3677</v>
      </c>
      <c r="N7727" s="1" t="n">
        <v>60</v>
      </c>
      <c r="O7727" s="1" t="n">
        <v>184.5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1930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4675</v>
      </c>
      <c r="N7728" s="1" t="n">
        <v>12</v>
      </c>
      <c r="O7728" s="1" t="n">
        <v>45.35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1930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3504</v>
      </c>
      <c r="N7729" s="1" t="n">
        <v>12</v>
      </c>
      <c r="O7729" s="1" t="n">
        <v>63.48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1930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2204</v>
      </c>
      <c r="N7730" s="1" t="n">
        <v>120</v>
      </c>
      <c r="O7730" s="1" t="n">
        <v>2032.83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1930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2208</v>
      </c>
      <c r="N7731" s="1" t="n">
        <v>50</v>
      </c>
      <c r="O7731" s="1" t="n">
        <v>823.49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1930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2209</v>
      </c>
      <c r="N7732" s="1" t="n">
        <v>30</v>
      </c>
      <c r="O7732" s="1" t="n">
        <v>479.98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1930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3509</v>
      </c>
      <c r="N7733" s="1" t="n">
        <v>20</v>
      </c>
      <c r="O7733" s="1" t="n">
        <v>62.05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1930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2211</v>
      </c>
      <c r="N7734" s="1" t="n">
        <v>30</v>
      </c>
      <c r="O7734" s="1" t="n">
        <v>437.62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1930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2213</v>
      </c>
      <c r="N7735" s="1" t="n">
        <v>20</v>
      </c>
      <c r="O7735" s="1" t="n">
        <v>319.98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1930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2215</v>
      </c>
      <c r="N7736" s="1" t="n">
        <v>200</v>
      </c>
      <c r="O7736" s="1" t="n">
        <v>2635.16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1930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4152</v>
      </c>
      <c r="N7737" s="1" t="n">
        <v>10</v>
      </c>
      <c r="O7737" s="1" t="n">
        <v>131.76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1930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2217</v>
      </c>
      <c r="N7738" s="1" t="n">
        <v>30</v>
      </c>
      <c r="O7738" s="1" t="n">
        <v>310.57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1930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2218</v>
      </c>
      <c r="N7739" s="1" t="n">
        <v>40</v>
      </c>
      <c r="O7739" s="1" t="n">
        <v>696.43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1930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2219</v>
      </c>
      <c r="N7740" s="1" t="n">
        <v>60</v>
      </c>
      <c r="O7740" s="1" t="n">
        <v>903.48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1930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4676</v>
      </c>
      <c r="N7741" s="1" t="n">
        <v>40</v>
      </c>
      <c r="O7741" s="1" t="n">
        <v>564.67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1930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4677</v>
      </c>
      <c r="N7742" s="1" t="n">
        <v>20</v>
      </c>
      <c r="O7742" s="1" t="n">
        <v>62.05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1930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2525</v>
      </c>
      <c r="N7743" s="1" t="n">
        <v>30</v>
      </c>
      <c r="O7743" s="1" t="n">
        <v>205.7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1930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2527</v>
      </c>
      <c r="N7744" s="1" t="n">
        <v>60</v>
      </c>
      <c r="O7744" s="1" t="n">
        <v>282.49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1930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3239</v>
      </c>
      <c r="N7745" s="1" t="n">
        <v>6</v>
      </c>
      <c r="O7745" s="1" t="n">
        <v>43.21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1930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4387</v>
      </c>
      <c r="N7746" s="1" t="n">
        <v>6</v>
      </c>
      <c r="O7746" s="1" t="n">
        <v>44.9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1930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3240</v>
      </c>
      <c r="N7747" s="1" t="n">
        <v>6</v>
      </c>
      <c r="O7747" s="1" t="n">
        <v>44.9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1930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3933</v>
      </c>
      <c r="N7748" s="1" t="n">
        <v>12</v>
      </c>
      <c r="O7748" s="1" t="n">
        <v>86.42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1930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3241</v>
      </c>
      <c r="N7749" s="1" t="n">
        <v>12</v>
      </c>
      <c r="O7749" s="1" t="n">
        <v>64.46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1930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3936</v>
      </c>
      <c r="N7750" s="1" t="n">
        <v>12</v>
      </c>
      <c r="O7750" s="1" t="n">
        <v>34.84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1930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4390</v>
      </c>
      <c r="N7751" s="1" t="n">
        <v>6</v>
      </c>
      <c r="O7751" s="1" t="n">
        <v>43.21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1930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3688</v>
      </c>
      <c r="N7752" s="1" t="n">
        <v>6</v>
      </c>
      <c r="O7752" s="1" t="n">
        <v>43.21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1930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3962</v>
      </c>
      <c r="N7753" s="1" t="n">
        <v>4</v>
      </c>
      <c r="O7753" s="1" t="n">
        <v>44.11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1930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3969</v>
      </c>
      <c r="N7754" s="1" t="n">
        <v>3</v>
      </c>
      <c r="O7754" s="1" t="n">
        <v>22.64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2012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1993</v>
      </c>
      <c r="N7755" s="1" t="n">
        <v>20</v>
      </c>
      <c r="O7755" s="1" t="n">
        <v>300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2012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1998</v>
      </c>
      <c r="N7756" s="1" t="n">
        <v>20</v>
      </c>
      <c r="O7756" s="1" t="n">
        <v>100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2012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2008</v>
      </c>
      <c r="N7757" s="1" t="n">
        <v>40</v>
      </c>
      <c r="O7757" s="1" t="n">
        <v>240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2012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1994</v>
      </c>
      <c r="N7758" s="1" t="n">
        <v>18</v>
      </c>
      <c r="O7758" s="1" t="n">
        <v>130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2012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1995</v>
      </c>
      <c r="N7759" s="1" t="n">
        <v>24</v>
      </c>
      <c r="O7759" s="1" t="n">
        <v>120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2012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1996</v>
      </c>
      <c r="N7760" s="1" t="n">
        <v>20</v>
      </c>
      <c r="O7760" s="1" t="n">
        <v>120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2012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2455</v>
      </c>
      <c r="N7761" s="1" t="n">
        <v>15</v>
      </c>
      <c r="O7761" s="1" t="n">
        <v>120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2012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2152</v>
      </c>
      <c r="N7762" s="1" t="n">
        <v>15</v>
      </c>
      <c r="O7762" s="1" t="n">
        <v>160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2012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1999</v>
      </c>
      <c r="N7763" s="1" t="n">
        <v>2</v>
      </c>
      <c r="O7763" s="1" t="n">
        <v>30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2012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2000</v>
      </c>
      <c r="N7764" s="1" t="n">
        <v>5</v>
      </c>
      <c r="O7764" s="1" t="n">
        <v>40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2012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2002</v>
      </c>
      <c r="N7765" s="1" t="n">
        <v>3</v>
      </c>
      <c r="O7765" s="1" t="n">
        <v>39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2012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2055</v>
      </c>
      <c r="N7766" s="1" t="n">
        <v>20</v>
      </c>
      <c r="O7766" s="1" t="n">
        <v>160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2012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2056</v>
      </c>
      <c r="N7767" s="1" t="n">
        <v>13</v>
      </c>
      <c r="O7767" s="1" t="n">
        <v>80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2012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2004</v>
      </c>
      <c r="N7768" s="1" t="n">
        <v>20</v>
      </c>
      <c r="O7768" s="1" t="n">
        <v>160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2012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2005</v>
      </c>
      <c r="N7769" s="1" t="n">
        <v>61.32</v>
      </c>
      <c r="O7769" s="1" t="n">
        <v>190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2012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2006</v>
      </c>
      <c r="N7770" s="1" t="n">
        <v>20</v>
      </c>
      <c r="O7770" s="1" t="n">
        <v>100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2012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4136</v>
      </c>
      <c r="N7771" s="1" t="n">
        <v>10</v>
      </c>
      <c r="O7771" s="1" t="n">
        <v>75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2012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3671</v>
      </c>
      <c r="N7772" s="1" t="n">
        <v>10</v>
      </c>
      <c r="O7772" s="1" t="n">
        <v>33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2012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2154</v>
      </c>
      <c r="N7773" s="1" t="n">
        <v>5</v>
      </c>
      <c r="O7773" s="1" t="n">
        <v>40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2012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2009</v>
      </c>
      <c r="N7774" s="1" t="n">
        <v>40</v>
      </c>
      <c r="O7774" s="1" t="n">
        <v>260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2012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2010</v>
      </c>
      <c r="N7775" s="1" t="n">
        <v>5</v>
      </c>
      <c r="O7775" s="1" t="n">
        <v>15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2012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2011</v>
      </c>
      <c r="N7776" s="1" t="n">
        <v>25</v>
      </c>
      <c r="O7776" s="1" t="n">
        <v>100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1930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2227</v>
      </c>
      <c r="N7777" s="1" t="n">
        <v>30</v>
      </c>
      <c r="O7777" s="1" t="n">
        <v>125.7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1930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2228</v>
      </c>
      <c r="N7778" s="1" t="n">
        <v>135</v>
      </c>
      <c r="O7778" s="1" t="n">
        <v>374.5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1930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2736</v>
      </c>
      <c r="N7779" s="1" t="n">
        <v>24</v>
      </c>
      <c r="O7779" s="1" t="n">
        <v>110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1930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4655</v>
      </c>
      <c r="N7780" s="1" t="n">
        <v>50</v>
      </c>
      <c r="O7780" s="1" t="n">
        <v>175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1930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4091</v>
      </c>
      <c r="N7781" s="1" t="n">
        <v>20</v>
      </c>
      <c r="O7781" s="1" t="n">
        <v>259.8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1930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2169</v>
      </c>
      <c r="N7782" s="1" t="n">
        <v>15</v>
      </c>
      <c r="O7782" s="1" t="n">
        <v>142.5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1930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2170</v>
      </c>
      <c r="N7783" s="1" t="n">
        <v>10</v>
      </c>
      <c r="O7783" s="1" t="n">
        <v>35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1930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4678</v>
      </c>
      <c r="N7784" s="1" t="n">
        <v>24</v>
      </c>
      <c r="O7784" s="1" t="n">
        <v>42.21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1930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3382</v>
      </c>
      <c r="N7785" s="1" t="n">
        <v>12</v>
      </c>
      <c r="O7785" s="1" t="n">
        <v>90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1930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2485</v>
      </c>
      <c r="N7786" s="1" t="n">
        <v>12</v>
      </c>
      <c r="O7786" s="1" t="n">
        <v>47.88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1930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2486</v>
      </c>
      <c r="N7787" s="1" t="n">
        <v>12</v>
      </c>
      <c r="O7787" s="1" t="n">
        <v>30.6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1930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4679</v>
      </c>
      <c r="N7788" s="1" t="n">
        <v>60</v>
      </c>
      <c r="O7788" s="1" t="n">
        <v>73.82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1930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2487</v>
      </c>
      <c r="N7789" s="1" t="n">
        <v>24</v>
      </c>
      <c r="O7789" s="1" t="n">
        <v>104.4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1930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2487</v>
      </c>
      <c r="N7790" s="1" t="n">
        <v>24</v>
      </c>
      <c r="O7790" s="1" t="n">
        <v>75.6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1930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3384</v>
      </c>
      <c r="N7791" s="1" t="n">
        <v>12</v>
      </c>
      <c r="O7791" s="1" t="n">
        <v>30.6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1930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4680</v>
      </c>
      <c r="N7792" s="1" t="n">
        <v>15</v>
      </c>
      <c r="O7792" s="1" t="n">
        <v>194.85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1930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2096</v>
      </c>
      <c r="N7793" s="1" t="n">
        <v>40</v>
      </c>
      <c r="O7793" s="1" t="n">
        <v>279.6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1930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2575</v>
      </c>
      <c r="N7794" s="1" t="n">
        <v>270</v>
      </c>
      <c r="O7794" s="1" t="n">
        <v>365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1930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3111</v>
      </c>
      <c r="N7795" s="1" t="n">
        <v>45</v>
      </c>
      <c r="O7795" s="1" t="n">
        <v>184.5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1930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3333</v>
      </c>
      <c r="N7796" s="1" t="n">
        <v>90</v>
      </c>
      <c r="O7796" s="1" t="n">
        <v>225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1930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2180</v>
      </c>
      <c r="N7797" s="1" t="n">
        <v>18</v>
      </c>
      <c r="O7797" s="1" t="n">
        <v>54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1930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2181</v>
      </c>
      <c r="N7798" s="1" t="n">
        <v>45</v>
      </c>
      <c r="O7798" s="1" t="n">
        <v>135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1930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4016</v>
      </c>
      <c r="N7799" s="1" t="n">
        <v>60</v>
      </c>
      <c r="O7799" s="1" t="n">
        <v>66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1930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3115</v>
      </c>
      <c r="N7800" s="1" t="n">
        <v>18</v>
      </c>
      <c r="O7800" s="1" t="n">
        <v>43.2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1930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3335</v>
      </c>
      <c r="N7801" s="1" t="n">
        <v>18</v>
      </c>
      <c r="O7801" s="1" t="n">
        <v>86.4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1930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3117</v>
      </c>
      <c r="N7802" s="1" t="n">
        <v>45</v>
      </c>
      <c r="O7802" s="1" t="n">
        <v>202.5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1930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2185</v>
      </c>
      <c r="N7803" s="1" t="n">
        <v>63</v>
      </c>
      <c r="O7803" s="1" t="n">
        <v>189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1930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2186</v>
      </c>
      <c r="N7804" s="1" t="n">
        <v>63</v>
      </c>
      <c r="O7804" s="1" t="n">
        <v>258.3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1930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4681</v>
      </c>
      <c r="N7805" s="1" t="n">
        <v>60</v>
      </c>
      <c r="O7805" s="1" t="n">
        <v>66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1930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2189</v>
      </c>
      <c r="N7806" s="1" t="n">
        <v>10</v>
      </c>
      <c r="O7806" s="1" t="n">
        <v>80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1930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4018</v>
      </c>
      <c r="N7807" s="1" t="n">
        <v>24</v>
      </c>
      <c r="O7807" s="1" t="n">
        <v>26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1930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2191</v>
      </c>
      <c r="N7808" s="1" t="n">
        <v>36</v>
      </c>
      <c r="O7808" s="1" t="n">
        <v>93.6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1930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2192</v>
      </c>
      <c r="N7809" s="1" t="n">
        <v>60</v>
      </c>
      <c r="O7809" s="1" t="n">
        <v>156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1930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4020</v>
      </c>
      <c r="N7810" s="1" t="n">
        <v>24</v>
      </c>
      <c r="O7810" s="1" t="n">
        <v>26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1930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4021</v>
      </c>
      <c r="N7811" s="1" t="n">
        <v>24</v>
      </c>
      <c r="O7811" s="1" t="n">
        <v>26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1930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3355</v>
      </c>
      <c r="N7812" s="1" t="n">
        <v>13</v>
      </c>
      <c r="O7812" s="1" t="n">
        <v>274.16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1930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2095</v>
      </c>
      <c r="N7813" s="1" t="n">
        <v>60</v>
      </c>
      <c r="O7813" s="1" t="n">
        <v>789.89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1930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2083</v>
      </c>
      <c r="N7814" s="1" t="n">
        <v>60</v>
      </c>
      <c r="O7814" s="1" t="n">
        <v>695.4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1930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2427</v>
      </c>
      <c r="N7815" s="1" t="n">
        <v>8</v>
      </c>
      <c r="O7815" s="1" t="n">
        <v>98.16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1930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2429</v>
      </c>
      <c r="N7816" s="1" t="n">
        <v>12</v>
      </c>
      <c r="O7816" s="1" t="n">
        <v>150.96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1930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2430</v>
      </c>
      <c r="N7817" s="1" t="n">
        <v>8</v>
      </c>
      <c r="O7817" s="1" t="n">
        <v>101.27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1930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3216</v>
      </c>
      <c r="N7818" s="1" t="n">
        <v>12</v>
      </c>
      <c r="O7818" s="1" t="n">
        <v>217.08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1930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2431</v>
      </c>
      <c r="N7819" s="1" t="n">
        <v>12</v>
      </c>
      <c r="O7819" s="1" t="n">
        <v>198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1930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3217</v>
      </c>
      <c r="N7820" s="1" t="n">
        <v>24</v>
      </c>
      <c r="O7820" s="1" t="n">
        <v>150.8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1930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2432</v>
      </c>
      <c r="N7821" s="1" t="n">
        <v>15</v>
      </c>
      <c r="O7821" s="1" t="n">
        <v>228.9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1930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2434</v>
      </c>
      <c r="N7822" s="1" t="n">
        <v>36</v>
      </c>
      <c r="O7822" s="1" t="n">
        <v>37.99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1930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2434</v>
      </c>
      <c r="N7823" s="1" t="n">
        <v>36</v>
      </c>
      <c r="O7823" s="1" t="n">
        <v>40.41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1930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2963</v>
      </c>
      <c r="N7824" s="1" t="n">
        <v>24</v>
      </c>
      <c r="O7824" s="1" t="n">
        <v>69.78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1930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2964</v>
      </c>
      <c r="N7825" s="1" t="n">
        <v>12</v>
      </c>
      <c r="O7825" s="1" t="n">
        <v>66.24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1930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4682</v>
      </c>
      <c r="N7826" s="1" t="n">
        <v>15</v>
      </c>
      <c r="O7826" s="1" t="n">
        <v>56.34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1930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2436</v>
      </c>
      <c r="N7827" s="1" t="n">
        <v>90</v>
      </c>
      <c r="O7827" s="1" t="n">
        <v>147.38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1930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2436</v>
      </c>
      <c r="N7828" s="1" t="n">
        <v>45</v>
      </c>
      <c r="O7828" s="1" t="n">
        <v>77.82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1930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2437</v>
      </c>
      <c r="N7829" s="1" t="n">
        <v>90</v>
      </c>
      <c r="O7829" s="1" t="n">
        <v>147.38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1930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2437</v>
      </c>
      <c r="N7830" s="1" t="n">
        <v>45</v>
      </c>
      <c r="O7830" s="1" t="n">
        <v>77.82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1930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4683</v>
      </c>
      <c r="N7831" s="1" t="n">
        <v>12</v>
      </c>
      <c r="O7831" s="1" t="n">
        <v>153.68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1930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2967</v>
      </c>
      <c r="N7832" s="1" t="n">
        <v>30</v>
      </c>
      <c r="O7832" s="1" t="n">
        <v>112.17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1930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2438</v>
      </c>
      <c r="N7833" s="1" t="n">
        <v>36</v>
      </c>
      <c r="O7833" s="1" t="n">
        <v>34.2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1930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2438</v>
      </c>
      <c r="N7834" s="1" t="n">
        <v>36</v>
      </c>
      <c r="O7834" s="1" t="n">
        <v>36.38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1930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4684</v>
      </c>
      <c r="N7835" s="1" t="n">
        <v>20</v>
      </c>
      <c r="O7835" s="1" t="n">
        <v>168.76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1930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3807</v>
      </c>
      <c r="N7836" s="1" t="n">
        <v>16</v>
      </c>
      <c r="O7836" s="1" t="n">
        <v>136.72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1930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4685</v>
      </c>
      <c r="N7837" s="1" t="n">
        <v>15</v>
      </c>
      <c r="O7837" s="1" t="n">
        <v>324.3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1930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1924</v>
      </c>
      <c r="N7838" s="1" t="n">
        <v>12</v>
      </c>
      <c r="O7838" s="1" t="n">
        <v>18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1930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1925</v>
      </c>
      <c r="N7839" s="1" t="n">
        <v>5</v>
      </c>
      <c r="O7839" s="1" t="n">
        <v>22.5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1930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1926</v>
      </c>
      <c r="N7840" s="1" t="n">
        <v>70</v>
      </c>
      <c r="O7840" s="1" t="n">
        <v>126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1930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3704</v>
      </c>
      <c r="N7841" s="1" t="n">
        <v>24</v>
      </c>
      <c r="O7841" s="1" t="n">
        <v>144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1930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3705</v>
      </c>
      <c r="N7842" s="1" t="n">
        <v>25</v>
      </c>
      <c r="O7842" s="1" t="n">
        <v>55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1930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2971</v>
      </c>
      <c r="N7843" s="1" t="n">
        <v>12</v>
      </c>
      <c r="O7843" s="1" t="n">
        <v>64.08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1930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2973</v>
      </c>
      <c r="N7844" s="1" t="n">
        <v>5</v>
      </c>
      <c r="O7844" s="1" t="n">
        <v>58.7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1930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2977</v>
      </c>
      <c r="N7845" s="1" t="n">
        <v>60</v>
      </c>
      <c r="O7845" s="1" t="n">
        <v>132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1930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2978</v>
      </c>
      <c r="N7846" s="1" t="n">
        <v>5</v>
      </c>
      <c r="O7846" s="1" t="n">
        <v>58.7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1930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2979</v>
      </c>
      <c r="N7847" s="1" t="n">
        <v>5</v>
      </c>
      <c r="O7847" s="1" t="n">
        <v>58.7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1930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3709</v>
      </c>
      <c r="N7848" s="1" t="n">
        <v>16</v>
      </c>
      <c r="O7848" s="1" t="n">
        <v>96.16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1930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2981</v>
      </c>
      <c r="N7849" s="1" t="n">
        <v>56</v>
      </c>
      <c r="O7849" s="1" t="n">
        <v>168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1930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2982</v>
      </c>
      <c r="N7850" s="1" t="n">
        <v>6</v>
      </c>
      <c r="O7850" s="1" t="n">
        <v>80.04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1930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2983</v>
      </c>
      <c r="N7851" s="1" t="n">
        <v>32</v>
      </c>
      <c r="O7851" s="1" t="n">
        <v>84.8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1930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2984</v>
      </c>
      <c r="N7852" s="1" t="n">
        <v>6</v>
      </c>
      <c r="O7852" s="1" t="n">
        <v>80.46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1930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2985</v>
      </c>
      <c r="N7853" s="1" t="n">
        <v>56</v>
      </c>
      <c r="O7853" s="1" t="n">
        <v>186.48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1930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4686</v>
      </c>
      <c r="N7854" s="1" t="n">
        <v>6</v>
      </c>
      <c r="O7854" s="1" t="n">
        <v>72.12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1930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2986</v>
      </c>
      <c r="N7855" s="1" t="n">
        <v>6</v>
      </c>
      <c r="O7855" s="1" t="n">
        <v>75.42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1930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2987</v>
      </c>
      <c r="N7856" s="1" t="n">
        <v>15</v>
      </c>
      <c r="O7856" s="1" t="n">
        <v>117.6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1930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4687</v>
      </c>
      <c r="N7857" s="1" t="n">
        <v>32</v>
      </c>
      <c r="O7857" s="1" t="n">
        <v>84.8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1930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2988</v>
      </c>
      <c r="N7858" s="1" t="n">
        <v>15</v>
      </c>
      <c r="O7858" s="1" t="n">
        <v>96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1930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2989</v>
      </c>
      <c r="N7859" s="1" t="n">
        <v>25</v>
      </c>
      <c r="O7859" s="1" t="n">
        <v>160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1930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2990</v>
      </c>
      <c r="N7860" s="1" t="n">
        <v>58</v>
      </c>
      <c r="O7860" s="1" t="n">
        <v>196.62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1930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2991</v>
      </c>
      <c r="N7861" s="1" t="n">
        <v>12</v>
      </c>
      <c r="O7861" s="1" t="n">
        <v>21.6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1930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2992</v>
      </c>
      <c r="N7862" s="1" t="n">
        <v>12</v>
      </c>
      <c r="O7862" s="1" t="n">
        <v>21.6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1930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2993</v>
      </c>
      <c r="N7863" s="1" t="n">
        <v>16</v>
      </c>
      <c r="O7863" s="1" t="n">
        <v>28.8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1930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2994</v>
      </c>
      <c r="N7864" s="1" t="n">
        <v>26</v>
      </c>
      <c r="O7864" s="1" t="n">
        <v>46.8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1930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2996</v>
      </c>
      <c r="N7865" s="1" t="n">
        <v>6</v>
      </c>
      <c r="O7865" s="1" t="n">
        <v>79.14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1930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2997</v>
      </c>
      <c r="N7866" s="1" t="n">
        <v>32</v>
      </c>
      <c r="O7866" s="1" t="n">
        <v>109.44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1930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3711</v>
      </c>
      <c r="N7867" s="1" t="n">
        <v>36</v>
      </c>
      <c r="O7867" s="1" t="n">
        <v>146.16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1930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2998</v>
      </c>
      <c r="N7868" s="1" t="n">
        <v>12</v>
      </c>
      <c r="O7868" s="1" t="n">
        <v>21.6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1930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2982</v>
      </c>
      <c r="N7869" s="1" t="n">
        <v>15</v>
      </c>
      <c r="O7869" s="1" t="n">
        <v>129.6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1930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2999</v>
      </c>
      <c r="N7870" s="1" t="n">
        <v>26</v>
      </c>
      <c r="O7870" s="1" t="n">
        <v>46.8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1930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3000</v>
      </c>
      <c r="N7871" s="1" t="n">
        <v>25</v>
      </c>
      <c r="O7871" s="1" t="n">
        <v>160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1930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3712</v>
      </c>
      <c r="N7872" s="1" t="n">
        <v>12</v>
      </c>
      <c r="O7872" s="1" t="n">
        <v>54.96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1930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3003</v>
      </c>
      <c r="N7873" s="1" t="n">
        <v>56</v>
      </c>
      <c r="O7873" s="1" t="n">
        <v>186.48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1930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3004</v>
      </c>
      <c r="N7874" s="1" t="n">
        <v>50</v>
      </c>
      <c r="O7874" s="1" t="n">
        <v>166.5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1930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3005</v>
      </c>
      <c r="N7875" s="1" t="n">
        <v>50</v>
      </c>
      <c r="O7875" s="1" t="n">
        <v>166.5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1930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3006</v>
      </c>
      <c r="N7876" s="1" t="n">
        <v>50</v>
      </c>
      <c r="O7876" s="1" t="n">
        <v>150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1930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4688</v>
      </c>
      <c r="N7877" s="1" t="n">
        <v>12</v>
      </c>
      <c r="O7877" s="1" t="n">
        <v>54.96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1930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3007</v>
      </c>
      <c r="N7878" s="1" t="n">
        <v>13</v>
      </c>
      <c r="O7878" s="1" t="n">
        <v>121.29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1930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3009</v>
      </c>
      <c r="N7879" s="1" t="n">
        <v>48</v>
      </c>
      <c r="O7879" s="1" t="n">
        <v>183.84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1930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4689</v>
      </c>
      <c r="N7880" s="1" t="n">
        <v>12</v>
      </c>
      <c r="O7880" s="1" t="n">
        <v>33.6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1930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2097</v>
      </c>
      <c r="N7881" s="1" t="n">
        <v>6</v>
      </c>
      <c r="O7881" s="1" t="n">
        <v>15.78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1930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2440</v>
      </c>
      <c r="N7882" s="1" t="n">
        <v>12</v>
      </c>
      <c r="O7882" s="1" t="n">
        <v>125.76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1930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2099</v>
      </c>
      <c r="N7883" s="1" t="n">
        <v>4</v>
      </c>
      <c r="O7883" s="1" t="n">
        <v>13.24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1930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2100</v>
      </c>
      <c r="N7884" s="1" t="n">
        <v>4</v>
      </c>
      <c r="O7884" s="1" t="n">
        <v>11.4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1930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4114</v>
      </c>
      <c r="N7885" s="1" t="n">
        <v>1</v>
      </c>
      <c r="O7885" s="1" t="n">
        <v>12.83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1930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2101</v>
      </c>
      <c r="N7886" s="1" t="n">
        <v>4</v>
      </c>
      <c r="O7886" s="1" t="n">
        <v>13.44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1930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2102</v>
      </c>
      <c r="N7887" s="1" t="n">
        <v>4</v>
      </c>
      <c r="O7887" s="1" t="n">
        <v>13.44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1930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2103</v>
      </c>
      <c r="N7888" s="1" t="n">
        <v>3</v>
      </c>
      <c r="O7888" s="1" t="n">
        <v>26.4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1930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2104</v>
      </c>
      <c r="N7889" s="1" t="n">
        <v>6</v>
      </c>
      <c r="O7889" s="1" t="n">
        <v>52.8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1930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2105</v>
      </c>
      <c r="N7890" s="1" t="n">
        <v>3</v>
      </c>
      <c r="O7890" s="1" t="n">
        <v>17.79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1930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2443</v>
      </c>
      <c r="N7891" s="1" t="n">
        <v>4</v>
      </c>
      <c r="O7891" s="1" t="n">
        <v>30.04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1930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4690</v>
      </c>
      <c r="N7892" s="1" t="n">
        <v>4</v>
      </c>
      <c r="O7892" s="1" t="n">
        <v>25.28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1930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1977</v>
      </c>
      <c r="N7893" s="1" t="n">
        <v>6</v>
      </c>
      <c r="O7893" s="1" t="n">
        <v>37.92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1930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3337</v>
      </c>
      <c r="N7894" s="1" t="n">
        <v>1</v>
      </c>
      <c r="O7894" s="1" t="n">
        <v>8.88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1930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1979</v>
      </c>
      <c r="N7895" s="1" t="n">
        <v>2</v>
      </c>
      <c r="O7895" s="1" t="n">
        <v>10.92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1930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2108</v>
      </c>
      <c r="N7896" s="1" t="n">
        <v>6</v>
      </c>
      <c r="O7896" s="1" t="n">
        <v>18.84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1930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2109</v>
      </c>
      <c r="N7897" s="1" t="n">
        <v>4</v>
      </c>
      <c r="O7897" s="1" t="n">
        <v>51.24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1930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2445</v>
      </c>
      <c r="N7898" s="1" t="n">
        <v>2</v>
      </c>
      <c r="O7898" s="1" t="n">
        <v>25.62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1930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1981</v>
      </c>
      <c r="N7899" s="1" t="n">
        <v>6</v>
      </c>
      <c r="O7899" s="1" t="n">
        <v>22.8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1930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2110</v>
      </c>
      <c r="N7900" s="1" t="n">
        <v>6</v>
      </c>
      <c r="O7900" s="1" t="n">
        <v>19.86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1930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2447</v>
      </c>
      <c r="N7901" s="1" t="n">
        <v>4</v>
      </c>
      <c r="O7901" s="1" t="n">
        <v>29.44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1930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1983</v>
      </c>
      <c r="N7902" s="1" t="n">
        <v>6</v>
      </c>
      <c r="O7902" s="1" t="n">
        <v>37.92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1930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3338</v>
      </c>
      <c r="N7903" s="1" t="n">
        <v>6</v>
      </c>
      <c r="O7903" s="1" t="n">
        <v>15.78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1930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2449</v>
      </c>
      <c r="N7904" s="1" t="n">
        <v>2</v>
      </c>
      <c r="O7904" s="1" t="n">
        <v>28.38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1930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4691</v>
      </c>
      <c r="N7905" s="1" t="n">
        <v>4</v>
      </c>
      <c r="O7905" s="1" t="n">
        <v>26.44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1930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4692</v>
      </c>
      <c r="N7906" s="1" t="n">
        <v>4</v>
      </c>
      <c r="O7906" s="1" t="n">
        <v>26.44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1930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3339</v>
      </c>
      <c r="N7907" s="1" t="n">
        <v>4</v>
      </c>
      <c r="O7907" s="1" t="n">
        <v>25.28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1930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1984</v>
      </c>
      <c r="N7908" s="1" t="n">
        <v>2</v>
      </c>
      <c r="O7908" s="1" t="n">
        <v>25.32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1930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1985</v>
      </c>
      <c r="N7909" s="1" t="n">
        <v>1</v>
      </c>
      <c r="O7909" s="1" t="n">
        <v>12.66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1930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2450</v>
      </c>
      <c r="N7910" s="1" t="n">
        <v>2</v>
      </c>
      <c r="O7910" s="1" t="n">
        <v>31.74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1930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1991</v>
      </c>
      <c r="N7911" s="1" t="n">
        <v>2</v>
      </c>
      <c r="O7911" s="1" t="n">
        <v>5.68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1930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4693</v>
      </c>
      <c r="N7912" s="1" t="n">
        <v>3</v>
      </c>
      <c r="O7912" s="1" t="n">
        <v>12.84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4522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4523</v>
      </c>
      <c r="N7913" s="1" t="n">
        <v>0.045</v>
      </c>
      <c r="O7913" s="1" t="n">
        <v>1.8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4522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4694</v>
      </c>
      <c r="N7914" s="1" t="n">
        <v>1</v>
      </c>
      <c r="O7914" s="1" t="n">
        <v>3.5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4522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1929</v>
      </c>
      <c r="N7915" s="1" t="n">
        <v>1</v>
      </c>
      <c r="O7915" s="1" t="n">
        <v>7.99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4522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4695</v>
      </c>
      <c r="N7916" s="1" t="n">
        <v>1</v>
      </c>
      <c r="O7916" s="1" t="n">
        <v>2.99</v>
      </c>
    </row>
    <row r="7917" customFormat="false" ht="15" hidden="false" customHeight="true" outlineLevel="0" collapsed="false">
      <c r="A7917" s="1"/>
      <c r="B7917" s="17"/>
      <c r="C7917" s="1"/>
      <c r="D7917" s="1"/>
      <c r="E7917" s="1"/>
      <c r="F7917" s="1"/>
      <c r="I7917" s="1"/>
      <c r="J7917" s="1"/>
      <c r="K7917" s="1"/>
      <c r="L7917" s="1"/>
      <c r="N7917" s="1"/>
      <c r="O7917" s="1" t="s">
        <v>1668</v>
      </c>
    </row>
    <row r="7918" customFormat="false" ht="15" hidden="false" customHeight="true" outlineLevel="0" collapsed="false">
      <c r="A7918" s="1"/>
      <c r="B7918" s="17"/>
      <c r="C7918" s="1"/>
      <c r="D7918" s="1"/>
      <c r="E7918" s="1"/>
      <c r="F7918" s="1"/>
      <c r="I7918" s="1"/>
      <c r="J7918" s="1"/>
      <c r="K7918" s="1"/>
      <c r="L7918" s="1"/>
      <c r="N7918" s="1"/>
      <c r="O7918" s="1" t="n">
        <v>1219830.610723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2026-09-08T15:31:53Z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