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<sst xmlns="http://schemas.openxmlformats.org/spreadsheetml/2006/main" count="43820" uniqueCount="4652">
  <si>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</si>
  <si>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</si>
  <si>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</si>
  <si>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</si>
  <si>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</si>
  <si>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</si>
  <si>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</si>
  <si>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</si>
  <si>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</si>
  <si>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</si>
  <si>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</si>
  <si>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</si>
  <si>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</si>
  <si>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</si>
  <si>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</si>
  <si>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</si>
  <si>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</si>
  <si>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</si>
  <si>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</si>
  <si>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</si>
  <si>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</si>
  <si>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</si>
  <si>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</si>
  <si>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</si>
  <si>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</si>
  <si>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</si>
  <si>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</si>
  <si>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</si>
  <si>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</si>
  <si>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</si>
  <si>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</si>
  <si>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</si>
  <si>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</si>
  <si>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</si>
  <si>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</si>
  <si>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</si>
  <si>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</si>
  <si>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</si>
  <si>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</si>
  <si>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</si>
  <si>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</si>
  <si>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</si>
  <si>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</si>
  <si>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</si>
  <si>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</si>
  <si>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</si>
  <si>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</si>
  <si>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</si>
  <si>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</si>
  <si>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</si>
  <si>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</si>
  <si>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</si>
  <si>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</si>
  <si>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</si>
  <si>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</si>
  <si>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</si>
  <si>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</si>
  <si>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</si>
  <si>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</si>
  <si>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</si>
  <si>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</si>
  <si>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</si>
  <si>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</si>
  <si>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</si>
  <si>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</si>
  <si>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</si>
  <si>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</si>
  <si>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</si>
  <si>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</si>
  <si>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</si>
  <si>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</si>
  <si>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</si>
  <si>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</si>
  <si>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</si>
  <si>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</si>
  <si>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</si>
  <si>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</si>
  <si>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</si>
  <si>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</si>
  <si>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</si>
  <si>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</si>
  <si>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</si>
  <si>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</si>
  <si>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</si>
  <si>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</si>
  <si>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</si>
  <si>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</si>
  <si>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</si>
  <si>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</si>
  <si>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</si>
  <si>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</si>
  <si>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</si>
  <si>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</si>
  <si>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</si>
  <si>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</si>
  <si>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</si>
  <si>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</si>
  <si>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</si>
  <si>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</si>
  <si>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</si>
  <si>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</si>
  <si>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</si>
  <si>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</si>
  <si>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</si>
  <si>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</si>
  <si>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</si>
  <si>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</si>
  <si>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</si>
  <si>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</si>
  <si>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</si>
  <si>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</si>
  <si>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</si>
  <si>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</si>
  <si>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</si>
  <si>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</si>
  <si>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</si>
  <si>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</si>
  <si>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</si>
  <si>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</si>
  <si>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</si>
  <si>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</si>
  <si>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</si>
  <si>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</si>
  <si>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</si>
  <si>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</si>
  <si>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</si>
  <si>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</si>
  <si>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</si>
  <si>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</si>
  <si>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</si>
  <si>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</si>
  <si>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</si>
  <si>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</si>
  <si>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</si>
  <si>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</si>
  <si>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</si>
  <si>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</si>
  <si>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</si>
  <si>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</si>
  <si>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</si>
  <si>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</si>
  <si>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</si>
  <si>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</si>
  <si>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</si>
  <si>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</si>
  <si>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</si>
  <si>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</si>
  <si>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</si>
  <si>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</si>
  <si>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</si>
  <si>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</si>
  <si>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</si>
  <si>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</si>
  <si>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</si>
  <si>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</si>
  <si>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</si>
  <si>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</si>
  <si>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</si>
  <si>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</si>
  <si>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</si>
  <si>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</si>
  <si>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</si>
  <si>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</si>
  <si>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</si>
  <si>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</si>
  <si>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</si>
  <si>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</si>
  <si>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</si>
  <si>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</si>
  <si>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</si>
  <si>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</si>
  <si>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</si>
  <si>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</si>
  <si>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</si>
  <si>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</si>
  <si>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</si>
  <si>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</si>
  <si>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</si>
  <si>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</si>
  <si>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</si>
  <si>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</si>
  <si>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</si>
  <si>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</si>
  <si>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</si>
  <si>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</si>
  <si>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</si>
  <si>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</si>
  <si>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</si>
  <si>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</si>
  <si>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</si>
  <si>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</si>
  <si>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</si>
  <si>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</si>
  <si>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</si>
  <si>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</si>
  <si>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</si>
  <si>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</si>
  <si>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</si>
  <si>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</si>
  <si>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</si>
  <si>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</si>
  <si>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</si>
  <si>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</si>
  <si>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</si>
  <si>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</si>
  <si>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</si>
  <si>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</si>
  <si>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</si>
  <si>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</si>
  <si>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</si>
  <si>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</si>
  <si>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</si>
  <si>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</si>
  <si>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</si>
  <si>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</si>
  <si>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</si>
  <si>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</si>
  <si>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</si>
  <si>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</si>
  <si>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</si>
  <si>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</si>
  <si>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</si>
  <si>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</si>
  <si>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</si>
  <si>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</si>
  <si>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</si>
  <si>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</si>
  <si>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</si>
  <si>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</si>
  <si>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</si>
  <si>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</si>
  <si>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</si>
  <si>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</si>
  <si>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</si>
  <si>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</si>
  <si>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</si>
  <si>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</si>
  <si>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</si>
  <si>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</si>
  <si>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</si>
  <si>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</si>
  <si>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</si>
  <si>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</si>
  <si>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</si>
  <si>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</si>
  <si>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</si>
  <si>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</si>
  <si>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</si>
  <si>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</si>
  <si>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</si>
  <si>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</si>
  <si>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</si>
  <si>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</si>
  <si>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</si>
  <si>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</si>
  <si>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</si>
  <si>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</si>
  <si>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</si>
  <si>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</si>
  <si>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</si>
  <si>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</si>
  <si>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</si>
  <si>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</si>
  <si>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</si>
  <si>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</si>
  <si>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</si>
  <si>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</si>
  <si>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</si>
  <si>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</si>
  <si>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</si>
  <si>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</si>
  <si>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</si>
  <si>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</si>
  <si>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</si>
  <si>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</si>
  <si>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</si>
  <si>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</si>
  <si>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</si>
  <si>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</si>
  <si>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</si>
  <si>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</si>
  <si>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</si>
  <si>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</si>
  <si>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</si>
  <si>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</si>
  <si>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</si>
  <si>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</si>
  <si>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</si>
  <si>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</si>
  <si>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</si>
  <si>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</si>
  <si>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</si>
  <si>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</si>
  <si>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</si>
  <si>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</si>
  <si>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</si>
  <si>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</si>
  <si>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</si>
  <si>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</si>
  <si>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</si>
  <si>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</si>
  <si>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</si>
  <si>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</si>
  <si>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</si>
  <si>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</si>
  <si>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</si>
  <si>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</si>
  <si>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</si>
  <si>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</si>
  <si>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</si>
  <si>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</si>
  <si>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</si>
  <si>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</si>
  <si>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</si>
  <si>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</si>
  <si>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</si>
  <si>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</si>
  <si>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</si>
  <si>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</si>
  <si>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</si>
  <si>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</si>
  <si>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</si>
  <si>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</si>
  <si>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</si>
  <si>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</si>
  <si>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</si>
  <si>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</si>
  <si>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</si>
  <si>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</si>
  <si>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</si>
  <si>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</si>
  <si>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</si>
  <si>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</si>
  <si>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</si>
  <si>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</si>
  <si>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</si>
  <si>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</si>
  <si>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</si>
  <si>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</si>
  <si>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</si>
  <si>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</si>
  <si>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</si>
  <si>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</si>
  <si>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</si>
  <si>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</si>
  <si>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</si>
  <si>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</si>
  <si>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</si>
  <si>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</si>
  <si>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</si>
  <si>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</si>
  <si>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</si>
  <si>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</si>
  <si>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</si>
  <si>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</si>
  <si>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</si>
  <si>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</si>
  <si>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</si>
  <si>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</si>
  <si>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</si>
  <si>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</si>
  <si>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</si>
  <si>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</si>
  <si>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</si>
  <si>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</si>
  <si>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</si>
  <si>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</si>
  <si>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</si>
  <si>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</si>
  <si>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</si>
  <si>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</si>
  <si>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</si>
  <si>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</si>
  <si>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</si>
  <si>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</si>
  <si>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</si>
  <si>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</si>
  <si>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</si>
  <si>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</si>
  <si>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</si>
  <si>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</si>
  <si>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</si>
  <si>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</si>
  <si>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</si>
  <si>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</si>
  <si>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</si>
  <si>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</si>
  <si>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</si>
  <si>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</si>
  <si>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</si>
  <si>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</si>
  <si>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</si>
  <si>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</si>
  <si>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</si>
  <si>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</si>
  <si>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</si>
  <si>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</si>
  <si>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</si>
  <si>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</si>
  <si>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</si>
  <si>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</si>
  <si>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</si>
  <si>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</si>
  <si>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</si>
  <si>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</si>
  <si>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</si>
  <si>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</si>
  <si>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</si>
  <si>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</si>
  <si>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</si>
  <si>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</si>
  <si>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</si>
  <si>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</si>
  <si>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</si>
  <si>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</si>
  <si>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</si>
  <si>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</si>
  <si>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</si>
  <si>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</si>
  <si>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</si>
  <si>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</si>
  <si>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</si>
  <si>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</si>
  <si>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</si>
  <si>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</si>
  <si>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</si>
  <si>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</si>
  <si>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</si>
  <si>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</si>
  <si>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</si>
  <si>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</si>
  <si>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</si>
  <si>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</si>
  <si>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</si>
  <si>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</si>
  <si>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</si>
  <si>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</si>
  <si>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</si>
  <si>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</si>
  <si>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</si>
  <si>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</si>
  <si>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</si>
  <si>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</si>
  <si>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</si>
  <si>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</si>
  <si>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</si>
  <si>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</si>
  <si>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</si>
  <si>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</si>
  <si>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</si>
  <si>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</si>
  <si>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</si>
  <si>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</si>
  <si>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</si>
  <si>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</si>
  <si>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</si>
  <si>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</si>
  <si>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</si>
  <si>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</si>
  <si>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</si>
  <si>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</si>
  <si>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</si>
  <si>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</si>
  <si>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</si>
  <si>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</si>
  <si>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</si>
  <si>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</si>
  <si>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</si>
  <si>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</si>
  <si>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</si>
  <si>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</si>
  <si>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</si>
  <si>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</si>
  <si>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</si>
  <si>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</si>
  <si>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</si>
  <si>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</si>
  <si>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</si>
  <si>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</si>
  <si>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</si>
  <si>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</si>
  <si>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</si>
  <si>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</si>
  <si>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</si>
  <si>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</si>
  <si>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</si>
  <si>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</si>
  <si>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</si>
  <si>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</si>
  <si>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</si>
  <si>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</si>
  <si>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</si>
  <si>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</si>
  <si>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</si>
  <si>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</si>
  <si>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</si>
  <si>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</si>
  <si>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</si>
  <si>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</si>
  <si>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</si>
  <si>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</si>
  <si>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</si>
  <si>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</si>
  <si>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</si>
  <si>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</si>
  <si>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</si>
  <si>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</si>
  <si>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</si>
  <si>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</si>
  <si>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</si>
  <si>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</si>
  <si>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</si>
  <si>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</si>
  <si>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</si>
  <si>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</si>
  <si>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</si>
  <si>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</si>
  <si>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</si>
  <si>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</si>
  <si>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</si>
  <si>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</si>
  <si>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</si>
  <si>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</si>
  <si>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</si>
  <si>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</si>
  <si>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</si>
  <si>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</si>
  <si>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</si>
  <si>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</si>
  <si>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</si>
  <si>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</si>
  <si>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</si>
  <si>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</si>
  <si>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</si>
  <si>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</si>
  <si>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</si>
  <si>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</si>
  <si>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</si>
  <si>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</si>
  <si>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</si>
  <si>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</si>
  <si>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</si>
  <si>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</si>
  <si>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</si>
  <si>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</si>
  <si>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</si>
  <si>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</si>
  <si>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</si>
  <si>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</si>
  <si>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</si>
  <si>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</si>
  <si>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</si>
  <si>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</si>
  <si>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</si>
  <si>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</si>
  <si>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</si>
  <si>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</si>
  <si>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</si>
  <si>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</si>
  <si>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</si>
  <si>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</si>
  <si>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</si>
  <si>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</si>
  <si>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</si>
  <si>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</si>
  <si>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</si>
  <si>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</si>
  <si>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</si>
  <si>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</si>
  <si>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</si>
  <si>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</si>
  <si>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</si>
  <si>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</si>
  <si>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</si>
  <si>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</si>
  <si>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</si>
  <si>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</si>
  <si>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</si>
  <si>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</si>
  <si>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</si>
  <si>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</si>
  <si>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</si>
  <si>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</si>
  <si>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</si>
  <si>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</si>
  <si>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</si>
  <si>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</si>
  <si>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</si>
  <si>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</si>
  <si>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</si>
  <si>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</si>
  <si>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</si>
  <si>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</si>
  <si>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</si>
  <si>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</si>
  <si>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</si>
  <si>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</si>
  <si>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</si>
  <si>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</si>
  <si>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</si>
  <si>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</si>
  <si>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</si>
  <si>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</si>
  <si>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</si>
  <si>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</si>
  <si>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</si>
  <si>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</si>
  <si>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</si>
  <si>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</si>
  <si>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</si>
  <si>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</si>
  <si>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</si>
  <si>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</si>
  <si>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</si>
  <si>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</si>
  <si>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</si>
  <si>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</si>
  <si>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</si>
  <si>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</si>
  <si>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</si>
  <si>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</si>
  <si>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</si>
  <si>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</si>
  <si>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</si>
  <si>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</si>
  <si>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</si>
  <si>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</si>
  <si>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</si>
  <si>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</si>
  <si>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</si>
  <si>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</si>
  <si>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</si>
  <si>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</si>
  <si>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</si>
  <si>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</si>
  <si>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</si>
  <si>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</si>
  <si>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</si>
  <si>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</si>
  <si>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</si>
  <si>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</si>
  <si>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</si>
  <si>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</si>
  <si>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</si>
  <si>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</si>
  <si>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</si>
  <si>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</si>
  <si>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</si>
  <si>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</si>
  <si>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</si>
  <si>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</si>
  <si>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</si>
  <si>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</si>
  <si>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</si>
  <si>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</si>
  <si>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</si>
  <si>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</si>
  <si>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</si>
  <si>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</si>
  <si>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</si>
  <si>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</si>
  <si>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</si>
  <si>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</si>
  <si>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</si>
  <si>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</si>
  <si>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</si>
  <si>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</si>
  <si>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</si>
  <si>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</si>
  <si>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</si>
  <si>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</si>
  <si>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</si>
  <si>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</si>
  <si>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</si>
  <si>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</si>
  <si>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</si>
  <si>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</si>
  <si>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</si>
  <si>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</si>
  <si>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</si>
  <si>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</si>
  <si>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</si>
  <si>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</si>
  <si>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</si>
  <si>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</si>
  <si>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</si>
  <si>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</si>
  <si>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</si>
  <si>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</si>
  <si>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</si>
  <si>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</si>
  <si>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</si>
  <si>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</si>
  <si>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</si>
  <si>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</si>
  <si>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</si>
  <si>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</si>
  <si>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</si>
  <si>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</si>
  <si>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</si>
  <si>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</si>
  <si>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</si>
  <si>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</si>
  <si>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</si>
  <si>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</si>
  <si>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</si>
  <si>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</si>
  <si>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</si>
  <si>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</si>
  <si>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</si>
  <si>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</si>
  <si>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</si>
  <si>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</si>
  <si>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</si>
  <si>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</si>
  <si>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</si>
  <si>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</si>
  <si>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</si>
  <si>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</si>
  <si>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</si>
  <si>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</si>
  <si>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</si>
  <si>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</si>
  <si>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</si>
  <si>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</si>
  <si>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</si>
  <si>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</si>
  <si>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</si>
  <si>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</si>
  <si>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</si>
  <si>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</si>
  <si>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</si>
  <si>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</si>
  <si>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</si>
  <si>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</si>
  <si>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</si>
  <si>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</si>
  <si>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</si>
  <si>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</si>
  <si>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</si>
  <si>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</si>
  <si>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</si>
  <si>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</si>
  <si>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</si>
  <si>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</si>
  <si>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</si>
  <si>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</si>
  <si>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</si>
  <si>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</si>
  <si>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</si>
  <si>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</si>
  <si>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</si>
  <si>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</si>
  <si>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</si>
  <si>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</si>
  <si>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</si>
  <si>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</si>
  <si>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</si>
  <si>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</si>
  <si>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</si>
  <si>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</si>
  <si>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</si>
  <si>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</si>
  <si>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</si>
  <si>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</si>
  <si>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</si>
  <si>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</si>
  <si>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</si>
  <si>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</si>
  <si>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</si>
  <si>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</si>
  <si>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</si>
  <si>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</si>
  <si>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</si>
  <si>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</si>
  <si>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</si>
  <si>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</si>
  <si>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</si>
  <si>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</si>
  <si>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</si>
  <si>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</si>
  <si>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</si>
  <si>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</si>
  <si>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</si>
  <si>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</si>
  <si>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</si>
  <si>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</si>
  <si>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</si>
  <si>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</si>
  <si>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</si>
  <si>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</si>
  <si>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</si>
  <si>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</si>
  <si>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</si>
  <si>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</si>
  <si>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</si>
  <si>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</si>
  <si>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</si>
  <si>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</si>
  <si>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</si>
  <si>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</si>
  <si>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</si>
  <si>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</si>
  <si>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</si>
  <si>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</si>
  <si>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</si>
  <si>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</si>
  <si>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</si>
  <si>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</si>
  <si>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</si>
  <si>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</si>
  <si>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</si>
  <si>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</si>
  <si>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</si>
  <si>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</si>
  <si>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</si>
  <si>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</si>
  <si>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</si>
  <si>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</si>
  <si>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</si>
  <si>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</si>
  <si>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</si>
  <si>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</si>
  <si>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</si>
  <si>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</si>
  <si>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</si>
  <si>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</si>
  <si>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</si>
  <si>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</si>
  <si>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</si>
  <si>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</si>
  <si>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</si>
  <si>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</si>
  <si>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</si>
  <si>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</si>
  <si>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</si>
  <si>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</si>
  <si>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</si>
  <si>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</si>
  <si>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</si>
  <si>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</si>
  <si>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</si>
  <si>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</si>
  <si>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</si>
  <si>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</si>
  <si>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</si>
  <si>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</si>
  <si>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</si>
  <si>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</si>
  <si>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</si>
  <si>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</si>
  <si>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</si>
  <si>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</si>
  <si>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</si>
  <si>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</si>
  <si>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</si>
  <si>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</si>
  <si>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</si>
  <si>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</si>
  <si>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</si>
  <si>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</si>
  <si>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</si>
  <si>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</si>
  <si>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</si>
  <si>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</si>
  <si>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</si>
  <si>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</si>
  <si>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</si>
  <si>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</si>
  <si>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</si>
  <si>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</si>
  <si>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</si>
  <si>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</si>
  <si>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</si>
  <si>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</si>
  <si>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</si>
  <si>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</si>
  <si>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</si>
  <si>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</si>
  <si>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</si>
  <si>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</si>
  <si>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</si>
  <si>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</si>
  <si>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</si>
  <si>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</si>
  <si>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</si>
  <si>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</si>
  <si>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</si>
  <si>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</si>
  <si>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</si>
  <si>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</si>
  <si>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</si>
  <si>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</si>
  <si>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</si>
  <si>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</si>
  <si>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</si>
  <si>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</si>
  <si>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</si>
  <si>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</si>
  <si>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</si>
  <si>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</si>
  <si>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</si>
  <si>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</si>
  <si>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</si>
  <si>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</si>
  <si>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</si>
  <si>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</si>
  <si>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</si>
  <si>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</si>
  <si>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</si>
  <si>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</si>
  <si>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</si>
  <si>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</si>
  <si>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</si>
  <si>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</si>
  <si>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</si>
  <si>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</si>
  <si>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</si>
  <si>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</si>
  <si>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</si>
  <si>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</si>
  <si>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</si>
  <si>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</si>
  <si>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</si>
  <si>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</si>
  <si>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</si>
  <si>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</si>
  <si>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</si>
  <si>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</si>
  <si>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</si>
  <si>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</si>
  <si>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</si>
  <si>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</si>
  <si>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</si>
  <si>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</si>
  <si>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</si>
  <si>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</si>
  <si>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</si>
  <si>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</si>
  <si>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</si>
  <si>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</si>
  <si>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</si>
  <si>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</si>
  <si>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</si>
  <si>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</si>
  <si>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</si>
  <si>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</si>
  <si>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</si>
  <si>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</si>
  <si>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</si>
  <si>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</si>
  <si>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</si>
  <si>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</si>
  <si>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</si>
  <si>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</si>
  <si>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</si>
  <si>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</si>
  <si>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</si>
  <si>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</si>
  <si>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</si>
  <si>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</si>
  <si>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</si>
  <si>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</si>
  <si>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</si>
  <si>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</si>
  <si>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</si>
  <si>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</si>
  <si>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</si>
  <si>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</si>
  <si>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</si>
  <si>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</si>
  <si>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</si>
  <si>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</si>
  <si>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</si>
  <si>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</si>
  <si>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</si>
  <si>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</si>
  <si>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</si>
  <si>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</si>
  <si>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</si>
  <si>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</si>
  <si>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</si>
  <si>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</si>
  <si>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</si>
  <si>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</si>
  <si>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</si>
  <si>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</si>
  <si>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</si>
  <si>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</si>
  <si>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</si>
  <si>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</si>
  <si>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</si>
  <si>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</si>
  <si>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</si>
  <si>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</si>
  <si>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</si>
  <si>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</si>
  <si>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</si>
  <si>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</si>
  <si>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</si>
  <si>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</si>
  <si>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</si>
  <si>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</si>
  <si>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</si>
  <si>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</si>
  <si>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</si>
  <si>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</si>
  <si>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</si>
  <si>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</si>
  <si>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</si>
  <si>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</si>
  <si>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</si>
  <si>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</si>
  <si>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</si>
  <si>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</si>
  <si>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</si>
  <si>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</si>
  <si>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</si>
  <si>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</si>
  <si>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</si>
  <si>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</si>
  <si>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</si>
  <si>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</si>
  <si>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</si>
  <si>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</si>
  <si>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</si>
  <si>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</si>
  <si>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</si>
  <si>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</si>
  <si>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</si>
  <si>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</si>
  <si>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</si>
  <si>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</si>
  <si>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</si>
  <si>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</si>
  <si>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</si>
  <si>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</si>
  <si>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</si>
  <si>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</si>
  <si>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</si>
  <si>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</si>
  <si>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</si>
  <si>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</si>
  <si>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</si>
  <si>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</si>
  <si>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</si>
  <si>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</si>
  <si>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</si>
  <si>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</si>
  <si>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</si>
  <si>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</si>
  <si>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</si>
  <si>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</si>
  <si>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</si>
  <si>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</si>
  <si>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</si>
  <si>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</si>
  <si>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</si>
  <si>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</si>
  <si>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</si>
  <si>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</si>
  <si>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</si>
  <si>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</si>
  <si>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</si>
  <si>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</si>
  <si>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</si>
  <si>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</si>
  <si>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</si>
  <si>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</si>
  <si>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</si>
  <si>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</si>
  <si>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</si>
  <si>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</si>
  <si>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</si>
  <si>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</si>
  <si>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</si>
  <si>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</si>
  <si>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</si>
  <si>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</si>
  <si>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</si>
  <si>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</si>
  <si>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</si>
  <si>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</si>
  <si>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</si>
  <si>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</si>
  <si>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</si>
  <si>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</si>
  <si>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</si>
  <si>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</si>
  <si>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</si>
  <si>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</si>
  <si>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</si>
  <si>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</si>
  <si>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</si>
  <si>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</si>
  <si>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</si>
  <si>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</si>
  <si>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</si>
  <si>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</si>
  <si>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</si>
  <si>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</si>
  <si>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</si>
  <si>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</si>
  <si>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</si>
  <si>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</si>
  <si>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</si>
  <si>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</si>
  <si>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</si>
  <si>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</si>
  <si>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</si>
  <si>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</si>
  <si>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</si>
  <si>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</si>
  <si>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</si>
  <si>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</si>
  <si>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</si>
  <si>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</si>
  <si>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</si>
  <si>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</si>
  <si>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</si>
  <si>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</si>
  <si>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</si>
  <si>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</si>
  <si>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</si>
  <si>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</si>
  <si>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</si>
  <si>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</si>
  <si>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</si>
  <si>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</si>
  <si>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</si>
  <si>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</si>
  <si>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</si>
  <si>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</si>
  <si>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</si>
  <si>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</si>
  <si>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</si>
  <si>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</si>
  <si>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</si>
  <si>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</si>
  <si>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</si>
  <si>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</si>
  <si>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</si>
  <si>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</si>
  <si>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</si>
  <si>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</si>
  <si>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</si>
  <si>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</si>
  <si>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</si>
  <si>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</si>
  <si>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</si>
  <si>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</si>
  <si>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</si>
  <si>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</si>
  <si>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</si>
  <si>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</si>
  <si>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</si>
  <si>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</si>
  <si>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</si>
  <si>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</si>
  <si>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</si>
  <si>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</si>
  <si>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</si>
  <si>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</si>
  <si>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</si>
  <si>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</si>
  <si>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</si>
  <si>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</si>
  <si>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</si>
  <si>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</si>
  <si>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</si>
  <si>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</si>
  <si>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</si>
  <si>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</si>
  <si>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</si>
  <si>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</si>
  <si>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</si>
  <si>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</si>
  <si>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</si>
  <si>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</si>
  <si>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</si>
  <si>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</si>
  <si>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</si>
  <si>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</si>
  <si>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</si>
  <si>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</si>
  <si>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</si>
  <si>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</si>
  <si>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</si>
  <si>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</si>
  <si>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</si>
  <si>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</si>
  <si>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</si>
  <si>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</si>
  <si>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</si>
  <si>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</si>
  <si>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</si>
  <si>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</si>
  <si>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</si>
  <si>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</si>
  <si>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</si>
  <si>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</si>
  <si>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</si>
  <si>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</si>
  <si>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</si>
  <si>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</si>
  <si>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</si>
  <si>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</si>
  <si>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</si>
  <si>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</si>
  <si>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</si>
  <si>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</si>
  <si>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</si>
  <si>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</si>
  <si>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</si>
  <si>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</si>
  <si>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</si>
  <si>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</si>
  <si>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</si>
  <si>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</si>
  <si>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</si>
  <si>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</si>
  <si>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</si>
  <si>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</si>
  <si>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</si>
  <si>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</si>
  <si>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</si>
  <si>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</si>
  <si>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</si>
  <si>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</si>
  <si>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</si>
  <si>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</si>
  <si>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</si>
  <si>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</si>
  <si>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</si>
  <si>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</si>
  <si>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</si>
  <si>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</si>
  <si>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</si>
  <si>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</si>
  <si>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</si>
  <si>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</si>
  <si>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</si>
  <si>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</si>
  <si>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</si>
  <si>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</si>
  <si>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</si>
  <si>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</si>
  <si>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</si>
  <si>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</si>
  <si>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</si>
  <si>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</si>
  <si>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</si>
  <si>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</si>
  <si>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</si>
  <si>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</si>
  <si>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</si>
  <si>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</si>
  <si>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</si>
  <si>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</si>
  <si>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</si>
  <si>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</si>
  <si>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</si>
  <si>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</si>
  <si>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</si>
  <si>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</si>
  <si>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</si>
  <si>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</si>
  <si>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</si>
  <si>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</si>
  <si>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</si>
  <si>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</si>
  <si>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</si>
  <si>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</si>
  <si>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</si>
  <si>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</si>
  <si>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</si>
  <si>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</si>
  <si>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</si>
  <si>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</si>
  <si>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</si>
  <si>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</si>
  <si>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</si>
  <si>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</si>
  <si>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</si>
  <si>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</si>
  <si>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</si>
  <si>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</si>
  <si>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</si>
  <si>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</si>
  <si>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</si>
  <si>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</si>
  <si>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</si>
  <si>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</si>
  <si>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</si>
  <si>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</si>
  <si>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</si>
  <si>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</si>
  <si>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</si>
  <si>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</si>
  <si>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</si>
  <si>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</si>
  <si>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</si>
  <si>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</si>
  <si>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</si>
  <si>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</si>
  <si>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</si>
  <si>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</si>
  <si>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</si>
  <si>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</si>
  <si>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</si>
  <si>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</si>
  <si>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</si>
  <si>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</si>
  <si>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</si>
  <si>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</si>
  <si>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</si>
  <si>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</si>
  <si>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</si>
  <si>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</si>
  <si>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</si>
  <si>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</si>
  <si>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</si>
  <si>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</si>
  <si>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</si>
  <si>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</si>
  <si>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</si>
  <si>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</si>
  <si>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</si>
  <si>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</si>
  <si>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</si>
  <si>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</si>
  <si>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</si>
  <si>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</si>
  <si>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</si>
  <si>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</si>
  <si>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</si>
  <si>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</si>
  <si>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</si>
  <si>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</si>
  <si>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</si>
  <si>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</si>
  <si>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</si>
  <si>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</si>
  <si>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</si>
  <si>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</si>
  <si>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</si>
  <si>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</si>
  <si>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</si>
  <si>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</si>
  <si>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</si>
  <si>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</si>
  <si>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</si>
  <si>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</si>
  <si>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</si>
  <si>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</si>
  <si>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</si>
  <si>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</si>
  <si>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</si>
  <si>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</si>
  <si>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</si>
  <si>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</si>
  <si>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</si>
  <si>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</si>
  <si>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</si>
  <si>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</si>
  <si>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</si>
  <si>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</si>
  <si>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</si>
  <si>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</si>
  <si>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</si>
  <si>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</si>
  <si>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</si>
  <si>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</si>
  <si>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</si>
  <si>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</si>
  <si>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</si>
  <si>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</si>
  <si>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</si>
  <si>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</si>
  <si>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</si>
  <si>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</si>
  <si>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</si>
  <si>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</si>
  <si>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</si>
  <si>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</si>
  <si>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</si>
  <si>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</si>
  <si>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</si>
  <si>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</si>
  <si>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</si>
  <si>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</si>
  <si>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</si>
  <si>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</si>
  <si>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</si>
  <si>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</si>
  <si>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</si>
  <si>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</si>
  <si>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</si>
  <si>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</si>
  <si>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</si>
  <si>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</si>
  <si>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</si>
  <si>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</si>
  <si>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</si>
  <si>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</si>
  <si>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</si>
  <si>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</si>
  <si>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</si>
  <si>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</si>
  <si>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</si>
  <si>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</si>
  <si>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</si>
  <si>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</si>
  <si>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</si>
  <si>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</si>
  <si>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</si>
  <si>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</si>
  <si>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</si>
  <si>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</si>
  <si>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</si>
  <si>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</si>
  <si>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</si>
  <si>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</si>
  <si>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</si>
  <si>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</si>
  <si>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</si>
  <si>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</si>
  <si>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</si>
  <si>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</si>
  <si>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</si>
  <si>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</si>
  <si>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</si>
  <si>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</si>
  <si>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</si>
  <si>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</si>
  <si>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</si>
  <si>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</si>
  <si>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</si>
  <si>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</si>
  <si>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</si>
  <si>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</si>
  <si>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</si>
  <si>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</si>
  <si>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</si>
  <si>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</si>
  <si>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</si>
  <si>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</si>
  <si>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</si>
  <si>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</si>
  <si>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</si>
  <si>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</si>
  <si>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</si>
  <si>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</si>
  <si>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</si>
  <si>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</si>
  <si>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</si>
  <si>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</si>
  <si>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</si>
  <si>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</si>
  <si>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</si>
  <si>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</si>
  <si>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</si>
  <si>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</si>
  <si>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</si>
  <si>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</si>
  <si>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</si>
  <si>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</si>
  <si>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</si>
  <si>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</si>
  <si>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</si>
  <si>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</si>
  <si>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</si>
  <si>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</si>
  <si>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</si>
  <si>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</si>
  <si>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</si>
  <si>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</si>
  <si>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</si>
  <si>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</si>
  <si>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</si>
  <si>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</si>
  <si>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</si>
  <si>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</si>
  <si>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</si>
  <si>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</si>
  <si>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</si>
  <si>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</si>
  <si>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</si>
  <si>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</si>
  <si>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</si>
  <si>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</si>
  <si>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</si>
  <si>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</si>
  <si>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</si>
  <si>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</si>
  <si>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</si>
  <si>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</si>
  <si>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</si>
  <si>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</si>
  <si>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</si>
  <si>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</si>
  <si>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</si>
  <si>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</si>
  <si>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</si>
  <si>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</si>
  <si>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</si>
  <si>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</si>
  <si>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</si>
  <si>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NF 311270 (BOLETO PG C/ ATRASO-VENCEU DIA 24/8/26) -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</si>
  <si>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</si>
  <si>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</si>
  <si>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</si>
  <si>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</si>
  <si>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</si>
  <si>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</si>
  <si>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</si>
  <si>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</si>
  <si>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</si>
  <si>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</si>
  <si>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</si>
  <si>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</si>
  <si>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</si>
  <si>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</si>
  <si>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</si>
  <si>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</si>
  <si>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</si>
  <si>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</si>
  <si>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</si>
  <si>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</si>
  <si>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</si>
  <si>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</si>
  <si>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</si>
  <si>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</si>
  <si>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</si>
  <si>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</si>
  <si>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</si>
  <si>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</si>
  <si>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</si>
  <si>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</si>
  <si>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</si>
  <si>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</si>
  <si>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</si>
  <si>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</si>
  <si>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</si>
  <si>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</si>
  <si>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</si>
  <si>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</si>
  <si>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</si>
  <si>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</si>
  <si>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</si>
  <si>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</si>
  <si>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</si>
  <si>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</si>
  <si>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</si>
  <si>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</si>
  <si>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</si>
  <si>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</si>
  <si>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</si>
  <si>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</si>
  <si>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</si>
  <si>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</si>
  <si>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</si>
  <si>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</si>
  <si>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</si>
  <si>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</si>
  <si>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</si>
  <si>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</si>
  <si>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</si>
  <si>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</si>
  <si>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</si>
  <si>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</si>
  <si>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</si>
  <si>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</si>
  <si>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</si>
  <si>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</si>
  <si>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</si>
  <si>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</si>
  <si>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</si>
  <si>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</si>
  <si>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</si>
  <si>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</si>
  <si>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</si>
  <si>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</si>
  <si>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</si>
  <si>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</si>
  <si>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</si>
  <si>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</si>
  <si>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</si>
  <si>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</si>
  <si>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</si>
  <si>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</si>
  <si>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</si>
  <si>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</si>
  <si>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</si>
  <si>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</si>
  <si>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</si>
  <si>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</si>
  <si>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</si>
  <si>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</si>
  <si>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</si>
  <si>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</si>
  <si>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</si>
  <si>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</si>
  <si>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</si>
  <si>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</si>
  <si>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</si>
  <si>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</si>
  <si>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</si>
  <si>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</si>
  <si>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35161 ELLEN</t>
  </si>
  <si>
    <t xml:space="preserve">NF 572518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</si>
  <si>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</si>
  <si>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</si>
  <si>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</si>
  <si>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</si>
  <si>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</si>
  <si>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</si>
  <si>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</si>
  <si>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</si>
  <si>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</si>
  <si>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</si>
  <si>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</si>
  <si>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</si>
  <si>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</si>
  <si>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</si>
  <si>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</si>
  <si>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</si>
  <si>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</si>
  <si>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</si>
  <si>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</si>
  <si>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</si>
  <si>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</si>
  <si>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</si>
  <si>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</si>
  <si>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</si>
  <si>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</si>
  <si>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</si>
  <si>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</si>
  <si>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</si>
  <si>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</si>
  <si>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</si>
  <si>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</si>
  <si>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</si>
  <si>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</si>
  <si>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</si>
  <si>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</si>
  <si>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</si>
  <si>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</si>
  <si>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</si>
  <si>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</si>
  <si>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</si>
  <si>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</si>
  <si>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</si>
  <si>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</si>
  <si>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</si>
  <si>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</si>
  <si>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</si>
  <si>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</si>
  <si>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</si>
  <si>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</si>
  <si>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</si>
  <si>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</si>
  <si>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</si>
  <si>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</si>
  <si>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</si>
  <si>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</si>
  <si>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</si>
  <si>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</si>
  <si>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</si>
  <si>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</si>
  <si>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</si>
  <si>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</si>
  <si>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</si>
  <si>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</si>
  <si>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</si>
  <si>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</si>
  <si>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</si>
  <si>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</si>
  <si>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</si>
  <si>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</si>
  <si>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</si>
  <si>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</si>
  <si>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</si>
  <si>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</si>
  <si>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</si>
  <si>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</si>
  <si>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</si>
  <si>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</si>
  <si>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</si>
  <si>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</si>
  <si>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</si>
  <si>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</si>
  <si>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</si>
  <si>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</si>
  <si>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</si>
  <si>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</si>
  <si>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</si>
  <si>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</si>
  <si>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</si>
  <si>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</si>
  <si>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</si>
  <si>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</si>
  <si>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</si>
  <si>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</si>
  <si>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</si>
  <si>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</si>
  <si>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</si>
  <si>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</si>
  <si>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</si>
  <si>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</si>
  <si>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</si>
  <si>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</si>
  <si>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</si>
  <si>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</si>
  <si>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</si>
  <si>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</si>
  <si>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</si>
  <si>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</si>
  <si>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</si>
  <si>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</si>
  <si>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</si>
  <si>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</si>
  <si>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</si>
  <si>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</si>
  <si>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</si>
  <si>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</si>
  <si>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</si>
  <si>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</si>
  <si>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</si>
  <si>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</si>
  <si>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</si>
  <si>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</si>
  <si>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</si>
  <si>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</si>
  <si>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</si>
  <si>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</si>
  <si>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</si>
  <si>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</si>
  <si>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</si>
  <si>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</si>
  <si>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</si>
  <si>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</si>
  <si>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</si>
  <si>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</si>
  <si>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</si>
  <si>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</si>
  <si>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</si>
  <si>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</si>
  <si>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</si>
  <si>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</si>
  <si>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</si>
  <si>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</si>
  <si>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</si>
  <si>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</si>
  <si>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</si>
  <si>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</si>
  <si>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</si>
  <si>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</si>
  <si>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</si>
  <si>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</si>
  <si>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</si>
  <si>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</si>
  <si>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</si>
  <si>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</si>
  <si>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</si>
  <si>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</si>
  <si>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</si>
  <si>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</si>
  <si>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</si>
  <si>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</si>
  <si>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</si>
  <si>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</si>
  <si>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</si>
  <si>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</si>
  <si>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</si>
  <si>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</si>
  <si>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</si>
  <si>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</si>
  <si>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</si>
  <si>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</si>
  <si>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</si>
  <si>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</si>
  <si>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</si>
  <si>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</si>
  <si>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</si>
  <si>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</si>
  <si>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</si>
  <si>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</si>
  <si>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</si>
  <si>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</si>
  <si>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</si>
  <si>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</si>
  <si>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</si>
  <si>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</si>
  <si>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</si>
  <si>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</si>
  <si>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</si>
  <si>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</si>
  <si>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</si>
  <si>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</si>
  <si>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</si>
  <si>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</si>
  <si>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</si>
  <si>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</si>
  <si>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</si>
  <si>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</si>
  <si>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</si>
  <si>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</si>
  <si>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</si>
  <si>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</si>
  <si>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</si>
  <si>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</si>
  <si>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</si>
  <si>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</si>
  <si>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</si>
  <si>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</si>
  <si>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</si>
  <si>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</si>
  <si>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</si>
  <si>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</si>
  <si>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</si>
  <si>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</si>
  <si>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</si>
  <si>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</si>
  <si>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</si>
  <si>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</si>
  <si>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</si>
  <si>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</si>
  <si>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</si>
  <si>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</si>
  <si>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</si>
  <si>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</si>
  <si>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</si>
  <si>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</si>
  <si>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</si>
  <si>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</si>
  <si>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</si>
  <si>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</si>
  <si>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</si>
  <si>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</si>
  <si>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</si>
  <si>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</si>
  <si>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</si>
  <si>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</si>
  <si>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</si>
  <si>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</si>
  <si>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</si>
  <si>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</si>
  <si>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</si>
  <si>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</si>
  <si>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</si>
  <si>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</si>
  <si>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</si>
  <si>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</si>
  <si>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</si>
  <si>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</si>
  <si>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</si>
  <si>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</si>
  <si>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</si>
  <si>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</si>
  <si>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</si>
  <si>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</si>
  <si>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</si>
  <si>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</si>
  <si>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</si>
  <si>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</si>
  <si>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</si>
  <si>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</si>
  <si>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</si>
  <si>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</si>
  <si>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</si>
  <si>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</si>
  <si>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</si>
  <si>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</si>
  <si>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</si>
  <si>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</si>
  <si>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</si>
  <si>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</si>
  <si>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</si>
  <si>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</si>
  <si>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</si>
  <si>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</si>
  <si>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</si>
  <si>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</si>
  <si>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</si>
  <si>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</si>
  <si>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</si>
  <si>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</si>
  <si>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</si>
  <si>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</si>
  <si>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</si>
  <si>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</si>
  <si>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</si>
  <si>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</si>
  <si>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</si>
  <si>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</si>
  <si>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</si>
  <si>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</si>
  <si>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</si>
  <si>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</si>
  <si>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</si>
  <si>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</si>
  <si>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</si>
  <si>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</si>
  <si>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</si>
  <si>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</si>
  <si>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</si>
  <si>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</si>
  <si>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</si>
  <si>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</si>
  <si>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</si>
  <si>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</si>
  <si>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</si>
  <si>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</si>
  <si>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</si>
  <si>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</si>
  <si>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</si>
  <si>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</si>
  <si>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</si>
  <si>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</si>
  <si>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</si>
  <si>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</si>
  <si>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</si>
  <si>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</si>
  <si>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</si>
  <si>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</si>
  <si>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</si>
  <si>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</si>
  <si>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</si>
  <si>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</si>
  <si>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</si>
  <si>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</si>
  <si>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</si>
  <si>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</si>
  <si>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</si>
  <si>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</si>
  <si>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</si>
  <si>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</si>
  <si>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</si>
  <si>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</si>
  <si>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</si>
  <si>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</si>
  <si>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</si>
  <si>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</si>
  <si>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</si>
  <si>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</si>
  <si>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</si>
  <si>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</si>
  <si>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</si>
  <si>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</si>
  <si>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</si>
  <si>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</si>
  <si>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</si>
  <si>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</si>
  <si>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</si>
  <si>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</si>
  <si>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</si>
  <si>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</si>
  <si>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</si>
  <si>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</si>
  <si>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</si>
  <si>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</si>
  <si>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</si>
  <si>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</si>
  <si>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</si>
  <si>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</si>
  <si>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</si>
  <si>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</si>
  <si>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</si>
  <si>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</si>
  <si>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</si>
  <si>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</si>
  <si>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</si>
  <si>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</si>
  <si>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</si>
  <si>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</si>
  <si>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</si>
  <si>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</si>
  <si>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</si>
  <si>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</si>
  <si>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</si>
  <si>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</si>
  <si>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</si>
  <si>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</si>
  <si>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</si>
  <si>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</si>
  <si>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</si>
  <si>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</si>
  <si>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</si>
  <si>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</si>
  <si>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</si>
  <si>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</si>
  <si>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</si>
  <si>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</si>
  <si>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</si>
  <si>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</si>
  <si>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</si>
  <si>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</si>
  <si>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</si>
  <si>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</si>
  <si>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</si>
  <si>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</si>
  <si>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</si>
  <si>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</si>
  <si>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</si>
  <si>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</si>
  <si>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</si>
  <si>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</si>
  <si>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</si>
  <si>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</si>
  <si>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</si>
  <si>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</si>
  <si>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</si>
  <si>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</si>
  <si>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</si>
  <si>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</si>
  <si>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</si>
  <si>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</si>
  <si>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</si>
  <si>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</si>
  <si>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</si>
  <si>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</si>
  <si>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</si>
  <si>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</si>
  <si>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</si>
  <si>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</si>
  <si>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</si>
  <si>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</si>
  <si>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</si>
  <si>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</si>
  <si>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</si>
  <si>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</si>
  <si>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</si>
  <si>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</si>
  <si>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</si>
  <si>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</si>
  <si>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</si>
  <si>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</si>
  <si>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</si>
  <si>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</si>
  <si>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</si>
  <si>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</si>
  <si>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</si>
  <si>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</si>
  <si>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</si>
  <si>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</si>
  <si>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</si>
  <si>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</si>
  <si>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</si>
  <si>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</si>
  <si>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</si>
  <si>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</si>
  <si>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</si>
  <si>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</si>
  <si>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</si>
  <si>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</si>
  <si>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</si>
  <si>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</si>
  <si>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</si>
  <si>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</si>
  <si>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</si>
  <si>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</si>
  <si>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</si>
  <si>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</si>
  <si>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</si>
  <si>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</si>
  <si>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</si>
  <si>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</si>
  <si>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</si>
  <si>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</si>
  <si>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</si>
  <si>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</si>
  <si>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</si>
  <si>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</si>
  <si>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</si>
  <si>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</si>
  <si>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</si>
  <si>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</si>
  <si>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</si>
  <si>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</si>
  <si>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</si>
  <si>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</si>
  <si>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</si>
  <si>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</si>
  <si>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</si>
  <si>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</si>
  <si>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</si>
  <si>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</si>
  <si>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</si>
  <si>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</si>
  <si>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</si>
  <si>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</si>
  <si>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</si>
  <si>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</si>
  <si>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</si>
  <si>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</si>
  <si>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</si>
  <si>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</si>
  <si>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</si>
  <si>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</si>
  <si>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</si>
  <si>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</si>
  <si>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</si>
  <si>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</si>
  <si>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</si>
  <si>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</si>
  <si>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</si>
  <si>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</si>
  <si>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</si>
  <si>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</si>
  <si>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</si>
  <si>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</si>
  <si>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</si>
  <si>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</si>
  <si>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</si>
  <si>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</si>
  <si>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</si>
  <si>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</si>
  <si>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</si>
  <si>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</si>
  <si>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</si>
  <si>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</si>
  <si>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</si>
  <si>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</si>
  <si>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</si>
  <si>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</si>
  <si>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</si>
  <si>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</si>
  <si>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</si>
  <si>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</si>
  <si>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</si>
  <si>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</si>
  <si>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</si>
  <si>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</si>
  <si>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</si>
  <si>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</si>
  <si>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</si>
  <si>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</si>
  <si>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</si>
  <si>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</si>
  <si>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</si>
  <si>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</si>
  <si>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</si>
  <si>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</si>
  <si>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</si>
  <si>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</si>
  <si>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</si>
  <si>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</si>
  <si>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</si>
  <si>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</si>
  <si>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</si>
  <si>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</si>
  <si>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</si>
  <si>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</si>
  <si>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</si>
  <si>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</si>
  <si>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</si>
  <si>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</si>
  <si>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</si>
  <si>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</si>
  <si>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</si>
  <si>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</si>
  <si>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</si>
  <si>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</si>
  <si>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</si>
  <si>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</si>
  <si>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</si>
  <si>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</si>
  <si>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</si>
  <si>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</si>
  <si>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</si>
  <si>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</si>
  <si>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</si>
  <si>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</si>
  <si>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</si>
  <si>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</si>
  <si>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</si>
  <si>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</si>
  <si>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</si>
  <si>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</si>
  <si>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</si>
  <si>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</si>
  <si>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</si>
  <si>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</si>
  <si>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</si>
  <si>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</si>
  <si>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</si>
  <si>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</si>
  <si>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</si>
  <si>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</si>
  <si>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</si>
  <si>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</si>
  <si>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</si>
  <si>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</si>
  <si>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</si>
  <si>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</si>
  <si>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</si>
  <si>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</si>
  <si>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</si>
  <si>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</si>
  <si>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</si>
  <si>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</si>
  <si>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</si>
  <si>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</si>
  <si>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</si>
  <si>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</si>
  <si>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</si>
  <si>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</si>
  <si>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</si>
  <si>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</si>
  <si>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</si>
  <si>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</si>
  <si>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</si>
  <si>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</si>
  <si>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</si>
  <si>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</si>
  <si>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</si>
  <si>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</si>
  <si>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</si>
  <si>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</si>
  <si>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</si>
  <si>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</si>
  <si>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</si>
  <si>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</si>
  <si>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</si>
  <si>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</si>
  <si>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</si>
  <si>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</si>
  <si>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</si>
  <si>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</si>
  <si>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</si>
  <si>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</si>
  <si>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</si>
  <si>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</si>
  <si>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</si>
  <si>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</si>
  <si>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</si>
  <si>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</si>
  <si>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</si>
  <si>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</si>
  <si>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</si>
  <si>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</si>
  <si>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</si>
  <si>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</si>
  <si>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</si>
  <si>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</si>
  <si>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</si>
  <si>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</si>
  <si>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</si>
  <si>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</si>
  <si>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</si>
  <si>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</si>
  <si>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</si>
  <si>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</si>
  <si>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</si>
  <si>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</si>
  <si>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</si>
  <si>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</si>
  <si>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</si>
  <si>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</si>
  <si>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</si>
  <si>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</si>
  <si>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</si>
  <si>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</si>
  <si>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</si>
  <si>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</si>
  <si>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</si>
  <si>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</si>
  <si>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</si>
  <si>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</si>
  <si>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</si>
  <si>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</si>
  <si>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</si>
  <si>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</si>
  <si>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LACO FACIL BRANCO 181918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</si>
  <si>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</si>
  <si>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</si>
  <si>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</si>
  <si>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</si>
  <si>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</si>
  <si>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</si>
  <si>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</si>
  <si>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</si>
  <si>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</si>
  <si>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</si>
  <si>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</si>
  <si>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</si>
  <si>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</si>
  <si>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</si>
  <si>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</si>
  <si>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</si>
  <si>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</si>
  <si>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</si>
  <si>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</si>
  <si>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</si>
  <si>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</si>
  <si>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</si>
  <si>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</si>
  <si>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</si>
  <si>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</si>
  <si>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</si>
  <si>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</si>
  <si>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</si>
  <si>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</si>
  <si>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</si>
  <si>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</si>
  <si>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</si>
  <si>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</si>
  <si>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</si>
  <si>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</si>
  <si>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</si>
  <si>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</si>
  <si>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</si>
  <si>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</si>
  <si>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</si>
  <si>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</si>
  <si>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</si>
  <si>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</si>
  <si>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</si>
  <si>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</si>
  <si>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</si>
  <si>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</si>
  <si>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</si>
  <si>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</si>
  <si>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</si>
  <si>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</si>
  <si>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</si>
  <si>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</si>
  <si>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</si>
  <si>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</si>
  <si>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</si>
  <si>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</si>
  <si>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</si>
  <si>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</si>
  <si>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</si>
  <si>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</si>
  <si>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</si>
  <si>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</si>
  <si>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</si>
  <si>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</si>
  <si>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</si>
  <si>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</si>
  <si>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</si>
  <si>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</si>
  <si>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</si>
  <si>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</si>
  <si>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</si>
  <si>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</si>
  <si>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</si>
  <si>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</si>
  <si>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</si>
  <si>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</si>
  <si>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</si>
  <si>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</si>
  <si>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</si>
  <si>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</si>
  <si>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</si>
  <si>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</si>
  <si>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</si>
  <si>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</si>
  <si>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</si>
  <si>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</si>
  <si>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</si>
  <si>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</si>
  <si>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</si>
  <si>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</si>
  <si>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</si>
  <si>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</si>
  <si>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</si>
  <si>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</si>
  <si>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</si>
  <si>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</si>
  <si>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</si>
  <si>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</si>
  <si>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</si>
  <si>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</si>
  <si>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</si>
  <si>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</si>
  <si>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</si>
  <si>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</si>
  <si>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</si>
  <si>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</si>
  <si>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</si>
  <si>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</si>
  <si>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</si>
  <si>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</si>
  <si>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</si>
  <si>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</si>
  <si>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</si>
  <si>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</si>
  <si>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</si>
  <si>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</si>
  <si>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</si>
  <si>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</si>
  <si>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</si>
  <si>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</si>
  <si>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</si>
  <si>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</si>
  <si>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</si>
  <si>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</si>
  <si>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</si>
  <si>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</si>
  <si>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</si>
  <si>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</si>
  <si>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</si>
  <si>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</si>
  <si>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</si>
  <si>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</si>
  <si>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</si>
  <si>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</si>
  <si>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</si>
  <si>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</si>
  <si>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</si>
  <si>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</si>
  <si>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</si>
  <si>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</si>
  <si>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</si>
  <si>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</si>
  <si>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</si>
  <si>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</si>
  <si>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</si>
  <si>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</si>
  <si>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</si>
  <si>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</si>
  <si>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</si>
  <si>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</si>
  <si>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</si>
  <si>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</si>
  <si>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</si>
  <si>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</si>
  <si>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</si>
  <si>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</si>
  <si>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</si>
  <si>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</si>
  <si>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</si>
  <si>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</si>
  <si>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</si>
  <si>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</si>
  <si>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</si>
  <si>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</si>
  <si>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</si>
  <si>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</si>
  <si>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</si>
  <si>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</si>
  <si>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</si>
  <si>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</si>
  <si>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</si>
  <si>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</si>
  <si>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</si>
  <si>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</si>
  <si>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</si>
  <si>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</si>
  <si>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</si>
  <si>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</si>
  <si>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</si>
  <si>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</si>
  <si>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</si>
  <si>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</si>
  <si>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</si>
  <si>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</si>
  <si>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</si>
  <si>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</si>
  <si>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</si>
  <si>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</si>
  <si>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</si>
  <si>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</si>
  <si>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</si>
  <si>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</si>
  <si>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</si>
  <si>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</si>
  <si>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</si>
  <si>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</si>
  <si>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</si>
  <si>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</si>
  <si>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</si>
  <si>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</si>
  <si>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</si>
  <si>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</si>
  <si>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</si>
  <si>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</si>
  <si>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</si>
  <si>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</si>
  <si>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</si>
  <si>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</si>
  <si>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</si>
  <si>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</si>
  <si>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</si>
  <si>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</si>
  <si>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</si>
  <si>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</si>
  <si>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</si>
  <si>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</si>
  <si>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</si>
  <si>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</si>
  <si>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</si>
  <si>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</si>
  <si>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</si>
  <si>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</si>
  <si>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</si>
  <si>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</si>
  <si>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</si>
  <si>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</si>
  <si>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</si>
  <si>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</si>
  <si>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</si>
  <si>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</si>
  <si>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</si>
  <si>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</si>
  <si>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</si>
  <si>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</si>
  <si>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</si>
  <si>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</si>
  <si>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</si>
  <si>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</si>
  <si>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</si>
  <si>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</si>
  <si>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</si>
  <si>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</si>
  <si>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</si>
  <si>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</si>
  <si>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</si>
  <si>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</si>
  <si>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</si>
  <si>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</si>
  <si>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</si>
  <si>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</si>
  <si>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</si>
  <si>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</si>
  <si>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</si>
  <si>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</si>
  <si>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</si>
  <si>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</si>
  <si>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</si>
  <si>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</si>
  <si>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</si>
  <si>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</si>
  <si>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</si>
  <si>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</si>
  <si>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</si>
  <si>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</si>
  <si>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</si>
  <si>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</si>
  <si>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</si>
  <si>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</si>
  <si>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</si>
  <si>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</si>
  <si>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</si>
  <si>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</si>
  <si>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</si>
  <si>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</si>
  <si>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</si>
  <si>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</si>
  <si>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</si>
  <si>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</si>
  <si>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</si>
  <si>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</si>
  <si>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</si>
  <si>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</si>
  <si>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</si>
  <si>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</si>
  <si>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</si>
  <si>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</si>
  <si>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</si>
  <si>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</si>
  <si>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</si>
  <si>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</si>
  <si>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</si>
  <si>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</si>
  <si>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</si>
  <si>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</si>
  <si>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</si>
  <si>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</si>
  <si>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</si>
  <si>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</si>
  <si>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</si>
  <si>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</si>
  <si>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</si>
  <si>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</si>
  <si>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</si>
  <si>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</si>
  <si>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</si>
  <si>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</si>
  <si>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</si>
  <si>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</si>
  <si>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</si>
  <si>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</si>
  <si>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</si>
  <si>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</si>
  <si>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</si>
  <si>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</si>
  <si>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</si>
  <si>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</si>
  <si>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</si>
  <si>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</si>
  <si>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</si>
  <si>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</si>
  <si>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</si>
  <si>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</si>
  <si>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</si>
  <si>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</si>
  <si>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</si>
  <si>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</si>
  <si>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</si>
  <si>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</si>
  <si>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</si>
  <si>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</si>
  <si>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</si>
  <si>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</si>
  <si>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</si>
  <si>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</si>
  <si>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</si>
  <si>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</si>
  <si>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</si>
  <si>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</si>
  <si>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</si>
  <si>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</si>
  <si>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</si>
  <si>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</si>
  <si>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</si>
  <si>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</si>
  <si>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</si>
  <si>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</si>
  <si>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</si>
  <si>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</si>
  <si>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</si>
  <si>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</si>
  <si>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</si>
  <si>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</si>
  <si>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</si>
  <si>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</si>
  <si>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</si>
  <si>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</si>
  <si>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</si>
  <si>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</si>
  <si>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</si>
  <si>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</si>
  <si>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</si>
  <si>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</si>
  <si>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</si>
  <si>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</si>
  <si>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</si>
  <si>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</si>
  <si>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</si>
  <si>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</si>
  <si>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</si>
  <si>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</si>
  <si>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</si>
  <si>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</si>
  <si>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</si>
  <si>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</si>
  <si>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</si>
  <si>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</si>
  <si>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</si>
  <si>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</si>
  <si>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</si>
  <si>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</si>
  <si>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</si>
  <si>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</si>
  <si>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</si>
  <si>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</si>
  <si>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</si>
  <si>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</si>
  <si>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</si>
  <si>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</si>
  <si>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</si>
  <si>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</si>
  <si>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</si>
  <si>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</si>
  <si>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</si>
  <si>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</si>
  <si>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</si>
  <si>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</si>
  <si>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</si>
  <si>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</si>
  <si>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</si>
  <si>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</si>
  <si>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</si>
  <si>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</si>
  <si>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</si>
  <si>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</si>
  <si>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</si>
  <si>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</si>
  <si>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</si>
  <si>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</si>
  <si>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</si>
  <si>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</si>
  <si>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</si>
  <si>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</si>
  <si>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</si>
  <si>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</si>
  <si>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</si>
  <si>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</si>
  <si>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</si>
  <si>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</si>
  <si>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</si>
  <si>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</si>
  <si>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</si>
  <si>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</si>
  <si>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</si>
  <si>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</si>
  <si>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</si>
  <si>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</si>
  <si>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</si>
  <si>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</si>
  <si>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</si>
  <si>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</si>
  <si>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</si>
  <si>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</si>
  <si>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</si>
  <si>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</si>
  <si>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</si>
  <si>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</si>
  <si>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</si>
  <si>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</si>
  <si>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</si>
  <si>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</si>
  <si>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</si>
  <si>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</si>
  <si>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</si>
  <si>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</si>
  <si>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</si>
  <si>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</si>
  <si>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</si>
  <si>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</si>
  <si>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</si>
  <si>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</si>
  <si>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</si>
  <si>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</si>
  <si>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</si>
  <si>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</si>
  <si>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</si>
  <si>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</si>
  <si>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</si>
  <si>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</si>
  <si>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</si>
  <si>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</si>
  <si>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</si>
  <si>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</si>
  <si>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</si>
  <si>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</si>
  <si>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</si>
  <si>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</si>
  <si>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</si>
  <si>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</si>
  <si>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</si>
  <si>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</si>
  <si>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</si>
  <si>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</si>
  <si>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</si>
  <si>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</si>
  <si>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</si>
  <si>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</si>
  <si>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</si>
  <si>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</si>
  <si>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</si>
  <si>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</si>
  <si>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</si>
  <si>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</si>
  <si>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</si>
  <si>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</si>
  <si>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</si>
  <si>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</si>
  <si>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</si>
  <si>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</si>
  <si>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</si>
  <si>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</si>
  <si>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</si>
  <si>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</si>
  <si>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</si>
  <si>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</si>
  <si>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</si>
  <si>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</si>
  <si>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</si>
  <si>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</si>
  <si>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</si>
  <si>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</si>
  <si>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</si>
  <si>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</si>
  <si>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</si>
  <si>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</si>
  <si>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</si>
  <si>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</si>
  <si>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</si>
  <si>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</si>
  <si>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</si>
  <si>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</si>
  <si>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</si>
  <si>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</si>
  <si>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</si>
  <si>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</si>
  <si>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</si>
  <si>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</si>
  <si>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</si>
  <si>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</si>
  <si>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</si>
  <si>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</si>
  <si>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</si>
  <si>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</si>
  <si>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</si>
  <si>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</si>
  <si>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</si>
  <si>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</si>
  <si>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</si>
  <si>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</si>
  <si>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</si>
  <si>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</si>
  <si>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</si>
  <si>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</si>
  <si>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</si>
  <si>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</si>
  <si>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</si>
  <si>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</si>
  <si>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</si>
  <si>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</si>
  <si>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</si>
  <si>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</si>
  <si>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</si>
  <si>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</si>
  <si>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</si>
  <si>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</si>
  <si>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</si>
  <si>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</si>
  <si>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</si>
  <si>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</si>
  <si>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</si>
  <si>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</si>
  <si>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</si>
  <si>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</si>
  <si>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</si>
  <si>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</si>
  <si>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</si>
  <si>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</si>
  <si>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</si>
  <si>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</si>
  <si>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</si>
  <si>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</si>
  <si>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</si>
  <si>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</si>
  <si>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</si>
  <si>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</si>
  <si>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</si>
  <si>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</si>
  <si>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</si>
  <si>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</si>
  <si>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</si>
  <si>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</si>
  <si>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</si>
  <si>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</si>
  <si>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</si>
  <si>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</si>
  <si>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</si>
  <si>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</si>
  <si>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</si>
  <si>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</si>
  <si>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</si>
  <si>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</si>
  <si>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</si>
  <si>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</si>
  <si>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</si>
  <si>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</si>
  <si>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</si>
  <si>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</si>
  <si>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</si>
  <si>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</si>
  <si>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</si>
  <si>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</si>
  <si>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</si>
  <si>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</si>
  <si>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</si>
  <si>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</si>
  <si>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</si>
  <si>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</si>
  <si>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</si>
  <si>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</si>
  <si>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</si>
  <si>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</si>
  <si>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</si>
  <si>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</si>
  <si>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</si>
  <si>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</si>
  <si>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</si>
  <si>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</si>
  <si>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</si>
  <si>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</si>
  <si>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</si>
  <si>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</si>
  <si>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</si>
  <si>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</si>
  <si>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</si>
  <si>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</si>
  <si>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</si>
  <si>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</si>
  <si>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</si>
  <si>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</si>
  <si>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</si>
  <si>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</si>
  <si>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</si>
  <si>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</si>
  <si>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</si>
  <si>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</si>
  <si>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</si>
  <si>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</si>
  <si>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</si>
  <si>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</si>
  <si>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</si>
  <si>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</si>
  <si>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</si>
  <si>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</si>
  <si>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</si>
  <si>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</si>
  <si>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</si>
  <si>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</si>
  <si>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</si>
  <si>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</si>
  <si>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</si>
  <si>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</si>
  <si>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</si>
  <si>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</si>
  <si>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</si>
  <si>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</si>
  <si>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</si>
  <si>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</si>
  <si>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</si>
  <si>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</si>
  <si>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</si>
  <si>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</si>
  <si>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</si>
  <si>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</si>
  <si>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</si>
  <si>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</si>
  <si>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</si>
  <si>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</si>
  <si>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</si>
  <si>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</si>
  <si>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</si>
  <si>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</si>
  <si>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</si>
  <si>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</si>
  <si>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</si>
  <si>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</si>
  <si>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</si>
  <si>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</si>
  <si>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</si>
  <si>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</si>
  <si>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</si>
  <si>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</si>
  <si>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</si>
  <si>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</si>
  <si>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</si>
  <si>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</si>
  <si>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</si>
  <si>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</si>
  <si>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</si>
  <si>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</si>
  <si>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</si>
  <si>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</si>
  <si>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</si>
  <si>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</si>
  <si>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</si>
  <si>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</si>
  <si>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</si>
  <si>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</si>
  <si>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</si>
  <si>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</si>
  <si>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</si>
  <si>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</si>
  <si>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</si>
  <si>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</si>
  <si>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</si>
  <si>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</si>
  <si>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</si>
  <si>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</si>
  <si>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</si>
  <si>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</si>
  <si>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</si>
  <si>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</si>
  <si>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</si>
  <si>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</si>
  <si>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</si>
  <si>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</si>
  <si>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</si>
  <si>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</si>
  <si>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</si>
  <si>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</si>
  <si>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</si>
  <si>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</si>
  <si>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</si>
  <si>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</si>
  <si>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</si>
  <si>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</si>
  <si>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</si>
  <si>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</si>
  <si>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</si>
  <si>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</si>
  <si>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</si>
  <si>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</si>
  <si>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</si>
  <si>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</si>
  <si>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</si>
  <si>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</si>
  <si>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</si>
  <si>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</si>
  <si>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</si>
  <si>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</si>
  <si>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</si>
  <si>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</si>
  <si>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</si>
  <si>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</si>
  <si>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</si>
  <si>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</si>
  <si>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</si>
  <si>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</si>
  <si>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</si>
  <si>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</si>
  <si>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</si>
  <si>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</si>
  <si>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</si>
  <si>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</si>
  <si>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</si>
  <si>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</si>
  <si>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</si>
  <si>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</si>
  <si>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</si>
  <si>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</si>
  <si>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</si>
  <si>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</si>
  <si>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</si>
  <si>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</si>
  <si>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</si>
  <si>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</si>
  <si>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</si>
  <si>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</si>
  <si>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</si>
  <si>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</si>
  <si>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</si>
  <si>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</si>
  <si>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</si>
  <si>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</si>
  <si>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</si>
  <si>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</si>
  <si>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</si>
  <si>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</si>
  <si>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</si>
  <si>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</si>
  <si>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</si>
  <si>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</si>
  <si>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</si>
  <si>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</si>
  <si>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</si>
  <si>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</si>
  <si>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</si>
  <si>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</si>
  <si>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</si>
  <si>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</si>
  <si>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</si>
  <si>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</si>
  <si>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</si>
  <si>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</si>
  <si>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</si>
  <si>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</si>
  <si>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</si>
  <si>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</si>
  <si>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</si>
  <si>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</si>
  <si>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</si>
  <si>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</si>
  <si>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</si>
  <si>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</si>
  <si>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</si>
  <si>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</si>
  <si>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</si>
  <si>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</si>
  <si>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</si>
  <si>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</si>
  <si>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</si>
  <si>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</si>
  <si>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</si>
  <si>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</si>
  <si>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</si>
  <si>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</si>
  <si>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</si>
  <si>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</si>
  <si>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</si>
  <si>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</si>
  <si>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</si>
  <si>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</si>
  <si>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</si>
  <si>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</si>
  <si>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</si>
  <si>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</si>
  <si>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</si>
  <si>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</si>
  <si>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</si>
  <si>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</si>
  <si>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</si>
  <si>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</si>
  <si>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</si>
  <si>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</si>
  <si>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</si>
  <si>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</si>
  <si>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</si>
  <si>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</si>
  <si>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</si>
  <si>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</si>
  <si>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</si>
  <si>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</si>
  <si>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</si>
  <si>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</si>
  <si>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</si>
  <si>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</si>
  <si>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</si>
  <si>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</si>
  <si>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</si>
  <si>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</si>
  <si>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</si>
  <si>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</si>
  <si>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</si>
  <si>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</si>
  <si>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</si>
  <si>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</si>
  <si>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</si>
  <si>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</si>
  <si>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</si>
  <si>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</si>
  <si>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</si>
  <si>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</si>
  <si>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</si>
  <si>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</si>
  <si>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</si>
  <si>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</si>
  <si>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</si>
  <si>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</si>
  <si>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</si>
  <si>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</si>
  <si>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</si>
  <si>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</si>
  <si>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</si>
  <si>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</si>
  <si>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</si>
  <si>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</si>
  <si>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</si>
  <si>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</si>
  <si>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</si>
  <si>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</si>
  <si>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</si>
  <si>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</si>
  <si>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</si>
  <si>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</si>
  <si>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</si>
  <si>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</si>
  <si>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</si>
  <si>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</si>
  <si>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</si>
  <si>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</si>
  <si>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</si>
  <si>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</si>
  <si>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</si>
  <si>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</si>
  <si>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</si>
  <si>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</si>
  <si>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</si>
  <si>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</si>
  <si>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</si>
  <si>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</si>
  <si>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</si>
  <si>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</si>
  <si>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</si>
  <si>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</si>
  <si>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</si>
  <si>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</si>
  <si>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</si>
  <si>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</si>
  <si>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</si>
  <si>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</si>
  <si>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</si>
  <si>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</si>
  <si>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</si>
  <si>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</si>
  <si>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</si>
  <si>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</si>
  <si>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</si>
  <si>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</si>
  <si>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</si>
  <si>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</si>
  <si>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</si>
  <si>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</si>
  <si>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</si>
  <si>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</si>
  <si>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</si>
  <si>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</si>
  <si>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</si>
  <si>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</si>
  <si>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</si>
  <si>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</si>
  <si>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</si>
  <si>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</si>
  <si>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</si>
  <si>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</si>
  <si>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</si>
  <si>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</si>
  <si>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</si>
  <si>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</si>
  <si>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</si>
  <si>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</si>
  <si>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</si>
  <si>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</si>
  <si>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</si>
  <si>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</si>
  <si>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</si>
  <si>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</si>
  <si>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</si>
  <si>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</si>
  <si>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</si>
  <si>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</si>
  <si>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</si>
  <si>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</si>
  <si>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</si>
  <si>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</si>
  <si>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</si>
  <si>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</si>
  <si>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</si>
  <si>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</si>
  <si>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</si>
  <si>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</si>
  <si>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</si>
  <si>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</si>
  <si>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LUMINOUS CARVAO 60G</t>
  </si>
  <si>
    <t xml:space="preserve">COLG TOTAL12 CARVAO ATIV 90G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</si>
  <si>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</si>
  <si>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</si>
  <si>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</si>
  <si>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</si>
  <si>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</si>
  <si>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</si>
  <si>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</si>
  <si>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</si>
  <si>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</si>
  <si>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</si>
  <si>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</si>
  <si>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</si>
  <si>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</si>
  <si>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</si>
  <si>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</si>
  <si>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</si>
  <si>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</si>
  <si>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</si>
  <si>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</si>
  <si>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</si>
  <si>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</si>
  <si>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</si>
  <si>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</si>
  <si>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</si>
  <si>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</si>
  <si>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</si>
  <si>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</si>
  <si>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</si>
  <si>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</si>
  <si>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</si>
  <si>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</si>
  <si>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</si>
  <si>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</si>
  <si>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</si>
  <si>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</si>
  <si>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</si>
  <si>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</si>
  <si>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</si>
  <si>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</si>
  <si>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</si>
  <si>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</si>
  <si>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</si>
  <si>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</si>
  <si>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</si>
  <si>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</si>
  <si>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</si>
  <si>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</si>
  <si>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</si>
  <si>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</si>
  <si>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</si>
  <si>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</si>
  <si>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</si>
  <si>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</si>
  <si>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</si>
  <si>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</si>
  <si>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</si>
  <si>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</si>
  <si>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</si>
  <si>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</si>
  <si>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</si>
  <si>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</si>
  <si>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</si>
  <si>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</si>
  <si>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</si>
  <si>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</si>
  <si>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</si>
  <si>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</si>
  <si>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</si>
  <si>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</si>
  <si>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</si>
  <si>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</si>
  <si>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</si>
  <si>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</si>
  <si>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</si>
  <si>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</si>
  <si>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</si>
  <si>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</si>
  <si>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</si>
  <si>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</si>
  <si>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</si>
  <si>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</si>
  <si>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</si>
  <si>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</si>
  <si>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</si>
  <si>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</si>
  <si>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</si>
  <si>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</si>
  <si>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</si>
  <si>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</si>
  <si>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</si>
  <si>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</si>
  <si>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</si>
  <si>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</si>
  <si>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</si>
  <si>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</si>
  <si>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</si>
  <si>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</si>
  <si>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</si>
  <si>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</si>
  <si>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</si>
  <si>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</si>
  <si>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</si>
  <si>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</si>
  <si>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</si>
  <si>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</si>
  <si>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</si>
  <si>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</si>
  <si>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</si>
  <si>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</si>
  <si>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</si>
  <si>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</si>
  <si>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</si>
  <si>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</si>
  <si>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</si>
  <si>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</si>
  <si>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</si>
  <si>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</si>
  <si>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</si>
  <si>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</si>
  <si>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</si>
  <si>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</si>
  <si>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</si>
  <si>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</si>
  <si>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</si>
  <si>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</si>
  <si>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</si>
  <si>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</si>
  <si>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</si>
  <si>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</si>
  <si>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</si>
  <si>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</si>
  <si>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</si>
  <si>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</si>
  <si>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</si>
  <si>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</si>
  <si>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</si>
  <si>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</si>
  <si>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</si>
  <si>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</si>
  <si>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</si>
  <si>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</si>
  <si>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</si>
  <si>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</si>
  <si>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</si>
  <si>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</si>
  <si>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</si>
  <si>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</si>
  <si>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</si>
  <si>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</si>
  <si>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</si>
  <si>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</si>
  <si>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</si>
  <si>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</si>
  <si>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</si>
  <si>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</si>
  <si>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</si>
  <si>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</si>
  <si>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</si>
  <si>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</si>
  <si>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</si>
  <si>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</si>
  <si>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</si>
  <si>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</si>
  <si>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</si>
  <si>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</si>
  <si>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</si>
  <si>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</si>
  <si>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</si>
  <si>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</si>
  <si>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</si>
  <si>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</si>
  <si>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</si>
  <si>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</si>
  <si>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</si>
  <si>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</si>
  <si>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</si>
  <si>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</si>
  <si>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</si>
  <si>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</si>
  <si>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</si>
  <si>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</si>
  <si>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</si>
  <si>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</si>
  <si>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</si>
  <si>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</si>
  <si>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</si>
  <si>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</si>
  <si>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</si>
  <si>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</si>
  <si>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</si>
  <si>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</si>
  <si>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</si>
  <si>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</si>
  <si>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</si>
  <si>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</si>
  <si>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</si>
  <si>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</si>
  <si>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</si>
  <si>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</si>
  <si>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</si>
  <si>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</si>
  <si>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</si>
  <si>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</si>
  <si>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</si>
  <si>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</si>
  <si>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</si>
  <si>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</si>
  <si>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</si>
  <si>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</si>
  <si>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</si>
  <si>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</si>
  <si>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</si>
  <si>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</si>
  <si>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</si>
  <si>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</si>
  <si>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</si>
  <si>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</si>
  <si>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</si>
  <si>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</si>
  <si>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</si>
  <si>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</si>
  <si>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</si>
  <si>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</si>
  <si>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</si>
  <si>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</si>
  <si>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</si>
  <si>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</si>
  <si>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</si>
  <si>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</si>
  <si>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</si>
  <si>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</si>
  <si>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</si>
  <si>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</si>
  <si>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</si>
  <si>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</si>
  <si>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</si>
  <si>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</si>
  <si>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</si>
  <si>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</si>
  <si>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</si>
  <si>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</si>
  <si>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</si>
  <si>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</si>
  <si>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</si>
  <si>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</si>
  <si>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</si>
  <si>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</si>
  <si>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</si>
  <si>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</si>
  <si>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</si>
  <si>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</si>
  <si>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</si>
  <si>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</si>
  <si>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</si>
  <si>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</si>
  <si>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</si>
  <si>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</si>
  <si>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</si>
  <si>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</si>
  <si>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</si>
  <si>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</si>
  <si>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</si>
  <si>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</si>
  <si>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</si>
  <si>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</si>
  <si>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</si>
  <si>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</si>
  <si>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</si>
  <si>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</si>
  <si>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</si>
  <si>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</si>
  <si>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</si>
  <si>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</si>
  <si>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</si>
  <si>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</si>
  <si>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</si>
  <si>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</si>
  <si>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</si>
  <si>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</si>
  <si>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</si>
  <si>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</si>
  <si>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</si>
  <si>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</si>
  <si>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</si>
  <si>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</si>
  <si>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</si>
  <si>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</si>
  <si>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</si>
  <si>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</si>
  <si>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</si>
  <si>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</si>
  <si>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</si>
  <si>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</si>
  <si>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</si>
  <si>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</si>
  <si>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</si>
  <si>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</si>
  <si>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</si>
  <si>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</si>
  <si>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</si>
  <si>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</si>
  <si>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</si>
  <si>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</si>
  <si>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</si>
  <si>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</si>
  <si>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</si>
  <si>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</si>
  <si>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</si>
  <si>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</si>
  <si>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</si>
  <si>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</si>
  <si>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</si>
  <si>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</si>
  <si>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</si>
  <si>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</si>
  <si>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</si>
  <si>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</si>
  <si>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</si>
  <si>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</si>
  <si>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</si>
  <si>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</si>
  <si>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</si>
  <si>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</si>
  <si>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</si>
  <si>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</si>
  <si>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</si>
  <si>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</si>
  <si>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</si>
  <si>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</si>
  <si>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</si>
  <si>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</si>
  <si>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</si>
  <si>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</si>
  <si>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</si>
  <si>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</si>
  <si>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</si>
  <si>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</si>
  <si>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</si>
  <si>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</si>
  <si>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</si>
  <si>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</si>
  <si>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</si>
  <si>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</si>
  <si>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</si>
  <si>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</si>
  <si>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</si>
  <si>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</si>
  <si>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</si>
  <si>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</si>
  <si>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</si>
  <si>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</si>
  <si>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</si>
  <si>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</si>
  <si>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</si>
  <si>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</si>
  <si>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</si>
  <si>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</si>
  <si>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</si>
  <si>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</si>
  <si>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</si>
  <si>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</si>
  <si>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</si>
  <si>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</si>
  <si>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</si>
  <si>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</si>
  <si>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</si>
  <si>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</si>
  <si>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</si>
  <si>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</si>
  <si>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</si>
  <si>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</si>
  <si>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</si>
  <si>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</si>
  <si>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</si>
  <si>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</si>
  <si>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</si>
  <si>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</si>
  <si>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</si>
  <si>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</si>
  <si>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</si>
  <si>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</si>
  <si>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</si>
  <si>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</si>
  <si>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</si>
  <si>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</si>
  <si>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</si>
  <si>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</si>
  <si>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</si>
  <si>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</si>
  <si>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</si>
  <si>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</si>
  <si>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</si>
  <si>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</si>
  <si>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</si>
  <si>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</si>
  <si>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</si>
  <si>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</si>
  <si>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</si>
  <si>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</si>
  <si>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</si>
  <si>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</si>
  <si>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</si>
  <si>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</si>
  <si>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</si>
  <si>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</si>
  <si>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</si>
  <si>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</si>
  <si>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</si>
  <si>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</si>
  <si>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</si>
  <si>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</si>
  <si>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</si>
  <si>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</si>
  <si>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</si>
  <si>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</si>
  <si>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</si>
  <si>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</si>
  <si>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</si>
  <si>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</si>
  <si>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</si>
  <si>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</si>
  <si>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</si>
  <si>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</si>
  <si>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</si>
  <si>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</si>
  <si>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</si>
  <si>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</si>
  <si>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</si>
  <si>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</si>
  <si>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</si>
  <si>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</si>
  <si>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</si>
  <si>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</si>
  <si>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</si>
  <si>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</si>
  <si>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</si>
  <si>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</si>
  <si>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</si>
  <si>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</si>
  <si>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</si>
  <si>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</si>
  <si>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</si>
  <si>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</si>
  <si>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</si>
  <si>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</si>
  <si>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</si>
  <si>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</si>
  <si>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</si>
  <si>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</si>
  <si>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</si>
  <si>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</si>
  <si>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</si>
  <si>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</si>
  <si>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</si>
  <si>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</si>
  <si>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</si>
  <si>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</si>
  <si>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</si>
  <si>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</si>
  <si>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</si>
  <si>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</si>
  <si>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</si>
  <si>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</si>
  <si>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</si>
  <si>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</si>
  <si>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</si>
  <si>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</si>
  <si>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</si>
  <si>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</si>
  <si>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</si>
  <si>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</si>
  <si>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</si>
  <si>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</si>
  <si>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</si>
  <si>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</si>
  <si>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</si>
  <si>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</si>
  <si>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</si>
  <si>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</si>
  <si>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</si>
  <si>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</si>
  <si>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</si>
  <si>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</si>
  <si>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</si>
  <si>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</si>
  <si>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</si>
  <si>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</si>
  <si>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</si>
  <si>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</si>
  <si>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</si>
  <si>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</si>
  <si>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</si>
  <si>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</si>
  <si>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</si>
  <si>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</si>
  <si>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</si>
  <si>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</si>
  <si>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</si>
  <si>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</si>
  <si>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</si>
  <si>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</si>
  <si>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</si>
  <si>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</si>
  <si>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</si>
  <si>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</si>
  <si>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</si>
  <si>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</si>
  <si>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</si>
  <si>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</si>
  <si>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</si>
  <si>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</si>
  <si>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</si>
  <si>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</si>
  <si>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</si>
  <si>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</si>
  <si>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</si>
  <si>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</si>
  <si>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</si>
  <si>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</si>
  <si>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</si>
  <si>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</si>
  <si>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</si>
  <si>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</si>
  <si>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</si>
  <si>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</si>
  <si>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</si>
  <si>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</si>
  <si>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</si>
  <si>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</si>
  <si>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</si>
  <si>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</si>
  <si>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</si>
  <si>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</si>
  <si>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</si>
  <si>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</si>
  <si>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</si>
  <si>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</si>
  <si>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</si>
  <si>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</si>
  <si>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</si>
  <si>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</si>
  <si>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</si>
  <si>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</si>
  <si>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</si>
  <si>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</si>
  <si>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</si>
  <si>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</si>
  <si>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</si>
  <si>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</si>
  <si>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</si>
  <si>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</si>
  <si>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</si>
  <si>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</si>
  <si>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</si>
  <si>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</si>
  <si>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</si>
  <si>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</si>
  <si>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</si>
  <si>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</si>
  <si>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</si>
  <si>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</si>
  <si>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</si>
  <si>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</si>
  <si>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</si>
  <si>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</si>
  <si>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</si>
  <si>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</si>
  <si>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</si>
  <si>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</si>
  <si>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</si>
  <si>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</si>
  <si>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</si>
  <si>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</si>
  <si>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</si>
  <si>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</si>
  <si>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</si>
  <si>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</si>
  <si>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</si>
  <si>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</si>
  <si>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</si>
  <si>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</si>
  <si>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</si>
  <si>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</si>
  <si>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</si>
  <si>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</si>
  <si>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</si>
  <si>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</si>
  <si>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</si>
  <si>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</si>
  <si>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</si>
  <si>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</si>
  <si>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</si>
  <si>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</si>
  <si>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</si>
  <si>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</si>
  <si>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</si>
  <si>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</si>
  <si>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</si>
  <si>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</si>
  <si>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</si>
  <si>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</si>
  <si>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</si>
  <si>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</si>
  <si>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</si>
  <si>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</si>
  <si>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</si>
  <si>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</si>
  <si>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</si>
  <si>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</si>
  <si>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</si>
  <si>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</si>
  <si>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</si>
  <si>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</si>
  <si>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</si>
  <si>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</si>
  <si>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</si>
  <si>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</si>
  <si>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</si>
  <si>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</si>
  <si>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</si>
  <si>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</si>
  <si>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</si>
  <si>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</si>
  <si>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</si>
  <si>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</si>
  <si>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</si>
  <si>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</si>
  <si>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</si>
  <si>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</si>
  <si>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</si>
  <si>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</si>
  <si>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</si>
  <si>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</si>
  <si>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</si>
  <si>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</si>
  <si>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</si>
  <si>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</si>
  <si>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</si>
  <si>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</si>
  <si>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</si>
  <si>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</si>
  <si>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</si>
  <si>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</si>
  <si>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</si>
  <si>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</si>
  <si>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</si>
  <si>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</si>
  <si>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</si>
  <si>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</si>
  <si>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</si>
  <si>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</si>
  <si>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 NIVEA LAVAND 85G</t>
  </si>
  <si>
    <t xml:space="preserve">AER ANT NIVEPROT150M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</si>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</sst>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3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FRUTAS VER37G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FRUTAS VER37G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FRUTAS VER37G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46266</v>
      </c>
      <c r="C1681" s="17" t="n">
        <v>46266</v>
      </c>
      <c r="D1681" s="1" t="n">
        <v>0</v>
      </c>
      <c r="E1681" s="1" t="s">
        <v>33</v>
      </c>
      <c r="F1681" s="1" t="n">
        <v>17</v>
      </c>
      <c r="G1681" s="1" t="s">
        <v>34</v>
      </c>
      <c r="H1681" s="1" t="n">
        <v>1110101</v>
      </c>
      <c r="I1681" s="1" t="s">
        <v>35</v>
      </c>
      <c r="J1681" s="1" t="n">
        <v>1638259</v>
      </c>
      <c r="L1681" s="1" t="n">
        <v>1638259</v>
      </c>
      <c r="M1681" s="1" t="s">
        <v>36</v>
      </c>
      <c r="N1681" s="1" t="s">
        <v>37</v>
      </c>
      <c r="P1681" s="1" t="n">
        <v>113</v>
      </c>
      <c r="Q1681" s="1" t="s">
        <v>38</v>
      </c>
      <c r="R1681" s="1" t="s">
        <v>70</v>
      </c>
      <c r="S1681" s="1" t="n">
        <v>4210227</v>
      </c>
      <c r="T1681" s="1" t="s">
        <v>77</v>
      </c>
      <c r="U1681" s="1" t="n">
        <v>50</v>
      </c>
      <c r="W1681" s="1" t="n">
        <v>50</v>
      </c>
      <c r="X1681" s="1" t="s">
        <v>1478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1638260</v>
      </c>
      <c r="L1682" s="1" t="n">
        <v>1638260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39</v>
      </c>
      <c r="S1682" s="1" t="n">
        <v>4210309</v>
      </c>
      <c r="T1682" s="1" t="s">
        <v>113</v>
      </c>
      <c r="U1682" s="1" t="n">
        <v>10</v>
      </c>
      <c r="W1682" s="1" t="n">
        <v>10</v>
      </c>
      <c r="X1682" s="1" t="s">
        <v>1479</v>
      </c>
      <c r="Z1682" s="1" t="str">
        <f aca="false">IF($T1682="","",IFERROR(INDEX('Resumo Grupos'!$AC$3:$AC$200,MATCH($T1682,'Resumo Grupos'!$AB$3:$AB$200,0)),"n/d"))</f>
        <v>Salários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1638266</v>
      </c>
      <c r="L1683" s="1" t="n">
        <v>1638266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4210314</v>
      </c>
      <c r="T1683" s="1" t="s">
        <v>40</v>
      </c>
      <c r="U1683" s="1" t="n">
        <v>50</v>
      </c>
      <c r="W1683" s="1" t="n">
        <v>50</v>
      </c>
      <c r="X1683" s="1" t="s">
        <v>360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1638269</v>
      </c>
      <c r="L1684" s="1" t="n">
        <v>1638269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70</v>
      </c>
      <c r="W1684" s="1" t="n">
        <v>70</v>
      </c>
      <c r="X1684" s="1" t="s">
        <v>167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45992</v>
      </c>
      <c r="C1685" s="17" t="n">
        <v>46266</v>
      </c>
      <c r="D1685" s="1" t="n">
        <v>983</v>
      </c>
      <c r="E1685" s="1" t="s">
        <v>46</v>
      </c>
      <c r="F1685" s="1" t="n">
        <v>47</v>
      </c>
      <c r="G1685" s="1" t="s">
        <v>47</v>
      </c>
      <c r="H1685" s="1" t="n">
        <v>2110101</v>
      </c>
      <c r="I1685" s="1" t="s">
        <v>48</v>
      </c>
      <c r="J1685" s="1" t="n">
        <v>361903</v>
      </c>
      <c r="L1685" s="1" t="n">
        <v>47174</v>
      </c>
      <c r="M1685" s="1" t="s">
        <v>1480</v>
      </c>
      <c r="N1685" s="1" t="s">
        <v>50</v>
      </c>
      <c r="P1685" s="1" t="n">
        <v>113</v>
      </c>
      <c r="Q1685" s="1" t="s">
        <v>38</v>
      </c>
      <c r="R1685" s="1" t="s">
        <v>51</v>
      </c>
      <c r="S1685" s="1" t="n">
        <v>1240103</v>
      </c>
      <c r="T1685" s="1" t="s">
        <v>52</v>
      </c>
      <c r="U1685" s="1" t="n">
        <v>1898</v>
      </c>
      <c r="W1685" s="1" t="n">
        <v>0</v>
      </c>
      <c r="X1685" s="1" t="s">
        <v>1481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nao encontrado</v>
      </c>
      <c r="AC1685" s="1" t="n">
        <v>17382</v>
      </c>
    </row>
    <row r="1686" customFormat="false" ht="12.75" hidden="false" customHeight="true" outlineLevel="0" collapsed="false">
      <c r="A1686" s="1" t="n">
        <v>2</v>
      </c>
      <c r="B1686" s="17" t="n">
        <v>46055</v>
      </c>
      <c r="C1686" s="17" t="n">
        <v>46266</v>
      </c>
      <c r="D1686" s="1" t="n">
        <v>10039</v>
      </c>
      <c r="E1686" s="1" t="s">
        <v>84</v>
      </c>
      <c r="F1686" s="1" t="n">
        <v>47</v>
      </c>
      <c r="G1686" s="1" t="s">
        <v>47</v>
      </c>
      <c r="H1686" s="1" t="n">
        <v>2110405</v>
      </c>
      <c r="I1686" s="1" t="s">
        <v>55</v>
      </c>
      <c r="J1686" s="1" t="n">
        <v>846832</v>
      </c>
      <c r="L1686" s="1" t="n">
        <v>111506</v>
      </c>
      <c r="M1686" s="1" t="s">
        <v>49</v>
      </c>
      <c r="N1686" s="1" t="s">
        <v>50</v>
      </c>
      <c r="P1686" s="1" t="n">
        <v>113</v>
      </c>
      <c r="Q1686" s="1" t="s">
        <v>38</v>
      </c>
      <c r="R1686" s="1" t="s">
        <v>70</v>
      </c>
      <c r="S1686" s="1" t="n">
        <v>4210227</v>
      </c>
      <c r="T1686" s="1" t="s">
        <v>77</v>
      </c>
      <c r="U1686" s="1" t="n">
        <v>378.82</v>
      </c>
      <c r="W1686" s="1" t="n">
        <v>0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258</v>
      </c>
    </row>
    <row r="1687" customFormat="false" ht="12.75" hidden="false" customHeight="true" outlineLevel="0" collapsed="false">
      <c r="A1687" s="1" t="n">
        <v>2</v>
      </c>
      <c r="B1687" s="17" t="n">
        <v>46196</v>
      </c>
      <c r="C1687" s="17" t="n">
        <v>46266</v>
      </c>
      <c r="D1687" s="1" t="n">
        <v>875</v>
      </c>
      <c r="E1687" s="1" t="s">
        <v>87</v>
      </c>
      <c r="F1687" s="1" t="n">
        <v>47</v>
      </c>
      <c r="G1687" s="1" t="s">
        <v>47</v>
      </c>
      <c r="H1687" s="1" t="n">
        <v>2110101</v>
      </c>
      <c r="I1687" s="1" t="s">
        <v>48</v>
      </c>
      <c r="J1687" s="1" t="n">
        <v>1295066</v>
      </c>
      <c r="L1687" s="1" t="n">
        <v>173322</v>
      </c>
      <c r="M1687" s="1" t="s">
        <v>76</v>
      </c>
      <c r="N1687" s="1" t="s">
        <v>50</v>
      </c>
      <c r="P1687" s="1" t="n">
        <v>113</v>
      </c>
      <c r="Q1687" s="1" t="s">
        <v>38</v>
      </c>
      <c r="R1687" s="1" t="s">
        <v>62</v>
      </c>
      <c r="S1687" s="1" t="n">
        <v>1130101</v>
      </c>
      <c r="T1687" s="1" t="s">
        <v>63</v>
      </c>
      <c r="U1687" s="1" t="n">
        <v>1290.16</v>
      </c>
      <c r="W1687" s="1" t="n">
        <v>0</v>
      </c>
      <c r="X1687" s="1" t="s">
        <v>1483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SUPORTE DE TV CANAA</v>
      </c>
      <c r="AC1687" s="1" t="n">
        <v>1829</v>
      </c>
    </row>
    <row r="1688" customFormat="false" ht="12.75" hidden="false" customHeight="true" outlineLevel="0" collapsed="false">
      <c r="A1688" s="1" t="n">
        <v>2</v>
      </c>
      <c r="B1688" s="17" t="n">
        <v>46226</v>
      </c>
      <c r="C1688" s="17" t="n">
        <v>46266</v>
      </c>
      <c r="D1688" s="1" t="n">
        <v>957</v>
      </c>
      <c r="E1688" s="1" t="s">
        <v>628</v>
      </c>
      <c r="F1688" s="1" t="n">
        <v>24</v>
      </c>
      <c r="G1688" s="1" t="s">
        <v>91</v>
      </c>
      <c r="H1688" s="1" t="n">
        <v>2110405</v>
      </c>
      <c r="I1688" s="1" t="s">
        <v>55</v>
      </c>
      <c r="J1688" s="1" t="n">
        <v>1438932</v>
      </c>
      <c r="L1688" s="1" t="n">
        <v>194431</v>
      </c>
      <c r="M1688" s="1" t="s">
        <v>36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1501.38</v>
      </c>
      <c r="W1688" s="1" t="n">
        <v>0</v>
      </c>
      <c r="X1688" s="1" t="s">
        <v>1261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WHISKA FRANGO KG AGR</v>
      </c>
      <c r="AC1688" s="1" t="n">
        <v>21189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10011</v>
      </c>
      <c r="E1689" s="1" t="s">
        <v>330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1438962</v>
      </c>
      <c r="L1689" s="1" t="n">
        <v>194443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591.07</v>
      </c>
      <c r="W1689" s="1" t="n">
        <v>0</v>
      </c>
      <c r="X1689" s="1" t="s">
        <v>1262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GRAN PLUS MENU KG</v>
      </c>
      <c r="AC1689" s="1" t="n">
        <v>34738</v>
      </c>
    </row>
    <row r="1690" customFormat="false" ht="12.75" hidden="false" customHeight="true" outlineLevel="0" collapsed="false">
      <c r="A1690" s="1" t="n">
        <v>2</v>
      </c>
      <c r="B1690" s="17" t="n">
        <v>46245</v>
      </c>
      <c r="C1690" s="17" t="n">
        <v>46266</v>
      </c>
      <c r="D1690" s="1" t="n">
        <v>1259</v>
      </c>
      <c r="E1690" s="1" t="s">
        <v>1484</v>
      </c>
      <c r="F1690" s="1" t="n">
        <v>47</v>
      </c>
      <c r="G1690" s="1" t="s">
        <v>47</v>
      </c>
      <c r="H1690" s="1" t="n">
        <v>2110405</v>
      </c>
      <c r="I1690" s="1" t="s">
        <v>55</v>
      </c>
      <c r="J1690" s="1" t="n">
        <v>1532317</v>
      </c>
      <c r="L1690" s="1" t="n">
        <v>208731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70</v>
      </c>
      <c r="S1690" s="1" t="n">
        <v>4210209</v>
      </c>
      <c r="T1690" s="1" t="s">
        <v>687</v>
      </c>
      <c r="U1690" s="1" t="n">
        <v>200</v>
      </c>
      <c r="W1690" s="1" t="n">
        <v>0</v>
      </c>
      <c r="X1690" s="1" t="s">
        <v>1485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2</v>
      </c>
      <c r="B1691" s="17" t="n">
        <v>46246</v>
      </c>
      <c r="C1691" s="17" t="n">
        <v>46266</v>
      </c>
      <c r="D1691" s="1" t="n">
        <v>875</v>
      </c>
      <c r="E1691" s="1" t="s">
        <v>87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1534947</v>
      </c>
      <c r="L1691" s="1" t="n">
        <v>209452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62</v>
      </c>
      <c r="S1691" s="1" t="n">
        <v>1130101</v>
      </c>
      <c r="T1691" s="1" t="s">
        <v>63</v>
      </c>
      <c r="U1691" s="1" t="n">
        <v>638.75</v>
      </c>
      <c r="W1691" s="1" t="n">
        <v>0</v>
      </c>
      <c r="X1691" s="1" t="s">
        <v>1486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FONE DE OUVIDO DO IP</v>
      </c>
      <c r="AC1691" s="1" t="n">
        <v>1898</v>
      </c>
    </row>
    <row r="1692" customFormat="false" ht="12.75" hidden="false" customHeight="true" outlineLevel="0" collapsed="false">
      <c r="A1692" s="1" t="n">
        <v>2</v>
      </c>
      <c r="B1692" s="17" t="n">
        <v>46251</v>
      </c>
      <c r="C1692" s="17" t="n">
        <v>46266</v>
      </c>
      <c r="D1692" s="1" t="n">
        <v>10017</v>
      </c>
      <c r="E1692" s="1" t="s">
        <v>184</v>
      </c>
      <c r="F1692" s="1" t="n">
        <v>24</v>
      </c>
      <c r="G1692" s="1" t="s">
        <v>91</v>
      </c>
      <c r="H1692" s="1" t="n">
        <v>2110405</v>
      </c>
      <c r="I1692" s="1" t="s">
        <v>55</v>
      </c>
      <c r="J1692" s="1" t="n">
        <v>1561240</v>
      </c>
      <c r="L1692" s="1" t="n">
        <v>212990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599.85</v>
      </c>
      <c r="W1692" s="1" t="n">
        <v>0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PAPEL HIGIENICO ALLE</v>
      </c>
      <c r="AC1692" s="1" t="n">
        <v>195597</v>
      </c>
    </row>
    <row r="1693" customFormat="false" ht="12.75" hidden="false" customHeight="true" outlineLevel="0" collapsed="false">
      <c r="A1693" s="1" t="n">
        <v>2</v>
      </c>
      <c r="B1693" s="17" t="n">
        <v>46252</v>
      </c>
      <c r="C1693" s="17" t="n">
        <v>46266</v>
      </c>
      <c r="D1693" s="1" t="n">
        <v>1697</v>
      </c>
      <c r="E1693" s="1" t="s">
        <v>775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1566723</v>
      </c>
      <c r="L1693" s="1" t="n">
        <v>213866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584.64</v>
      </c>
      <c r="W1693" s="1" t="n">
        <v>0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LEITE ITALAC DESN 1L</v>
      </c>
      <c r="AC1693" s="1" t="n">
        <v>211355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1705</v>
      </c>
      <c r="E1694" s="1" t="s">
        <v>131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1567586</v>
      </c>
      <c r="L1694" s="1" t="n">
        <v>214037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2351.65</v>
      </c>
      <c r="W1694" s="1" t="n">
        <v>0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REFR COCA COLA 200ML</v>
      </c>
      <c r="AC1694" s="1" t="n">
        <v>1993231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1711</v>
      </c>
      <c r="E1695" s="1" t="s">
        <v>1490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1568088</v>
      </c>
      <c r="L1695" s="1" t="n">
        <v>214108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645.72</v>
      </c>
      <c r="W1695" s="1" t="n">
        <v>0</v>
      </c>
      <c r="X1695" s="1" t="s">
        <v>1491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CAD BROCH UNIV COST</v>
      </c>
      <c r="AC1695" s="1" t="n">
        <v>160332</v>
      </c>
    </row>
    <row r="1696" customFormat="false" ht="12.75" hidden="false" customHeight="true" outlineLevel="0" collapsed="false">
      <c r="A1696" s="1" t="n">
        <v>2</v>
      </c>
      <c r="B1696" s="17" t="n">
        <v>46253</v>
      </c>
      <c r="C1696" s="17" t="n">
        <v>46266</v>
      </c>
      <c r="D1696" s="1" t="n">
        <v>1635</v>
      </c>
      <c r="E1696" s="1" t="s">
        <v>129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1570872</v>
      </c>
      <c r="L1696" s="1" t="n">
        <v>214482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1276.2</v>
      </c>
      <c r="W1696" s="1" t="n">
        <v>0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COXA E SOBRECOXA KG</v>
      </c>
      <c r="AC1696" s="1" t="n">
        <v>3745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1708</v>
      </c>
      <c r="E1697" s="1" t="s">
        <v>269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1572967</v>
      </c>
      <c r="L1697" s="1" t="n">
        <v>214926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548.18</v>
      </c>
      <c r="W1697" s="1" t="n">
        <v>0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DISQUETI 18G</v>
      </c>
      <c r="AC1697" s="1" t="n">
        <v>265359</v>
      </c>
    </row>
    <row r="1698" customFormat="false" ht="12.75" hidden="false" customHeight="true" outlineLevel="0" collapsed="false">
      <c r="A1698" s="1" t="n">
        <v>2</v>
      </c>
      <c r="B1698" s="17" t="n">
        <v>46254</v>
      </c>
      <c r="C1698" s="17" t="n">
        <v>46266</v>
      </c>
      <c r="D1698" s="1" t="n">
        <v>967</v>
      </c>
      <c r="E1698" s="1" t="s">
        <v>1494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1576159</v>
      </c>
      <c r="L1698" s="1" t="n">
        <v>215377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421</v>
      </c>
      <c r="W1698" s="1" t="n">
        <v>0</v>
      </c>
      <c r="X1698" s="1" t="s">
        <v>1495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COROTE LIMÃO 50ML</v>
      </c>
      <c r="AC1698" s="1" t="n">
        <v>37213</v>
      </c>
    </row>
    <row r="1699" customFormat="false" ht="12.75" hidden="false" customHeight="true" outlineLevel="0" collapsed="false">
      <c r="A1699" s="1" t="n">
        <v>2</v>
      </c>
      <c r="B1699" s="17" t="n">
        <v>46247</v>
      </c>
      <c r="C1699" s="17" t="n">
        <v>46266</v>
      </c>
      <c r="D1699" s="1" t="n">
        <v>1974</v>
      </c>
      <c r="E1699" s="1" t="s">
        <v>686</v>
      </c>
      <c r="F1699" s="1" t="n">
        <v>47</v>
      </c>
      <c r="G1699" s="1" t="s">
        <v>47</v>
      </c>
      <c r="H1699" s="1" t="n">
        <v>2110405</v>
      </c>
      <c r="I1699" s="1" t="s">
        <v>55</v>
      </c>
      <c r="J1699" s="1" t="n">
        <v>1577528</v>
      </c>
      <c r="L1699" s="1" t="n">
        <v>215681</v>
      </c>
      <c r="M1699" s="1" t="s">
        <v>36</v>
      </c>
      <c r="N1699" s="1" t="s">
        <v>50</v>
      </c>
      <c r="P1699" s="1" t="n">
        <v>101</v>
      </c>
      <c r="Q1699" s="1" t="s">
        <v>56</v>
      </c>
      <c r="R1699" s="1" t="s">
        <v>70</v>
      </c>
      <c r="S1699" s="1" t="n">
        <v>4210209</v>
      </c>
      <c r="T1699" s="1" t="s">
        <v>687</v>
      </c>
      <c r="U1699" s="1" t="n">
        <v>489.15</v>
      </c>
      <c r="W1699" s="1" t="n">
        <v>0</v>
      </c>
      <c r="X1699" s="1" t="s">
        <v>1496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2</v>
      </c>
      <c r="B1700" s="17" t="n">
        <v>46259</v>
      </c>
      <c r="C1700" s="17" t="n">
        <v>46266</v>
      </c>
      <c r="D1700" s="1" t="n">
        <v>1642</v>
      </c>
      <c r="E1700" s="1" t="s">
        <v>233</v>
      </c>
      <c r="F1700" s="1" t="n">
        <v>24</v>
      </c>
      <c r="G1700" s="1" t="s">
        <v>91</v>
      </c>
      <c r="H1700" s="1" t="n">
        <v>2110405</v>
      </c>
      <c r="I1700" s="1" t="s">
        <v>55</v>
      </c>
      <c r="J1700" s="1" t="n">
        <v>1598921</v>
      </c>
      <c r="L1700" s="1" t="n">
        <v>218837</v>
      </c>
      <c r="M1700" s="1" t="s">
        <v>36</v>
      </c>
      <c r="N1700" s="1" t="s">
        <v>50</v>
      </c>
      <c r="P1700" s="1" t="n">
        <v>113</v>
      </c>
      <c r="Q1700" s="1" t="s">
        <v>38</v>
      </c>
      <c r="R1700" s="1" t="s">
        <v>62</v>
      </c>
      <c r="S1700" s="1" t="n">
        <v>1130101</v>
      </c>
      <c r="T1700" s="1" t="s">
        <v>63</v>
      </c>
      <c r="U1700" s="1" t="n">
        <v>437.2</v>
      </c>
      <c r="W1700" s="1" t="n">
        <v>0</v>
      </c>
      <c r="X1700" s="1" t="s">
        <v>1497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PAO TORRADO BROTHERS</v>
      </c>
      <c r="AC1700" s="1" t="n">
        <v>1038558</v>
      </c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1740</v>
      </c>
      <c r="E1701" s="1" t="s">
        <v>462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1599326</v>
      </c>
      <c r="L1701" s="1" t="n">
        <v>218927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2372.5</v>
      </c>
      <c r="W1701" s="1" t="n">
        <v>0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LINGUI DE FRANGO KG</v>
      </c>
      <c r="AC1701" s="1" t="n">
        <v>1262474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1650</v>
      </c>
      <c r="E1702" s="1" t="s">
        <v>439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1600439</v>
      </c>
      <c r="L1702" s="1" t="n">
        <v>219150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363.97</v>
      </c>
      <c r="W1702" s="1" t="n">
        <v>0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IOG.B.COMODORO SAC</v>
      </c>
      <c r="AC1702" s="1" t="n">
        <v>229698</v>
      </c>
    </row>
    <row r="1703" customFormat="false" ht="12.75" hidden="false" customHeight="true" outlineLevel="0" collapsed="false">
      <c r="A1703" s="1" t="n">
        <v>2</v>
      </c>
      <c r="B1703" s="17" t="n">
        <v>46260</v>
      </c>
      <c r="C1703" s="17" t="n">
        <v>46266</v>
      </c>
      <c r="D1703" s="1" t="n">
        <v>1625</v>
      </c>
      <c r="E1703" s="1" t="s">
        <v>272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1604525</v>
      </c>
      <c r="L1703" s="1" t="n">
        <v>219806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3363.75</v>
      </c>
      <c r="W1703" s="1" t="n">
        <v>0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TRASEIRO DE BOI L1</v>
      </c>
      <c r="AC1703" s="1" t="n">
        <v>15150</v>
      </c>
    </row>
    <row r="1704" customFormat="false" ht="12.75" hidden="false" customHeight="true" outlineLevel="0" collapsed="false">
      <c r="A1704" s="1" t="n">
        <v>2</v>
      </c>
      <c r="B1704" s="17" t="n">
        <v>46263</v>
      </c>
      <c r="C1704" s="17" t="n">
        <v>46266</v>
      </c>
      <c r="D1704" s="1" t="n">
        <v>642</v>
      </c>
      <c r="E1704" s="1" t="s">
        <v>144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1618518</v>
      </c>
      <c r="L1704" s="1" t="n">
        <v>221953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240</v>
      </c>
      <c r="W1704" s="1" t="n">
        <v>0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BOLO BLOOM 600G</v>
      </c>
      <c r="AC1704" s="1" t="n">
        <v>627</v>
      </c>
    </row>
    <row r="1705" customFormat="false" ht="12.75" hidden="false" customHeight="true" outlineLevel="0" collapsed="false">
      <c r="A1705" s="1" t="n">
        <v>2</v>
      </c>
      <c r="B1705" s="17" t="n">
        <v>46266</v>
      </c>
      <c r="C1705" s="17" t="n">
        <v>46266</v>
      </c>
      <c r="D1705" s="1" t="n">
        <v>73</v>
      </c>
      <c r="E1705" s="1" t="s">
        <v>112</v>
      </c>
      <c r="F1705" s="1" t="n">
        <v>34</v>
      </c>
      <c r="G1705" s="1" t="s">
        <v>110</v>
      </c>
      <c r="H1705" s="1" t="n">
        <v>2110405</v>
      </c>
      <c r="I1705" s="1" t="s">
        <v>55</v>
      </c>
      <c r="J1705" s="1" t="n">
        <v>1634963</v>
      </c>
      <c r="L1705" s="1" t="n">
        <v>224539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39</v>
      </c>
      <c r="S1705" s="1" t="n">
        <v>4210309</v>
      </c>
      <c r="T1705" s="1" t="s">
        <v>113</v>
      </c>
      <c r="U1705" s="1" t="n">
        <v>260</v>
      </c>
      <c r="W1705" s="1" t="n">
        <v>0</v>
      </c>
      <c r="X1705" s="1" t="s">
        <v>1502</v>
      </c>
      <c r="Z1705" s="1" t="str">
        <f aca="false">IF($T1705="","",IFERROR(INDEX('Resumo Grupos'!$AC$3:$AC$200,MATCH($T1705,'Resumo Grupos'!$AB$3:$AB$200,0)),"n/d"))</f>
        <v>Salários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18</v>
      </c>
      <c r="E1706" s="1" t="s">
        <v>117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1634966</v>
      </c>
      <c r="L1706" s="1" t="n">
        <v>224543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260</v>
      </c>
      <c r="W1706" s="1" t="n">
        <v>0</v>
      </c>
      <c r="X1706" s="1" t="s">
        <v>1502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21</v>
      </c>
      <c r="E1707" s="1" t="s">
        <v>115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1634968</v>
      </c>
      <c r="L1707" s="1" t="n">
        <v>224545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0</v>
      </c>
      <c r="X1707" s="1" t="s">
        <v>1502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48</v>
      </c>
      <c r="E1708" s="1" t="s">
        <v>146</v>
      </c>
      <c r="F1708" s="1" t="n">
        <v>34</v>
      </c>
      <c r="G1708" s="1" t="s">
        <v>110</v>
      </c>
      <c r="H1708" s="1" t="n">
        <v>2110101</v>
      </c>
      <c r="I1708" s="1" t="s">
        <v>48</v>
      </c>
      <c r="J1708" s="1" t="n">
        <v>1635063</v>
      </c>
      <c r="L1708" s="1" t="n">
        <v>2649</v>
      </c>
      <c r="M1708" s="1" t="s">
        <v>36</v>
      </c>
      <c r="N1708" s="1" t="s">
        <v>68</v>
      </c>
      <c r="P1708" s="1" t="n">
        <v>113</v>
      </c>
      <c r="Q1708" s="1" t="s">
        <v>38</v>
      </c>
      <c r="R1708" s="1" t="s">
        <v>62</v>
      </c>
      <c r="S1708" s="1" t="n">
        <v>1130101</v>
      </c>
      <c r="T1708" s="1" t="s">
        <v>63</v>
      </c>
      <c r="U1708" s="1" t="n">
        <v>315</v>
      </c>
      <c r="W1708" s="1" t="n">
        <v>0</v>
      </c>
      <c r="X1708" s="1" t="s">
        <v>1503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1635174</v>
      </c>
      <c r="L1709" s="1" t="n">
        <v>2650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1440</v>
      </c>
      <c r="W1709" s="1" t="n">
        <v>0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1037</v>
      </c>
      <c r="E1710" s="1" t="s">
        <v>153</v>
      </c>
      <c r="F1710" s="1" t="n">
        <v>34</v>
      </c>
      <c r="G1710" s="1" t="s">
        <v>110</v>
      </c>
      <c r="H1710" s="1" t="n">
        <v>2110405</v>
      </c>
      <c r="I1710" s="1" t="s">
        <v>55</v>
      </c>
      <c r="J1710" s="1" t="n">
        <v>1635197</v>
      </c>
      <c r="L1710" s="1" t="n">
        <v>224569</v>
      </c>
      <c r="M1710" s="1" t="s">
        <v>36</v>
      </c>
      <c r="N1710" s="1" t="s">
        <v>50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930</v>
      </c>
      <c r="W1710" s="1" t="n">
        <v>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514</v>
      </c>
      <c r="E1711" s="1" t="s">
        <v>759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1635276</v>
      </c>
      <c r="L1711" s="1" t="n">
        <v>224584</v>
      </c>
      <c r="M1711" s="1" t="s">
        <v>36</v>
      </c>
      <c r="N1711" s="1" t="s">
        <v>50</v>
      </c>
      <c r="P1711" s="1" t="n">
        <v>102</v>
      </c>
      <c r="Q1711" s="1" t="s">
        <v>315</v>
      </c>
      <c r="R1711" s="1" t="s">
        <v>158</v>
      </c>
      <c r="S1711" s="1" t="n">
        <v>4210504</v>
      </c>
      <c r="T1711" s="1" t="s">
        <v>163</v>
      </c>
      <c r="U1711" s="1" t="n">
        <v>237</v>
      </c>
      <c r="W1711" s="1" t="n">
        <v>0</v>
      </c>
      <c r="X1711" s="1" t="s">
        <v>1506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1635280</v>
      </c>
      <c r="L1712" s="1" t="n">
        <v>224585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57</v>
      </c>
      <c r="S1712" s="1" t="n">
        <v>4220199</v>
      </c>
      <c r="T1712" s="1" t="s">
        <v>58</v>
      </c>
      <c r="U1712" s="1" t="n">
        <v>200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1699</v>
      </c>
      <c r="E1713" s="1" t="s">
        <v>231</v>
      </c>
      <c r="F1713" s="1" t="n">
        <v>24</v>
      </c>
      <c r="G1713" s="1" t="s">
        <v>91</v>
      </c>
      <c r="H1713" s="1" t="n">
        <v>2110405</v>
      </c>
      <c r="I1713" s="1" t="s">
        <v>55</v>
      </c>
      <c r="J1713" s="1" t="n">
        <v>1635355</v>
      </c>
      <c r="L1713" s="1" t="n">
        <v>224606</v>
      </c>
      <c r="M1713" s="1" t="s">
        <v>36</v>
      </c>
      <c r="N1713" s="1" t="s">
        <v>50</v>
      </c>
      <c r="P1713" s="1" t="n">
        <v>113</v>
      </c>
      <c r="Q1713" s="1" t="s">
        <v>38</v>
      </c>
      <c r="R1713" s="1" t="s">
        <v>62</v>
      </c>
      <c r="S1713" s="1" t="n">
        <v>1130101</v>
      </c>
      <c r="T1713" s="1" t="s">
        <v>63</v>
      </c>
      <c r="U1713" s="1" t="n">
        <v>658.8</v>
      </c>
      <c r="W1713" s="1" t="n">
        <v>0</v>
      </c>
      <c r="X1713" s="1" t="s">
        <v>1508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0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0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0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0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0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0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0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0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0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0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0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0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0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0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0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0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0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46241</v>
      </c>
      <c r="C1737" s="17" t="n">
        <v>46268</v>
      </c>
      <c r="D1737" s="1" t="n">
        <v>1705</v>
      </c>
      <c r="E1737" s="1" t="s">
        <v>131</v>
      </c>
      <c r="F1737" s="1" t="n">
        <v>24</v>
      </c>
      <c r="G1737" s="1" t="s">
        <v>91</v>
      </c>
      <c r="H1737" s="1" t="n">
        <v>2110405</v>
      </c>
      <c r="I1737" s="1" t="s">
        <v>55</v>
      </c>
      <c r="J1737" s="1" t="n">
        <v>1514117</v>
      </c>
      <c r="L1737" s="1" t="n">
        <v>205956</v>
      </c>
      <c r="M1737" s="1" t="s">
        <v>36</v>
      </c>
      <c r="N1737" s="1" t="s">
        <v>50</v>
      </c>
      <c r="P1737" s="1" t="n">
        <v>113</v>
      </c>
      <c r="Q1737" s="1" t="s">
        <v>38</v>
      </c>
      <c r="R1737" s="1" t="s">
        <v>62</v>
      </c>
      <c r="S1737" s="1" t="n">
        <v>1130101</v>
      </c>
      <c r="T1737" s="1" t="s">
        <v>63</v>
      </c>
      <c r="U1737" s="1" t="n">
        <v>77.62</v>
      </c>
      <c r="W1737" s="1" t="n">
        <v>0</v>
      </c>
      <c r="X1737" s="1" t="s">
        <v>1528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nao encontrado</v>
      </c>
      <c r="AC1737" s="1" t="n">
        <v>1236492</v>
      </c>
    </row>
    <row r="1738" customFormat="false" ht="12.75" hidden="false" customHeight="true" outlineLevel="0" collapsed="false">
      <c r="A1738" s="1" t="n">
        <v>2</v>
      </c>
      <c r="B1738" s="17" t="n">
        <v>46241</v>
      </c>
      <c r="C1738" s="17" t="n">
        <v>46268</v>
      </c>
      <c r="D1738" s="1" t="n">
        <v>794</v>
      </c>
      <c r="E1738" s="1" t="s">
        <v>343</v>
      </c>
      <c r="F1738" s="1" t="n">
        <v>24</v>
      </c>
      <c r="G1738" s="1" t="s">
        <v>91</v>
      </c>
      <c r="H1738" s="1" t="n">
        <v>2110405</v>
      </c>
      <c r="I1738" s="1" t="s">
        <v>55</v>
      </c>
      <c r="J1738" s="1" t="n">
        <v>1514442</v>
      </c>
      <c r="L1738" s="1" t="n">
        <v>206014</v>
      </c>
      <c r="M1738" s="1" t="s">
        <v>36</v>
      </c>
      <c r="N1738" s="1" t="s">
        <v>50</v>
      </c>
      <c r="P1738" s="1" t="n">
        <v>113</v>
      </c>
      <c r="Q1738" s="1" t="s">
        <v>38</v>
      </c>
      <c r="R1738" s="1" t="s">
        <v>70</v>
      </c>
      <c r="S1738" s="1" t="n">
        <v>4210299</v>
      </c>
      <c r="T1738" s="1" t="s">
        <v>127</v>
      </c>
      <c r="U1738" s="1" t="n">
        <v>520.46</v>
      </c>
      <c r="W1738" s="1" t="n">
        <v>0</v>
      </c>
      <c r="X1738" s="1" t="s">
        <v>1341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SACOLA BRC. L. ALIP.</v>
      </c>
      <c r="AC1738" s="1" t="n">
        <v>8583</v>
      </c>
    </row>
    <row r="1739" customFormat="false" ht="12.75" hidden="false" customHeight="true" outlineLevel="0" collapsed="false">
      <c r="A1739" s="1" t="n">
        <v>2</v>
      </c>
      <c r="B1739" s="17" t="n">
        <v>46247</v>
      </c>
      <c r="C1739" s="17" t="n">
        <v>46268</v>
      </c>
      <c r="D1739" s="1" t="n">
        <v>1608</v>
      </c>
      <c r="E1739" s="1" t="s">
        <v>224</v>
      </c>
      <c r="F1739" s="1" t="n">
        <v>24</v>
      </c>
      <c r="G1739" s="1" t="s">
        <v>91</v>
      </c>
      <c r="H1739" s="1" t="n">
        <v>2110405</v>
      </c>
      <c r="I1739" s="1" t="s">
        <v>55</v>
      </c>
      <c r="J1739" s="1" t="n">
        <v>1540762</v>
      </c>
      <c r="L1739" s="1" t="n">
        <v>210179</v>
      </c>
      <c r="M1739" s="1" t="s">
        <v>36</v>
      </c>
      <c r="N1739" s="1" t="s">
        <v>50</v>
      </c>
      <c r="P1739" s="1" t="n">
        <v>113</v>
      </c>
      <c r="Q1739" s="1" t="s">
        <v>38</v>
      </c>
      <c r="R1739" s="1" t="s">
        <v>62</v>
      </c>
      <c r="S1739" s="1" t="n">
        <v>1130101</v>
      </c>
      <c r="T1739" s="1" t="s">
        <v>63</v>
      </c>
      <c r="U1739" s="1" t="n">
        <v>692.26</v>
      </c>
      <c r="W1739" s="1" t="n">
        <v>0</v>
      </c>
      <c r="X1739" s="1" t="s">
        <v>1419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SAZON CALDO CARNE 32</v>
      </c>
      <c r="AC1739" s="1" t="n">
        <v>1710665</v>
      </c>
    </row>
    <row r="1740" customFormat="false" ht="12.75" hidden="false" customHeight="true" outlineLevel="0" collapsed="false">
      <c r="A1740" s="1" t="n">
        <v>2</v>
      </c>
      <c r="B1740" s="17" t="n">
        <v>46247</v>
      </c>
      <c r="C1740" s="17" t="n">
        <v>46268</v>
      </c>
      <c r="D1740" s="1" t="n">
        <v>1667</v>
      </c>
      <c r="E1740" s="1" t="s">
        <v>96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1540925</v>
      </c>
      <c r="L1740" s="1" t="n">
        <v>210243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668.78</v>
      </c>
      <c r="W1740" s="1" t="n">
        <v>0</v>
      </c>
      <c r="X1740" s="1" t="s">
        <v>1420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MINGAU DE ARROZ ALLNUTRI 230G</v>
      </c>
      <c r="AC1740" s="1" t="n">
        <v>398227</v>
      </c>
    </row>
    <row r="1741" customFormat="false" ht="12.75" hidden="false" customHeight="true" outlineLevel="0" collapsed="false">
      <c r="A1741" s="1" t="n">
        <v>2</v>
      </c>
      <c r="B1741" s="17" t="n">
        <v>46248</v>
      </c>
      <c r="C1741" s="17" t="n">
        <v>46268</v>
      </c>
      <c r="D1741" s="1" t="n">
        <v>1720</v>
      </c>
      <c r="E1741" s="1" t="s">
        <v>842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1545774</v>
      </c>
      <c r="L1741" s="1" t="n">
        <v>211087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62</v>
      </c>
      <c r="S1741" s="1" t="n">
        <v>1130101</v>
      </c>
      <c r="T1741" s="1" t="s">
        <v>63</v>
      </c>
      <c r="U1741" s="1" t="n">
        <v>1130.5</v>
      </c>
      <c r="W1741" s="1" t="n">
        <v>0</v>
      </c>
      <c r="X1741" s="1" t="s">
        <v>1529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VELAS D'LUZ 8UN</v>
      </c>
      <c r="AC1741" s="1" t="n">
        <v>48205</v>
      </c>
    </row>
    <row r="1742" customFormat="false" ht="12.75" hidden="false" customHeight="true" outlineLevel="0" collapsed="false">
      <c r="A1742" s="1" t="n">
        <v>2</v>
      </c>
      <c r="B1742" s="17" t="n">
        <v>46251</v>
      </c>
      <c r="C1742" s="17" t="n">
        <v>46268</v>
      </c>
      <c r="D1742" s="1" t="n">
        <v>1657</v>
      </c>
      <c r="E1742" s="1" t="s">
        <v>1530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1562800</v>
      </c>
      <c r="L1742" s="1" t="n">
        <v>213295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1120.76</v>
      </c>
      <c r="W1742" s="1" t="n">
        <v>0</v>
      </c>
      <c r="X1742" s="1" t="s">
        <v>1531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LEIT COCO MENINA 500</v>
      </c>
      <c r="AC1742" s="1" t="n">
        <v>297321</v>
      </c>
    </row>
    <row r="1743" customFormat="false" ht="12.75" hidden="false" customHeight="true" outlineLevel="0" collapsed="false">
      <c r="A1743" s="1" t="n">
        <v>2</v>
      </c>
      <c r="B1743" s="17" t="n">
        <v>46252</v>
      </c>
      <c r="C1743" s="17" t="n">
        <v>46268</v>
      </c>
      <c r="D1743" s="1" t="n">
        <v>1671</v>
      </c>
      <c r="E1743" s="1" t="s">
        <v>101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1567131</v>
      </c>
      <c r="L1743" s="1" t="n">
        <v>213983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793.81</v>
      </c>
      <c r="W1743" s="1" t="n">
        <v>0</v>
      </c>
      <c r="X1743" s="1" t="s">
        <v>1425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SAB LIQ PROTEX CREAM</v>
      </c>
      <c r="AC1743" s="1" t="n">
        <v>586415</v>
      </c>
    </row>
    <row r="1744" customFormat="false" ht="12.75" hidden="false" customHeight="true" outlineLevel="0" collapsed="false">
      <c r="A1744" s="1" t="n">
        <v>2</v>
      </c>
      <c r="B1744" s="17" t="n">
        <v>46255</v>
      </c>
      <c r="C1744" s="17" t="n">
        <v>46268</v>
      </c>
      <c r="D1744" s="1" t="n">
        <v>1681</v>
      </c>
      <c r="E1744" s="1" t="s">
        <v>1532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1581162</v>
      </c>
      <c r="L1744" s="1" t="n">
        <v>216304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2055.66</v>
      </c>
      <c r="W1744" s="1" t="n">
        <v>0</v>
      </c>
      <c r="X1744" s="1" t="s">
        <v>1533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AM MILHO MAIZENA 500</v>
      </c>
      <c r="AC1744" s="1" t="n">
        <v>39521</v>
      </c>
    </row>
    <row r="1745" customFormat="false" ht="12.75" hidden="false" customHeight="true" outlineLevel="0" collapsed="false">
      <c r="A1745" s="1" t="n">
        <v>2</v>
      </c>
      <c r="B1745" s="17" t="n">
        <v>46256</v>
      </c>
      <c r="C1745" s="17" t="n">
        <v>46268</v>
      </c>
      <c r="D1745" s="1" t="n">
        <v>1745</v>
      </c>
      <c r="E1745" s="1" t="s">
        <v>170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1585070</v>
      </c>
      <c r="L1745" s="1" t="n">
        <v>216839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182.8</v>
      </c>
      <c r="W1745" s="1" t="n">
        <v>0</v>
      </c>
      <c r="X1745" s="1" t="s">
        <v>1534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MILHO PIPOCA DONA CLARA 400G</v>
      </c>
      <c r="AC1745" s="1" t="n">
        <v>357892</v>
      </c>
    </row>
    <row r="1746" customFormat="false" ht="12.75" hidden="false" customHeight="true" outlineLevel="0" collapsed="false">
      <c r="A1746" s="1" t="n">
        <v>2</v>
      </c>
      <c r="B1746" s="17" t="n">
        <v>46261</v>
      </c>
      <c r="C1746" s="17" t="n">
        <v>46268</v>
      </c>
      <c r="D1746" s="1" t="n">
        <v>1608</v>
      </c>
      <c r="E1746" s="1" t="s">
        <v>224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1608534</v>
      </c>
      <c r="L1746" s="1" t="n">
        <v>220365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774.74</v>
      </c>
      <c r="W1746" s="1" t="n">
        <v>0</v>
      </c>
      <c r="X1746" s="1" t="s">
        <v>1535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DANONE GREGO UNID FR</v>
      </c>
      <c r="AC1746" s="1" t="n">
        <v>1719576</v>
      </c>
    </row>
    <row r="1747" customFormat="false" ht="12.75" hidden="false" customHeight="true" outlineLevel="0" collapsed="false">
      <c r="A1747" s="1" t="n">
        <v>2</v>
      </c>
      <c r="B1747" s="17" t="n">
        <v>46262</v>
      </c>
      <c r="C1747" s="17" t="n">
        <v>46268</v>
      </c>
      <c r="D1747" s="1" t="n">
        <v>1695</v>
      </c>
      <c r="E1747" s="1" t="s">
        <v>392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1613791</v>
      </c>
      <c r="L1747" s="1" t="n">
        <v>221285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1063.84</v>
      </c>
      <c r="W1747" s="1" t="n">
        <v>0</v>
      </c>
      <c r="X1747" s="1" t="s">
        <v>1536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CAFE KIMINO 250G</v>
      </c>
      <c r="AC1747" s="1" t="n">
        <v>20104</v>
      </c>
    </row>
    <row r="1748" customFormat="false" ht="12.75" hidden="false" customHeight="true" outlineLevel="0" collapsed="false">
      <c r="A1748" s="1" t="n">
        <v>2</v>
      </c>
      <c r="B1748" s="17" t="n">
        <v>46262</v>
      </c>
      <c r="C1748" s="17" t="n">
        <v>46268</v>
      </c>
      <c r="D1748" s="1" t="n">
        <v>1695</v>
      </c>
      <c r="E1748" s="1" t="s">
        <v>392</v>
      </c>
      <c r="F1748" s="1" t="n">
        <v>34</v>
      </c>
      <c r="G1748" s="1" t="s">
        <v>110</v>
      </c>
      <c r="H1748" s="1" t="n">
        <v>2110405</v>
      </c>
      <c r="I1748" s="1" t="s">
        <v>55</v>
      </c>
      <c r="J1748" s="1" t="n">
        <v>1614920</v>
      </c>
      <c r="L1748" s="1" t="n">
        <v>221517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1150.13</v>
      </c>
      <c r="W1748" s="1" t="n">
        <v>0</v>
      </c>
      <c r="X1748" s="1" t="s">
        <v>1537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2</v>
      </c>
      <c r="B1749" s="17" t="n">
        <v>46263</v>
      </c>
      <c r="C1749" s="17" t="n">
        <v>46268</v>
      </c>
      <c r="D1749" s="1" t="n">
        <v>10090</v>
      </c>
      <c r="E1749" s="1" t="s">
        <v>1538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1618577</v>
      </c>
      <c r="L1749" s="1" t="n">
        <v>221971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1012.44</v>
      </c>
      <c r="W1749" s="1" t="n">
        <v>0</v>
      </c>
      <c r="X1749" s="1" t="s">
        <v>453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OVOS BRANCO UNID</v>
      </c>
      <c r="AC1749" s="1" t="n">
        <v>299</v>
      </c>
    </row>
    <row r="1750" customFormat="false" ht="12.75" hidden="false" customHeight="true" outlineLevel="0" collapsed="false">
      <c r="A1750" s="1" t="n">
        <v>2</v>
      </c>
      <c r="B1750" s="17" t="n">
        <v>46265</v>
      </c>
      <c r="C1750" s="17" t="n">
        <v>46268</v>
      </c>
      <c r="D1750" s="1" t="n">
        <v>1899</v>
      </c>
      <c r="E1750" s="1" t="s">
        <v>211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1628827</v>
      </c>
      <c r="L1750" s="1" t="n">
        <v>223363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180.22</v>
      </c>
      <c r="W1750" s="1" t="n">
        <v>0</v>
      </c>
      <c r="X1750" s="1" t="s">
        <v>1539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DE FORMA REAL MA</v>
      </c>
      <c r="AC1750" s="1" t="n">
        <v>780</v>
      </c>
    </row>
    <row r="1751" customFormat="false" ht="12.75" hidden="false" customHeight="true" outlineLevel="0" collapsed="false">
      <c r="A1751" s="1" t="n">
        <v>2</v>
      </c>
      <c r="B1751" s="17" t="n">
        <v>46266</v>
      </c>
      <c r="C1751" s="17" t="n">
        <v>46268</v>
      </c>
      <c r="D1751" s="1" t="n">
        <v>642</v>
      </c>
      <c r="E1751" s="1" t="s">
        <v>144</v>
      </c>
      <c r="F1751" s="1" t="n">
        <v>24</v>
      </c>
      <c r="G1751" s="1" t="s">
        <v>91</v>
      </c>
      <c r="H1751" s="1" t="n">
        <v>2110405</v>
      </c>
      <c r="I1751" s="1" t="s">
        <v>55</v>
      </c>
      <c r="J1751" s="1" t="n">
        <v>1635015</v>
      </c>
      <c r="L1751" s="1" t="n">
        <v>224551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180</v>
      </c>
      <c r="W1751" s="1" t="n">
        <v>0</v>
      </c>
      <c r="X1751" s="1" t="s">
        <v>1540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BOLO BLOOM 600G</v>
      </c>
      <c r="AC1751" s="1" t="n">
        <v>633</v>
      </c>
    </row>
    <row r="1752" customFormat="false" ht="12.75" hidden="false" customHeight="true" outlineLevel="0" collapsed="false">
      <c r="A1752" s="1" t="n">
        <v>2</v>
      </c>
      <c r="B1752" s="17" t="n">
        <v>46268</v>
      </c>
      <c r="C1752" s="17" t="n">
        <v>46268</v>
      </c>
      <c r="D1752" s="1" t="n">
        <v>10018</v>
      </c>
      <c r="E1752" s="1" t="s">
        <v>243</v>
      </c>
      <c r="F1752" s="1" t="n">
        <v>34</v>
      </c>
      <c r="G1752" s="1" t="s">
        <v>110</v>
      </c>
      <c r="H1752" s="1" t="n">
        <v>2110405</v>
      </c>
      <c r="I1752" s="1" t="s">
        <v>55</v>
      </c>
      <c r="J1752" s="1" t="n">
        <v>1647397</v>
      </c>
      <c r="L1752" s="1" t="n">
        <v>226222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895</v>
      </c>
      <c r="W1752" s="1" t="n">
        <v>0</v>
      </c>
      <c r="X1752" s="1" t="s">
        <v>1541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374</v>
      </c>
    </row>
    <row r="1753" customFormat="false" ht="12.75" hidden="false" customHeight="true" outlineLevel="0" collapsed="false">
      <c r="A1753" s="1" t="n">
        <v>2</v>
      </c>
      <c r="B1753" s="17" t="n">
        <v>46209</v>
      </c>
      <c r="C1753" s="17" t="n">
        <v>46269</v>
      </c>
      <c r="D1753" s="1" t="n">
        <v>1768</v>
      </c>
      <c r="E1753" s="1" t="s">
        <v>386</v>
      </c>
      <c r="F1753" s="1" t="n">
        <v>34</v>
      </c>
      <c r="G1753" s="1" t="s">
        <v>110</v>
      </c>
      <c r="H1753" s="1" t="n">
        <v>2110405</v>
      </c>
      <c r="I1753" s="1" t="s">
        <v>55</v>
      </c>
      <c r="J1753" s="1" t="n">
        <v>628286</v>
      </c>
      <c r="L1753" s="1" t="n">
        <v>81552</v>
      </c>
      <c r="M1753" s="1" t="s">
        <v>49</v>
      </c>
      <c r="N1753" s="1" t="s">
        <v>50</v>
      </c>
      <c r="P1753" s="1" t="n">
        <v>102</v>
      </c>
      <c r="Q1753" s="1" t="s">
        <v>315</v>
      </c>
      <c r="R1753" s="1" t="s">
        <v>70</v>
      </c>
      <c r="S1753" s="1" t="n">
        <v>4210202</v>
      </c>
      <c r="T1753" s="1" t="s">
        <v>387</v>
      </c>
      <c r="U1753" s="1" t="n">
        <v>2431.5</v>
      </c>
      <c r="W1753" s="1" t="n">
        <v>0</v>
      </c>
      <c r="X1753" s="1" t="s">
        <v>388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2</v>
      </c>
      <c r="B1754" s="17" t="n">
        <v>46238</v>
      </c>
      <c r="C1754" s="17" t="n">
        <v>46269</v>
      </c>
      <c r="D1754" s="1" t="n">
        <v>862</v>
      </c>
      <c r="E1754" s="1" t="s">
        <v>322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1498421</v>
      </c>
      <c r="L1754" s="1" t="n">
        <v>202608</v>
      </c>
      <c r="M1754" s="1" t="s">
        <v>88</v>
      </c>
      <c r="N1754" s="1" t="s">
        <v>50</v>
      </c>
      <c r="P1754" s="1" t="n">
        <v>101</v>
      </c>
      <c r="Q1754" s="1" t="s">
        <v>56</v>
      </c>
      <c r="R1754" s="1" t="s">
        <v>70</v>
      </c>
      <c r="S1754" s="1" t="n">
        <v>4210233</v>
      </c>
      <c r="T1754" s="1" t="s">
        <v>203</v>
      </c>
      <c r="U1754" s="1" t="n">
        <v>270.9</v>
      </c>
      <c r="W1754" s="1" t="n">
        <v>0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2</v>
      </c>
      <c r="B1755" s="17" t="n">
        <v>46247</v>
      </c>
      <c r="C1755" s="17" t="n">
        <v>46269</v>
      </c>
      <c r="D1755" s="1" t="n">
        <v>1136</v>
      </c>
      <c r="E1755" s="1" t="s">
        <v>1166</v>
      </c>
      <c r="F1755" s="1" t="n">
        <v>24</v>
      </c>
      <c r="G1755" s="1" t="s">
        <v>91</v>
      </c>
      <c r="H1755" s="1" t="n">
        <v>2110405</v>
      </c>
      <c r="I1755" s="1" t="s">
        <v>55</v>
      </c>
      <c r="J1755" s="1" t="n">
        <v>1543200</v>
      </c>
      <c r="L1755" s="1" t="n">
        <v>210474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1393.49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KRO QUEIJO 100G</v>
      </c>
      <c r="AC1755" s="1" t="n">
        <v>53859</v>
      </c>
    </row>
    <row r="1756" customFormat="false" ht="12.75" hidden="false" customHeight="true" outlineLevel="0" collapsed="false">
      <c r="A1756" s="1" t="n">
        <v>2</v>
      </c>
      <c r="B1756" s="17" t="n">
        <v>46249</v>
      </c>
      <c r="C1756" s="17" t="n">
        <v>46269</v>
      </c>
      <c r="D1756" s="1" t="n">
        <v>1636</v>
      </c>
      <c r="E1756" s="1" t="s">
        <v>98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1551860</v>
      </c>
      <c r="L1756" s="1" t="n">
        <v>211776</v>
      </c>
      <c r="M1756" s="1" t="s">
        <v>36</v>
      </c>
      <c r="N1756" s="1" t="s">
        <v>50</v>
      </c>
      <c r="P1756" s="1" t="n">
        <v>113</v>
      </c>
      <c r="Q1756" s="1" t="s">
        <v>38</v>
      </c>
      <c r="R1756" s="1" t="s">
        <v>62</v>
      </c>
      <c r="S1756" s="1" t="n">
        <v>1130101</v>
      </c>
      <c r="T1756" s="1" t="s">
        <v>63</v>
      </c>
      <c r="U1756" s="1" t="n">
        <v>748.32</v>
      </c>
      <c r="W1756" s="1" t="n">
        <v>0</v>
      </c>
      <c r="X1756" s="1" t="s">
        <v>1543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MOLHO POMAROLA 260G</v>
      </c>
      <c r="AC1756" s="1" t="n">
        <v>3237036</v>
      </c>
    </row>
    <row r="1757" customFormat="false" ht="12.75" hidden="false" customHeight="true" outlineLevel="0" collapsed="false">
      <c r="A1757" s="1" t="n">
        <v>2</v>
      </c>
      <c r="B1757" s="17" t="n">
        <v>46252</v>
      </c>
      <c r="C1757" s="17" t="n">
        <v>46269</v>
      </c>
      <c r="D1757" s="1" t="n">
        <v>1699</v>
      </c>
      <c r="E1757" s="1" t="s">
        <v>231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1568210</v>
      </c>
      <c r="L1757" s="1" t="n">
        <v>214139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474.75</v>
      </c>
      <c r="W1757" s="1" t="n">
        <v>0</v>
      </c>
      <c r="X1757" s="1" t="s">
        <v>1436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LING CALABRESA PERD</v>
      </c>
      <c r="AC1757" s="1" t="n">
        <v>311351</v>
      </c>
    </row>
    <row r="1758" customFormat="false" ht="12.75" hidden="false" customHeight="true" outlineLevel="0" collapsed="false">
      <c r="A1758" s="1" t="n">
        <v>2</v>
      </c>
      <c r="B1758" s="17" t="n">
        <v>46256</v>
      </c>
      <c r="C1758" s="17" t="n">
        <v>46269</v>
      </c>
      <c r="D1758" s="1" t="n">
        <v>1666</v>
      </c>
      <c r="E1758" s="1" t="s">
        <v>229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1585299</v>
      </c>
      <c r="L1758" s="1" t="n">
        <v>216889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5720.74</v>
      </c>
      <c r="W1758" s="1" t="n">
        <v>0</v>
      </c>
      <c r="X1758" s="1" t="s">
        <v>1439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DUNHILL CARLTON BLEN</v>
      </c>
      <c r="AC1758" s="1" t="n">
        <v>570907</v>
      </c>
    </row>
    <row r="1759" customFormat="false" ht="12.75" hidden="false" customHeight="true" outlineLevel="0" collapsed="false">
      <c r="A1759" s="1" t="n">
        <v>2</v>
      </c>
      <c r="B1759" s="17" t="n">
        <v>46263</v>
      </c>
      <c r="C1759" s="17" t="n">
        <v>46269</v>
      </c>
      <c r="D1759" s="1" t="n">
        <v>581</v>
      </c>
      <c r="E1759" s="1" t="s">
        <v>140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1618529</v>
      </c>
      <c r="L1759" s="1" t="n">
        <v>221956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264</v>
      </c>
      <c r="W1759" s="1" t="n">
        <v>0</v>
      </c>
      <c r="X1759" s="1" t="s">
        <v>1544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GOMA DE MANDIOCA AMA</v>
      </c>
      <c r="AC1759" s="1" t="n">
        <v>32154</v>
      </c>
    </row>
    <row r="1760" customFormat="false" ht="12.75" hidden="false" customHeight="true" outlineLevel="0" collapsed="false">
      <c r="A1760" s="1" t="n">
        <v>2</v>
      </c>
      <c r="B1760" s="17" t="n">
        <v>46263</v>
      </c>
      <c r="C1760" s="17" t="n">
        <v>46269</v>
      </c>
      <c r="D1760" s="1" t="n">
        <v>1625</v>
      </c>
      <c r="E1760" s="1" t="s">
        <v>272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1618725</v>
      </c>
      <c r="L1760" s="1" t="n">
        <v>221995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2771.2</v>
      </c>
      <c r="W1760" s="1" t="n">
        <v>0</v>
      </c>
      <c r="X1760" s="1" t="s">
        <v>1545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15192</v>
      </c>
    </row>
    <row r="1761" customFormat="false" ht="12.75" hidden="false" customHeight="true" outlineLevel="0" collapsed="false">
      <c r="A1761" s="1" t="n">
        <v>2</v>
      </c>
      <c r="B1761" s="17" t="n">
        <v>46265</v>
      </c>
      <c r="C1761" s="17" t="n">
        <v>46269</v>
      </c>
      <c r="D1761" s="1" t="n">
        <v>1328</v>
      </c>
      <c r="E1761" s="1" t="s">
        <v>105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1628800</v>
      </c>
      <c r="L1761" s="1" t="n">
        <v>223358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300</v>
      </c>
      <c r="W1761" s="1" t="n">
        <v>0</v>
      </c>
      <c r="X1761" s="1" t="s">
        <v>1546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PAO DE KIKAO 10</v>
      </c>
      <c r="AC1761" s="1" t="n">
        <v>4492</v>
      </c>
    </row>
    <row r="1762" customFormat="false" ht="12.75" hidden="false" customHeight="true" outlineLevel="0" collapsed="false">
      <c r="A1762" s="1" t="n">
        <v>2</v>
      </c>
      <c r="B1762" s="17" t="n">
        <v>46265</v>
      </c>
      <c r="C1762" s="17" t="n">
        <v>46269</v>
      </c>
      <c r="D1762" s="1" t="n">
        <v>1899</v>
      </c>
      <c r="E1762" s="1" t="s">
        <v>211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1630511</v>
      </c>
      <c r="L1762" s="1" t="n">
        <v>223757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90</v>
      </c>
      <c r="W1762" s="1" t="n">
        <v>0</v>
      </c>
      <c r="X1762" s="1" t="s">
        <v>1547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MASSA FINA</v>
      </c>
      <c r="AC1762" s="1" t="n">
        <v>782</v>
      </c>
    </row>
    <row r="1763" customFormat="false" ht="12.75" hidden="false" customHeight="true" outlineLevel="0" collapsed="false">
      <c r="A1763" s="1" t="n">
        <v>2</v>
      </c>
      <c r="B1763" s="17" t="n">
        <v>46244</v>
      </c>
      <c r="C1763" s="17" t="n">
        <v>46270</v>
      </c>
      <c r="D1763" s="1" t="n">
        <v>33</v>
      </c>
      <c r="E1763" s="1" t="s">
        <v>305</v>
      </c>
      <c r="F1763" s="1" t="n">
        <v>34</v>
      </c>
      <c r="G1763" s="1" t="s">
        <v>110</v>
      </c>
      <c r="H1763" s="1" t="n">
        <v>2110405</v>
      </c>
      <c r="I1763" s="1" t="s">
        <v>55</v>
      </c>
      <c r="J1763" s="1" t="n">
        <v>1530158</v>
      </c>
      <c r="L1763" s="1" t="n">
        <v>208205</v>
      </c>
      <c r="M1763" s="1" t="s">
        <v>36</v>
      </c>
      <c r="N1763" s="1" t="s">
        <v>50</v>
      </c>
      <c r="P1763" s="1" t="n">
        <v>101</v>
      </c>
      <c r="Q1763" s="1" t="s">
        <v>56</v>
      </c>
      <c r="R1763" s="1" t="s">
        <v>39</v>
      </c>
      <c r="S1763" s="1" t="n">
        <v>4210301</v>
      </c>
      <c r="T1763" s="1" t="s">
        <v>253</v>
      </c>
      <c r="U1763" s="1" t="n">
        <v>250.1</v>
      </c>
      <c r="W1763" s="1" t="n">
        <v>0</v>
      </c>
      <c r="X1763" s="1" t="s">
        <v>1548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2</v>
      </c>
      <c r="B1764" s="17" t="n">
        <v>46248</v>
      </c>
      <c r="C1764" s="17" t="n">
        <v>46270</v>
      </c>
      <c r="D1764" s="1" t="n">
        <v>1718</v>
      </c>
      <c r="E1764" s="1" t="s">
        <v>222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1547755</v>
      </c>
      <c r="L1764" s="1" t="n">
        <v>211394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706.56</v>
      </c>
      <c r="W1764" s="1" t="n">
        <v>0</v>
      </c>
      <c r="X1764" s="1" t="s">
        <v>1451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CAFE PILAO 250G</v>
      </c>
      <c r="AC1764" s="1" t="n">
        <v>689222</v>
      </c>
    </row>
    <row r="1765" customFormat="false" ht="12.75" hidden="false" customHeight="true" outlineLevel="0" collapsed="false">
      <c r="A1765" s="1" t="n">
        <v>2</v>
      </c>
      <c r="B1765" s="17" t="n">
        <v>46249</v>
      </c>
      <c r="C1765" s="17" t="n">
        <v>46270</v>
      </c>
      <c r="D1765" s="1" t="n">
        <v>1718</v>
      </c>
      <c r="E1765" s="1" t="s">
        <v>222</v>
      </c>
      <c r="F1765" s="1" t="n">
        <v>24</v>
      </c>
      <c r="G1765" s="1" t="s">
        <v>91</v>
      </c>
      <c r="H1765" s="1" t="n">
        <v>2110405</v>
      </c>
      <c r="I1765" s="1" t="s">
        <v>55</v>
      </c>
      <c r="J1765" s="1" t="n">
        <v>1551498</v>
      </c>
      <c r="L1765" s="1" t="n">
        <v>211718</v>
      </c>
      <c r="M1765" s="1" t="s">
        <v>36</v>
      </c>
      <c r="N1765" s="1" t="s">
        <v>50</v>
      </c>
      <c r="P1765" s="1" t="n">
        <v>113</v>
      </c>
      <c r="Q1765" s="1" t="s">
        <v>38</v>
      </c>
      <c r="R1765" s="1" t="s">
        <v>62</v>
      </c>
      <c r="S1765" s="1" t="n">
        <v>1130101</v>
      </c>
      <c r="T1765" s="1" t="s">
        <v>63</v>
      </c>
      <c r="U1765" s="1" t="n">
        <v>1422.67</v>
      </c>
      <c r="W1765" s="1" t="n">
        <v>0</v>
      </c>
      <c r="X1765" s="1" t="s">
        <v>1452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TRIDENT CANELA</v>
      </c>
      <c r="AC1765" s="1" t="n">
        <v>689224</v>
      </c>
    </row>
    <row r="1766" customFormat="false" ht="12.75" hidden="false" customHeight="true" outlineLevel="0" collapsed="false">
      <c r="A1766" s="1" t="n">
        <v>2</v>
      </c>
      <c r="B1766" s="17" t="n">
        <v>46262</v>
      </c>
      <c r="C1766" s="17" t="n">
        <v>46270</v>
      </c>
      <c r="D1766" s="1" t="n">
        <v>1778</v>
      </c>
      <c r="E1766" s="1" t="s">
        <v>208</v>
      </c>
      <c r="F1766" s="1" t="n">
        <v>24</v>
      </c>
      <c r="G1766" s="1" t="s">
        <v>91</v>
      </c>
      <c r="H1766" s="1" t="n">
        <v>2110405</v>
      </c>
      <c r="I1766" s="1" t="s">
        <v>55</v>
      </c>
      <c r="J1766" s="1" t="n">
        <v>1614618</v>
      </c>
      <c r="L1766" s="1" t="n">
        <v>221466</v>
      </c>
      <c r="M1766" s="1" t="s">
        <v>36</v>
      </c>
      <c r="N1766" s="1" t="s">
        <v>50</v>
      </c>
      <c r="P1766" s="1" t="n">
        <v>113</v>
      </c>
      <c r="Q1766" s="1" t="s">
        <v>38</v>
      </c>
      <c r="R1766" s="1" t="s">
        <v>70</v>
      </c>
      <c r="S1766" s="1" t="n">
        <v>4210207</v>
      </c>
      <c r="T1766" s="1" t="s">
        <v>209</v>
      </c>
      <c r="U1766" s="1" t="n">
        <v>620.88</v>
      </c>
      <c r="W1766" s="1" t="n">
        <v>0</v>
      </c>
      <c r="X1766" s="1" t="s">
        <v>210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46265</v>
      </c>
      <c r="C1767" s="17" t="n">
        <v>46270</v>
      </c>
      <c r="D1767" s="1" t="n">
        <v>1363</v>
      </c>
      <c r="E1767" s="1" t="s">
        <v>187</v>
      </c>
      <c r="F1767" s="1" t="n">
        <v>24</v>
      </c>
      <c r="G1767" s="1" t="s">
        <v>91</v>
      </c>
      <c r="H1767" s="1" t="n">
        <v>2110405</v>
      </c>
      <c r="I1767" s="1" t="s">
        <v>55</v>
      </c>
      <c r="J1767" s="1" t="n">
        <v>1628789</v>
      </c>
      <c r="L1767" s="1" t="n">
        <v>223357</v>
      </c>
      <c r="M1767" s="1" t="s">
        <v>36</v>
      </c>
      <c r="N1767" s="1" t="s">
        <v>50</v>
      </c>
      <c r="P1767" s="1" t="n">
        <v>113</v>
      </c>
      <c r="Q1767" s="1" t="s">
        <v>38</v>
      </c>
      <c r="R1767" s="1" t="s">
        <v>62</v>
      </c>
      <c r="S1767" s="1" t="n">
        <v>1130101</v>
      </c>
      <c r="T1767" s="1" t="s">
        <v>63</v>
      </c>
      <c r="U1767" s="1" t="n">
        <v>125</v>
      </c>
      <c r="W1767" s="1" t="n">
        <v>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3829</v>
      </c>
    </row>
    <row r="1768" customFormat="false" ht="12.75" hidden="false" customHeight="true" outlineLevel="0" collapsed="false">
      <c r="A1768" s="1" t="n">
        <v>2</v>
      </c>
      <c r="B1768" s="17" t="n">
        <v>46265</v>
      </c>
      <c r="C1768" s="17" t="n">
        <v>46270</v>
      </c>
      <c r="D1768" s="1" t="n">
        <v>1625</v>
      </c>
      <c r="E1768" s="1" t="s">
        <v>272</v>
      </c>
      <c r="F1768" s="1" t="n">
        <v>24</v>
      </c>
      <c r="G1768" s="1" t="s">
        <v>91</v>
      </c>
      <c r="H1768" s="1" t="n">
        <v>2110405</v>
      </c>
      <c r="I1768" s="1" t="s">
        <v>55</v>
      </c>
      <c r="J1768" s="1" t="n">
        <v>1629113</v>
      </c>
      <c r="L1768" s="1" t="n">
        <v>223429</v>
      </c>
      <c r="M1768" s="1" t="s">
        <v>36</v>
      </c>
      <c r="N1768" s="1" t="s">
        <v>50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1557.6</v>
      </c>
      <c r="W1768" s="1" t="n">
        <v>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DIANTEIRO DE BOI L</v>
      </c>
      <c r="AC1768" s="1" t="n">
        <v>15213</v>
      </c>
    </row>
    <row r="1769" customFormat="false" ht="12.75" hidden="false" customHeight="true" outlineLevel="0" collapsed="false">
      <c r="A1769" s="1" t="n">
        <v>2</v>
      </c>
      <c r="B1769" s="17" t="n">
        <v>46232</v>
      </c>
      <c r="C1769" s="17" t="n">
        <v>46272</v>
      </c>
      <c r="D1769" s="1" t="n">
        <v>1932</v>
      </c>
      <c r="E1769" s="1" t="s">
        <v>282</v>
      </c>
      <c r="F1769" s="1" t="n">
        <v>34</v>
      </c>
      <c r="G1769" s="1" t="s">
        <v>110</v>
      </c>
      <c r="H1769" s="1" t="n">
        <v>2110405</v>
      </c>
      <c r="I1769" s="1" t="s">
        <v>55</v>
      </c>
      <c r="J1769" s="1" t="n">
        <v>1469462</v>
      </c>
      <c r="L1769" s="1" t="n">
        <v>199057</v>
      </c>
      <c r="M1769" s="1" t="s">
        <v>88</v>
      </c>
      <c r="N1769" s="1" t="s">
        <v>50</v>
      </c>
      <c r="P1769" s="1" t="n">
        <v>101</v>
      </c>
      <c r="Q1769" s="1" t="s">
        <v>56</v>
      </c>
      <c r="R1769" s="1" t="s">
        <v>39</v>
      </c>
      <c r="S1769" s="1" t="n">
        <v>4210315</v>
      </c>
      <c r="T1769" s="1" t="s">
        <v>283</v>
      </c>
      <c r="U1769" s="1" t="n">
        <v>119.97</v>
      </c>
      <c r="W1769" s="1" t="n">
        <v>0</v>
      </c>
      <c r="X1769" s="1" t="s">
        <v>1203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46246</v>
      </c>
      <c r="C1770" s="17" t="n">
        <v>46272</v>
      </c>
      <c r="D1770" s="1" t="n">
        <v>1668</v>
      </c>
      <c r="E1770" s="1" t="s">
        <v>135</v>
      </c>
      <c r="F1770" s="1" t="n">
        <v>24</v>
      </c>
      <c r="G1770" s="1" t="s">
        <v>91</v>
      </c>
      <c r="H1770" s="1" t="n">
        <v>2110405</v>
      </c>
      <c r="I1770" s="1" t="s">
        <v>55</v>
      </c>
      <c r="J1770" s="1" t="n">
        <v>1534508</v>
      </c>
      <c r="L1770" s="1" t="n">
        <v>209393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509.85</v>
      </c>
      <c r="W1770" s="1" t="n">
        <v>0</v>
      </c>
      <c r="X1770" s="1" t="s">
        <v>1551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MARMITEX ISOP COPOBRAS C/10UND</v>
      </c>
      <c r="AC1770" s="1" t="n">
        <v>747704</v>
      </c>
    </row>
    <row r="1771" customFormat="false" ht="12.75" hidden="false" customHeight="true" outlineLevel="0" collapsed="false">
      <c r="A1771" s="1" t="n">
        <v>2</v>
      </c>
      <c r="B1771" s="17" t="n">
        <v>46247</v>
      </c>
      <c r="C1771" s="17" t="n">
        <v>46272</v>
      </c>
      <c r="D1771" s="1" t="n">
        <v>1671</v>
      </c>
      <c r="E1771" s="1" t="s">
        <v>101</v>
      </c>
      <c r="F1771" s="1" t="n">
        <v>24</v>
      </c>
      <c r="G1771" s="1" t="s">
        <v>91</v>
      </c>
      <c r="H1771" s="1" t="n">
        <v>2110405</v>
      </c>
      <c r="I1771" s="1" t="s">
        <v>55</v>
      </c>
      <c r="J1771" s="1" t="n">
        <v>1543021</v>
      </c>
      <c r="L1771" s="1" t="n">
        <v>210470</v>
      </c>
      <c r="M1771" s="1" t="s">
        <v>36</v>
      </c>
      <c r="N1771" s="1" t="s">
        <v>50</v>
      </c>
      <c r="P1771" s="1" t="n">
        <v>113</v>
      </c>
      <c r="Q1771" s="1" t="s">
        <v>38</v>
      </c>
      <c r="R1771" s="1" t="s">
        <v>62</v>
      </c>
      <c r="S1771" s="1" t="n">
        <v>1130101</v>
      </c>
      <c r="T1771" s="1" t="s">
        <v>63</v>
      </c>
      <c r="U1771" s="1" t="n">
        <v>271.2</v>
      </c>
      <c r="W1771" s="1" t="n">
        <v>0</v>
      </c>
      <c r="X1771" s="1" t="s">
        <v>1552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MASSA P LASANHA ESTR</v>
      </c>
      <c r="AC1771" s="1" t="n">
        <v>586317</v>
      </c>
    </row>
    <row r="1772" customFormat="false" ht="12.75" hidden="false" customHeight="true" outlineLevel="0" collapsed="false">
      <c r="A1772" s="1" t="n">
        <v>2</v>
      </c>
      <c r="B1772" s="17" t="n">
        <v>46251</v>
      </c>
      <c r="C1772" s="17" t="n">
        <v>46272</v>
      </c>
      <c r="D1772" s="1" t="n">
        <v>1921</v>
      </c>
      <c r="E1772" s="1" t="s">
        <v>182</v>
      </c>
      <c r="F1772" s="1" t="n">
        <v>24</v>
      </c>
      <c r="G1772" s="1" t="s">
        <v>91</v>
      </c>
      <c r="H1772" s="1" t="n">
        <v>2110405</v>
      </c>
      <c r="I1772" s="1" t="s">
        <v>55</v>
      </c>
      <c r="J1772" s="1" t="n">
        <v>1562668</v>
      </c>
      <c r="L1772" s="1" t="n">
        <v>213270</v>
      </c>
      <c r="M1772" s="1" t="s">
        <v>36</v>
      </c>
      <c r="N1772" s="1" t="s">
        <v>50</v>
      </c>
      <c r="P1772" s="1" t="n">
        <v>113</v>
      </c>
      <c r="Q1772" s="1" t="s">
        <v>38</v>
      </c>
      <c r="R1772" s="1" t="s">
        <v>62</v>
      </c>
      <c r="S1772" s="1" t="n">
        <v>1130101</v>
      </c>
      <c r="T1772" s="1" t="s">
        <v>63</v>
      </c>
      <c r="U1772" s="1" t="n">
        <v>691.91</v>
      </c>
      <c r="W1772" s="1" t="n">
        <v>0</v>
      </c>
      <c r="X1772" s="1" t="s">
        <v>1553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MILHO PIPOCA 200G</v>
      </c>
      <c r="AC1772" s="1" t="n">
        <v>21279</v>
      </c>
    </row>
    <row r="1773" customFormat="false" ht="12.75" hidden="false" customHeight="true" outlineLevel="0" collapsed="false">
      <c r="A1773" s="1" t="n">
        <v>2</v>
      </c>
      <c r="B1773" s="17" t="n">
        <v>46251</v>
      </c>
      <c r="C1773" s="17" t="n">
        <v>46272</v>
      </c>
      <c r="D1773" s="1" t="n">
        <v>1636</v>
      </c>
      <c r="E1773" s="1" t="s">
        <v>98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1562691</v>
      </c>
      <c r="L1773" s="1" t="n">
        <v>213277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1352.12</v>
      </c>
      <c r="W1773" s="1" t="n">
        <v>0</v>
      </c>
      <c r="X1773" s="1" t="s">
        <v>1554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PAPEL HIG SUBLIME NATURAL 4R</v>
      </c>
      <c r="AC1773" s="1" t="n">
        <v>3237634</v>
      </c>
    </row>
    <row r="1774" customFormat="false" ht="12.75" hidden="false" customHeight="true" outlineLevel="0" collapsed="false">
      <c r="A1774" s="1" t="n">
        <v>2</v>
      </c>
      <c r="B1774" s="17" t="n">
        <v>46253</v>
      </c>
      <c r="C1774" s="17" t="n">
        <v>46272</v>
      </c>
      <c r="D1774" s="1" t="n">
        <v>1616</v>
      </c>
      <c r="E1774" s="1" t="s">
        <v>94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1570979</v>
      </c>
      <c r="L1774" s="1" t="n">
        <v>214492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606.56</v>
      </c>
      <c r="W1774" s="1" t="n">
        <v>0</v>
      </c>
      <c r="X1774" s="1" t="s">
        <v>1465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DETER LIMPOL MACA 500ML</v>
      </c>
      <c r="AC1774" s="1" t="n">
        <v>654907</v>
      </c>
    </row>
    <row r="1775" customFormat="false" ht="12.75" hidden="false" customHeight="true" outlineLevel="0" collapsed="false">
      <c r="A1775" s="1" t="n">
        <v>2</v>
      </c>
      <c r="B1775" s="17" t="n">
        <v>46253</v>
      </c>
      <c r="C1775" s="17" t="n">
        <v>46272</v>
      </c>
      <c r="D1775" s="1" t="n">
        <v>616</v>
      </c>
      <c r="E1775" s="1" t="s">
        <v>939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1572199</v>
      </c>
      <c r="L1775" s="1" t="n">
        <v>214772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62</v>
      </c>
      <c r="S1775" s="1" t="n">
        <v>1130101</v>
      </c>
      <c r="T1775" s="1" t="s">
        <v>63</v>
      </c>
      <c r="U1775" s="1" t="n">
        <v>983.76</v>
      </c>
      <c r="W1775" s="1" t="n">
        <v>0</v>
      </c>
      <c r="X1775" s="1" t="s">
        <v>1555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46254</v>
      </c>
      <c r="C1776" s="17" t="n">
        <v>46272</v>
      </c>
      <c r="D1776" s="1" t="n">
        <v>10012</v>
      </c>
      <c r="E1776" s="1" t="s">
        <v>176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1577216</v>
      </c>
      <c r="L1776" s="1" t="n">
        <v>215616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521.58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SAB PHEBO ODOR90G</v>
      </c>
      <c r="AC1776" s="1" t="n">
        <v>1966312</v>
      </c>
    </row>
    <row r="1777" customFormat="false" ht="12.75" hidden="false" customHeight="true" outlineLevel="0" collapsed="false">
      <c r="A1777" s="1" t="n">
        <v>2</v>
      </c>
      <c r="B1777" s="17" t="n">
        <v>46268</v>
      </c>
      <c r="C1777" s="17" t="n">
        <v>46272</v>
      </c>
      <c r="D1777" s="1" t="n">
        <v>1899</v>
      </c>
      <c r="E1777" s="1" t="s">
        <v>211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1647882</v>
      </c>
      <c r="L1777" s="1" t="n">
        <v>226324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204.77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PAO DE FORMA REAL MA</v>
      </c>
      <c r="AC1777" s="1" t="n">
        <v>790</v>
      </c>
    </row>
    <row r="1778" customFormat="false" ht="12.75" hidden="false" customHeight="true" outlineLevel="0" collapsed="false">
      <c r="A1778" s="1" t="n">
        <v>2</v>
      </c>
      <c r="B1778" s="17" t="n">
        <v>46239</v>
      </c>
      <c r="C1778" s="17" t="n">
        <v>46273</v>
      </c>
      <c r="D1778" s="1" t="n">
        <v>1637</v>
      </c>
      <c r="E1778" s="1" t="s">
        <v>870</v>
      </c>
      <c r="F1778" s="1" t="n">
        <v>24</v>
      </c>
      <c r="G1778" s="1" t="s">
        <v>91</v>
      </c>
      <c r="H1778" s="1" t="n">
        <v>2110405</v>
      </c>
      <c r="I1778" s="1" t="s">
        <v>55</v>
      </c>
      <c r="J1778" s="1" t="n">
        <v>1503931</v>
      </c>
      <c r="L1778" s="1" t="n">
        <v>204198</v>
      </c>
      <c r="M1778" s="1" t="s">
        <v>36</v>
      </c>
      <c r="N1778" s="1" t="s">
        <v>50</v>
      </c>
      <c r="P1778" s="1" t="n">
        <v>113</v>
      </c>
      <c r="Q1778" s="1" t="s">
        <v>38</v>
      </c>
      <c r="R1778" s="1" t="s">
        <v>62</v>
      </c>
      <c r="S1778" s="1" t="n">
        <v>1130101</v>
      </c>
      <c r="T1778" s="1" t="s">
        <v>63</v>
      </c>
      <c r="U1778" s="1" t="n">
        <v>1184.7</v>
      </c>
      <c r="W1778" s="1" t="n">
        <v>0</v>
      </c>
      <c r="X1778" s="1" t="s">
        <v>1558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CERVEJA ITAIPAVA 269ML</v>
      </c>
      <c r="AC1778" s="1" t="n">
        <v>1915876</v>
      </c>
    </row>
    <row r="1779" customFormat="false" ht="12.75" hidden="false" customHeight="true" outlineLevel="0" collapsed="false">
      <c r="A1779" s="1" t="n">
        <v>2</v>
      </c>
      <c r="B1779" s="17" t="n">
        <v>46251</v>
      </c>
      <c r="C1779" s="17" t="n">
        <v>46273</v>
      </c>
      <c r="D1779" s="1" t="n">
        <v>10017</v>
      </c>
      <c r="E1779" s="1" t="s">
        <v>184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1561245</v>
      </c>
      <c r="L1779" s="1" t="n">
        <v>212996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599.85</v>
      </c>
      <c r="W1779" s="1" t="n">
        <v>0</v>
      </c>
      <c r="X1779" s="1" t="s">
        <v>1487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PAPEL HIGIENICO ALLE</v>
      </c>
      <c r="AC1779" s="1" t="n">
        <v>195597</v>
      </c>
    </row>
    <row r="1780" customFormat="false" ht="12.75" hidden="false" customHeight="true" outlineLevel="0" collapsed="false">
      <c r="A1780" s="1" t="n">
        <v>2</v>
      </c>
      <c r="B1780" s="17" t="n">
        <v>46252</v>
      </c>
      <c r="C1780" s="17" t="n">
        <v>46273</v>
      </c>
      <c r="D1780" s="1" t="n">
        <v>1697</v>
      </c>
      <c r="E1780" s="1" t="s">
        <v>775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1566729</v>
      </c>
      <c r="L1780" s="1" t="n">
        <v>213867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584.64</v>
      </c>
      <c r="W1780" s="1" t="n">
        <v>0</v>
      </c>
      <c r="X1780" s="1" t="s">
        <v>1488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LEITE ITALAC DESN 1L</v>
      </c>
      <c r="AC1780" s="1" t="n">
        <v>211355</v>
      </c>
    </row>
    <row r="1781" customFormat="false" ht="12.75" hidden="false" customHeight="true" outlineLevel="0" collapsed="false">
      <c r="A1781" s="1" t="n">
        <v>2</v>
      </c>
      <c r="B1781" s="17" t="n">
        <v>46252</v>
      </c>
      <c r="C1781" s="17" t="n">
        <v>46273</v>
      </c>
      <c r="D1781" s="1" t="n">
        <v>1711</v>
      </c>
      <c r="E1781" s="1" t="s">
        <v>1490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1568092</v>
      </c>
      <c r="L1781" s="1" t="n">
        <v>214110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645.71</v>
      </c>
      <c r="W1781" s="1" t="n">
        <v>0</v>
      </c>
      <c r="X1781" s="1" t="s">
        <v>1491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CAD BROCH UNIV COST</v>
      </c>
      <c r="AC1781" s="1" t="n">
        <v>160332</v>
      </c>
    </row>
    <row r="1782" customFormat="false" ht="12.75" hidden="false" customHeight="true" outlineLevel="0" collapsed="false">
      <c r="A1782" s="1" t="n">
        <v>2</v>
      </c>
      <c r="B1782" s="17" t="n">
        <v>46253</v>
      </c>
      <c r="C1782" s="17" t="n">
        <v>46273</v>
      </c>
      <c r="D1782" s="1" t="n">
        <v>1708</v>
      </c>
      <c r="E1782" s="1" t="s">
        <v>269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1572971</v>
      </c>
      <c r="L1782" s="1" t="n">
        <v>214927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548.18</v>
      </c>
      <c r="W1782" s="1" t="n">
        <v>0</v>
      </c>
      <c r="X1782" s="1" t="s">
        <v>1493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DISQUETI 18G</v>
      </c>
      <c r="AC1782" s="1" t="n">
        <v>265359</v>
      </c>
    </row>
    <row r="1783" customFormat="false" ht="12.75" hidden="false" customHeight="true" outlineLevel="0" collapsed="false">
      <c r="A1783" s="1" t="n">
        <v>2</v>
      </c>
      <c r="B1783" s="17" t="n">
        <v>46254</v>
      </c>
      <c r="C1783" s="17" t="n">
        <v>46273</v>
      </c>
      <c r="D1783" s="1" t="n">
        <v>967</v>
      </c>
      <c r="E1783" s="1" t="s">
        <v>1494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1576162</v>
      </c>
      <c r="L1783" s="1" t="n">
        <v>215378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421</v>
      </c>
      <c r="W1783" s="1" t="n">
        <v>0</v>
      </c>
      <c r="X1783" s="1" t="s">
        <v>1495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COROTE LIMÃO 50ML</v>
      </c>
      <c r="AC1783" s="1" t="n">
        <v>37213</v>
      </c>
    </row>
    <row r="1784" customFormat="false" ht="12.75" hidden="false" customHeight="true" outlineLevel="0" collapsed="false">
      <c r="A1784" s="1" t="n">
        <v>2</v>
      </c>
      <c r="B1784" s="17" t="n">
        <v>46259</v>
      </c>
      <c r="C1784" s="17" t="n">
        <v>46273</v>
      </c>
      <c r="D1784" s="1" t="n">
        <v>1705</v>
      </c>
      <c r="E1784" s="1" t="s">
        <v>131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1600068</v>
      </c>
      <c r="L1784" s="1" t="n">
        <v>219099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639.05</v>
      </c>
      <c r="W1784" s="1" t="n">
        <v>0</v>
      </c>
      <c r="X1784" s="1" t="s">
        <v>1559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CERVEJA KAISER LATA</v>
      </c>
      <c r="AC1784" s="1" t="n">
        <v>1262093</v>
      </c>
    </row>
    <row r="1785" customFormat="false" ht="12.75" hidden="false" customHeight="true" outlineLevel="0" collapsed="false">
      <c r="A1785" s="1" t="n">
        <v>2</v>
      </c>
      <c r="B1785" s="17" t="n">
        <v>46259</v>
      </c>
      <c r="C1785" s="17" t="n">
        <v>46273</v>
      </c>
      <c r="D1785" s="1" t="n">
        <v>1705</v>
      </c>
      <c r="E1785" s="1" t="s">
        <v>131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1600077</v>
      </c>
      <c r="L1785" s="1" t="n">
        <v>219102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3064.41</v>
      </c>
      <c r="W1785" s="1" t="n">
        <v>0</v>
      </c>
      <c r="X1785" s="1" t="s">
        <v>1560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REFRI. FANTA UVA 1,5</v>
      </c>
      <c r="AC1785" s="1" t="n">
        <v>2004983</v>
      </c>
    </row>
    <row r="1786" customFormat="false" ht="12.75" hidden="false" customHeight="true" outlineLevel="0" collapsed="false">
      <c r="A1786" s="1" t="n">
        <v>2</v>
      </c>
      <c r="B1786" s="17" t="n">
        <v>46259</v>
      </c>
      <c r="C1786" s="17" t="n">
        <v>46273</v>
      </c>
      <c r="D1786" s="1" t="n">
        <v>10009</v>
      </c>
      <c r="E1786" s="1" t="s">
        <v>469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1600144</v>
      </c>
      <c r="L1786" s="1" t="n">
        <v>219111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1509.12</v>
      </c>
      <c r="W1786" s="1" t="n">
        <v>0</v>
      </c>
      <c r="X1786" s="1" t="s">
        <v>1561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PRESTIGIO 33G</v>
      </c>
      <c r="AC1786" s="1" t="n">
        <v>1442202</v>
      </c>
    </row>
    <row r="1787" customFormat="false" ht="12.75" hidden="false" customHeight="true" outlineLevel="0" collapsed="false">
      <c r="A1787" s="1" t="n">
        <v>2</v>
      </c>
      <c r="B1787" s="17" t="n">
        <v>46259</v>
      </c>
      <c r="C1787" s="17" t="n">
        <v>46273</v>
      </c>
      <c r="D1787" s="1" t="n">
        <v>10009</v>
      </c>
      <c r="E1787" s="1" t="s">
        <v>469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1600168</v>
      </c>
      <c r="L1787" s="1" t="n">
        <v>219115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202.95</v>
      </c>
      <c r="W1787" s="1" t="n">
        <v>0</v>
      </c>
      <c r="X1787" s="1" t="s">
        <v>1562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TEMP MAGGI FONDO120G</v>
      </c>
      <c r="AC1787" s="1" t="n">
        <v>1441732</v>
      </c>
    </row>
    <row r="1788" customFormat="false" ht="12.75" hidden="false" customHeight="true" outlineLevel="0" collapsed="false">
      <c r="A1788" s="1" t="n">
        <v>2</v>
      </c>
      <c r="B1788" s="17" t="n">
        <v>46260</v>
      </c>
      <c r="C1788" s="17" t="n">
        <v>46273</v>
      </c>
      <c r="D1788" s="1" t="n">
        <v>1601</v>
      </c>
      <c r="E1788" s="1" t="s">
        <v>192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1603992</v>
      </c>
      <c r="L1788" s="1" t="n">
        <v>219684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843.65</v>
      </c>
      <c r="W1788" s="1" t="n">
        <v>0</v>
      </c>
      <c r="X1788" s="1" t="s">
        <v>1563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HEINZ YELLOW MUSTARD</v>
      </c>
      <c r="AC1788" s="1" t="n">
        <v>866347</v>
      </c>
    </row>
    <row r="1789" customFormat="false" ht="12.75" hidden="false" customHeight="true" outlineLevel="0" collapsed="false">
      <c r="A1789" s="1" t="n">
        <v>2</v>
      </c>
      <c r="B1789" s="17" t="n">
        <v>46260</v>
      </c>
      <c r="C1789" s="17" t="n">
        <v>46273</v>
      </c>
      <c r="D1789" s="1" t="n">
        <v>794</v>
      </c>
      <c r="E1789" s="1" t="s">
        <v>343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1604320</v>
      </c>
      <c r="L1789" s="1" t="n">
        <v>219749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873.08</v>
      </c>
      <c r="W1789" s="1" t="n">
        <v>0</v>
      </c>
      <c r="X1789" s="1" t="s">
        <v>1564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RODO M 30CM CONDOR</v>
      </c>
      <c r="AC1789" s="1" t="n">
        <v>8744</v>
      </c>
    </row>
    <row r="1790" customFormat="false" ht="12.75" hidden="false" customHeight="true" outlineLevel="0" collapsed="false">
      <c r="A1790" s="1" t="n">
        <v>2</v>
      </c>
      <c r="B1790" s="17" t="n">
        <v>46265</v>
      </c>
      <c r="C1790" s="17" t="n">
        <v>46273</v>
      </c>
      <c r="D1790" s="1" t="n">
        <v>1196</v>
      </c>
      <c r="E1790" s="1" t="s">
        <v>1423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1629256</v>
      </c>
      <c r="L1790" s="1" t="n">
        <v>223466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410</v>
      </c>
      <c r="W1790" s="1" t="n">
        <v>0</v>
      </c>
      <c r="X1790" s="1" t="s">
        <v>1565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ACUCAR CRISTAL DOCE TODO DIA 30X1KG</v>
      </c>
      <c r="AC1790" s="1" t="n">
        <v>13095</v>
      </c>
    </row>
    <row r="1791" customFormat="false" ht="12.75" hidden="false" customHeight="true" outlineLevel="0" collapsed="false">
      <c r="A1791" s="1" t="n">
        <v>2</v>
      </c>
      <c r="B1791" s="17" t="n">
        <v>46265</v>
      </c>
      <c r="C1791" s="17" t="n">
        <v>46273</v>
      </c>
      <c r="D1791" s="1" t="n">
        <v>1621</v>
      </c>
      <c r="E1791" s="1" t="s">
        <v>235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1630703</v>
      </c>
      <c r="L1791" s="1" t="n">
        <v>223795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1825.37</v>
      </c>
      <c r="W1791" s="1" t="n">
        <v>0</v>
      </c>
      <c r="X1791" s="1" t="s">
        <v>1566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CERVEJANTARCTIC 1L</v>
      </c>
      <c r="AC1791" s="1" t="n">
        <v>982558</v>
      </c>
    </row>
    <row r="1792" customFormat="false" ht="12.75" hidden="false" customHeight="true" outlineLevel="0" collapsed="false">
      <c r="A1792" s="1" t="n">
        <v>2</v>
      </c>
      <c r="B1792" s="17" t="n">
        <v>46266</v>
      </c>
      <c r="C1792" s="17" t="n">
        <v>46273</v>
      </c>
      <c r="D1792" s="1" t="n">
        <v>1642</v>
      </c>
      <c r="E1792" s="1" t="s">
        <v>233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1633903</v>
      </c>
      <c r="L1792" s="1" t="n">
        <v>224228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492.29</v>
      </c>
      <c r="W1792" s="1" t="n">
        <v>0</v>
      </c>
      <c r="X1792" s="1" t="s">
        <v>1567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PAO DE FORMA BROTHER</v>
      </c>
      <c r="AC1792" s="1" t="n">
        <v>1039683</v>
      </c>
    </row>
    <row r="1793" customFormat="false" ht="12.75" hidden="false" customHeight="true" outlineLevel="0" collapsed="false">
      <c r="A1793" s="1" t="n">
        <v>2</v>
      </c>
      <c r="B1793" s="17" t="n">
        <v>46266</v>
      </c>
      <c r="C1793" s="17" t="n">
        <v>46273</v>
      </c>
      <c r="D1793" s="1" t="n">
        <v>560</v>
      </c>
      <c r="E1793" s="1" t="s">
        <v>451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1635028</v>
      </c>
      <c r="L1793" s="1" t="n">
        <v>224552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250</v>
      </c>
      <c r="W1793" s="1" t="n">
        <v>0</v>
      </c>
      <c r="X1793" s="1" t="s">
        <v>1568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BISCOITOS DA MARIA S</v>
      </c>
      <c r="AC1793" s="1" t="n">
        <v>2142</v>
      </c>
    </row>
    <row r="1794" customFormat="false" ht="12.75" hidden="false" customHeight="true" outlineLevel="0" collapsed="false">
      <c r="A1794" s="1" t="n">
        <v>2</v>
      </c>
      <c r="B1794" s="17" t="n">
        <v>46266</v>
      </c>
      <c r="C1794" s="17" t="n">
        <v>46273</v>
      </c>
      <c r="D1794" s="1" t="n">
        <v>1699</v>
      </c>
      <c r="E1794" s="1" t="s">
        <v>231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1635345</v>
      </c>
      <c r="L1794" s="1" t="n">
        <v>224604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658.8</v>
      </c>
      <c r="W1794" s="1" t="n">
        <v>0</v>
      </c>
      <c r="X1794" s="1" t="s">
        <v>1471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SUCO JANDAI CAJU500M</v>
      </c>
      <c r="AC1794" s="1" t="n">
        <v>311270</v>
      </c>
    </row>
    <row r="1795" customFormat="false" ht="12.75" hidden="false" customHeight="true" outlineLevel="0" collapsed="false">
      <c r="A1795" s="1" t="n">
        <v>2</v>
      </c>
      <c r="B1795" s="17" t="n">
        <v>46267</v>
      </c>
      <c r="C1795" s="17" t="n">
        <v>46273</v>
      </c>
      <c r="D1795" s="1" t="n">
        <v>1625</v>
      </c>
      <c r="E1795" s="1" t="s">
        <v>272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1638627</v>
      </c>
      <c r="L1795" s="1" t="n">
        <v>225125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4886.4</v>
      </c>
      <c r="W1795" s="1" t="n">
        <v>0</v>
      </c>
      <c r="X1795" s="1" t="s">
        <v>1569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TRASEIRO DE BOI L1</v>
      </c>
      <c r="AC1795" s="1" t="n">
        <v>15237</v>
      </c>
    </row>
    <row r="1796" customFormat="false" ht="12.75" hidden="false" customHeight="true" outlineLevel="0" collapsed="false">
      <c r="A1796" s="1" t="n">
        <v>2</v>
      </c>
      <c r="B1796" s="17" t="n">
        <v>46268</v>
      </c>
      <c r="C1796" s="17" t="n">
        <v>46273</v>
      </c>
      <c r="D1796" s="1" t="n">
        <v>1328</v>
      </c>
      <c r="E1796" s="1" t="s">
        <v>105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1646208</v>
      </c>
      <c r="L1796" s="1" t="n">
        <v>225890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133.5</v>
      </c>
      <c r="W1796" s="1" t="n">
        <v>0</v>
      </c>
      <c r="X1796" s="1" t="s">
        <v>1570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KIKAO 10</v>
      </c>
      <c r="AC1796" s="1" t="n">
        <v>4523</v>
      </c>
    </row>
    <row r="1797" customFormat="false" ht="12.75" hidden="false" customHeight="true" outlineLevel="0" collapsed="false">
      <c r="A1797" s="1" t="n">
        <v>2</v>
      </c>
      <c r="B1797" s="17" t="n">
        <v>46246</v>
      </c>
      <c r="C1797" s="17" t="n">
        <v>46274</v>
      </c>
      <c r="D1797" s="1" t="n">
        <v>1608</v>
      </c>
      <c r="E1797" s="1" t="s">
        <v>224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1534806</v>
      </c>
      <c r="L1797" s="1" t="n">
        <v>209429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1279.58</v>
      </c>
      <c r="W1797" s="1" t="n">
        <v>0</v>
      </c>
      <c r="X1797" s="1" t="s">
        <v>1407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TODDYNHO CHOCOLATE</v>
      </c>
      <c r="AC1797" s="1" t="n">
        <v>1709601</v>
      </c>
    </row>
    <row r="1798" customFormat="false" ht="12.75" hidden="false" customHeight="true" outlineLevel="0" collapsed="false">
      <c r="A1798" s="1" t="n">
        <v>2</v>
      </c>
      <c r="B1798" s="17" t="n">
        <v>46247</v>
      </c>
      <c r="C1798" s="17" t="n">
        <v>46274</v>
      </c>
      <c r="D1798" s="1" t="n">
        <v>1624</v>
      </c>
      <c r="E1798" s="1" t="s">
        <v>338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1543917</v>
      </c>
      <c r="L1798" s="1" t="n">
        <v>210534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830.13</v>
      </c>
      <c r="W1798" s="1" t="n">
        <v>0</v>
      </c>
      <c r="X1798" s="1" t="s">
        <v>1514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SAB SARNICIDA MATACURA 80G</v>
      </c>
      <c r="AC1798" s="1" t="n">
        <v>668739</v>
      </c>
    </row>
    <row r="1799" customFormat="false" ht="12.75" hidden="false" customHeight="true" outlineLevel="0" collapsed="false">
      <c r="A1799" s="1" t="n">
        <v>2</v>
      </c>
      <c r="B1799" s="17" t="n">
        <v>46252</v>
      </c>
      <c r="C1799" s="17" t="n">
        <v>46274</v>
      </c>
      <c r="D1799" s="1" t="n">
        <v>1612</v>
      </c>
      <c r="E1799" s="1" t="s">
        <v>90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1567419</v>
      </c>
      <c r="L1799" s="1" t="n">
        <v>214024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1154.65</v>
      </c>
      <c r="W1799" s="1" t="n">
        <v>0</v>
      </c>
      <c r="X1799" s="1" t="s">
        <v>1515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AGUA SANI BRILUX1L</v>
      </c>
      <c r="AC1799" s="1" t="n">
        <v>2310769</v>
      </c>
    </row>
    <row r="1800" customFormat="false" ht="12.75" hidden="false" customHeight="true" outlineLevel="0" collapsed="false">
      <c r="A1800" s="1" t="n">
        <v>2</v>
      </c>
      <c r="B1800" s="17" t="n">
        <v>46260</v>
      </c>
      <c r="C1800" s="17" t="n">
        <v>46274</v>
      </c>
      <c r="D1800" s="1" t="n">
        <v>1705</v>
      </c>
      <c r="E1800" s="1" t="s">
        <v>131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1603826</v>
      </c>
      <c r="L1800" s="1" t="n">
        <v>219652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264.36</v>
      </c>
      <c r="W1800" s="1" t="n">
        <v>0</v>
      </c>
      <c r="X1800" s="1" t="s">
        <v>1571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SPRITE LT 350ML</v>
      </c>
      <c r="AC1800" s="1" t="n">
        <v>1263938</v>
      </c>
    </row>
    <row r="1801" customFormat="false" ht="12.75" hidden="false" customHeight="true" outlineLevel="0" collapsed="false">
      <c r="A1801" s="1" t="n">
        <v>2</v>
      </c>
      <c r="B1801" s="17" t="n">
        <v>46260</v>
      </c>
      <c r="C1801" s="17" t="n">
        <v>46274</v>
      </c>
      <c r="D1801" s="1" t="n">
        <v>1705</v>
      </c>
      <c r="E1801" s="1" t="s">
        <v>131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1603844</v>
      </c>
      <c r="L1801" s="1" t="n">
        <v>219659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3257.14</v>
      </c>
      <c r="W1801" s="1" t="n">
        <v>0</v>
      </c>
      <c r="X1801" s="1" t="s">
        <v>1572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REFR FANTA UVA 200ML</v>
      </c>
      <c r="AC1801" s="1" t="n">
        <v>2007955</v>
      </c>
    </row>
    <row r="1802" customFormat="false" ht="12.75" hidden="false" customHeight="true" outlineLevel="0" collapsed="false">
      <c r="A1802" s="1" t="n">
        <v>2</v>
      </c>
      <c r="B1802" s="17" t="n">
        <v>46260</v>
      </c>
      <c r="C1802" s="17" t="n">
        <v>46274</v>
      </c>
      <c r="D1802" s="1" t="n">
        <v>10019</v>
      </c>
      <c r="E1802" s="1" t="s">
        <v>274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1605124</v>
      </c>
      <c r="L1802" s="1" t="n">
        <v>219904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2752.16</v>
      </c>
      <c r="W1802" s="1" t="n">
        <v>0</v>
      </c>
      <c r="X1802" s="1" t="s">
        <v>1516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PATINHO BOVINO KG</v>
      </c>
      <c r="AC1802" s="1" t="n">
        <v>33028</v>
      </c>
    </row>
    <row r="1803" customFormat="false" ht="12.75" hidden="false" customHeight="true" outlineLevel="0" collapsed="false">
      <c r="A1803" s="1" t="n">
        <v>2</v>
      </c>
      <c r="B1803" s="17" t="n">
        <v>46260</v>
      </c>
      <c r="C1803" s="17" t="n">
        <v>46274</v>
      </c>
      <c r="D1803" s="1" t="n">
        <v>1107</v>
      </c>
      <c r="E1803" s="1" t="s">
        <v>227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1605197</v>
      </c>
      <c r="L1803" s="1" t="n">
        <v>219908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1510.33</v>
      </c>
      <c r="W1803" s="1" t="n">
        <v>0</v>
      </c>
      <c r="X1803" s="1" t="s">
        <v>1573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BOLINHO MORANGO 7308</v>
      </c>
      <c r="AC1803" s="1" t="n">
        <v>447609</v>
      </c>
    </row>
    <row r="1804" customFormat="false" ht="12.75" hidden="false" customHeight="true" outlineLevel="0" collapsed="false">
      <c r="A1804" s="1" t="n">
        <v>2</v>
      </c>
      <c r="B1804" s="17" t="n">
        <v>46260</v>
      </c>
      <c r="C1804" s="17" t="n">
        <v>46274</v>
      </c>
      <c r="D1804" s="1" t="n">
        <v>1626</v>
      </c>
      <c r="E1804" s="1" t="s">
        <v>96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1605220</v>
      </c>
      <c r="L1804" s="1" t="n">
        <v>219914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679.16</v>
      </c>
      <c r="W1804" s="1" t="n">
        <v>0</v>
      </c>
      <c r="X1804" s="1" t="s">
        <v>1517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CALABRESA SEARA KG</v>
      </c>
      <c r="AC1804" s="1" t="n">
        <v>319020</v>
      </c>
    </row>
    <row r="1805" customFormat="false" ht="12.75" hidden="false" customHeight="true" outlineLevel="0" collapsed="false">
      <c r="A1805" s="1" t="n">
        <v>2</v>
      </c>
      <c r="B1805" s="17" t="n">
        <v>46261</v>
      </c>
      <c r="C1805" s="17" t="n">
        <v>46274</v>
      </c>
      <c r="D1805" s="1" t="n">
        <v>1636</v>
      </c>
      <c r="E1805" s="1" t="s">
        <v>98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1609062</v>
      </c>
      <c r="L1805" s="1" t="n">
        <v>220489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733.77</v>
      </c>
      <c r="W1805" s="1" t="n">
        <v>0</v>
      </c>
      <c r="X1805" s="1" t="s">
        <v>1519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BISC. RICHESTER RECH QUAD CHOCO ANI 130G</v>
      </c>
      <c r="AC1805" s="1" t="n">
        <v>3242273</v>
      </c>
    </row>
    <row r="1806" customFormat="false" ht="12.75" hidden="false" customHeight="true" outlineLevel="0" collapsed="false">
      <c r="A1806" s="1" t="n">
        <v>2</v>
      </c>
      <c r="B1806" s="17" t="n">
        <v>46265</v>
      </c>
      <c r="C1806" s="17" t="n">
        <v>46274</v>
      </c>
      <c r="D1806" s="1" t="n">
        <v>1635</v>
      </c>
      <c r="E1806" s="1" t="s">
        <v>129</v>
      </c>
      <c r="F1806" s="1" t="n">
        <v>24</v>
      </c>
      <c r="G1806" s="1" t="s">
        <v>91</v>
      </c>
      <c r="H1806" s="1" t="n">
        <v>2110405</v>
      </c>
      <c r="I1806" s="1" t="s">
        <v>55</v>
      </c>
      <c r="J1806" s="1" t="n">
        <v>1628851</v>
      </c>
      <c r="L1806" s="1" t="n">
        <v>223368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938.06</v>
      </c>
      <c r="W1806" s="1" t="n">
        <v>0</v>
      </c>
      <c r="X1806" s="1" t="s">
        <v>1574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FIGADO BOVINO KG</v>
      </c>
      <c r="AC1806" s="1" t="n">
        <v>4363</v>
      </c>
    </row>
    <row r="1807" customFormat="false" ht="12.75" hidden="false" customHeight="true" outlineLevel="0" collapsed="false">
      <c r="A1807" s="1" t="n">
        <v>2</v>
      </c>
      <c r="B1807" s="17" t="n">
        <v>46268</v>
      </c>
      <c r="C1807" s="17" t="n">
        <v>46274</v>
      </c>
      <c r="D1807" s="1" t="n">
        <v>666</v>
      </c>
      <c r="E1807" s="1" t="s">
        <v>428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1646676</v>
      </c>
      <c r="L1807" s="1" t="n">
        <v>226021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260.83</v>
      </c>
      <c r="W1807" s="1" t="n">
        <v>0</v>
      </c>
      <c r="X1807" s="1" t="s">
        <v>1575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RACAO SABOR DOG FILH</v>
      </c>
      <c r="AC1807" s="1" t="n">
        <v>8180</v>
      </c>
    </row>
    <row r="1808" customFormat="false" ht="12.75" hidden="false" customHeight="true" outlineLevel="0" collapsed="false">
      <c r="A1808" s="1" t="n">
        <v>2</v>
      </c>
      <c r="B1808" s="17" t="n">
        <v>46268</v>
      </c>
      <c r="C1808" s="17" t="n">
        <v>46274</v>
      </c>
      <c r="D1808" s="1" t="n">
        <v>821</v>
      </c>
      <c r="E1808" s="1" t="s">
        <v>400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1646724</v>
      </c>
      <c r="L1808" s="1" t="n">
        <v>226033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229.85</v>
      </c>
      <c r="W1808" s="1" t="n">
        <v>0</v>
      </c>
      <c r="X1808" s="1" t="s">
        <v>1576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CERV ITAIPAVA 250ML</v>
      </c>
      <c r="AC1808" s="1" t="n">
        <v>491629</v>
      </c>
    </row>
    <row r="1809" customFormat="false" ht="12.75" hidden="false" customHeight="true" outlineLevel="0" collapsed="false">
      <c r="A1809" s="1" t="n">
        <v>2</v>
      </c>
      <c r="B1809" s="17" t="n">
        <v>46191</v>
      </c>
      <c r="C1809" s="17" t="n">
        <v>46275</v>
      </c>
      <c r="D1809" s="1" t="n">
        <v>957</v>
      </c>
      <c r="E1809" s="1" t="s">
        <v>628</v>
      </c>
      <c r="F1809" s="1" t="n">
        <v>24</v>
      </c>
      <c r="G1809" s="1" t="s">
        <v>91</v>
      </c>
      <c r="H1809" s="1" t="n">
        <v>2110101</v>
      </c>
      <c r="I1809" s="1" t="s">
        <v>48</v>
      </c>
      <c r="J1809" s="1" t="n">
        <v>1268715</v>
      </c>
      <c r="L1809" s="1" t="n">
        <v>20440</v>
      </c>
      <c r="M1809" s="1" t="s">
        <v>36</v>
      </c>
      <c r="N1809" s="1" t="s">
        <v>68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128.85</v>
      </c>
      <c r="W1809" s="1" t="n">
        <v>0</v>
      </c>
      <c r="X1809" s="1" t="s">
        <v>1577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PETISCOS GATO DREAMIES 40G</v>
      </c>
      <c r="AC1809" s="1" t="n">
        <v>20440</v>
      </c>
    </row>
    <row r="1810" customFormat="false" ht="12.75" hidden="false" customHeight="true" outlineLevel="0" collapsed="false">
      <c r="A1810" s="1" t="n">
        <v>2</v>
      </c>
      <c r="B1810" s="17" t="n">
        <v>46230</v>
      </c>
      <c r="C1810" s="17" t="n">
        <v>46275</v>
      </c>
      <c r="D1810" s="1" t="n">
        <v>513</v>
      </c>
      <c r="E1810" s="1" t="s">
        <v>352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1459285</v>
      </c>
      <c r="L1810" s="1" t="n">
        <v>197498</v>
      </c>
      <c r="M1810" s="1" t="s">
        <v>88</v>
      </c>
      <c r="N1810" s="1" t="s">
        <v>50</v>
      </c>
      <c r="P1810" s="1" t="n">
        <v>101</v>
      </c>
      <c r="Q1810" s="1" t="s">
        <v>56</v>
      </c>
      <c r="R1810" s="1" t="s">
        <v>39</v>
      </c>
      <c r="S1810" s="1" t="n">
        <v>4210315</v>
      </c>
      <c r="T1810" s="1" t="s">
        <v>283</v>
      </c>
      <c r="U1810" s="1" t="n">
        <v>160</v>
      </c>
      <c r="W1810" s="1" t="n">
        <v>0</v>
      </c>
      <c r="X1810" s="1" t="s">
        <v>805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2</v>
      </c>
      <c r="B1811" s="17" t="n">
        <v>46211</v>
      </c>
      <c r="C1811" s="17" t="n">
        <v>46275</v>
      </c>
      <c r="D1811" s="1" t="n">
        <v>33</v>
      </c>
      <c r="E1811" s="1" t="s">
        <v>305</v>
      </c>
      <c r="F1811" s="1" t="n">
        <v>34</v>
      </c>
      <c r="G1811" s="1" t="s">
        <v>110</v>
      </c>
      <c r="H1811" s="1" t="n">
        <v>2110405</v>
      </c>
      <c r="I1811" s="1" t="s">
        <v>55</v>
      </c>
      <c r="J1811" s="1" t="n">
        <v>1370733</v>
      </c>
      <c r="L1811" s="1" t="n">
        <v>184338</v>
      </c>
      <c r="M1811" s="1" t="s">
        <v>88</v>
      </c>
      <c r="N1811" s="1" t="s">
        <v>50</v>
      </c>
      <c r="P1811" s="1" t="n">
        <v>101</v>
      </c>
      <c r="Q1811" s="1" t="s">
        <v>56</v>
      </c>
      <c r="R1811" s="1" t="s">
        <v>70</v>
      </c>
      <c r="S1811" s="1" t="n">
        <v>4210222</v>
      </c>
      <c r="T1811" s="1" t="s">
        <v>1220</v>
      </c>
      <c r="U1811" s="1" t="n">
        <v>666.67</v>
      </c>
      <c r="W1811" s="1" t="n">
        <v>0</v>
      </c>
      <c r="X1811" s="1" t="s">
        <v>1221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2</v>
      </c>
      <c r="B1812" s="17" t="n">
        <v>46224</v>
      </c>
      <c r="C1812" s="17" t="n">
        <v>46275</v>
      </c>
      <c r="D1812" s="1" t="n">
        <v>1100</v>
      </c>
      <c r="E1812" s="1" t="s">
        <v>328</v>
      </c>
      <c r="F1812" s="1" t="n">
        <v>46</v>
      </c>
      <c r="G1812" s="1" t="s">
        <v>323</v>
      </c>
      <c r="H1812" s="1" t="n">
        <v>2110405</v>
      </c>
      <c r="I1812" s="1" t="s">
        <v>55</v>
      </c>
      <c r="J1812" s="1" t="n">
        <v>1427624</v>
      </c>
      <c r="L1812" s="1" t="n">
        <v>190916</v>
      </c>
      <c r="M1812" s="1" t="s">
        <v>88</v>
      </c>
      <c r="N1812" s="1" t="s">
        <v>50</v>
      </c>
      <c r="P1812" s="1" t="n">
        <v>113</v>
      </c>
      <c r="Q1812" s="1" t="s">
        <v>38</v>
      </c>
      <c r="R1812" s="1" t="s">
        <v>70</v>
      </c>
      <c r="S1812" s="1" t="n">
        <v>4210227</v>
      </c>
      <c r="T1812" s="1" t="s">
        <v>77</v>
      </c>
      <c r="U1812" s="1" t="n">
        <v>266.68</v>
      </c>
      <c r="W1812" s="1" t="n">
        <v>0</v>
      </c>
      <c r="X1812" s="1" t="s">
        <v>1578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MEMORIA HIKSEMI HIKER 8GB DDR4 3200 - HS</v>
      </c>
      <c r="AC1812" s="1" t="n">
        <v>9481</v>
      </c>
    </row>
    <row r="1813" customFormat="false" ht="12.75" hidden="false" customHeight="true" outlineLevel="0" collapsed="false">
      <c r="A1813" s="1" t="n">
        <v>2</v>
      </c>
      <c r="B1813" s="17" t="n">
        <v>46247</v>
      </c>
      <c r="C1813" s="17" t="n">
        <v>46275</v>
      </c>
      <c r="D1813" s="1" t="n">
        <v>1608</v>
      </c>
      <c r="E1813" s="1" t="s">
        <v>224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1540769</v>
      </c>
      <c r="L1813" s="1" t="n">
        <v>210180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692.26</v>
      </c>
      <c r="W1813" s="1" t="n">
        <v>0</v>
      </c>
      <c r="X1813" s="1" t="s">
        <v>1419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SAZON CALDO CARNE 32</v>
      </c>
      <c r="AC1813" s="1" t="n">
        <v>1710665</v>
      </c>
    </row>
    <row r="1814" customFormat="false" ht="12.75" hidden="false" customHeight="true" outlineLevel="0" collapsed="false">
      <c r="A1814" s="1" t="n">
        <v>2</v>
      </c>
      <c r="B1814" s="17" t="n">
        <v>46248</v>
      </c>
      <c r="C1814" s="17" t="n">
        <v>46275</v>
      </c>
      <c r="D1814" s="1" t="n">
        <v>1678</v>
      </c>
      <c r="E1814" s="1" t="s">
        <v>844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1545805</v>
      </c>
      <c r="L1814" s="1" t="n">
        <v>211100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2153.25</v>
      </c>
      <c r="W1814" s="1" t="n">
        <v>0</v>
      </c>
      <c r="X1814" s="1" t="s">
        <v>1579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AGUA SANI MODALVA 1L</v>
      </c>
      <c r="AC1814" s="1" t="n">
        <v>163912</v>
      </c>
    </row>
    <row r="1815" customFormat="false" ht="12.75" hidden="false" customHeight="true" outlineLevel="0" collapsed="false">
      <c r="A1815" s="1" t="n">
        <v>2</v>
      </c>
      <c r="B1815" s="17" t="n">
        <v>46251</v>
      </c>
      <c r="C1815" s="17" t="n">
        <v>46275</v>
      </c>
      <c r="D1815" s="1" t="n">
        <v>1637</v>
      </c>
      <c r="E1815" s="1" t="s">
        <v>870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1561330</v>
      </c>
      <c r="L1815" s="1" t="n">
        <v>213017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561.84</v>
      </c>
      <c r="W1815" s="1" t="n">
        <v>0</v>
      </c>
      <c r="X1815" s="1" t="s">
        <v>1580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SALSICHA VIENA TARGET 300G</v>
      </c>
      <c r="AC1815" s="1" t="n">
        <v>1919900</v>
      </c>
    </row>
    <row r="1816" customFormat="false" ht="12.75" hidden="false" customHeight="true" outlineLevel="0" collapsed="false">
      <c r="A1816" s="1" t="n">
        <v>2</v>
      </c>
      <c r="B1816" s="17" t="n">
        <v>46252</v>
      </c>
      <c r="C1816" s="17" t="n">
        <v>46275</v>
      </c>
      <c r="D1816" s="1" t="n">
        <v>1671</v>
      </c>
      <c r="E1816" s="1" t="s">
        <v>101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1567132</v>
      </c>
      <c r="L1816" s="1" t="n">
        <v>213985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793.81</v>
      </c>
      <c r="W1816" s="1" t="n">
        <v>0</v>
      </c>
      <c r="X1816" s="1" t="s">
        <v>1425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SAB LIQ PROTEX CREAM</v>
      </c>
      <c r="AC1816" s="1" t="n">
        <v>586415</v>
      </c>
    </row>
    <row r="1817" customFormat="false" ht="12.75" hidden="false" customHeight="true" outlineLevel="0" collapsed="false">
      <c r="A1817" s="1" t="n">
        <v>2</v>
      </c>
      <c r="B1817" s="17" t="n">
        <v>46256</v>
      </c>
      <c r="C1817" s="17" t="n">
        <v>46275</v>
      </c>
      <c r="D1817" s="1" t="n">
        <v>1745</v>
      </c>
      <c r="E1817" s="1" t="s">
        <v>170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1585074</v>
      </c>
      <c r="L1817" s="1" t="n">
        <v>216840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182.8</v>
      </c>
      <c r="W1817" s="1" t="n">
        <v>0</v>
      </c>
      <c r="X1817" s="1" t="s">
        <v>1534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MILHO PIPOCA DONA CLARA 400G</v>
      </c>
      <c r="AC1817" s="1" t="n">
        <v>357892</v>
      </c>
    </row>
    <row r="1818" customFormat="false" ht="12.75" hidden="false" customHeight="true" outlineLevel="0" collapsed="false">
      <c r="A1818" s="1" t="n">
        <v>2</v>
      </c>
      <c r="B1818" s="17" t="n">
        <v>46256</v>
      </c>
      <c r="C1818" s="17" t="n">
        <v>46275</v>
      </c>
      <c r="D1818" s="1" t="n">
        <v>1713</v>
      </c>
      <c r="E1818" s="1" t="s">
        <v>75</v>
      </c>
      <c r="F1818" s="1" t="n">
        <v>46</v>
      </c>
      <c r="G1818" s="1" t="s">
        <v>323</v>
      </c>
      <c r="H1818" s="1" t="n">
        <v>2110405</v>
      </c>
      <c r="I1818" s="1" t="s">
        <v>55</v>
      </c>
      <c r="J1818" s="1" t="n">
        <v>1585399</v>
      </c>
      <c r="L1818" s="1" t="n">
        <v>216902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70</v>
      </c>
      <c r="S1818" s="1" t="n">
        <v>4210227</v>
      </c>
      <c r="T1818" s="1" t="s">
        <v>77</v>
      </c>
      <c r="U1818" s="1" t="n">
        <v>79.8</v>
      </c>
      <c r="W1818" s="1" t="n">
        <v>0</v>
      </c>
      <c r="X1818" s="1" t="s">
        <v>1581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BARRA ROSCADA FERRO</v>
      </c>
      <c r="AC1818" s="1" t="n">
        <v>13976</v>
      </c>
    </row>
    <row r="1819" customFormat="false" ht="12.75" hidden="false" customHeight="true" outlineLevel="0" collapsed="false">
      <c r="A1819" s="1" t="n">
        <v>2</v>
      </c>
      <c r="B1819" s="17" t="n">
        <v>46256</v>
      </c>
      <c r="C1819" s="17" t="n">
        <v>46275</v>
      </c>
      <c r="D1819" s="1" t="n">
        <v>10106</v>
      </c>
      <c r="E1819" s="1" t="s">
        <v>1582</v>
      </c>
      <c r="F1819" s="1" t="n">
        <v>46</v>
      </c>
      <c r="G1819" s="1" t="s">
        <v>323</v>
      </c>
      <c r="H1819" s="1" t="n">
        <v>2110405</v>
      </c>
      <c r="I1819" s="1" t="s">
        <v>55</v>
      </c>
      <c r="J1819" s="1" t="n">
        <v>1585437</v>
      </c>
      <c r="L1819" s="1" t="n">
        <v>216905</v>
      </c>
      <c r="M1819" s="1" t="s">
        <v>36</v>
      </c>
      <c r="N1819" s="1" t="s">
        <v>50</v>
      </c>
      <c r="P1819" s="1" t="n">
        <v>113</v>
      </c>
      <c r="Q1819" s="1" t="s">
        <v>38</v>
      </c>
      <c r="R1819" s="1" t="s">
        <v>70</v>
      </c>
      <c r="S1819" s="1" t="n">
        <v>4210229</v>
      </c>
      <c r="T1819" s="1" t="s">
        <v>1090</v>
      </c>
      <c r="U1819" s="1" t="n">
        <v>203.8</v>
      </c>
      <c r="W1819" s="1" t="n">
        <v>0</v>
      </c>
      <c r="X1819" s="1" t="s">
        <v>1583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2</v>
      </c>
      <c r="B1820" s="17" t="n">
        <v>46260</v>
      </c>
      <c r="C1820" s="17" t="n">
        <v>46275</v>
      </c>
      <c r="D1820" s="1" t="n">
        <v>1672</v>
      </c>
      <c r="E1820" s="1" t="s">
        <v>340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1605100</v>
      </c>
      <c r="L1820" s="1" t="n">
        <v>219899</v>
      </c>
      <c r="M1820" s="1" t="s">
        <v>36</v>
      </c>
      <c r="N1820" s="1" t="s">
        <v>50</v>
      </c>
      <c r="P1820" s="1" t="n">
        <v>113</v>
      </c>
      <c r="Q1820" s="1" t="s">
        <v>38</v>
      </c>
      <c r="R1820" s="1" t="s">
        <v>62</v>
      </c>
      <c r="S1820" s="1" t="n">
        <v>1130101</v>
      </c>
      <c r="T1820" s="1" t="s">
        <v>63</v>
      </c>
      <c r="U1820" s="1" t="n">
        <v>1515.2</v>
      </c>
      <c r="W1820" s="1" t="n">
        <v>0</v>
      </c>
      <c r="X1820" s="1" t="s">
        <v>1584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AGUA MINE YARA 350ML</v>
      </c>
      <c r="AC1820" s="1" t="n">
        <v>1430146</v>
      </c>
    </row>
    <row r="1821" customFormat="false" ht="12.75" hidden="false" customHeight="true" outlineLevel="0" collapsed="false">
      <c r="A1821" s="1" t="n">
        <v>2</v>
      </c>
      <c r="B1821" s="17" t="n">
        <v>46260</v>
      </c>
      <c r="C1821" s="17" t="n">
        <v>46275</v>
      </c>
      <c r="D1821" s="1" t="n">
        <v>1835</v>
      </c>
      <c r="E1821" s="1" t="s">
        <v>1585</v>
      </c>
      <c r="F1821" s="1" t="n">
        <v>46</v>
      </c>
      <c r="G1821" s="1" t="s">
        <v>323</v>
      </c>
      <c r="H1821" s="1" t="n">
        <v>2110405</v>
      </c>
      <c r="I1821" s="1" t="s">
        <v>55</v>
      </c>
      <c r="J1821" s="1" t="n">
        <v>1605275</v>
      </c>
      <c r="L1821" s="1" t="n">
        <v>219925</v>
      </c>
      <c r="M1821" s="1" t="s">
        <v>36</v>
      </c>
      <c r="N1821" s="1" t="s">
        <v>50</v>
      </c>
      <c r="P1821" s="1" t="n">
        <v>113</v>
      </c>
      <c r="Q1821" s="1" t="s">
        <v>38</v>
      </c>
      <c r="R1821" s="1" t="s">
        <v>70</v>
      </c>
      <c r="S1821" s="1" t="n">
        <v>4210227</v>
      </c>
      <c r="T1821" s="1" t="s">
        <v>77</v>
      </c>
      <c r="U1821" s="1" t="n">
        <v>176.82</v>
      </c>
      <c r="W1821" s="1" t="n">
        <v>0</v>
      </c>
      <c r="X1821" s="1" t="s">
        <v>1586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TINTA ESMALTE FOSCO CITY 3L PRETO UN QTD</v>
      </c>
      <c r="AC1821" s="1" t="n">
        <v>110228</v>
      </c>
    </row>
    <row r="1822" customFormat="false" ht="12.75" hidden="false" customHeight="true" outlineLevel="0" collapsed="false">
      <c r="A1822" s="1" t="n">
        <v>2</v>
      </c>
      <c r="B1822" s="17" t="n">
        <v>46261</v>
      </c>
      <c r="C1822" s="17" t="n">
        <v>46275</v>
      </c>
      <c r="D1822" s="1" t="n">
        <v>1706</v>
      </c>
      <c r="E1822" s="1" t="s">
        <v>1587</v>
      </c>
      <c r="F1822" s="1" t="n">
        <v>24</v>
      </c>
      <c r="G1822" s="1" t="s">
        <v>91</v>
      </c>
      <c r="H1822" s="1" t="n">
        <v>2110405</v>
      </c>
      <c r="I1822" s="1" t="s">
        <v>55</v>
      </c>
      <c r="J1822" s="1" t="n">
        <v>1608551</v>
      </c>
      <c r="L1822" s="1" t="n">
        <v>220369</v>
      </c>
      <c r="M1822" s="1" t="s">
        <v>36</v>
      </c>
      <c r="N1822" s="1" t="s">
        <v>50</v>
      </c>
      <c r="P1822" s="1" t="n">
        <v>113</v>
      </c>
      <c r="Q1822" s="1" t="s">
        <v>38</v>
      </c>
      <c r="R1822" s="1" t="s">
        <v>62</v>
      </c>
      <c r="S1822" s="1" t="n">
        <v>1130101</v>
      </c>
      <c r="T1822" s="1" t="s">
        <v>63</v>
      </c>
      <c r="U1822" s="1" t="n">
        <v>805.4</v>
      </c>
      <c r="W1822" s="1" t="n">
        <v>0</v>
      </c>
      <c r="X1822" s="1" t="s">
        <v>1588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BATATA PRINGLES ORIGINAL 104G</v>
      </c>
      <c r="AC1822" s="1" t="n">
        <v>206697</v>
      </c>
    </row>
    <row r="1823" customFormat="false" ht="12.75" hidden="false" customHeight="true" outlineLevel="0" collapsed="false">
      <c r="A1823" s="1" t="n">
        <v>2</v>
      </c>
      <c r="B1823" s="17" t="n">
        <v>46261</v>
      </c>
      <c r="C1823" s="17" t="n">
        <v>46275</v>
      </c>
      <c r="D1823" s="1" t="n">
        <v>1134</v>
      </c>
      <c r="E1823" s="1" t="s">
        <v>1589</v>
      </c>
      <c r="F1823" s="1" t="n">
        <v>46</v>
      </c>
      <c r="G1823" s="1" t="s">
        <v>323</v>
      </c>
      <c r="H1823" s="1" t="n">
        <v>2110405</v>
      </c>
      <c r="I1823" s="1" t="s">
        <v>55</v>
      </c>
      <c r="J1823" s="1" t="n">
        <v>1608652</v>
      </c>
      <c r="L1823" s="1" t="n">
        <v>220390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70</v>
      </c>
      <c r="S1823" s="1" t="n">
        <v>4210227</v>
      </c>
      <c r="T1823" s="1" t="s">
        <v>77</v>
      </c>
      <c r="U1823" s="1" t="n">
        <v>100</v>
      </c>
      <c r="W1823" s="1" t="n">
        <v>0</v>
      </c>
      <c r="X1823" s="1" t="s">
        <v>1590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2</v>
      </c>
      <c r="B1824" s="17" t="n">
        <v>46261</v>
      </c>
      <c r="C1824" s="17" t="n">
        <v>46275</v>
      </c>
      <c r="D1824" s="1" t="n">
        <v>1643</v>
      </c>
      <c r="E1824" s="1" t="s">
        <v>198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1608890</v>
      </c>
      <c r="L1824" s="1" t="n">
        <v>220447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228</v>
      </c>
      <c r="W1824" s="1" t="n">
        <v>0</v>
      </c>
      <c r="X1824" s="1" t="s">
        <v>1591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COCADA CASMORENINH</v>
      </c>
      <c r="AC1824" s="1" t="n">
        <v>10951</v>
      </c>
    </row>
    <row r="1825" customFormat="false" ht="12.75" hidden="false" customHeight="true" outlineLevel="0" collapsed="false">
      <c r="A1825" s="1" t="n">
        <v>2</v>
      </c>
      <c r="B1825" s="17" t="n">
        <v>46261</v>
      </c>
      <c r="C1825" s="17" t="n">
        <v>46275</v>
      </c>
      <c r="D1825" s="1" t="n">
        <v>1270</v>
      </c>
      <c r="E1825" s="1" t="s">
        <v>925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1609996</v>
      </c>
      <c r="L1825" s="1" t="n">
        <v>220684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190</v>
      </c>
      <c r="W1825" s="1" t="n">
        <v>0</v>
      </c>
      <c r="X1825" s="1" t="s">
        <v>1592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PASTA DE ALHO 200G</v>
      </c>
      <c r="AC1825" s="1" t="n">
        <v>2859</v>
      </c>
    </row>
    <row r="1826" customFormat="false" ht="12.75" hidden="false" customHeight="true" outlineLevel="0" collapsed="false">
      <c r="A1826" s="1" t="n">
        <v>2</v>
      </c>
      <c r="B1826" s="17" t="n">
        <v>46262</v>
      </c>
      <c r="C1826" s="17" t="n">
        <v>46275</v>
      </c>
      <c r="D1826" s="1" t="n">
        <v>1695</v>
      </c>
      <c r="E1826" s="1" t="s">
        <v>392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1613806</v>
      </c>
      <c r="L1826" s="1" t="n">
        <v>221286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1063.84</v>
      </c>
      <c r="W1826" s="1" t="n">
        <v>0</v>
      </c>
      <c r="X1826" s="1" t="s">
        <v>1536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CAFE KIMINO 250G</v>
      </c>
      <c r="AC1826" s="1" t="n">
        <v>20104</v>
      </c>
    </row>
    <row r="1827" customFormat="false" ht="12.75" hidden="false" customHeight="true" outlineLevel="0" collapsed="false">
      <c r="A1827" s="1" t="n">
        <v>2</v>
      </c>
      <c r="B1827" s="17" t="n">
        <v>46262</v>
      </c>
      <c r="C1827" s="17" t="n">
        <v>46275</v>
      </c>
      <c r="D1827" s="1" t="n">
        <v>1196</v>
      </c>
      <c r="E1827" s="1" t="s">
        <v>1423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1614552</v>
      </c>
      <c r="L1827" s="1" t="n">
        <v>221460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1213.95</v>
      </c>
      <c r="W1827" s="1" t="n">
        <v>0</v>
      </c>
      <c r="X1827" s="1" t="s">
        <v>1593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CAFÉ RANCHEIRO 250G</v>
      </c>
      <c r="AC1827" s="1" t="n">
        <v>13070</v>
      </c>
    </row>
    <row r="1828" customFormat="false" ht="12.75" hidden="false" customHeight="true" outlineLevel="0" collapsed="false">
      <c r="A1828" s="1" t="n">
        <v>2</v>
      </c>
      <c r="B1828" s="17" t="n">
        <v>46263</v>
      </c>
      <c r="C1828" s="17" t="n">
        <v>46275</v>
      </c>
      <c r="D1828" s="1" t="n">
        <v>10090</v>
      </c>
      <c r="E1828" s="1" t="s">
        <v>1538</v>
      </c>
      <c r="F1828" s="1" t="n">
        <v>24</v>
      </c>
      <c r="G1828" s="1" t="s">
        <v>91</v>
      </c>
      <c r="H1828" s="1" t="n">
        <v>2110405</v>
      </c>
      <c r="I1828" s="1" t="s">
        <v>55</v>
      </c>
      <c r="J1828" s="1" t="n">
        <v>1618583</v>
      </c>
      <c r="L1828" s="1" t="n">
        <v>221972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62</v>
      </c>
      <c r="S1828" s="1" t="n">
        <v>1130101</v>
      </c>
      <c r="T1828" s="1" t="s">
        <v>63</v>
      </c>
      <c r="U1828" s="1" t="n">
        <v>1012.43</v>
      </c>
      <c r="W1828" s="1" t="n">
        <v>0</v>
      </c>
      <c r="X1828" s="1" t="s">
        <v>453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OVOS BRANCO UNID</v>
      </c>
      <c r="AC1828" s="1" t="n">
        <v>299</v>
      </c>
    </row>
    <row r="1829" customFormat="false" ht="12.75" hidden="false" customHeight="true" outlineLevel="0" collapsed="false">
      <c r="A1829" s="1" t="n">
        <v>2</v>
      </c>
      <c r="B1829" s="17" t="n">
        <v>46268</v>
      </c>
      <c r="C1829" s="17" t="n">
        <v>46275</v>
      </c>
      <c r="D1829" s="1" t="n">
        <v>1363</v>
      </c>
      <c r="E1829" s="1" t="s">
        <v>187</v>
      </c>
      <c r="F1829" s="1" t="n">
        <v>24</v>
      </c>
      <c r="G1829" s="1" t="s">
        <v>91</v>
      </c>
      <c r="H1829" s="1" t="n">
        <v>2110405</v>
      </c>
      <c r="I1829" s="1" t="s">
        <v>55</v>
      </c>
      <c r="J1829" s="1" t="n">
        <v>1647846</v>
      </c>
      <c r="L1829" s="1" t="n">
        <v>226313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62</v>
      </c>
      <c r="S1829" s="1" t="n">
        <v>1130101</v>
      </c>
      <c r="T1829" s="1" t="s">
        <v>63</v>
      </c>
      <c r="U1829" s="1" t="n">
        <v>125</v>
      </c>
      <c r="W1829" s="1" t="n">
        <v>0</v>
      </c>
      <c r="X1829" s="1" t="s">
        <v>1594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PAO BOLINHA SANTO PAO</v>
      </c>
      <c r="AC1829" s="1" t="n">
        <v>3867</v>
      </c>
    </row>
    <row r="1830" customFormat="false" ht="12.75" hidden="false" customHeight="true" outlineLevel="0" collapsed="false">
      <c r="A1830" s="1" t="n">
        <v>2</v>
      </c>
      <c r="B1830" s="17" t="n">
        <v>46256</v>
      </c>
      <c r="C1830" s="17" t="n">
        <v>46276</v>
      </c>
      <c r="D1830" s="1" t="n">
        <v>1666</v>
      </c>
      <c r="E1830" s="1" t="s">
        <v>229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1585303</v>
      </c>
      <c r="L1830" s="1" t="n">
        <v>216891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5894.1</v>
      </c>
      <c r="W1830" s="1" t="n">
        <v>0</v>
      </c>
      <c r="X1830" s="1" t="s">
        <v>1439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DUNHILL CARLTON BLEN</v>
      </c>
      <c r="AC1830" s="1" t="n">
        <v>570907</v>
      </c>
    </row>
    <row r="1831" customFormat="false" ht="12.75" hidden="false" customHeight="true" outlineLevel="0" collapsed="false">
      <c r="A1831" s="1" t="n">
        <v>2</v>
      </c>
      <c r="B1831" s="17" t="n">
        <v>46262</v>
      </c>
      <c r="C1831" s="17" t="n">
        <v>46276</v>
      </c>
      <c r="D1831" s="1" t="n">
        <v>10002</v>
      </c>
      <c r="E1831" s="1" t="s">
        <v>196</v>
      </c>
      <c r="F1831" s="1" t="n">
        <v>24</v>
      </c>
      <c r="G1831" s="1" t="s">
        <v>91</v>
      </c>
      <c r="H1831" s="1" t="n">
        <v>2110405</v>
      </c>
      <c r="I1831" s="1" t="s">
        <v>55</v>
      </c>
      <c r="J1831" s="1" t="n">
        <v>1614688</v>
      </c>
      <c r="L1831" s="1" t="n">
        <v>221482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62</v>
      </c>
      <c r="S1831" s="1" t="n">
        <v>1130101</v>
      </c>
      <c r="T1831" s="1" t="s">
        <v>63</v>
      </c>
      <c r="U1831" s="1" t="n">
        <v>624.41</v>
      </c>
      <c r="W1831" s="1" t="n">
        <v>0</v>
      </c>
      <c r="X1831" s="1" t="s">
        <v>1595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POLPA MANGA BRASFRUT</v>
      </c>
      <c r="AC1831" s="1" t="n">
        <v>197945</v>
      </c>
    </row>
    <row r="1832" customFormat="false" ht="12.75" hidden="false" customHeight="true" outlineLevel="0" collapsed="false">
      <c r="A1832" s="1" t="n">
        <v>2</v>
      </c>
      <c r="B1832" s="17" t="n">
        <v>46265</v>
      </c>
      <c r="C1832" s="17" t="n">
        <v>46276</v>
      </c>
      <c r="D1832" s="1" t="n">
        <v>1616</v>
      </c>
      <c r="E1832" s="1" t="s">
        <v>94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1629531</v>
      </c>
      <c r="L1832" s="1" t="n">
        <v>223542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610.2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ESPONJA BRILHUS 1UNI</v>
      </c>
      <c r="AC1832" s="1" t="n">
        <v>656817</v>
      </c>
    </row>
    <row r="1833" customFormat="false" ht="12.75" hidden="false" customHeight="true" outlineLevel="0" collapsed="false">
      <c r="A1833" s="1" t="n">
        <v>2</v>
      </c>
      <c r="B1833" s="17" t="n">
        <v>46248</v>
      </c>
      <c r="C1833" s="17" t="n">
        <v>46277</v>
      </c>
      <c r="D1833" s="1" t="n">
        <v>1718</v>
      </c>
      <c r="E1833" s="1" t="s">
        <v>222</v>
      </c>
      <c r="F1833" s="1" t="n">
        <v>24</v>
      </c>
      <c r="G1833" s="1" t="s">
        <v>91</v>
      </c>
      <c r="H1833" s="1" t="n">
        <v>2110405</v>
      </c>
      <c r="I1833" s="1" t="s">
        <v>55</v>
      </c>
      <c r="J1833" s="1" t="n">
        <v>1547763</v>
      </c>
      <c r="L1833" s="1" t="n">
        <v>211395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62</v>
      </c>
      <c r="S1833" s="1" t="n">
        <v>1130101</v>
      </c>
      <c r="T1833" s="1" t="s">
        <v>63</v>
      </c>
      <c r="U1833" s="1" t="n">
        <v>706.55</v>
      </c>
      <c r="W1833" s="1" t="n">
        <v>0</v>
      </c>
      <c r="X1833" s="1" t="s">
        <v>1451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CAFE PILAO 250G</v>
      </c>
      <c r="AC1833" s="1" t="n">
        <v>689222</v>
      </c>
    </row>
    <row r="1834" customFormat="false" ht="12.75" hidden="false" customHeight="true" outlineLevel="0" collapsed="false">
      <c r="A1834" s="1" t="n">
        <v>2</v>
      </c>
      <c r="B1834" s="17" t="n">
        <v>46249</v>
      </c>
      <c r="C1834" s="17" t="n">
        <v>46277</v>
      </c>
      <c r="D1834" s="1" t="n">
        <v>1718</v>
      </c>
      <c r="E1834" s="1" t="s">
        <v>222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1551508</v>
      </c>
      <c r="L1834" s="1" t="n">
        <v>211719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1422.68</v>
      </c>
      <c r="W1834" s="1" t="n">
        <v>0</v>
      </c>
      <c r="X1834" s="1" t="s">
        <v>1452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TRIDENT CANELA</v>
      </c>
      <c r="AC1834" s="1" t="n">
        <v>689224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46277</v>
      </c>
      <c r="D1835" s="1" t="n">
        <v>1671</v>
      </c>
      <c r="E1835" s="1" t="s">
        <v>101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1610059</v>
      </c>
      <c r="L1835" s="1" t="n">
        <v>220696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271.46</v>
      </c>
      <c r="W1835" s="1" t="n">
        <v>0</v>
      </c>
      <c r="X1835" s="1" t="s">
        <v>1597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AER NIVEA DRY 150ML</v>
      </c>
      <c r="AC1835" s="1" t="n">
        <v>588254</v>
      </c>
    </row>
    <row r="1836" customFormat="false" ht="12.75" hidden="false" customHeight="true" outlineLevel="0" collapsed="false">
      <c r="A1836" s="1" t="n">
        <v>2</v>
      </c>
      <c r="B1836" s="17" t="n">
        <v>46253</v>
      </c>
      <c r="C1836" s="17" t="n">
        <v>46279</v>
      </c>
      <c r="D1836" s="1" t="n">
        <v>616</v>
      </c>
      <c r="E1836" s="1" t="s">
        <v>939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1572201</v>
      </c>
      <c r="L1836" s="1" t="n">
        <v>214774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983.77</v>
      </c>
      <c r="W1836" s="1" t="n">
        <v>0</v>
      </c>
      <c r="X1836" s="1" t="s">
        <v>1555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2</v>
      </c>
      <c r="B1837" s="17" t="n">
        <v>46254</v>
      </c>
      <c r="C1837" s="17" t="n">
        <v>46279</v>
      </c>
      <c r="D1837" s="1" t="n">
        <v>10012</v>
      </c>
      <c r="E1837" s="1" t="s">
        <v>176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1577219</v>
      </c>
      <c r="L1837" s="1" t="n">
        <v>215619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521.58</v>
      </c>
      <c r="W1837" s="1" t="n">
        <v>0</v>
      </c>
      <c r="X1837" s="1" t="s">
        <v>1556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SAB PHEBO ODOR90G</v>
      </c>
      <c r="AC1837" s="1" t="n">
        <v>1966312</v>
      </c>
    </row>
    <row r="1838" customFormat="false" ht="12.75" hidden="false" customHeight="true" outlineLevel="0" collapsed="false">
      <c r="A1838" s="1" t="n">
        <v>2</v>
      </c>
      <c r="B1838" s="17" t="n">
        <v>46259</v>
      </c>
      <c r="C1838" s="17" t="n">
        <v>46279</v>
      </c>
      <c r="D1838" s="1" t="n">
        <v>10009</v>
      </c>
      <c r="E1838" s="1" t="s">
        <v>469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1600194</v>
      </c>
      <c r="L1838" s="1" t="n">
        <v>219123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1268.78</v>
      </c>
      <c r="W1838" s="1" t="n">
        <v>0</v>
      </c>
      <c r="X1838" s="1" t="s">
        <v>1598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BIS NESTL CLASS140G</v>
      </c>
      <c r="AC1838" s="1" t="n">
        <v>1442200</v>
      </c>
    </row>
    <row r="1839" customFormat="false" ht="12.75" hidden="false" customHeight="true" outlineLevel="0" collapsed="false">
      <c r="A1839" s="1" t="n">
        <v>2</v>
      </c>
      <c r="B1839" s="17" t="n">
        <v>46259</v>
      </c>
      <c r="C1839" s="17" t="n">
        <v>46279</v>
      </c>
      <c r="D1839" s="1" t="n">
        <v>10009</v>
      </c>
      <c r="E1839" s="1" t="s">
        <v>469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1600353</v>
      </c>
      <c r="L1839" s="1" t="n">
        <v>219142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2477.62</v>
      </c>
      <c r="W1839" s="1" t="n">
        <v>0</v>
      </c>
      <c r="X1839" s="1" t="s">
        <v>1599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NESFIT CACAU E AVELA</v>
      </c>
      <c r="AC1839" s="1" t="n">
        <v>1442668</v>
      </c>
    </row>
    <row r="1840" customFormat="false" ht="12.75" hidden="false" customHeight="true" outlineLevel="0" collapsed="false">
      <c r="A1840" s="1" t="n">
        <v>2</v>
      </c>
      <c r="B1840" s="17" t="n">
        <v>46266</v>
      </c>
      <c r="C1840" s="17" t="n">
        <v>46279</v>
      </c>
      <c r="D1840" s="1" t="n">
        <v>794</v>
      </c>
      <c r="E1840" s="1" t="s">
        <v>343</v>
      </c>
      <c r="F1840" s="1" t="n">
        <v>24</v>
      </c>
      <c r="G1840" s="1" t="s">
        <v>91</v>
      </c>
      <c r="H1840" s="1" t="n">
        <v>2110405</v>
      </c>
      <c r="I1840" s="1" t="s">
        <v>55</v>
      </c>
      <c r="J1840" s="1" t="n">
        <v>1633934</v>
      </c>
      <c r="L1840" s="1" t="n">
        <v>224229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70</v>
      </c>
      <c r="S1840" s="1" t="n">
        <v>4210299</v>
      </c>
      <c r="T1840" s="1" t="s">
        <v>127</v>
      </c>
      <c r="U1840" s="1" t="n">
        <v>1332.55</v>
      </c>
      <c r="W1840" s="1" t="n">
        <v>0</v>
      </c>
      <c r="X1840" s="1" t="s">
        <v>1600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SACOLA BRC. L. ALIP.</v>
      </c>
      <c r="AC1840" s="1" t="n">
        <v>8802</v>
      </c>
    </row>
    <row r="1841" customFormat="false" ht="12.75" hidden="false" customHeight="true" outlineLevel="0" collapsed="false">
      <c r="A1841" s="1" t="n">
        <v>2</v>
      </c>
      <c r="B1841" s="17" t="n">
        <v>46268</v>
      </c>
      <c r="C1841" s="17" t="n">
        <v>46279</v>
      </c>
      <c r="D1841" s="1" t="n">
        <v>1611</v>
      </c>
      <c r="E1841" s="1" t="s">
        <v>172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1646250</v>
      </c>
      <c r="L1841" s="1" t="n">
        <v>225903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176.58</v>
      </c>
      <c r="W1841" s="1" t="n">
        <v>0</v>
      </c>
      <c r="X1841" s="1" t="s">
        <v>1601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2</v>
      </c>
      <c r="B1842" s="17" t="n">
        <v>46268</v>
      </c>
      <c r="C1842" s="17" t="n">
        <v>46279</v>
      </c>
      <c r="D1842" s="1" t="n">
        <v>1621</v>
      </c>
      <c r="E1842" s="1" t="s">
        <v>235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1646646</v>
      </c>
      <c r="L1842" s="1" t="n">
        <v>226012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489.74</v>
      </c>
      <c r="W1842" s="1" t="n">
        <v>0</v>
      </c>
      <c r="X1842" s="1" t="s">
        <v>1602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REFR PEPSI 2L</v>
      </c>
      <c r="AC1842" s="1" t="n">
        <v>993555</v>
      </c>
    </row>
    <row r="1843" customFormat="false" ht="12.75" hidden="false" customHeight="true" outlineLevel="0" collapsed="false">
      <c r="A1843" s="1" t="n">
        <v>2</v>
      </c>
      <c r="B1843" s="17" t="n">
        <v>46097</v>
      </c>
      <c r="C1843" s="17" t="n">
        <v>46280</v>
      </c>
      <c r="D1843" s="1" t="n">
        <v>1867</v>
      </c>
      <c r="E1843" s="1" t="s">
        <v>406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808550</v>
      </c>
      <c r="L1843" s="1" t="n">
        <v>2026</v>
      </c>
      <c r="M1843" s="1" t="s">
        <v>49</v>
      </c>
      <c r="N1843" s="1" t="s">
        <v>50</v>
      </c>
      <c r="P1843" s="1" t="n">
        <v>101</v>
      </c>
      <c r="Q1843" s="1" t="s">
        <v>56</v>
      </c>
      <c r="R1843" s="1" t="s">
        <v>407</v>
      </c>
      <c r="S1843" s="1" t="n">
        <v>4210401</v>
      </c>
      <c r="T1843" s="1" t="s">
        <v>408</v>
      </c>
      <c r="U1843" s="1" t="n">
        <v>228.88</v>
      </c>
      <c r="W1843" s="1" t="n">
        <v>0</v>
      </c>
      <c r="X1843" s="1" t="s">
        <v>1603</v>
      </c>
      <c r="Z1843" s="1" t="str">
        <f aca="false">IF($T1843="","",IFERROR(INDEX('Resumo Grupos'!$AC$3:$AC$200,MATCH($T1843,'Resumo Grupos'!$AB$3:$AB$200,0)),"n/d"))</f>
        <v>Impostos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2</v>
      </c>
      <c r="B1844" s="17" t="n">
        <v>46127</v>
      </c>
      <c r="C1844" s="17" t="n">
        <v>46280</v>
      </c>
      <c r="D1844" s="1" t="n">
        <v>512</v>
      </c>
      <c r="E1844" s="1" t="s">
        <v>410</v>
      </c>
      <c r="F1844" s="1" t="n">
        <v>34</v>
      </c>
      <c r="G1844" s="1" t="s">
        <v>110</v>
      </c>
      <c r="H1844" s="1" t="n">
        <v>2110405</v>
      </c>
      <c r="I1844" s="1" t="s">
        <v>55</v>
      </c>
      <c r="J1844" s="1" t="n">
        <v>954215</v>
      </c>
      <c r="L1844" s="1" t="n">
        <v>126220</v>
      </c>
      <c r="M1844" s="1" t="s">
        <v>61</v>
      </c>
      <c r="N1844" s="1" t="s">
        <v>50</v>
      </c>
      <c r="P1844" s="1" t="n">
        <v>101</v>
      </c>
      <c r="Q1844" s="1" t="s">
        <v>56</v>
      </c>
      <c r="R1844" s="1" t="s">
        <v>411</v>
      </c>
      <c r="S1844" s="1" t="n">
        <v>4210111</v>
      </c>
      <c r="T1844" s="1" t="s">
        <v>412</v>
      </c>
      <c r="U1844" s="1" t="n">
        <v>5700</v>
      </c>
      <c r="W1844" s="1" t="n">
        <v>0</v>
      </c>
      <c r="X1844" s="1" t="s">
        <v>413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2</v>
      </c>
      <c r="B1845" s="17" t="n">
        <v>46252</v>
      </c>
      <c r="C1845" s="17" t="n">
        <v>46280</v>
      </c>
      <c r="D1845" s="1" t="n">
        <v>1697</v>
      </c>
      <c r="E1845" s="1" t="s">
        <v>775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1566735</v>
      </c>
      <c r="L1845" s="1" t="n">
        <v>213868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584.64</v>
      </c>
      <c r="W1845" s="1" t="n">
        <v>0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LEITE ITALAC DESN 1L</v>
      </c>
      <c r="AC1845" s="1" t="n">
        <v>211355</v>
      </c>
    </row>
    <row r="1846" customFormat="false" ht="12.75" hidden="false" customHeight="true" outlineLevel="0" collapsed="false">
      <c r="A1846" s="1" t="n">
        <v>2</v>
      </c>
      <c r="B1846" s="17" t="n">
        <v>46252</v>
      </c>
      <c r="C1846" s="17" t="n">
        <v>46280</v>
      </c>
      <c r="D1846" s="1" t="n">
        <v>1711</v>
      </c>
      <c r="E1846" s="1" t="s">
        <v>1490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1568100</v>
      </c>
      <c r="L1846" s="1" t="n">
        <v>214112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645.71</v>
      </c>
      <c r="W1846" s="1" t="n">
        <v>0</v>
      </c>
      <c r="X1846" s="1" t="s">
        <v>1491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CAD BROCH UNIV COST</v>
      </c>
      <c r="AC1846" s="1" t="n">
        <v>160332</v>
      </c>
    </row>
    <row r="1847" customFormat="false" ht="12.75" hidden="false" customHeight="true" outlineLevel="0" collapsed="false">
      <c r="A1847" s="1" t="n">
        <v>2</v>
      </c>
      <c r="B1847" s="17" t="n">
        <v>46253</v>
      </c>
      <c r="C1847" s="17" t="n">
        <v>46280</v>
      </c>
      <c r="D1847" s="1" t="n">
        <v>1708</v>
      </c>
      <c r="E1847" s="1" t="s">
        <v>269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1572979</v>
      </c>
      <c r="L1847" s="1" t="n">
        <v>214928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548.18</v>
      </c>
      <c r="W1847" s="1" t="n">
        <v>0</v>
      </c>
      <c r="X1847" s="1" t="s">
        <v>1493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DISQUETI 18G</v>
      </c>
      <c r="AC1847" s="1" t="n">
        <v>265359</v>
      </c>
    </row>
    <row r="1848" customFormat="false" ht="12.75" hidden="false" customHeight="true" outlineLevel="0" collapsed="false">
      <c r="A1848" s="1" t="n">
        <v>2</v>
      </c>
      <c r="B1848" s="17" t="n">
        <v>46260</v>
      </c>
      <c r="C1848" s="17" t="n">
        <v>46280</v>
      </c>
      <c r="D1848" s="1" t="n">
        <v>1601</v>
      </c>
      <c r="E1848" s="1" t="s">
        <v>192</v>
      </c>
      <c r="F1848" s="1" t="n">
        <v>24</v>
      </c>
      <c r="G1848" s="1" t="s">
        <v>91</v>
      </c>
      <c r="H1848" s="1" t="n">
        <v>2110405</v>
      </c>
      <c r="I1848" s="1" t="s">
        <v>55</v>
      </c>
      <c r="J1848" s="1" t="n">
        <v>1603998</v>
      </c>
      <c r="L1848" s="1" t="n">
        <v>219686</v>
      </c>
      <c r="M1848" s="1" t="s">
        <v>36</v>
      </c>
      <c r="N1848" s="1" t="s">
        <v>50</v>
      </c>
      <c r="P1848" s="1" t="n">
        <v>113</v>
      </c>
      <c r="Q1848" s="1" t="s">
        <v>38</v>
      </c>
      <c r="R1848" s="1" t="s">
        <v>62</v>
      </c>
      <c r="S1848" s="1" t="n">
        <v>1130101</v>
      </c>
      <c r="T1848" s="1" t="s">
        <v>63</v>
      </c>
      <c r="U1848" s="1" t="n">
        <v>843.65</v>
      </c>
      <c r="W1848" s="1" t="n">
        <v>0</v>
      </c>
      <c r="X1848" s="1" t="s">
        <v>1563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HEINZ YELLOW MUSTARD</v>
      </c>
      <c r="AC1848" s="1" t="n">
        <v>866347</v>
      </c>
    </row>
    <row r="1849" customFormat="false" ht="12.75" hidden="false" customHeight="true" outlineLevel="0" collapsed="false">
      <c r="A1849" s="1" t="n">
        <v>2</v>
      </c>
      <c r="B1849" s="17" t="n">
        <v>46260</v>
      </c>
      <c r="C1849" s="17" t="n">
        <v>46280</v>
      </c>
      <c r="D1849" s="1" t="n">
        <v>794</v>
      </c>
      <c r="E1849" s="1" t="s">
        <v>343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1604324</v>
      </c>
      <c r="L1849" s="1" t="n">
        <v>219750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873.08</v>
      </c>
      <c r="W1849" s="1" t="n">
        <v>0</v>
      </c>
      <c r="X1849" s="1" t="s">
        <v>1564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RODO M 30CM CONDOR</v>
      </c>
      <c r="AC1849" s="1" t="n">
        <v>8744</v>
      </c>
    </row>
    <row r="1850" customFormat="false" ht="12.75" hidden="false" customHeight="true" outlineLevel="0" collapsed="false">
      <c r="A1850" s="1" t="n">
        <v>2</v>
      </c>
      <c r="B1850" s="17" t="n">
        <v>46261</v>
      </c>
      <c r="C1850" s="17" t="n">
        <v>46280</v>
      </c>
      <c r="D1850" s="1" t="n">
        <v>1637</v>
      </c>
      <c r="E1850" s="1" t="s">
        <v>870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1608926</v>
      </c>
      <c r="L1850" s="1" t="n">
        <v>220453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974.55</v>
      </c>
      <c r="W1850" s="1" t="n">
        <v>0</v>
      </c>
      <c r="X1850" s="1" t="s">
        <v>1604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LEITE EM PO PIRACANJUBA 400G</v>
      </c>
      <c r="AC1850" s="1" t="n">
        <v>1925382</v>
      </c>
    </row>
    <row r="1851" customFormat="false" ht="12.75" hidden="false" customHeight="true" outlineLevel="0" collapsed="false">
      <c r="A1851" s="1" t="n">
        <v>2</v>
      </c>
      <c r="B1851" s="17" t="n">
        <v>46265</v>
      </c>
      <c r="C1851" s="17" t="n">
        <v>46280</v>
      </c>
      <c r="D1851" s="1" t="n">
        <v>1196</v>
      </c>
      <c r="E1851" s="1" t="s">
        <v>1423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1629259</v>
      </c>
      <c r="L1851" s="1" t="n">
        <v>223468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410</v>
      </c>
      <c r="W1851" s="1" t="n">
        <v>0</v>
      </c>
      <c r="X1851" s="1" t="s">
        <v>1565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ACUCAR CRISTAL DOCE TODO DIA 30X1KG</v>
      </c>
      <c r="AC1851" s="1" t="n">
        <v>13095</v>
      </c>
    </row>
    <row r="1852" customFormat="false" ht="12.75" hidden="false" customHeight="true" outlineLevel="0" collapsed="false">
      <c r="A1852" s="1" t="n">
        <v>2</v>
      </c>
      <c r="B1852" s="17" t="n">
        <v>46265</v>
      </c>
      <c r="C1852" s="17" t="n">
        <v>46280</v>
      </c>
      <c r="D1852" s="1" t="n">
        <v>1705</v>
      </c>
      <c r="E1852" s="1" t="s">
        <v>131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1630554</v>
      </c>
      <c r="L1852" s="1" t="n">
        <v>223766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1139.35</v>
      </c>
      <c r="W1852" s="1" t="n">
        <v>0</v>
      </c>
      <c r="X1852" s="1" t="s">
        <v>1605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MONSTER ENERGY 473ML</v>
      </c>
      <c r="AC1852" s="1" t="n">
        <v>1272321</v>
      </c>
    </row>
    <row r="1853" customFormat="false" ht="12.75" hidden="false" customHeight="true" outlineLevel="0" collapsed="false">
      <c r="A1853" s="1" t="n">
        <v>2</v>
      </c>
      <c r="B1853" s="17" t="n">
        <v>46266</v>
      </c>
      <c r="C1853" s="17" t="n">
        <v>46280</v>
      </c>
      <c r="D1853" s="1" t="n">
        <v>1921</v>
      </c>
      <c r="E1853" s="1" t="s">
        <v>182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1633947</v>
      </c>
      <c r="L1853" s="1" t="n">
        <v>224242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540.99</v>
      </c>
      <c r="W1853" s="1" t="n">
        <v>0</v>
      </c>
      <c r="X1853" s="1" t="s">
        <v>1606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TEMPERO COMPLETO CHU</v>
      </c>
      <c r="AC1853" s="1" t="n">
        <v>21345</v>
      </c>
    </row>
    <row r="1854" customFormat="false" ht="12.75" hidden="false" customHeight="true" outlineLevel="0" collapsed="false">
      <c r="A1854" s="1" t="n">
        <v>2</v>
      </c>
      <c r="B1854" s="17" t="n">
        <v>46267</v>
      </c>
      <c r="C1854" s="17" t="n">
        <v>46280</v>
      </c>
      <c r="D1854" s="1" t="n">
        <v>1683</v>
      </c>
      <c r="E1854" s="1" t="s">
        <v>416</v>
      </c>
      <c r="F1854" s="1" t="n">
        <v>34</v>
      </c>
      <c r="G1854" s="1" t="s">
        <v>110</v>
      </c>
      <c r="H1854" s="1" t="n">
        <v>2110405</v>
      </c>
      <c r="I1854" s="1" t="s">
        <v>55</v>
      </c>
      <c r="J1854" s="1" t="n">
        <v>1639288</v>
      </c>
      <c r="L1854" s="1" t="n">
        <v>225300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96</v>
      </c>
      <c r="W1854" s="1" t="n">
        <v>0</v>
      </c>
      <c r="X1854" s="1" t="s">
        <v>418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2</v>
      </c>
      <c r="B1855" s="17" t="n">
        <v>46226</v>
      </c>
      <c r="C1855" s="17" t="n">
        <v>46281</v>
      </c>
      <c r="D1855" s="1" t="n">
        <v>957</v>
      </c>
      <c r="E1855" s="1" t="s">
        <v>628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1438939</v>
      </c>
      <c r="L1855" s="1" t="n">
        <v>194433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1501.38</v>
      </c>
      <c r="W1855" s="1" t="n">
        <v>0</v>
      </c>
      <c r="X1855" s="1" t="s">
        <v>1261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WHISKA FRANGO KG AGR</v>
      </c>
      <c r="AC1855" s="1" t="n">
        <v>21189</v>
      </c>
    </row>
    <row r="1856" customFormat="false" ht="12.75" hidden="false" customHeight="true" outlineLevel="0" collapsed="false">
      <c r="A1856" s="1" t="n">
        <v>2</v>
      </c>
      <c r="B1856" s="17" t="n">
        <v>46247</v>
      </c>
      <c r="C1856" s="17" t="n">
        <v>46281</v>
      </c>
      <c r="D1856" s="1" t="n">
        <v>1624</v>
      </c>
      <c r="E1856" s="1" t="s">
        <v>338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1543920</v>
      </c>
      <c r="L1856" s="1" t="n">
        <v>210536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830.13</v>
      </c>
      <c r="W1856" s="1" t="n">
        <v>0</v>
      </c>
      <c r="X1856" s="1" t="s">
        <v>1514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SAB SARNICIDA MATACURA 80G</v>
      </c>
      <c r="AC1856" s="1" t="n">
        <v>668739</v>
      </c>
    </row>
    <row r="1857" customFormat="false" ht="12.75" hidden="false" customHeight="true" outlineLevel="0" collapsed="false">
      <c r="A1857" s="1" t="n">
        <v>2</v>
      </c>
      <c r="B1857" s="17" t="n">
        <v>46252</v>
      </c>
      <c r="C1857" s="17" t="n">
        <v>46281</v>
      </c>
      <c r="D1857" s="1" t="n">
        <v>1612</v>
      </c>
      <c r="E1857" s="1" t="s">
        <v>90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1567422</v>
      </c>
      <c r="L1857" s="1" t="n">
        <v>214026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62</v>
      </c>
      <c r="S1857" s="1" t="n">
        <v>1130101</v>
      </c>
      <c r="T1857" s="1" t="s">
        <v>63</v>
      </c>
      <c r="U1857" s="1" t="n">
        <v>1154.65</v>
      </c>
      <c r="W1857" s="1" t="n">
        <v>0</v>
      </c>
      <c r="X1857" s="1" t="s">
        <v>1515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AGUA SANI BRILUX1L</v>
      </c>
      <c r="AC1857" s="1" t="n">
        <v>2310769</v>
      </c>
    </row>
    <row r="1858" customFormat="false" ht="12.75" hidden="false" customHeight="true" outlineLevel="0" collapsed="false">
      <c r="A1858" s="1" t="n">
        <v>2</v>
      </c>
      <c r="B1858" s="17" t="n">
        <v>46253</v>
      </c>
      <c r="C1858" s="17" t="n">
        <v>46281</v>
      </c>
      <c r="D1858" s="1" t="n">
        <v>1830</v>
      </c>
      <c r="E1858" s="1" t="s">
        <v>507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1573122</v>
      </c>
      <c r="L1858" s="1" t="n">
        <v>1308</v>
      </c>
      <c r="M1858" s="1" t="s">
        <v>36</v>
      </c>
      <c r="N1858" s="1" t="s">
        <v>50</v>
      </c>
      <c r="P1858" s="1" t="n">
        <v>101</v>
      </c>
      <c r="Q1858" s="1" t="s">
        <v>56</v>
      </c>
      <c r="R1858" s="1" t="s">
        <v>39</v>
      </c>
      <c r="S1858" s="1" t="n">
        <v>4210319</v>
      </c>
      <c r="T1858" s="1" t="s">
        <v>508</v>
      </c>
      <c r="U1858" s="1" t="n">
        <v>58</v>
      </c>
      <c r="W1858" s="1" t="n">
        <v>0</v>
      </c>
      <c r="X1858" s="1" t="s">
        <v>1607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46260</v>
      </c>
      <c r="C1859" s="17" t="n">
        <v>46281</v>
      </c>
      <c r="D1859" s="1" t="n">
        <v>1107</v>
      </c>
      <c r="E1859" s="1" t="s">
        <v>227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1605198</v>
      </c>
      <c r="L1859" s="1" t="n">
        <v>219909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1510.34</v>
      </c>
      <c r="W1859" s="1" t="n">
        <v>0</v>
      </c>
      <c r="X1859" s="1" t="s">
        <v>1573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BOLINHO MORANGO 7308</v>
      </c>
      <c r="AC1859" s="1" t="n">
        <v>447609</v>
      </c>
    </row>
    <row r="1860" customFormat="false" ht="12.75" hidden="false" customHeight="true" outlineLevel="0" collapsed="false">
      <c r="A1860" s="1" t="n">
        <v>2</v>
      </c>
      <c r="B1860" s="17" t="n">
        <v>46260</v>
      </c>
      <c r="C1860" s="17" t="n">
        <v>46281</v>
      </c>
      <c r="D1860" s="1" t="n">
        <v>1626</v>
      </c>
      <c r="E1860" s="1" t="s">
        <v>96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1605224</v>
      </c>
      <c r="L1860" s="1" t="n">
        <v>219915</v>
      </c>
      <c r="M1860" s="1" t="s">
        <v>36</v>
      </c>
      <c r="N1860" s="1" t="s">
        <v>50</v>
      </c>
      <c r="P1860" s="1" t="n">
        <v>113</v>
      </c>
      <c r="Q1860" s="1" t="s">
        <v>38</v>
      </c>
      <c r="R1860" s="1" t="s">
        <v>62</v>
      </c>
      <c r="S1860" s="1" t="n">
        <v>1130101</v>
      </c>
      <c r="T1860" s="1" t="s">
        <v>63</v>
      </c>
      <c r="U1860" s="1" t="n">
        <v>679.16</v>
      </c>
      <c r="W1860" s="1" t="n">
        <v>0</v>
      </c>
      <c r="X1860" s="1" t="s">
        <v>1517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CALABRESA SEARA KG</v>
      </c>
      <c r="AC1860" s="1" t="n">
        <v>319020</v>
      </c>
    </row>
    <row r="1861" customFormat="false" ht="12.75" hidden="false" customHeight="true" outlineLevel="0" collapsed="false">
      <c r="A1861" s="1" t="n">
        <v>2</v>
      </c>
      <c r="B1861" s="17" t="n">
        <v>46261</v>
      </c>
      <c r="C1861" s="17" t="n">
        <v>46281</v>
      </c>
      <c r="D1861" s="1" t="n">
        <v>1636</v>
      </c>
      <c r="E1861" s="1" t="s">
        <v>98</v>
      </c>
      <c r="F1861" s="1" t="n">
        <v>24</v>
      </c>
      <c r="G1861" s="1" t="s">
        <v>91</v>
      </c>
      <c r="H1861" s="1" t="n">
        <v>2110405</v>
      </c>
      <c r="I1861" s="1" t="s">
        <v>55</v>
      </c>
      <c r="J1861" s="1" t="n">
        <v>1609066</v>
      </c>
      <c r="L1861" s="1" t="n">
        <v>220491</v>
      </c>
      <c r="M1861" s="1" t="s">
        <v>36</v>
      </c>
      <c r="N1861" s="1" t="s">
        <v>50</v>
      </c>
      <c r="P1861" s="1" t="n">
        <v>113</v>
      </c>
      <c r="Q1861" s="1" t="s">
        <v>38</v>
      </c>
      <c r="R1861" s="1" t="s">
        <v>62</v>
      </c>
      <c r="S1861" s="1" t="n">
        <v>1130101</v>
      </c>
      <c r="T1861" s="1" t="s">
        <v>63</v>
      </c>
      <c r="U1861" s="1" t="n">
        <v>733.77</v>
      </c>
      <c r="W1861" s="1" t="n">
        <v>0</v>
      </c>
      <c r="X1861" s="1" t="s">
        <v>1519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BISC. RICHESTER RECH QUAD CHOCO ANI 130G</v>
      </c>
      <c r="AC1861" s="1" t="n">
        <v>3242273</v>
      </c>
    </row>
    <row r="1862" customFormat="false" ht="12.75" hidden="false" customHeight="true" outlineLevel="0" collapsed="false">
      <c r="A1862" s="1" t="n">
        <v>2</v>
      </c>
      <c r="B1862" s="17" t="n">
        <v>46268</v>
      </c>
      <c r="C1862" s="17" t="n">
        <v>46281</v>
      </c>
      <c r="D1862" s="1" t="n">
        <v>1635</v>
      </c>
      <c r="E1862" s="1" t="s">
        <v>129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1647282</v>
      </c>
      <c r="L1862" s="1" t="n">
        <v>226188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278.1</v>
      </c>
      <c r="W1862" s="1" t="n">
        <v>0</v>
      </c>
      <c r="X1862" s="1" t="s">
        <v>1608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BATATA LUTOSA 1KG </v>
      </c>
      <c r="AC1862" s="1" t="n">
        <v>4884</v>
      </c>
    </row>
    <row r="1863" customFormat="false" ht="12.75" hidden="false" customHeight="true" outlineLevel="0" collapsed="false">
      <c r="A1863" s="1" t="n">
        <v>2</v>
      </c>
      <c r="B1863" s="17" t="n">
        <v>46248</v>
      </c>
      <c r="C1863" s="17" t="n">
        <v>46282</v>
      </c>
      <c r="D1863" s="1" t="n">
        <v>10011</v>
      </c>
      <c r="E1863" s="1" t="s">
        <v>330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1545976</v>
      </c>
      <c r="L1863" s="1" t="n">
        <v>211185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685.15</v>
      </c>
      <c r="W1863" s="1" t="n">
        <v>0</v>
      </c>
      <c r="X1863" s="1" t="s">
        <v>1609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GP ADU CARNE E ARROZ KG</v>
      </c>
      <c r="AC1863" s="1" t="n">
        <v>35161</v>
      </c>
    </row>
    <row r="1864" customFormat="false" ht="12.75" hidden="false" customHeight="true" outlineLevel="0" collapsed="false">
      <c r="A1864" s="1" t="n">
        <v>2</v>
      </c>
      <c r="B1864" s="17" t="n">
        <v>46252</v>
      </c>
      <c r="C1864" s="17" t="n">
        <v>46282</v>
      </c>
      <c r="D1864" s="1" t="n">
        <v>1671</v>
      </c>
      <c r="E1864" s="1" t="s">
        <v>101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1567135</v>
      </c>
      <c r="L1864" s="1" t="n">
        <v>213986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793.81</v>
      </c>
      <c r="W1864" s="1" t="n">
        <v>0</v>
      </c>
      <c r="X1864" s="1" t="s">
        <v>1425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SAB LIQ PROTEX CREAM</v>
      </c>
      <c r="AC1864" s="1" t="n">
        <v>586415</v>
      </c>
    </row>
    <row r="1865" customFormat="false" ht="12.75" hidden="false" customHeight="true" outlineLevel="0" collapsed="false">
      <c r="A1865" s="1" t="n">
        <v>2</v>
      </c>
      <c r="B1865" s="17" t="n">
        <v>46256</v>
      </c>
      <c r="C1865" s="17" t="n">
        <v>46282</v>
      </c>
      <c r="D1865" s="1" t="n">
        <v>1745</v>
      </c>
      <c r="E1865" s="1" t="s">
        <v>170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1585080</v>
      </c>
      <c r="L1865" s="1" t="n">
        <v>216841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182.82</v>
      </c>
      <c r="W1865" s="1" t="n">
        <v>0</v>
      </c>
      <c r="X1865" s="1" t="s">
        <v>1534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MILHO PIPOCA DONA CLARA 400G</v>
      </c>
      <c r="AC1865" s="1" t="n">
        <v>357892</v>
      </c>
    </row>
    <row r="1866" customFormat="false" ht="12.75" hidden="false" customHeight="true" outlineLevel="0" collapsed="false">
      <c r="A1866" s="1" t="n">
        <v>2</v>
      </c>
      <c r="B1866" s="17" t="n">
        <v>46261</v>
      </c>
      <c r="C1866" s="17" t="n">
        <v>46282</v>
      </c>
      <c r="D1866" s="1" t="n">
        <v>1706</v>
      </c>
      <c r="E1866" s="1" t="s">
        <v>1587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1608553</v>
      </c>
      <c r="L1866" s="1" t="n">
        <v>220370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805.4</v>
      </c>
      <c r="W1866" s="1" t="n">
        <v>0</v>
      </c>
      <c r="X1866" s="1" t="s">
        <v>1588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BATATA PRINGLES ORIGINAL 104G</v>
      </c>
      <c r="AC1866" s="1" t="n">
        <v>206697</v>
      </c>
    </row>
    <row r="1867" customFormat="false" ht="12.75" hidden="false" customHeight="true" outlineLevel="0" collapsed="false">
      <c r="A1867" s="1" t="n">
        <v>2</v>
      </c>
      <c r="B1867" s="17" t="n">
        <v>46262</v>
      </c>
      <c r="C1867" s="17" t="n">
        <v>46282</v>
      </c>
      <c r="D1867" s="1" t="n">
        <v>1695</v>
      </c>
      <c r="E1867" s="1" t="s">
        <v>392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1613813</v>
      </c>
      <c r="L1867" s="1" t="n">
        <v>221290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1063.84</v>
      </c>
      <c r="W1867" s="1" t="n">
        <v>0</v>
      </c>
      <c r="X1867" s="1" t="s">
        <v>1536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CAFE KIMINO 250G</v>
      </c>
      <c r="AC1867" s="1" t="n">
        <v>20104</v>
      </c>
    </row>
    <row r="1868" customFormat="false" ht="12.75" hidden="false" customHeight="true" outlineLevel="0" collapsed="false">
      <c r="A1868" s="1" t="n">
        <v>2</v>
      </c>
      <c r="B1868" s="17" t="n">
        <v>46262</v>
      </c>
      <c r="C1868" s="17" t="n">
        <v>46282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1614556</v>
      </c>
      <c r="L1868" s="1" t="n">
        <v>221461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1213.95</v>
      </c>
      <c r="W1868" s="1" t="n">
        <v>0</v>
      </c>
      <c r="X1868" s="1" t="s">
        <v>1593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CAFÉ RANCHEIRO 250G</v>
      </c>
      <c r="AC1868" s="1" t="n">
        <v>13070</v>
      </c>
    </row>
    <row r="1869" customFormat="false" ht="12.75" hidden="false" customHeight="true" outlineLevel="0" collapsed="false">
      <c r="A1869" s="1" t="n">
        <v>2</v>
      </c>
      <c r="B1869" s="17" t="n">
        <v>46268</v>
      </c>
      <c r="C1869" s="17" t="n">
        <v>46282</v>
      </c>
      <c r="D1869" s="1" t="n">
        <v>1666</v>
      </c>
      <c r="E1869" s="1" t="s">
        <v>229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1647469</v>
      </c>
      <c r="L1869" s="1" t="n">
        <v>226240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4761.77</v>
      </c>
      <c r="W1869" s="1" t="n">
        <v>0</v>
      </c>
      <c r="X1869" s="1" t="s">
        <v>1610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ISQUEIRO BIC G</v>
      </c>
      <c r="AC1869" s="1" t="n">
        <v>572518</v>
      </c>
    </row>
    <row r="1870" customFormat="false" ht="12.75" hidden="false" customHeight="true" outlineLevel="0" collapsed="false">
      <c r="A1870" s="1" t="n">
        <v>2</v>
      </c>
      <c r="B1870" s="17" t="n">
        <v>46206</v>
      </c>
      <c r="C1870" s="17" t="n">
        <v>46283</v>
      </c>
      <c r="D1870" s="1" t="n">
        <v>33</v>
      </c>
      <c r="E1870" s="1" t="s">
        <v>305</v>
      </c>
      <c r="F1870" s="1" t="n">
        <v>34</v>
      </c>
      <c r="G1870" s="1" t="s">
        <v>110</v>
      </c>
      <c r="H1870" s="1" t="n">
        <v>2110405</v>
      </c>
      <c r="I1870" s="1" t="s">
        <v>55</v>
      </c>
      <c r="J1870" s="1" t="n">
        <v>1345312</v>
      </c>
      <c r="L1870" s="1" t="n">
        <v>180690</v>
      </c>
      <c r="M1870" s="1" t="s">
        <v>76</v>
      </c>
      <c r="N1870" s="1" t="s">
        <v>50</v>
      </c>
      <c r="P1870" s="1" t="n">
        <v>101</v>
      </c>
      <c r="Q1870" s="1" t="s">
        <v>56</v>
      </c>
      <c r="R1870" s="1" t="s">
        <v>70</v>
      </c>
      <c r="S1870" s="1" t="n">
        <v>4210203</v>
      </c>
      <c r="T1870" s="1" t="s">
        <v>750</v>
      </c>
      <c r="U1870" s="1" t="n">
        <v>247.27</v>
      </c>
      <c r="W1870" s="1" t="n">
        <v>0</v>
      </c>
      <c r="X1870" s="1" t="s">
        <v>935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2</v>
      </c>
      <c r="B1871" s="17" t="n">
        <v>46265</v>
      </c>
      <c r="C1871" s="17" t="n">
        <v>46283</v>
      </c>
      <c r="D1871" s="1" t="n">
        <v>1616</v>
      </c>
      <c r="E1871" s="1" t="s">
        <v>94</v>
      </c>
      <c r="F1871" s="1" t="n">
        <v>24</v>
      </c>
      <c r="G1871" s="1" t="s">
        <v>91</v>
      </c>
      <c r="H1871" s="1" t="n">
        <v>2110405</v>
      </c>
      <c r="I1871" s="1" t="s">
        <v>55</v>
      </c>
      <c r="J1871" s="1" t="n">
        <v>1629536</v>
      </c>
      <c r="L1871" s="1" t="n">
        <v>223544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610.19</v>
      </c>
      <c r="W1871" s="1" t="n">
        <v>0</v>
      </c>
      <c r="X1871" s="1" t="s">
        <v>1596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ESPONJA BRILHUS 1UNI</v>
      </c>
      <c r="AC1871" s="1" t="n">
        <v>656817</v>
      </c>
    </row>
    <row r="1872" customFormat="false" ht="12.75" hidden="false" customHeight="true" outlineLevel="0" collapsed="false">
      <c r="A1872" s="1" t="n">
        <v>2</v>
      </c>
      <c r="B1872" s="17" t="n">
        <v>46223</v>
      </c>
      <c r="C1872" s="17" t="n">
        <v>46285</v>
      </c>
      <c r="D1872" s="1" t="n">
        <v>33</v>
      </c>
      <c r="E1872" s="1" t="s">
        <v>305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1424244</v>
      </c>
      <c r="L1872" s="1" t="n">
        <v>190900</v>
      </c>
      <c r="M1872" s="1" t="s">
        <v>76</v>
      </c>
      <c r="N1872" s="1" t="s">
        <v>50</v>
      </c>
      <c r="P1872" s="1" t="n">
        <v>101</v>
      </c>
      <c r="Q1872" s="1" t="s">
        <v>56</v>
      </c>
      <c r="R1872" s="1" t="s">
        <v>411</v>
      </c>
      <c r="S1872" s="1" t="n">
        <v>4210107</v>
      </c>
      <c r="T1872" s="1" t="s">
        <v>497</v>
      </c>
      <c r="U1872" s="1" t="n">
        <v>138.3</v>
      </c>
      <c r="W1872" s="1" t="n">
        <v>0</v>
      </c>
      <c r="X1872" s="1" t="s">
        <v>1611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46241</v>
      </c>
      <c r="C1873" s="17" t="n">
        <v>46285</v>
      </c>
      <c r="D1873" s="1" t="n">
        <v>10028</v>
      </c>
      <c r="E1873" s="1" t="s">
        <v>495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1370757</v>
      </c>
      <c r="L1873" s="1" t="n">
        <v>184341</v>
      </c>
      <c r="M1873" s="1" t="s">
        <v>76</v>
      </c>
      <c r="N1873" s="1" t="s">
        <v>50</v>
      </c>
      <c r="P1873" s="1" t="n">
        <v>101</v>
      </c>
      <c r="Q1873" s="1" t="s">
        <v>56</v>
      </c>
      <c r="R1873" s="1" t="s">
        <v>39</v>
      </c>
      <c r="S1873" s="1" t="n">
        <v>4210315</v>
      </c>
      <c r="T1873" s="1" t="s">
        <v>283</v>
      </c>
      <c r="U1873" s="1" t="n">
        <v>595.9</v>
      </c>
      <c r="W1873" s="1" t="n">
        <v>0</v>
      </c>
      <c r="X1873" s="1" t="s">
        <v>496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2</v>
      </c>
      <c r="B1874" s="17" t="n">
        <v>46253</v>
      </c>
      <c r="C1874" s="17" t="n">
        <v>46286</v>
      </c>
      <c r="D1874" s="1" t="n">
        <v>616</v>
      </c>
      <c r="E1874" s="1" t="s">
        <v>939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1572206</v>
      </c>
      <c r="L1874" s="1" t="n">
        <v>214775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983.77</v>
      </c>
      <c r="W1874" s="1" t="n">
        <v>0</v>
      </c>
      <c r="X1874" s="1" t="s">
        <v>1555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2</v>
      </c>
      <c r="B1875" s="17" t="n">
        <v>46254</v>
      </c>
      <c r="C1875" s="17" t="n">
        <v>46286</v>
      </c>
      <c r="D1875" s="1" t="n">
        <v>10012</v>
      </c>
      <c r="E1875" s="1" t="s">
        <v>176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1577225</v>
      </c>
      <c r="L1875" s="1" t="n">
        <v>215620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521.74</v>
      </c>
      <c r="W1875" s="1" t="n">
        <v>0</v>
      </c>
      <c r="X1875" s="1" t="s">
        <v>1556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SAB PHEBO ODOR90G</v>
      </c>
      <c r="AC1875" s="1" t="n">
        <v>1966312</v>
      </c>
    </row>
    <row r="1876" customFormat="false" ht="12.75" hidden="false" customHeight="true" outlineLevel="0" collapsed="false">
      <c r="A1876" s="1" t="n">
        <v>2</v>
      </c>
      <c r="B1876" s="17" t="n">
        <v>46259</v>
      </c>
      <c r="C1876" s="17" t="n">
        <v>46286</v>
      </c>
      <c r="D1876" s="1" t="n">
        <v>10009</v>
      </c>
      <c r="E1876" s="1" t="s">
        <v>469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1600247</v>
      </c>
      <c r="L1876" s="1" t="n">
        <v>219128</v>
      </c>
      <c r="M1876" s="1" t="s">
        <v>36</v>
      </c>
      <c r="N1876" s="1" t="s">
        <v>50</v>
      </c>
      <c r="P1876" s="1" t="n">
        <v>113</v>
      </c>
      <c r="Q1876" s="1" t="s">
        <v>38</v>
      </c>
      <c r="R1876" s="1" t="s">
        <v>62</v>
      </c>
      <c r="S1876" s="1" t="n">
        <v>1130101</v>
      </c>
      <c r="T1876" s="1" t="s">
        <v>63</v>
      </c>
      <c r="U1876" s="1" t="n">
        <v>1255.7</v>
      </c>
      <c r="W1876" s="1" t="n">
        <v>0</v>
      </c>
      <c r="X1876" s="1" t="s">
        <v>1612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TALENTO CSTN 85G</v>
      </c>
      <c r="AC1876" s="1" t="n">
        <v>1441731</v>
      </c>
    </row>
    <row r="1877" customFormat="false" ht="12.75" hidden="false" customHeight="true" outlineLevel="0" collapsed="false">
      <c r="A1877" s="1" t="n">
        <v>2</v>
      </c>
      <c r="B1877" s="17" t="n">
        <v>46266</v>
      </c>
      <c r="C1877" s="17" t="n">
        <v>46286</v>
      </c>
      <c r="D1877" s="1" t="n">
        <v>794</v>
      </c>
      <c r="E1877" s="1" t="s">
        <v>343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1633936</v>
      </c>
      <c r="L1877" s="1" t="n">
        <v>224235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70</v>
      </c>
      <c r="S1877" s="1" t="n">
        <v>4210299</v>
      </c>
      <c r="T1877" s="1" t="s">
        <v>127</v>
      </c>
      <c r="U1877" s="1" t="n">
        <v>1332.55</v>
      </c>
      <c r="W1877" s="1" t="n">
        <v>0</v>
      </c>
      <c r="X1877" s="1" t="s">
        <v>1600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SACOLA BRC. L. ALIP.</v>
      </c>
      <c r="AC1877" s="1" t="n">
        <v>8802</v>
      </c>
    </row>
    <row r="1878" customFormat="false" ht="12.75" hidden="false" customHeight="true" outlineLevel="0" collapsed="false">
      <c r="A1878" s="1" t="n">
        <v>2</v>
      </c>
      <c r="B1878" s="17" t="n">
        <v>46268</v>
      </c>
      <c r="C1878" s="17" t="n">
        <v>46286</v>
      </c>
      <c r="D1878" s="1" t="n">
        <v>1611</v>
      </c>
      <c r="E1878" s="1" t="s">
        <v>172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1646253</v>
      </c>
      <c r="L1878" s="1" t="n">
        <v>225904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176.57</v>
      </c>
      <c r="W1878" s="1" t="n">
        <v>0</v>
      </c>
      <c r="X1878" s="1" t="s">
        <v>1601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2</v>
      </c>
      <c r="B1879" s="17" t="n">
        <v>46260</v>
      </c>
      <c r="C1879" s="17" t="n">
        <v>46287</v>
      </c>
      <c r="D1879" s="1" t="n">
        <v>1601</v>
      </c>
      <c r="E1879" s="1" t="s">
        <v>192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1604000</v>
      </c>
      <c r="L1879" s="1" t="n">
        <v>219688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843.65</v>
      </c>
      <c r="W1879" s="1" t="n">
        <v>0</v>
      </c>
      <c r="X1879" s="1" t="s">
        <v>1563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HEINZ YELLOW MUSTARD</v>
      </c>
      <c r="AC1879" s="1" t="n">
        <v>866347</v>
      </c>
    </row>
    <row r="1880" customFormat="false" ht="12.75" hidden="false" customHeight="true" outlineLevel="0" collapsed="false">
      <c r="A1880" s="1" t="n">
        <v>2</v>
      </c>
      <c r="B1880" s="17" t="n">
        <v>46260</v>
      </c>
      <c r="C1880" s="17" t="n">
        <v>46287</v>
      </c>
      <c r="D1880" s="1" t="n">
        <v>794</v>
      </c>
      <c r="E1880" s="1" t="s">
        <v>343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1604329</v>
      </c>
      <c r="L1880" s="1" t="n">
        <v>219752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873.08</v>
      </c>
      <c r="W1880" s="1" t="n">
        <v>0</v>
      </c>
      <c r="X1880" s="1" t="s">
        <v>1564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RODO M 30CM CONDOR</v>
      </c>
      <c r="AC1880" s="1" t="n">
        <v>8744</v>
      </c>
    </row>
    <row r="1881" customFormat="false" ht="12.75" hidden="false" customHeight="true" outlineLevel="0" collapsed="false">
      <c r="A1881" s="1" t="n">
        <v>2</v>
      </c>
      <c r="B1881" s="17" t="n">
        <v>46261</v>
      </c>
      <c r="C1881" s="17" t="n">
        <v>46287</v>
      </c>
      <c r="D1881" s="1" t="n">
        <v>1637</v>
      </c>
      <c r="E1881" s="1" t="s">
        <v>870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1609012</v>
      </c>
      <c r="L1881" s="1" t="n">
        <v>220473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942.69</v>
      </c>
      <c r="W1881" s="1" t="n">
        <v>0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LEITE NINHO INTEGRAL380G LT</v>
      </c>
      <c r="AC1881" s="1" t="n">
        <v>1925381</v>
      </c>
    </row>
    <row r="1882" customFormat="false" ht="12.75" hidden="false" customHeight="true" outlineLevel="0" collapsed="false">
      <c r="A1882" s="1" t="n">
        <v>2</v>
      </c>
      <c r="B1882" s="17" t="n">
        <v>46260</v>
      </c>
      <c r="C1882" s="17" t="n">
        <v>46288</v>
      </c>
      <c r="D1882" s="1" t="n">
        <v>1107</v>
      </c>
      <c r="E1882" s="1" t="s">
        <v>227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1605200</v>
      </c>
      <c r="L1882" s="1" t="n">
        <v>219910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1510.34</v>
      </c>
      <c r="W1882" s="1" t="n">
        <v>0</v>
      </c>
      <c r="X1882" s="1" t="s">
        <v>1573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BOLINHO MORANGO 7308</v>
      </c>
      <c r="AC1882" s="1" t="n">
        <v>447609</v>
      </c>
    </row>
    <row r="1883" customFormat="false" ht="12.75" hidden="false" customHeight="true" outlineLevel="0" collapsed="false">
      <c r="A1883" s="1" t="n">
        <v>2</v>
      </c>
      <c r="B1883" s="17" t="n">
        <v>46244</v>
      </c>
      <c r="C1883" s="17" t="n">
        <v>46289</v>
      </c>
      <c r="D1883" s="1" t="n">
        <v>1789</v>
      </c>
      <c r="E1883" s="1" t="s">
        <v>549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1529685</v>
      </c>
      <c r="L1883" s="1" t="n">
        <v>208126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411</v>
      </c>
      <c r="S1883" s="1" t="n">
        <v>4210112</v>
      </c>
      <c r="T1883" s="1" t="s">
        <v>550</v>
      </c>
      <c r="U1883" s="1" t="n">
        <v>10645.93</v>
      </c>
      <c r="W1883" s="1" t="n">
        <v>0</v>
      </c>
      <c r="X1883" s="1" t="s">
        <v>1614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2</v>
      </c>
      <c r="B1884" s="17" t="n">
        <v>46261</v>
      </c>
      <c r="C1884" s="17" t="n">
        <v>46289</v>
      </c>
      <c r="D1884" s="1" t="n">
        <v>1706</v>
      </c>
      <c r="E1884" s="1" t="s">
        <v>1587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1608557</v>
      </c>
      <c r="L1884" s="1" t="n">
        <v>220371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805.4</v>
      </c>
      <c r="W1884" s="1" t="n">
        <v>0</v>
      </c>
      <c r="X1884" s="1" t="s">
        <v>1588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BATATA PRINGLES ORIGINAL 104G</v>
      </c>
      <c r="AC1884" s="1" t="n">
        <v>206697</v>
      </c>
    </row>
    <row r="1885" customFormat="false" ht="12.75" hidden="false" customHeight="true" outlineLevel="0" collapsed="false">
      <c r="A1885" s="1" t="n">
        <v>2</v>
      </c>
      <c r="B1885" s="17" t="n">
        <v>46262</v>
      </c>
      <c r="C1885" s="17" t="n">
        <v>46289</v>
      </c>
      <c r="D1885" s="1" t="n">
        <v>1196</v>
      </c>
      <c r="E1885" s="1" t="s">
        <v>1423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1614562</v>
      </c>
      <c r="L1885" s="1" t="n">
        <v>221462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1213.96</v>
      </c>
      <c r="W1885" s="1" t="n">
        <v>0</v>
      </c>
      <c r="X1885" s="1" t="s">
        <v>1593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CAFÉ RANCHEIRO 250G</v>
      </c>
      <c r="AC1885" s="1" t="n">
        <v>13070</v>
      </c>
    </row>
    <row r="1886" customFormat="false" ht="12.75" hidden="false" customHeight="true" outlineLevel="0" collapsed="false">
      <c r="A1886" s="1" t="n">
        <v>2</v>
      </c>
      <c r="B1886" s="17" t="n">
        <v>46268</v>
      </c>
      <c r="C1886" s="17" t="n">
        <v>46289</v>
      </c>
      <c r="D1886" s="1" t="n">
        <v>1666</v>
      </c>
      <c r="E1886" s="1" t="s">
        <v>229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1647476</v>
      </c>
      <c r="L1886" s="1" t="n">
        <v>226243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4761.78</v>
      </c>
      <c r="W1886" s="1" t="n">
        <v>0</v>
      </c>
      <c r="X1886" s="1" t="s">
        <v>1610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ISQUEIRO BIC G</v>
      </c>
      <c r="AC1886" s="1" t="n">
        <v>572518</v>
      </c>
    </row>
    <row r="1887" customFormat="false" ht="12.75" hidden="false" customHeight="true" outlineLevel="0" collapsed="false">
      <c r="A1887" s="1" t="n">
        <v>2</v>
      </c>
      <c r="B1887" s="17" t="n">
        <v>46013</v>
      </c>
      <c r="C1887" s="17" t="n">
        <v>46290</v>
      </c>
      <c r="D1887" s="1" t="n">
        <v>17</v>
      </c>
      <c r="E1887" s="1" t="s">
        <v>490</v>
      </c>
      <c r="F1887" s="1" t="n">
        <v>48</v>
      </c>
      <c r="G1887" s="1" t="s">
        <v>569</v>
      </c>
      <c r="H1887" s="1" t="n">
        <v>2110405</v>
      </c>
      <c r="I1887" s="1" t="s">
        <v>55</v>
      </c>
      <c r="J1887" s="1" t="n">
        <v>660421</v>
      </c>
      <c r="L1887" s="1" t="n">
        <v>86128</v>
      </c>
      <c r="M1887" s="1" t="s">
        <v>1118</v>
      </c>
      <c r="N1887" s="1" t="s">
        <v>50</v>
      </c>
      <c r="P1887" s="1" t="n">
        <v>101</v>
      </c>
      <c r="Q1887" s="1" t="s">
        <v>56</v>
      </c>
      <c r="R1887" s="1" t="s">
        <v>57</v>
      </c>
      <c r="S1887" s="1" t="n">
        <v>4220199</v>
      </c>
      <c r="T1887" s="1" t="s">
        <v>58</v>
      </c>
      <c r="U1887" s="1" t="n">
        <v>362.14</v>
      </c>
      <c r="W1887" s="1" t="n">
        <v>0</v>
      </c>
      <c r="X1887" s="1" t="s">
        <v>571</v>
      </c>
      <c r="Z1887" s="1" t="str">
        <f aca="false">IF($T1887="","",IFERROR(INDEX('Resumo Grupos'!$AC$3:$AC$200,MATCH($T1887,'Resumo Grupos'!$AB$3:$AB$200,0)),"n/d"))</f>
        <v>Pagamentos outros não operacionais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2</v>
      </c>
      <c r="B1888" s="17" t="n">
        <v>46029</v>
      </c>
      <c r="C1888" s="17" t="n">
        <v>46290</v>
      </c>
      <c r="D1888" s="1" t="n">
        <v>17</v>
      </c>
      <c r="E1888" s="1" t="s">
        <v>490</v>
      </c>
      <c r="F1888" s="1" t="n">
        <v>48</v>
      </c>
      <c r="G1888" s="1" t="s">
        <v>569</v>
      </c>
      <c r="H1888" s="1" t="n">
        <v>2110405</v>
      </c>
      <c r="I1888" s="1" t="s">
        <v>55</v>
      </c>
      <c r="J1888" s="1" t="n">
        <v>660305</v>
      </c>
      <c r="L1888" s="1" t="n">
        <v>86116</v>
      </c>
      <c r="M1888" s="1" t="s">
        <v>1118</v>
      </c>
      <c r="N1888" s="1" t="s">
        <v>50</v>
      </c>
      <c r="P1888" s="1" t="n">
        <v>101</v>
      </c>
      <c r="Q1888" s="1" t="s">
        <v>56</v>
      </c>
      <c r="R1888" s="1" t="s">
        <v>57</v>
      </c>
      <c r="S1888" s="1" t="n">
        <v>4220199</v>
      </c>
      <c r="T1888" s="1" t="s">
        <v>58</v>
      </c>
      <c r="U1888" s="1" t="n">
        <v>84.03</v>
      </c>
      <c r="W1888" s="1" t="n">
        <v>0</v>
      </c>
      <c r="X1888" s="1" t="s">
        <v>570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2</v>
      </c>
      <c r="B1889" s="17" t="n">
        <v>46243</v>
      </c>
      <c r="C1889" s="17" t="n">
        <v>46290</v>
      </c>
      <c r="D1889" s="1" t="n">
        <v>17</v>
      </c>
      <c r="E1889" s="1" t="s">
        <v>490</v>
      </c>
      <c r="F1889" s="1" t="n">
        <v>48</v>
      </c>
      <c r="G1889" s="1" t="s">
        <v>569</v>
      </c>
      <c r="H1889" s="1" t="n">
        <v>2110405</v>
      </c>
      <c r="I1889" s="1" t="s">
        <v>55</v>
      </c>
      <c r="J1889" s="1" t="n">
        <v>1551938</v>
      </c>
      <c r="L1889" s="1" t="n">
        <v>211786</v>
      </c>
      <c r="M1889" s="1" t="s">
        <v>88</v>
      </c>
      <c r="N1889" s="1" t="s">
        <v>50</v>
      </c>
      <c r="P1889" s="1" t="n">
        <v>101</v>
      </c>
      <c r="Q1889" s="1" t="s">
        <v>56</v>
      </c>
      <c r="R1889" s="1" t="s">
        <v>57</v>
      </c>
      <c r="S1889" s="1" t="n">
        <v>4220199</v>
      </c>
      <c r="T1889" s="1" t="s">
        <v>58</v>
      </c>
      <c r="U1889" s="1" t="n">
        <v>52.52</v>
      </c>
      <c r="W1889" s="1" t="n">
        <v>0</v>
      </c>
      <c r="X1889" s="1" t="s">
        <v>1615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46256</v>
      </c>
      <c r="C1890" s="17" t="n">
        <v>46290</v>
      </c>
      <c r="D1890" s="1" t="n">
        <v>1782</v>
      </c>
      <c r="E1890" s="1" t="s">
        <v>1616</v>
      </c>
      <c r="F1890" s="1" t="n">
        <v>48</v>
      </c>
      <c r="G1890" s="1" t="s">
        <v>569</v>
      </c>
      <c r="H1890" s="1" t="n">
        <v>2110405</v>
      </c>
      <c r="I1890" s="1" t="s">
        <v>55</v>
      </c>
      <c r="J1890" s="1" t="n">
        <v>1595448</v>
      </c>
      <c r="L1890" s="1" t="n">
        <v>2208</v>
      </c>
      <c r="M1890" s="1" t="s">
        <v>36</v>
      </c>
      <c r="N1890" s="1" t="s">
        <v>50</v>
      </c>
      <c r="P1890" s="1" t="n">
        <v>101</v>
      </c>
      <c r="Q1890" s="1" t="s">
        <v>56</v>
      </c>
      <c r="R1890" s="1" t="s">
        <v>70</v>
      </c>
      <c r="S1890" s="1" t="n">
        <v>4210232</v>
      </c>
      <c r="T1890" s="1" t="s">
        <v>324</v>
      </c>
      <c r="U1890" s="1" t="n">
        <v>79.9</v>
      </c>
      <c r="W1890" s="1" t="n">
        <v>0</v>
      </c>
      <c r="X1890" s="1" t="s">
        <v>1617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2</v>
      </c>
      <c r="B1891" s="17" t="n">
        <v>46265</v>
      </c>
      <c r="C1891" s="17" t="n">
        <v>46290</v>
      </c>
      <c r="D1891" s="1" t="n">
        <v>1616</v>
      </c>
      <c r="E1891" s="1" t="s">
        <v>94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1629541</v>
      </c>
      <c r="L1891" s="1" t="n">
        <v>223546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610.19</v>
      </c>
      <c r="W1891" s="1" t="n">
        <v>0</v>
      </c>
      <c r="X1891" s="1" t="s">
        <v>1596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ESPONJA BRILHUS 1UNI</v>
      </c>
      <c r="AC1891" s="1" t="n">
        <v>656817</v>
      </c>
    </row>
    <row r="1892" customFormat="false" ht="12.75" hidden="false" customHeight="true" outlineLevel="0" collapsed="false">
      <c r="A1892" s="1" t="n">
        <v>2</v>
      </c>
      <c r="B1892" s="17" t="n">
        <v>46023</v>
      </c>
      <c r="C1892" s="17" t="n">
        <v>46293</v>
      </c>
      <c r="D1892" s="1" t="n">
        <v>515</v>
      </c>
      <c r="E1892" s="1" t="s">
        <v>157</v>
      </c>
      <c r="F1892" s="1" t="n">
        <v>34</v>
      </c>
      <c r="G1892" s="1" t="s">
        <v>110</v>
      </c>
      <c r="H1892" s="1" t="n">
        <v>2110405</v>
      </c>
      <c r="I1892" s="1" t="s">
        <v>55</v>
      </c>
      <c r="J1892" s="1" t="n">
        <v>1012266</v>
      </c>
      <c r="L1892" s="1" t="n">
        <v>133812</v>
      </c>
      <c r="M1892" s="1" t="s">
        <v>1118</v>
      </c>
      <c r="N1892" s="1" t="s">
        <v>50</v>
      </c>
      <c r="P1892" s="1" t="n">
        <v>101</v>
      </c>
      <c r="Q1892" s="1" t="s">
        <v>56</v>
      </c>
      <c r="R1892" s="1" t="s">
        <v>333</v>
      </c>
      <c r="S1892" s="1" t="n">
        <v>2110901</v>
      </c>
      <c r="T1892" s="1" t="s">
        <v>334</v>
      </c>
      <c r="U1892" s="1" t="n">
        <v>4168.41</v>
      </c>
      <c r="W1892" s="1" t="n">
        <v>0</v>
      </c>
      <c r="X1892" s="1" t="s">
        <v>1618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2</v>
      </c>
      <c r="B1893" s="17" t="n">
        <v>46265</v>
      </c>
      <c r="C1893" s="17" t="n">
        <v>46293</v>
      </c>
      <c r="D1893" s="1" t="n">
        <v>1637</v>
      </c>
      <c r="E1893" s="1" t="s">
        <v>870</v>
      </c>
      <c r="F1893" s="1" t="n">
        <v>24</v>
      </c>
      <c r="G1893" s="1" t="s">
        <v>91</v>
      </c>
      <c r="H1893" s="1" t="n">
        <v>2110405</v>
      </c>
      <c r="I1893" s="1" t="s">
        <v>55</v>
      </c>
      <c r="J1893" s="1" t="n">
        <v>1629204</v>
      </c>
      <c r="L1893" s="1" t="n">
        <v>223450</v>
      </c>
      <c r="M1893" s="1" t="s">
        <v>36</v>
      </c>
      <c r="N1893" s="1" t="s">
        <v>50</v>
      </c>
      <c r="P1893" s="1" t="n">
        <v>113</v>
      </c>
      <c r="Q1893" s="1" t="s">
        <v>38</v>
      </c>
      <c r="R1893" s="1" t="s">
        <v>62</v>
      </c>
      <c r="S1893" s="1" t="n">
        <v>1130101</v>
      </c>
      <c r="T1893" s="1" t="s">
        <v>63</v>
      </c>
      <c r="U1893" s="1" t="n">
        <v>1348.29</v>
      </c>
      <c r="W1893" s="1" t="n">
        <v>0</v>
      </c>
      <c r="X1893" s="1" t="s">
        <v>1619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LEITE NINHO INTEGRAL380G LT</v>
      </c>
      <c r="AC1893" s="1" t="n">
        <v>1927745</v>
      </c>
    </row>
    <row r="1894" customFormat="false" ht="12.75" hidden="false" customHeight="true" outlineLevel="0" collapsed="false">
      <c r="A1894" s="1" t="n">
        <v>2</v>
      </c>
      <c r="B1894" s="17" t="n">
        <v>46266</v>
      </c>
      <c r="C1894" s="17" t="n">
        <v>46293</v>
      </c>
      <c r="D1894" s="1" t="n">
        <v>794</v>
      </c>
      <c r="E1894" s="1" t="s">
        <v>343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1633937</v>
      </c>
      <c r="L1894" s="1" t="n">
        <v>224236</v>
      </c>
      <c r="M1894" s="1" t="s">
        <v>36</v>
      </c>
      <c r="N1894" s="1" t="s">
        <v>50</v>
      </c>
      <c r="P1894" s="1" t="n">
        <v>113</v>
      </c>
      <c r="Q1894" s="1" t="s">
        <v>38</v>
      </c>
      <c r="R1894" s="1" t="s">
        <v>70</v>
      </c>
      <c r="S1894" s="1" t="n">
        <v>4210299</v>
      </c>
      <c r="T1894" s="1" t="s">
        <v>127</v>
      </c>
      <c r="U1894" s="1" t="n">
        <v>1332.55</v>
      </c>
      <c r="W1894" s="1" t="n">
        <v>0</v>
      </c>
      <c r="X1894" s="1" t="s">
        <v>1600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SACOLA BRC. L. ALIP.</v>
      </c>
      <c r="AC1894" s="1" t="n">
        <v>8802</v>
      </c>
    </row>
    <row r="1895" customFormat="false" ht="12.75" hidden="false" customHeight="true" outlineLevel="0" collapsed="false">
      <c r="A1895" s="1" t="n">
        <v>2</v>
      </c>
      <c r="B1895" s="17" t="n">
        <v>46268</v>
      </c>
      <c r="C1895" s="17" t="n">
        <v>46293</v>
      </c>
      <c r="D1895" s="1" t="n">
        <v>1611</v>
      </c>
      <c r="E1895" s="1" t="s">
        <v>172</v>
      </c>
      <c r="F1895" s="1" t="n">
        <v>24</v>
      </c>
      <c r="G1895" s="1" t="s">
        <v>91</v>
      </c>
      <c r="H1895" s="1" t="n">
        <v>2110101</v>
      </c>
      <c r="I1895" s="1" t="s">
        <v>48</v>
      </c>
      <c r="J1895" s="1" t="n">
        <v>1646259</v>
      </c>
      <c r="L1895" s="1" t="n">
        <v>225906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176.57</v>
      </c>
      <c r="W1895" s="1" t="n">
        <v>0</v>
      </c>
      <c r="X1895" s="1" t="s">
        <v>1601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46260</v>
      </c>
      <c r="C1896" s="17" t="n">
        <v>46294</v>
      </c>
      <c r="D1896" s="1" t="n">
        <v>1390</v>
      </c>
      <c r="E1896" s="1" t="s">
        <v>1620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1603783</v>
      </c>
      <c r="L1896" s="1" t="n">
        <v>219644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348.18</v>
      </c>
      <c r="W1896" s="1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LOLLIPOP DONUTS SORTIDOS 15G</v>
      </c>
      <c r="AC1896" s="1" t="n">
        <v>7287</v>
      </c>
    </row>
    <row r="1897" customFormat="false" ht="12.75" hidden="false" customHeight="true" outlineLevel="0" collapsed="false">
      <c r="A1897" s="1" t="n">
        <v>2</v>
      </c>
      <c r="B1897" s="17" t="n">
        <v>46260</v>
      </c>
      <c r="C1897" s="17" t="n">
        <v>46294</v>
      </c>
      <c r="D1897" s="1" t="n">
        <v>794</v>
      </c>
      <c r="E1897" s="1" t="s">
        <v>343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1604332</v>
      </c>
      <c r="L1897" s="1" t="n">
        <v>219753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873.06</v>
      </c>
      <c r="W1897" s="1" t="n">
        <v>0</v>
      </c>
      <c r="X1897" s="1" t="s">
        <v>1564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RODO M 30CM CONDOR</v>
      </c>
      <c r="AC1897" s="1" t="n">
        <v>8744</v>
      </c>
    </row>
    <row r="1898" customFormat="false" ht="12.75" hidden="false" customHeight="true" outlineLevel="0" collapsed="false">
      <c r="A1898" s="1" t="n">
        <v>2</v>
      </c>
      <c r="B1898" s="17" t="n">
        <v>46055</v>
      </c>
      <c r="C1898" s="17" t="n">
        <v>46296</v>
      </c>
      <c r="D1898" s="1" t="n">
        <v>10039</v>
      </c>
      <c r="E1898" s="1" t="s">
        <v>84</v>
      </c>
      <c r="F1898" s="1" t="n">
        <v>47</v>
      </c>
      <c r="G1898" s="1" t="s">
        <v>47</v>
      </c>
      <c r="H1898" s="1" t="n">
        <v>2110405</v>
      </c>
      <c r="I1898" s="1" t="s">
        <v>55</v>
      </c>
      <c r="J1898" s="1" t="n">
        <v>846832</v>
      </c>
      <c r="L1898" s="1" t="n">
        <v>111506</v>
      </c>
      <c r="M1898" s="1" t="s">
        <v>678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4210227</v>
      </c>
      <c r="T1898" s="1" t="s">
        <v>77</v>
      </c>
      <c r="U1898" s="1" t="n">
        <v>378.82</v>
      </c>
      <c r="W1898" s="1" t="n">
        <v>0</v>
      </c>
      <c r="X1898" s="1" t="s">
        <v>1622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258</v>
      </c>
    </row>
    <row r="1899" customFormat="false" ht="12.75" hidden="false" customHeight="true" outlineLevel="0" collapsed="false">
      <c r="A1899" s="1" t="n">
        <v>2</v>
      </c>
      <c r="B1899" s="17" t="n">
        <v>46246</v>
      </c>
      <c r="C1899" s="17" t="n">
        <v>46296</v>
      </c>
      <c r="D1899" s="1" t="n">
        <v>875</v>
      </c>
      <c r="E1899" s="1" t="s">
        <v>87</v>
      </c>
      <c r="F1899" s="1" t="n">
        <v>47</v>
      </c>
      <c r="G1899" s="1" t="s">
        <v>47</v>
      </c>
      <c r="H1899" s="1" t="n">
        <v>2110405</v>
      </c>
      <c r="I1899" s="1" t="s">
        <v>55</v>
      </c>
      <c r="J1899" s="1" t="n">
        <v>1534947</v>
      </c>
      <c r="L1899" s="1" t="n">
        <v>209452</v>
      </c>
      <c r="M1899" s="1" t="s">
        <v>88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638.75</v>
      </c>
      <c r="W1899" s="1" t="n">
        <v>0</v>
      </c>
      <c r="X1899" s="1" t="s">
        <v>1623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FONE DE OUVIDO DO IP</v>
      </c>
      <c r="AC1899" s="1" t="n">
        <v>1898</v>
      </c>
    </row>
    <row r="1900" customFormat="false" ht="12.75" hidden="false" customHeight="true" outlineLevel="0" collapsed="false">
      <c r="A1900" s="1" t="n">
        <v>2</v>
      </c>
      <c r="B1900" s="17" t="n">
        <v>46238</v>
      </c>
      <c r="C1900" s="17" t="n">
        <v>46299</v>
      </c>
      <c r="D1900" s="1" t="n">
        <v>862</v>
      </c>
      <c r="E1900" s="1" t="s">
        <v>322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1498421</v>
      </c>
      <c r="L1900" s="1" t="n">
        <v>202608</v>
      </c>
      <c r="M1900" s="1" t="s">
        <v>76</v>
      </c>
      <c r="N1900" s="1" t="s">
        <v>50</v>
      </c>
      <c r="P1900" s="1" t="n">
        <v>101</v>
      </c>
      <c r="Q1900" s="1" t="s">
        <v>56</v>
      </c>
      <c r="R1900" s="1" t="s">
        <v>70</v>
      </c>
      <c r="S1900" s="1" t="n">
        <v>4210233</v>
      </c>
      <c r="T1900" s="1" t="s">
        <v>203</v>
      </c>
      <c r="U1900" s="1" t="n">
        <v>270.9</v>
      </c>
      <c r="W1900" s="1" t="n">
        <v>0</v>
      </c>
      <c r="Z1900" s="1" t="str">
        <f aca="false">IF($T1900="","",IFERROR(INDEX('Resumo Grupos'!$AC$3:$AC$200,MATCH($T1900,'Resumo Grupos'!$AB$3:$AB$200,0)),"n/d"))</f>
        <v>Despesa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2</v>
      </c>
      <c r="B1901" s="17" t="n">
        <v>46244</v>
      </c>
      <c r="C1901" s="17" t="n">
        <v>46300</v>
      </c>
      <c r="D1901" s="1" t="n">
        <v>33</v>
      </c>
      <c r="E1901" s="1" t="s">
        <v>305</v>
      </c>
      <c r="F1901" s="1" t="n">
        <v>34</v>
      </c>
      <c r="G1901" s="1" t="s">
        <v>110</v>
      </c>
      <c r="H1901" s="1" t="n">
        <v>2110405</v>
      </c>
      <c r="I1901" s="1" t="s">
        <v>55</v>
      </c>
      <c r="J1901" s="1" t="n">
        <v>1530158</v>
      </c>
      <c r="L1901" s="1" t="n">
        <v>208205</v>
      </c>
      <c r="M1901" s="1" t="s">
        <v>88</v>
      </c>
      <c r="N1901" s="1" t="s">
        <v>50</v>
      </c>
      <c r="P1901" s="1" t="n">
        <v>101</v>
      </c>
      <c r="Q1901" s="1" t="s">
        <v>56</v>
      </c>
      <c r="R1901" s="1" t="s">
        <v>39</v>
      </c>
      <c r="S1901" s="1" t="n">
        <v>4210301</v>
      </c>
      <c r="T1901" s="1" t="s">
        <v>253</v>
      </c>
      <c r="U1901" s="1" t="n">
        <v>250.1</v>
      </c>
      <c r="W1901" s="1" t="n">
        <v>0</v>
      </c>
      <c r="X1901" s="1" t="s">
        <v>1548</v>
      </c>
      <c r="Z1901" s="1" t="str">
        <f aca="false">IF($T1901="","",IFERROR(INDEX('Resumo Grupos'!$AC$3:$AC$200,MATCH($T1901,'Resumo Grupos'!$AB$3:$AB$200,0)),"n/d"))</f>
        <v>Salários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2</v>
      </c>
      <c r="B1902" s="17" t="n">
        <v>46266</v>
      </c>
      <c r="C1902" s="17" t="n">
        <v>46300</v>
      </c>
      <c r="D1902" s="1" t="n">
        <v>794</v>
      </c>
      <c r="E1902" s="1" t="s">
        <v>343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1633939</v>
      </c>
      <c r="L1902" s="1" t="n">
        <v>224238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70</v>
      </c>
      <c r="S1902" s="1" t="n">
        <v>4210299</v>
      </c>
      <c r="T1902" s="1" t="s">
        <v>127</v>
      </c>
      <c r="U1902" s="1" t="n">
        <v>1332.55</v>
      </c>
      <c r="W1902" s="1" t="n">
        <v>0</v>
      </c>
      <c r="X1902" s="1" t="s">
        <v>1600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SACOLA BRC. L. ALIP.</v>
      </c>
      <c r="AC1902" s="1" t="n">
        <v>8802</v>
      </c>
    </row>
    <row r="1903" customFormat="false" ht="12.75" hidden="false" customHeight="true" outlineLevel="0" collapsed="false">
      <c r="A1903" s="1" t="n">
        <v>2</v>
      </c>
      <c r="B1903" s="17" t="n">
        <v>46232</v>
      </c>
      <c r="C1903" s="17" t="n">
        <v>46302</v>
      </c>
      <c r="D1903" s="1" t="n">
        <v>1932</v>
      </c>
      <c r="E1903" s="1" t="s">
        <v>282</v>
      </c>
      <c r="F1903" s="1" t="n">
        <v>34</v>
      </c>
      <c r="G1903" s="1" t="s">
        <v>110</v>
      </c>
      <c r="H1903" s="1" t="n">
        <v>2110405</v>
      </c>
      <c r="I1903" s="1" t="s">
        <v>55</v>
      </c>
      <c r="J1903" s="1" t="n">
        <v>1469462</v>
      </c>
      <c r="L1903" s="1" t="n">
        <v>199057</v>
      </c>
      <c r="M1903" s="1" t="s">
        <v>76</v>
      </c>
      <c r="N1903" s="1" t="s">
        <v>50</v>
      </c>
      <c r="P1903" s="1" t="n">
        <v>101</v>
      </c>
      <c r="Q1903" s="1" t="s">
        <v>56</v>
      </c>
      <c r="R1903" s="1" t="s">
        <v>39</v>
      </c>
      <c r="S1903" s="1" t="n">
        <v>4210315</v>
      </c>
      <c r="T1903" s="1" t="s">
        <v>283</v>
      </c>
      <c r="U1903" s="1" t="n">
        <v>119.97</v>
      </c>
      <c r="W1903" s="1" t="n">
        <v>0</v>
      </c>
      <c r="X1903" s="1" t="s">
        <v>1203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2</v>
      </c>
      <c r="B1904" s="17" t="n">
        <v>46211</v>
      </c>
      <c r="C1904" s="17" t="n">
        <v>46305</v>
      </c>
      <c r="D1904" s="1" t="n">
        <v>33</v>
      </c>
      <c r="E1904" s="1" t="s">
        <v>305</v>
      </c>
      <c r="F1904" s="1" t="n">
        <v>34</v>
      </c>
      <c r="G1904" s="1" t="s">
        <v>110</v>
      </c>
      <c r="H1904" s="1" t="n">
        <v>2110405</v>
      </c>
      <c r="I1904" s="1" t="s">
        <v>55</v>
      </c>
      <c r="J1904" s="1" t="n">
        <v>1370733</v>
      </c>
      <c r="L1904" s="1" t="n">
        <v>184338</v>
      </c>
      <c r="M1904" s="1" t="s">
        <v>76</v>
      </c>
      <c r="N1904" s="1" t="s">
        <v>50</v>
      </c>
      <c r="P1904" s="1" t="n">
        <v>101</v>
      </c>
      <c r="Q1904" s="1" t="s">
        <v>56</v>
      </c>
      <c r="R1904" s="1" t="s">
        <v>70</v>
      </c>
      <c r="S1904" s="1" t="n">
        <v>4210222</v>
      </c>
      <c r="T1904" s="1" t="s">
        <v>1220</v>
      </c>
      <c r="U1904" s="1" t="n">
        <v>666.67</v>
      </c>
      <c r="W1904" s="1" t="n">
        <v>0</v>
      </c>
      <c r="X1904" s="1" t="s">
        <v>1221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2</v>
      </c>
      <c r="B1905" s="17" t="n">
        <v>46242</v>
      </c>
      <c r="C1905" s="17" t="n">
        <v>46305</v>
      </c>
      <c r="D1905" s="1" t="n">
        <v>1100</v>
      </c>
      <c r="E1905" s="1" t="s">
        <v>328</v>
      </c>
      <c r="F1905" s="1" t="n">
        <v>46</v>
      </c>
      <c r="G1905" s="1" t="s">
        <v>323</v>
      </c>
      <c r="H1905" s="1" t="n">
        <v>2110405</v>
      </c>
      <c r="I1905" s="1" t="s">
        <v>55</v>
      </c>
      <c r="J1905" s="1" t="n">
        <v>1427624</v>
      </c>
      <c r="L1905" s="1" t="n">
        <v>190916</v>
      </c>
      <c r="M1905" s="1" t="s">
        <v>76</v>
      </c>
      <c r="N1905" s="1" t="s">
        <v>50</v>
      </c>
      <c r="P1905" s="1" t="n">
        <v>101</v>
      </c>
      <c r="Q1905" s="1" t="s">
        <v>56</v>
      </c>
      <c r="R1905" s="1" t="s">
        <v>70</v>
      </c>
      <c r="S1905" s="1" t="n">
        <v>4210227</v>
      </c>
      <c r="T1905" s="1" t="s">
        <v>77</v>
      </c>
      <c r="U1905" s="1" t="n">
        <v>266.68</v>
      </c>
      <c r="W1905" s="1" t="n">
        <v>0</v>
      </c>
      <c r="X1905" s="1" t="s">
        <v>1624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MEMORIA HIKSEMI HIKER 8GB DDR4 3200 - HS</v>
      </c>
      <c r="AC1905" s="1" t="n">
        <v>9481</v>
      </c>
    </row>
    <row r="1906" customFormat="false" ht="12.75" hidden="false" customHeight="true" outlineLevel="0" collapsed="false">
      <c r="A1906" s="1" t="n">
        <v>2</v>
      </c>
      <c r="B1906" s="17" t="n">
        <v>46260</v>
      </c>
      <c r="C1906" s="17" t="n">
        <v>46305</v>
      </c>
      <c r="D1906" s="1" t="n">
        <v>1835</v>
      </c>
      <c r="E1906" s="1" t="s">
        <v>1585</v>
      </c>
      <c r="F1906" s="1" t="n">
        <v>46</v>
      </c>
      <c r="G1906" s="1" t="s">
        <v>323</v>
      </c>
      <c r="H1906" s="1" t="n">
        <v>2110405</v>
      </c>
      <c r="I1906" s="1" t="s">
        <v>55</v>
      </c>
      <c r="J1906" s="1" t="n">
        <v>1605275</v>
      </c>
      <c r="L1906" s="1" t="n">
        <v>219925</v>
      </c>
      <c r="M1906" s="1" t="s">
        <v>88</v>
      </c>
      <c r="N1906" s="1" t="s">
        <v>50</v>
      </c>
      <c r="P1906" s="1" t="n">
        <v>113</v>
      </c>
      <c r="Q1906" s="1" t="s">
        <v>38</v>
      </c>
      <c r="R1906" s="1" t="s">
        <v>70</v>
      </c>
      <c r="S1906" s="1" t="n">
        <v>4210227</v>
      </c>
      <c r="T1906" s="1" t="s">
        <v>77</v>
      </c>
      <c r="U1906" s="1" t="n">
        <v>176.81</v>
      </c>
      <c r="W1906" s="1" t="n">
        <v>0</v>
      </c>
      <c r="X1906" s="1" t="s">
        <v>1625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TINTA ESMALTE FOSCO CITY 3L PRETO UN QTD</v>
      </c>
      <c r="AC1906" s="1" t="n">
        <v>110228</v>
      </c>
    </row>
    <row r="1907" customFormat="false" ht="12.75" hidden="false" customHeight="true" outlineLevel="0" collapsed="false">
      <c r="A1907" s="1" t="n">
        <v>2</v>
      </c>
      <c r="B1907" s="17" t="n">
        <v>46254</v>
      </c>
      <c r="C1907" s="17" t="n">
        <v>46308</v>
      </c>
      <c r="D1907" s="1" t="n">
        <v>33</v>
      </c>
      <c r="E1907" s="1" t="s">
        <v>305</v>
      </c>
      <c r="F1907" s="1" t="n">
        <v>34</v>
      </c>
      <c r="G1907" s="1" t="s">
        <v>110</v>
      </c>
      <c r="H1907" s="1" t="n">
        <v>2110405</v>
      </c>
      <c r="I1907" s="1" t="s">
        <v>55</v>
      </c>
      <c r="J1907" s="1" t="n">
        <v>1577428</v>
      </c>
      <c r="L1907" s="1" t="n">
        <v>215659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4210222</v>
      </c>
      <c r="T1907" s="1" t="s">
        <v>1220</v>
      </c>
      <c r="U1907" s="1" t="n">
        <v>522.5</v>
      </c>
      <c r="W1907" s="1" t="n">
        <v>0</v>
      </c>
      <c r="X1907" s="1" t="s">
        <v>1626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2</v>
      </c>
      <c r="B1908" s="17" t="n">
        <v>46097</v>
      </c>
      <c r="C1908" s="17" t="n">
        <v>46310</v>
      </c>
      <c r="D1908" s="1" t="n">
        <v>1867</v>
      </c>
      <c r="E1908" s="1" t="s">
        <v>406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808550</v>
      </c>
      <c r="L1908" s="1" t="n">
        <v>2026</v>
      </c>
      <c r="M1908" s="1" t="s">
        <v>678</v>
      </c>
      <c r="N1908" s="1" t="s">
        <v>50</v>
      </c>
      <c r="P1908" s="1" t="n">
        <v>101</v>
      </c>
      <c r="Q1908" s="1" t="s">
        <v>56</v>
      </c>
      <c r="R1908" s="1" t="s">
        <v>407</v>
      </c>
      <c r="S1908" s="1" t="n">
        <v>4210401</v>
      </c>
      <c r="T1908" s="1" t="s">
        <v>408</v>
      </c>
      <c r="U1908" s="1" t="n">
        <v>228.88</v>
      </c>
      <c r="W1908" s="1" t="n">
        <v>0</v>
      </c>
      <c r="X1908" s="1" t="s">
        <v>1627</v>
      </c>
      <c r="Z1908" s="1" t="str">
        <f aca="false">IF($T1908="","",IFERROR(INDEX('Resumo Grupos'!$AC$3:$AC$200,MATCH($T1908,'Resumo Grupos'!$AB$3:$AB$200,0)),"n/d"))</f>
        <v>Impostos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2</v>
      </c>
      <c r="B1909" s="17" t="n">
        <v>46127</v>
      </c>
      <c r="C1909" s="17" t="n">
        <v>46310</v>
      </c>
      <c r="D1909" s="1" t="n">
        <v>512</v>
      </c>
      <c r="E1909" s="1" t="s">
        <v>410</v>
      </c>
      <c r="F1909" s="1" t="n">
        <v>34</v>
      </c>
      <c r="G1909" s="1" t="s">
        <v>110</v>
      </c>
      <c r="H1909" s="1" t="n">
        <v>2110405</v>
      </c>
      <c r="I1909" s="1" t="s">
        <v>55</v>
      </c>
      <c r="J1909" s="1" t="n">
        <v>954215</v>
      </c>
      <c r="L1909" s="1" t="n">
        <v>126220</v>
      </c>
      <c r="M1909" s="1" t="s">
        <v>49</v>
      </c>
      <c r="N1909" s="1" t="s">
        <v>50</v>
      </c>
      <c r="P1909" s="1" t="n">
        <v>101</v>
      </c>
      <c r="Q1909" s="1" t="s">
        <v>56</v>
      </c>
      <c r="R1909" s="1" t="s">
        <v>411</v>
      </c>
      <c r="S1909" s="1" t="n">
        <v>4210111</v>
      </c>
      <c r="T1909" s="1" t="s">
        <v>412</v>
      </c>
      <c r="U1909" s="1" t="n">
        <v>5700</v>
      </c>
      <c r="W1909" s="1" t="n">
        <v>0</v>
      </c>
      <c r="X1909" s="1" t="s">
        <v>413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2</v>
      </c>
      <c r="B1910" s="17" t="n">
        <v>46206</v>
      </c>
      <c r="C1910" s="17" t="n">
        <v>46313</v>
      </c>
      <c r="D1910" s="1" t="n">
        <v>33</v>
      </c>
      <c r="E1910" s="1" t="s">
        <v>305</v>
      </c>
      <c r="F1910" s="1" t="n">
        <v>34</v>
      </c>
      <c r="G1910" s="1" t="s">
        <v>110</v>
      </c>
      <c r="H1910" s="1" t="n">
        <v>2110405</v>
      </c>
      <c r="I1910" s="1" t="s">
        <v>55</v>
      </c>
      <c r="J1910" s="1" t="n">
        <v>1345312</v>
      </c>
      <c r="L1910" s="1" t="n">
        <v>180690</v>
      </c>
      <c r="M1910" s="1" t="s">
        <v>85</v>
      </c>
      <c r="N1910" s="1" t="s">
        <v>50</v>
      </c>
      <c r="P1910" s="1" t="n">
        <v>101</v>
      </c>
      <c r="Q1910" s="1" t="s">
        <v>56</v>
      </c>
      <c r="R1910" s="1" t="s">
        <v>70</v>
      </c>
      <c r="S1910" s="1" t="n">
        <v>4210203</v>
      </c>
      <c r="T1910" s="1" t="s">
        <v>750</v>
      </c>
      <c r="U1910" s="1" t="n">
        <v>247.27</v>
      </c>
      <c r="W1910" s="1" t="n">
        <v>0</v>
      </c>
      <c r="X1910" s="1" t="s">
        <v>935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46013</v>
      </c>
      <c r="C1911" s="17" t="n">
        <v>46320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660421</v>
      </c>
      <c r="L1911" s="1" t="n">
        <v>86128</v>
      </c>
      <c r="M1911" s="1" t="s">
        <v>1480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362.14</v>
      </c>
      <c r="W1911" s="1" t="n">
        <v>0</v>
      </c>
      <c r="X1911" s="1" t="s">
        <v>571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46029</v>
      </c>
      <c r="C1912" s="17" t="n">
        <v>46320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660305</v>
      </c>
      <c r="L1912" s="1" t="n">
        <v>86116</v>
      </c>
      <c r="M1912" s="1" t="s">
        <v>1480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84.03</v>
      </c>
      <c r="W1912" s="1" t="n">
        <v>0</v>
      </c>
      <c r="X1912" s="1" t="s">
        <v>570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46320</v>
      </c>
      <c r="D1913" s="1" t="n">
        <v>1782</v>
      </c>
      <c r="E1913" s="1" t="s">
        <v>1616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88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1628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46023</v>
      </c>
      <c r="C1914" s="17" t="n">
        <v>46321</v>
      </c>
      <c r="D1914" s="1" t="n">
        <v>515</v>
      </c>
      <c r="E1914" s="1" t="s">
        <v>157</v>
      </c>
      <c r="F1914" s="1" t="n">
        <v>34</v>
      </c>
      <c r="G1914" s="1" t="s">
        <v>110</v>
      </c>
      <c r="H1914" s="1" t="n">
        <v>2110405</v>
      </c>
      <c r="I1914" s="1" t="s">
        <v>55</v>
      </c>
      <c r="J1914" s="1" t="n">
        <v>1012266</v>
      </c>
      <c r="L1914" s="1" t="n">
        <v>133812</v>
      </c>
      <c r="M1914" s="1" t="s">
        <v>1480</v>
      </c>
      <c r="N1914" s="1" t="s">
        <v>50</v>
      </c>
      <c r="P1914" s="1" t="n">
        <v>101</v>
      </c>
      <c r="Q1914" s="1" t="s">
        <v>56</v>
      </c>
      <c r="R1914" s="1" t="s">
        <v>333</v>
      </c>
      <c r="S1914" s="1" t="n">
        <v>2110901</v>
      </c>
      <c r="T1914" s="1" t="s">
        <v>334</v>
      </c>
      <c r="U1914" s="1" t="n">
        <v>4168.41</v>
      </c>
      <c r="W1914" s="1" t="n">
        <v>0</v>
      </c>
      <c r="X1914" s="1" t="s">
        <v>1629</v>
      </c>
      <c r="Z1914" s="1" t="str">
        <f aca="false">IF($T1914="","",IFERROR(INDEX('Resumo Grupos'!$AC$3:$AC$200,MATCH($T1914,'Resumo Grupos'!$AB$3:$AB$200,0)),"n/d"))</f>
        <v>Empréstimo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2</v>
      </c>
      <c r="B1915" s="17" t="n">
        <v>46055</v>
      </c>
      <c r="C1915" s="17" t="n">
        <v>46327</v>
      </c>
      <c r="D1915" s="1" t="n">
        <v>10039</v>
      </c>
      <c r="E1915" s="1" t="s">
        <v>84</v>
      </c>
      <c r="F1915" s="1" t="n">
        <v>47</v>
      </c>
      <c r="G1915" s="1" t="s">
        <v>47</v>
      </c>
      <c r="H1915" s="1" t="n">
        <v>2110405</v>
      </c>
      <c r="I1915" s="1" t="s">
        <v>55</v>
      </c>
      <c r="J1915" s="1" t="n">
        <v>846832</v>
      </c>
      <c r="L1915" s="1" t="n">
        <v>111506</v>
      </c>
      <c r="M1915" s="1" t="s">
        <v>1118</v>
      </c>
      <c r="N1915" s="1" t="s">
        <v>50</v>
      </c>
      <c r="P1915" s="1" t="n">
        <v>113</v>
      </c>
      <c r="Q1915" s="1" t="s">
        <v>38</v>
      </c>
      <c r="R1915" s="1" t="s">
        <v>70</v>
      </c>
      <c r="S1915" s="1" t="n">
        <v>4210227</v>
      </c>
      <c r="T1915" s="1" t="s">
        <v>77</v>
      </c>
      <c r="U1915" s="1" t="n">
        <v>378.82</v>
      </c>
      <c r="W1915" s="1" t="n">
        <v>0</v>
      </c>
      <c r="X1915" s="1" t="s">
        <v>1630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258</v>
      </c>
    </row>
    <row r="1916" customFormat="false" ht="12.75" hidden="false" customHeight="true" outlineLevel="0" collapsed="false">
      <c r="A1916" s="1" t="n">
        <v>2</v>
      </c>
      <c r="B1916" s="17" t="n">
        <v>46244</v>
      </c>
      <c r="C1916" s="17" t="n">
        <v>46331</v>
      </c>
      <c r="D1916" s="1" t="n">
        <v>33</v>
      </c>
      <c r="E1916" s="1" t="s">
        <v>305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1530158</v>
      </c>
      <c r="L1916" s="1" t="n">
        <v>208205</v>
      </c>
      <c r="M1916" s="1" t="s">
        <v>76</v>
      </c>
      <c r="N1916" s="1" t="s">
        <v>50</v>
      </c>
      <c r="P1916" s="1" t="n">
        <v>101</v>
      </c>
      <c r="Q1916" s="1" t="s">
        <v>56</v>
      </c>
      <c r="R1916" s="1" t="s">
        <v>39</v>
      </c>
      <c r="S1916" s="1" t="n">
        <v>4210301</v>
      </c>
      <c r="T1916" s="1" t="s">
        <v>253</v>
      </c>
      <c r="U1916" s="1" t="n">
        <v>250.1</v>
      </c>
      <c r="W1916" s="1" t="n">
        <v>0</v>
      </c>
      <c r="X1916" s="1" t="s">
        <v>1548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46211</v>
      </c>
      <c r="C1917" s="17" t="n">
        <v>46336</v>
      </c>
      <c r="D1917" s="1" t="n">
        <v>33</v>
      </c>
      <c r="E1917" s="1" t="s">
        <v>305</v>
      </c>
      <c r="F1917" s="1" t="n">
        <v>34</v>
      </c>
      <c r="G1917" s="1" t="s">
        <v>110</v>
      </c>
      <c r="H1917" s="1" t="n">
        <v>2110405</v>
      </c>
      <c r="I1917" s="1" t="s">
        <v>55</v>
      </c>
      <c r="J1917" s="1" t="n">
        <v>1370733</v>
      </c>
      <c r="L1917" s="1" t="n">
        <v>184338</v>
      </c>
      <c r="M1917" s="1" t="s">
        <v>85</v>
      </c>
      <c r="N1917" s="1" t="s">
        <v>50</v>
      </c>
      <c r="P1917" s="1" t="n">
        <v>101</v>
      </c>
      <c r="Q1917" s="1" t="s">
        <v>56</v>
      </c>
      <c r="R1917" s="1" t="s">
        <v>70</v>
      </c>
      <c r="S1917" s="1" t="n">
        <v>4210222</v>
      </c>
      <c r="T1917" s="1" t="s">
        <v>1220</v>
      </c>
      <c r="U1917" s="1" t="n">
        <v>666.67</v>
      </c>
      <c r="W1917" s="1" t="n">
        <v>0</v>
      </c>
      <c r="X1917" s="1" t="s">
        <v>1221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2</v>
      </c>
      <c r="B1918" s="17" t="n">
        <v>46097</v>
      </c>
      <c r="C1918" s="17" t="n">
        <v>46341</v>
      </c>
      <c r="D1918" s="1" t="n">
        <v>1867</v>
      </c>
      <c r="E1918" s="1" t="s">
        <v>406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808550</v>
      </c>
      <c r="L1918" s="1" t="n">
        <v>2026</v>
      </c>
      <c r="M1918" s="1" t="s">
        <v>1118</v>
      </c>
      <c r="N1918" s="1" t="s">
        <v>50</v>
      </c>
      <c r="P1918" s="1" t="n">
        <v>101</v>
      </c>
      <c r="Q1918" s="1" t="s">
        <v>56</v>
      </c>
      <c r="R1918" s="1" t="s">
        <v>407</v>
      </c>
      <c r="S1918" s="1" t="n">
        <v>4210401</v>
      </c>
      <c r="T1918" s="1" t="s">
        <v>408</v>
      </c>
      <c r="U1918" s="1" t="n">
        <v>228.88</v>
      </c>
      <c r="W1918" s="1" t="n">
        <v>0</v>
      </c>
      <c r="X1918" s="1" t="s">
        <v>1631</v>
      </c>
      <c r="Z1918" s="1" t="str">
        <f aca="false">IF($T1918="","",IFERROR(INDEX('Resumo Grupos'!$AC$3:$AC$200,MATCH($T1918,'Resumo Grupos'!$AB$3:$AB$200,0)),"n/d"))</f>
        <v>Impostos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2</v>
      </c>
      <c r="B1919" s="17" t="n">
        <v>46127</v>
      </c>
      <c r="C1919" s="17" t="n">
        <v>46341</v>
      </c>
      <c r="D1919" s="1" t="n">
        <v>512</v>
      </c>
      <c r="E1919" s="1" t="s">
        <v>410</v>
      </c>
      <c r="F1919" s="1" t="n">
        <v>34</v>
      </c>
      <c r="G1919" s="1" t="s">
        <v>110</v>
      </c>
      <c r="H1919" s="1" t="n">
        <v>2110405</v>
      </c>
      <c r="I1919" s="1" t="s">
        <v>55</v>
      </c>
      <c r="J1919" s="1" t="n">
        <v>954215</v>
      </c>
      <c r="L1919" s="1" t="n">
        <v>126220</v>
      </c>
      <c r="M1919" s="1" t="s">
        <v>678</v>
      </c>
      <c r="N1919" s="1" t="s">
        <v>50</v>
      </c>
      <c r="P1919" s="1" t="n">
        <v>101</v>
      </c>
      <c r="Q1919" s="1" t="s">
        <v>56</v>
      </c>
      <c r="R1919" s="1" t="s">
        <v>411</v>
      </c>
      <c r="S1919" s="1" t="n">
        <v>4210111</v>
      </c>
      <c r="T1919" s="1" t="s">
        <v>412</v>
      </c>
      <c r="U1919" s="1" t="n">
        <v>5700</v>
      </c>
      <c r="W1919" s="1" t="n">
        <v>0</v>
      </c>
      <c r="X1919" s="1" t="s">
        <v>413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46206</v>
      </c>
      <c r="C1920" s="17" t="n">
        <v>46344</v>
      </c>
      <c r="D1920" s="1" t="n">
        <v>33</v>
      </c>
      <c r="E1920" s="1" t="s">
        <v>305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1345312</v>
      </c>
      <c r="L1920" s="1" t="n">
        <v>180690</v>
      </c>
      <c r="M1920" s="1" t="s">
        <v>67</v>
      </c>
      <c r="N1920" s="1" t="s">
        <v>50</v>
      </c>
      <c r="P1920" s="1" t="n">
        <v>101</v>
      </c>
      <c r="Q1920" s="1" t="s">
        <v>56</v>
      </c>
      <c r="R1920" s="1" t="s">
        <v>70</v>
      </c>
      <c r="S1920" s="1" t="n">
        <v>4210203</v>
      </c>
      <c r="T1920" s="1" t="s">
        <v>750</v>
      </c>
      <c r="U1920" s="1" t="n">
        <v>247.27</v>
      </c>
      <c r="W1920" s="1" t="n">
        <v>0</v>
      </c>
      <c r="X1920" s="1" t="s">
        <v>935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2</v>
      </c>
      <c r="B1921" s="17" t="n">
        <v>46256</v>
      </c>
      <c r="C1921" s="17" t="n">
        <v>46351</v>
      </c>
      <c r="D1921" s="1" t="n">
        <v>1782</v>
      </c>
      <c r="E1921" s="1" t="s">
        <v>1616</v>
      </c>
      <c r="F1921" s="1" t="n">
        <v>48</v>
      </c>
      <c r="G1921" s="1" t="s">
        <v>569</v>
      </c>
      <c r="H1921" s="1" t="n">
        <v>2110405</v>
      </c>
      <c r="I1921" s="1" t="s">
        <v>55</v>
      </c>
      <c r="J1921" s="1" t="n">
        <v>1595448</v>
      </c>
      <c r="L1921" s="1" t="n">
        <v>2208</v>
      </c>
      <c r="M1921" s="1" t="s">
        <v>76</v>
      </c>
      <c r="N1921" s="1" t="s">
        <v>50</v>
      </c>
      <c r="P1921" s="1" t="n">
        <v>101</v>
      </c>
      <c r="Q1921" s="1" t="s">
        <v>56</v>
      </c>
      <c r="R1921" s="1" t="s">
        <v>70</v>
      </c>
      <c r="S1921" s="1" t="n">
        <v>4210232</v>
      </c>
      <c r="T1921" s="1" t="s">
        <v>324</v>
      </c>
      <c r="U1921" s="1" t="n">
        <v>79.9</v>
      </c>
      <c r="W1921" s="1" t="n">
        <v>0</v>
      </c>
      <c r="X1921" s="1" t="s">
        <v>1632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2</v>
      </c>
      <c r="B1922" s="17" t="n">
        <v>46023</v>
      </c>
      <c r="C1922" s="17" t="n">
        <v>46352</v>
      </c>
      <c r="D1922" s="1" t="n">
        <v>515</v>
      </c>
      <c r="E1922" s="1" t="s">
        <v>157</v>
      </c>
      <c r="F1922" s="1" t="n">
        <v>34</v>
      </c>
      <c r="G1922" s="1" t="s">
        <v>110</v>
      </c>
      <c r="H1922" s="1" t="n">
        <v>2110405</v>
      </c>
      <c r="I1922" s="1" t="s">
        <v>55</v>
      </c>
      <c r="J1922" s="1" t="n">
        <v>1012266</v>
      </c>
      <c r="L1922" s="1" t="n">
        <v>133812</v>
      </c>
      <c r="M1922" s="1" t="s">
        <v>1633</v>
      </c>
      <c r="N1922" s="1" t="s">
        <v>50</v>
      </c>
      <c r="P1922" s="1" t="n">
        <v>101</v>
      </c>
      <c r="Q1922" s="1" t="s">
        <v>56</v>
      </c>
      <c r="R1922" s="1" t="s">
        <v>333</v>
      </c>
      <c r="S1922" s="1" t="n">
        <v>2110901</v>
      </c>
      <c r="T1922" s="1" t="s">
        <v>334</v>
      </c>
      <c r="U1922" s="1" t="n">
        <v>4168.41</v>
      </c>
      <c r="W1922" s="1" t="n">
        <v>0</v>
      </c>
      <c r="X1922" s="1" t="s">
        <v>1634</v>
      </c>
      <c r="Z1922" s="1" t="str">
        <f aca="false">IF($T1922="","",IFERROR(INDEX('Resumo Grupos'!$AC$3:$AC$200,MATCH($T1922,'Resumo Grupos'!$AB$3:$AB$200,0)),"n/d"))</f>
        <v>Empréstimo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46055</v>
      </c>
      <c r="C1923" s="17" t="n">
        <v>46357</v>
      </c>
      <c r="D1923" s="1" t="n">
        <v>10039</v>
      </c>
      <c r="E1923" s="1" t="s">
        <v>84</v>
      </c>
      <c r="F1923" s="1" t="n">
        <v>47</v>
      </c>
      <c r="G1923" s="1" t="s">
        <v>47</v>
      </c>
      <c r="H1923" s="1" t="n">
        <v>2110405</v>
      </c>
      <c r="I1923" s="1" t="s">
        <v>55</v>
      </c>
      <c r="J1923" s="1" t="n">
        <v>846832</v>
      </c>
      <c r="L1923" s="1" t="n">
        <v>111506</v>
      </c>
      <c r="M1923" s="1" t="s">
        <v>1480</v>
      </c>
      <c r="N1923" s="1" t="s">
        <v>50</v>
      </c>
      <c r="P1923" s="1" t="n">
        <v>113</v>
      </c>
      <c r="Q1923" s="1" t="s">
        <v>38</v>
      </c>
      <c r="R1923" s="1" t="s">
        <v>70</v>
      </c>
      <c r="S1923" s="1" t="n">
        <v>4210227</v>
      </c>
      <c r="T1923" s="1" t="s">
        <v>77</v>
      </c>
      <c r="U1923" s="1" t="n">
        <v>378.82</v>
      </c>
      <c r="W1923" s="1" t="n">
        <v>0</v>
      </c>
      <c r="X1923" s="1" t="s">
        <v>1635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nao encontrado</v>
      </c>
      <c r="AC1923" s="1" t="n">
        <v>258</v>
      </c>
    </row>
    <row r="1924" customFormat="false" ht="12.75" hidden="false" customHeight="true" outlineLevel="0" collapsed="false">
      <c r="A1924" s="1" t="n">
        <v>2</v>
      </c>
      <c r="B1924" s="17" t="n">
        <v>46244</v>
      </c>
      <c r="C1924" s="17" t="n">
        <v>46361</v>
      </c>
      <c r="D1924" s="1" t="n">
        <v>33</v>
      </c>
      <c r="E1924" s="1" t="s">
        <v>305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1530158</v>
      </c>
      <c r="L1924" s="1" t="n">
        <v>208205</v>
      </c>
      <c r="M1924" s="1" t="s">
        <v>85</v>
      </c>
      <c r="N1924" s="1" t="s">
        <v>50</v>
      </c>
      <c r="P1924" s="1" t="n">
        <v>101</v>
      </c>
      <c r="Q1924" s="1" t="s">
        <v>56</v>
      </c>
      <c r="R1924" s="1" t="s">
        <v>39</v>
      </c>
      <c r="S1924" s="1" t="n">
        <v>4210301</v>
      </c>
      <c r="T1924" s="1" t="s">
        <v>253</v>
      </c>
      <c r="U1924" s="1" t="n">
        <v>250.1</v>
      </c>
      <c r="W1924" s="1" t="n">
        <v>0</v>
      </c>
      <c r="X1924" s="1" t="s">
        <v>1548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2</v>
      </c>
      <c r="B1925" s="17" t="n">
        <v>46211</v>
      </c>
      <c r="C1925" s="17" t="n">
        <v>46366</v>
      </c>
      <c r="D1925" s="1" t="n">
        <v>33</v>
      </c>
      <c r="E1925" s="1" t="s">
        <v>305</v>
      </c>
      <c r="F1925" s="1" t="n">
        <v>34</v>
      </c>
      <c r="G1925" s="1" t="s">
        <v>110</v>
      </c>
      <c r="H1925" s="1" t="n">
        <v>2110405</v>
      </c>
      <c r="I1925" s="1" t="s">
        <v>55</v>
      </c>
      <c r="J1925" s="1" t="n">
        <v>1370733</v>
      </c>
      <c r="L1925" s="1" t="n">
        <v>184338</v>
      </c>
      <c r="M1925" s="1" t="s">
        <v>67</v>
      </c>
      <c r="N1925" s="1" t="s">
        <v>50</v>
      </c>
      <c r="P1925" s="1" t="n">
        <v>101</v>
      </c>
      <c r="Q1925" s="1" t="s">
        <v>56</v>
      </c>
      <c r="R1925" s="1" t="s">
        <v>70</v>
      </c>
      <c r="S1925" s="1" t="n">
        <v>4210222</v>
      </c>
      <c r="T1925" s="1" t="s">
        <v>1220</v>
      </c>
      <c r="U1925" s="1" t="n">
        <v>666.67</v>
      </c>
      <c r="W1925" s="1" t="n">
        <v>0</v>
      </c>
      <c r="X1925" s="1" t="s">
        <v>1221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2</v>
      </c>
      <c r="B1926" s="17" t="n">
        <v>46097</v>
      </c>
      <c r="C1926" s="17" t="n">
        <v>46371</v>
      </c>
      <c r="D1926" s="1" t="n">
        <v>1867</v>
      </c>
      <c r="E1926" s="1" t="s">
        <v>406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808550</v>
      </c>
      <c r="L1926" s="1" t="n">
        <v>2026</v>
      </c>
      <c r="M1926" s="1" t="s">
        <v>1480</v>
      </c>
      <c r="N1926" s="1" t="s">
        <v>50</v>
      </c>
      <c r="P1926" s="1" t="n">
        <v>101</v>
      </c>
      <c r="Q1926" s="1" t="s">
        <v>56</v>
      </c>
      <c r="R1926" s="1" t="s">
        <v>407</v>
      </c>
      <c r="S1926" s="1" t="n">
        <v>4210401</v>
      </c>
      <c r="T1926" s="1" t="s">
        <v>408</v>
      </c>
      <c r="U1926" s="1" t="n">
        <v>228.88</v>
      </c>
      <c r="W1926" s="1" t="n">
        <v>0</v>
      </c>
      <c r="X1926" s="1" t="s">
        <v>1636</v>
      </c>
      <c r="Z1926" s="1" t="str">
        <f aca="false">IF($T1926="","",IFERROR(INDEX('Resumo Grupos'!$AC$3:$AC$200,MATCH($T1926,'Resumo Grupos'!$AB$3:$AB$200,0)),"n/d"))</f>
        <v>Impostos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2</v>
      </c>
      <c r="B1927" s="17" t="n">
        <v>46127</v>
      </c>
      <c r="C1927" s="17" t="n">
        <v>46371</v>
      </c>
      <c r="D1927" s="1" t="n">
        <v>512</v>
      </c>
      <c r="E1927" s="1" t="s">
        <v>410</v>
      </c>
      <c r="F1927" s="1" t="n">
        <v>34</v>
      </c>
      <c r="G1927" s="1" t="s">
        <v>110</v>
      </c>
      <c r="H1927" s="1" t="n">
        <v>2110405</v>
      </c>
      <c r="I1927" s="1" t="s">
        <v>55</v>
      </c>
      <c r="J1927" s="1" t="n">
        <v>954215</v>
      </c>
      <c r="L1927" s="1" t="n">
        <v>126220</v>
      </c>
      <c r="M1927" s="1" t="s">
        <v>1118</v>
      </c>
      <c r="N1927" s="1" t="s">
        <v>50</v>
      </c>
      <c r="P1927" s="1" t="n">
        <v>101</v>
      </c>
      <c r="Q1927" s="1" t="s">
        <v>56</v>
      </c>
      <c r="R1927" s="1" t="s">
        <v>411</v>
      </c>
      <c r="S1927" s="1" t="n">
        <v>4210111</v>
      </c>
      <c r="T1927" s="1" t="s">
        <v>412</v>
      </c>
      <c r="U1927" s="1" t="n">
        <v>5700</v>
      </c>
      <c r="W1927" s="1" t="n">
        <v>0</v>
      </c>
      <c r="X1927" s="1" t="s">
        <v>413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46206</v>
      </c>
      <c r="C1928" s="17" t="n">
        <v>46374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1345312</v>
      </c>
      <c r="L1928" s="1" t="n">
        <v>180690</v>
      </c>
      <c r="M1928" s="1" t="s">
        <v>61</v>
      </c>
      <c r="N1928" s="1" t="s">
        <v>50</v>
      </c>
      <c r="P1928" s="1" t="n">
        <v>101</v>
      </c>
      <c r="Q1928" s="1" t="s">
        <v>56</v>
      </c>
      <c r="R1928" s="1" t="s">
        <v>70</v>
      </c>
      <c r="S1928" s="1" t="n">
        <v>4210203</v>
      </c>
      <c r="T1928" s="1" t="s">
        <v>750</v>
      </c>
      <c r="U1928" s="1" t="n">
        <v>247.27</v>
      </c>
      <c r="W1928" s="1" t="n">
        <v>0</v>
      </c>
      <c r="X1928" s="1" t="s">
        <v>935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46011</v>
      </c>
      <c r="C1929" s="17" t="n">
        <v>46376</v>
      </c>
      <c r="D1929" s="1" t="n">
        <v>10028</v>
      </c>
      <c r="E1929" s="1" t="s">
        <v>495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375619</v>
      </c>
      <c r="L1929" s="1" t="n">
        <v>664</v>
      </c>
      <c r="M1929" s="1" t="s">
        <v>88</v>
      </c>
      <c r="N1929" s="1" t="s">
        <v>50</v>
      </c>
      <c r="P1929" s="1" t="n">
        <v>101</v>
      </c>
      <c r="Q1929" s="1" t="s">
        <v>56</v>
      </c>
      <c r="R1929" s="1" t="s">
        <v>39</v>
      </c>
      <c r="S1929" s="1" t="n">
        <v>4210315</v>
      </c>
      <c r="T1929" s="1" t="s">
        <v>283</v>
      </c>
      <c r="U1929" s="1" t="n">
        <v>595.9</v>
      </c>
      <c r="W1929" s="1" t="n">
        <v>0</v>
      </c>
      <c r="X1929" s="1" t="s">
        <v>1637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2</v>
      </c>
      <c r="B1930" s="17" t="n">
        <v>46256</v>
      </c>
      <c r="C1930" s="17" t="n">
        <v>46381</v>
      </c>
      <c r="D1930" s="1" t="n">
        <v>1782</v>
      </c>
      <c r="E1930" s="1" t="s">
        <v>1616</v>
      </c>
      <c r="F1930" s="1" t="n">
        <v>48</v>
      </c>
      <c r="G1930" s="1" t="s">
        <v>569</v>
      </c>
      <c r="H1930" s="1" t="n">
        <v>2110405</v>
      </c>
      <c r="I1930" s="1" t="s">
        <v>55</v>
      </c>
      <c r="J1930" s="1" t="n">
        <v>1595448</v>
      </c>
      <c r="L1930" s="1" t="n">
        <v>2208</v>
      </c>
      <c r="M1930" s="1" t="s">
        <v>85</v>
      </c>
      <c r="N1930" s="1" t="s">
        <v>50</v>
      </c>
      <c r="P1930" s="1" t="n">
        <v>101</v>
      </c>
      <c r="Q1930" s="1" t="s">
        <v>56</v>
      </c>
      <c r="R1930" s="1" t="s">
        <v>70</v>
      </c>
      <c r="S1930" s="1" t="n">
        <v>4210232</v>
      </c>
      <c r="T1930" s="1" t="s">
        <v>324</v>
      </c>
      <c r="U1930" s="1" t="n">
        <v>79.9</v>
      </c>
      <c r="W1930" s="1" t="n">
        <v>0</v>
      </c>
      <c r="X1930" s="1" t="s">
        <v>1638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46023</v>
      </c>
      <c r="C1931" s="17" t="n">
        <v>46383</v>
      </c>
      <c r="D1931" s="1" t="n">
        <v>515</v>
      </c>
      <c r="E1931" s="1" t="s">
        <v>157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1012266</v>
      </c>
      <c r="L1931" s="1" t="n">
        <v>133812</v>
      </c>
      <c r="M1931" s="1" t="s">
        <v>1639</v>
      </c>
      <c r="N1931" s="1" t="s">
        <v>50</v>
      </c>
      <c r="P1931" s="1" t="n">
        <v>101</v>
      </c>
      <c r="Q1931" s="1" t="s">
        <v>56</v>
      </c>
      <c r="R1931" s="1" t="s">
        <v>333</v>
      </c>
      <c r="S1931" s="1" t="n">
        <v>2110901</v>
      </c>
      <c r="T1931" s="1" t="s">
        <v>334</v>
      </c>
      <c r="U1931" s="1" t="n">
        <v>4168.41</v>
      </c>
      <c r="W1931" s="1" t="n">
        <v>0</v>
      </c>
      <c r="X1931" s="1" t="s">
        <v>1640</v>
      </c>
      <c r="Z1931" s="1" t="str">
        <f aca="false">IF($T1931="","",IFERROR(INDEX('Resumo Grupos'!$AC$3:$AC$200,MATCH($T1931,'Resumo Grupos'!$AB$3:$AB$200,0)),"n/d"))</f>
        <v>Empréstimo</v>
      </c>
      <c r="AA1931" s="1" t="str">
        <f aca="false">IF($T1931="","",IF(COUNTIF('Resumo Grupos'!$AE$3:$AE$40,$T1931)&gt;0,"NAO","SIM"))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1641</v>
      </c>
      <c r="D1" s="20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SEM FORNECEDOR</v>
      </c>
      <c r="C2" s="16" t="n">
        <f aca="false">Report!U12</f>
        <v>2750</v>
      </c>
      <c r="D2" s="1" t="str">
        <f aca="false">Report!X12</f>
        <v>Depósito ref. 01/06/2026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E M G FRANCISCIS E CIA LTDA</v>
      </c>
      <c r="C3" s="16" t="n">
        <f aca="false">Report!U20</f>
        <v>154.66</v>
      </c>
      <c r="D3" s="1" t="str">
        <f aca="false">Report!X20</f>
        <v>NF 167571 DESPESAS- CT DIA 1 - PARC 3/3 - ELLEN 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METALURGICA MARLIN INDUSTRIA E COMERCIO DE FERRO E ACO LTDA</v>
      </c>
      <c r="C4" s="16" t="n">
        <f aca="false">Report!U21</f>
        <v>1630</v>
      </c>
      <c r="D4" s="1" t="str">
        <f aca="false">Report!X21</f>
        <v>NF 439164 DESPESAS-CT DIA 1 - PARC 3/4 -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L S C DA SILVA PRADO LTDA</v>
      </c>
      <c r="C5" s="16" t="n">
        <f aca="false">Report!U22</f>
        <v>378.82</v>
      </c>
      <c r="D5" s="1" t="str">
        <f aca="false">Report!X22</f>
        <v>NF 258 DESPESAS - CT DIA 1 - PARC 4/12 -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A. CORREA JUNIOR</v>
      </c>
      <c r="C6" s="16" t="n">
        <f aca="false">Report!U23</f>
        <v>906.75</v>
      </c>
      <c r="D6" s="1" t="str">
        <f aca="false">Report!X23</f>
        <v>NF 1768 CARTÃO DIA 1 - PARC 2/2 -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EMPRESA BRASILEIRA DE DISTRIBUICAO LTDA</v>
      </c>
      <c r="C7" s="16" t="n">
        <f aca="false">Report!U24</f>
        <v>100.36</v>
      </c>
      <c r="D7" s="1" t="str">
        <f aca="false">Report!X24</f>
        <v>NF 2282942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EMPRESA BRASILEIRA DE DISTRIBUICAO LTDA</v>
      </c>
      <c r="C8" s="16" t="n">
        <f aca="false">Report!U25</f>
        <v>628.88</v>
      </c>
      <c r="D8" s="1" t="str">
        <f aca="false">Report!X25</f>
        <v>NF 2282943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DURAES DISTRIBUIDORA DE ESTIVAS LTDA</v>
      </c>
      <c r="C9" s="16" t="n">
        <f aca="false">Report!U26</f>
        <v>346.6</v>
      </c>
      <c r="D9" s="1" t="str">
        <f aca="false">Report!X26</f>
        <v>NF 641255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FENNIX BRASIL DISTRIBUIDORA DE PRODUTOS</v>
      </c>
      <c r="C10" s="16" t="n">
        <f aca="false">Report!U27</f>
        <v>750.79</v>
      </c>
      <c r="D10" s="1" t="str">
        <f aca="false">Report!X27</f>
        <v>NF 305709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DUNORTE DISTRIBUIDORA DE PRODUTOS DE CONSUMO LTDA</v>
      </c>
      <c r="C11" s="16" t="n">
        <f aca="false">Report!U28</f>
        <v>389.51</v>
      </c>
      <c r="D11" s="1" t="str">
        <f aca="false">Report!X28</f>
        <v>NF 3188783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DUNORTE DISTRIBUIDORA DE PRODUTOS DE CONSUMO LTDA</v>
      </c>
      <c r="C12" s="16" t="n">
        <f aca="false">Report!U29</f>
        <v>1560.38</v>
      </c>
      <c r="D12" s="1" t="str">
        <f aca="false">Report!X29</f>
        <v>NF 3188782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TAPAJOS COM DE PERFUMARIA COSMETICOS E G</v>
      </c>
      <c r="C13" s="16" t="n">
        <f aca="false">Report!U30</f>
        <v>1093.35</v>
      </c>
      <c r="D13" s="1" t="str">
        <f aca="false">Report!X30</f>
        <v>NF 569925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H. L. DO NASCIMENTO</v>
      </c>
      <c r="C14" s="16" t="n">
        <f aca="false">Report!U31</f>
        <v>536.65</v>
      </c>
      <c r="D14" s="1" t="str">
        <f aca="false">Report!X31</f>
        <v>NF 5582 ELLEN</v>
      </c>
    </row>
    <row r="15" customFormat="false" ht="12.75" hidden="false" customHeight="true" outlineLevel="0" collapsed="false">
      <c r="A15" s="15" t="n">
        <f aca="false">Report!C36</f>
        <v>46174</v>
      </c>
      <c r="B15" s="1" t="str">
        <f aca="false">Report!E36</f>
        <v>SANDRO HELIO OLIVEIRA COSTA</v>
      </c>
      <c r="C15" s="16" t="n">
        <f aca="false">Report!U36</f>
        <v>260</v>
      </c>
      <c r="D15" s="1" t="str">
        <f aca="false">Report!X36</f>
        <v>VT SANDRO JUNHO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CAMPOS E LIMA GESTAO EMPRESARIAL</v>
      </c>
      <c r="C16" s="16" t="n">
        <f aca="false">Report!U38</f>
        <v>404.78</v>
      </c>
      <c r="D16" s="1" t="str">
        <f aca="false">Report!X38</f>
        <v>MENSALIDADE SISTEMA MO2 - KEILA 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SEM FORNECEDOR</v>
      </c>
      <c r="C17" s="16" t="n">
        <f aca="false">Report!U39</f>
        <v>70</v>
      </c>
      <c r="D17" s="1" t="str">
        <f aca="false">Report!X39</f>
        <v>extra davi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SEM FORNECEDOR</v>
      </c>
      <c r="C18" s="16" t="n">
        <f aca="false">Report!U40</f>
        <v>70</v>
      </c>
      <c r="D18" s="1" t="str">
        <f aca="false">Report!X40</f>
        <v>extra idelma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SEM FORNECEDOR</v>
      </c>
      <c r="C19" s="16" t="n">
        <f aca="false">Report!U41</f>
        <v>50</v>
      </c>
      <c r="D19" s="1" t="str">
        <f aca="false">Report!X41</f>
        <v>diaria helio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SEM FORNECEDOR</v>
      </c>
      <c r="C20" s="16" t="n">
        <f aca="false">Report!U42</f>
        <v>2200</v>
      </c>
      <c r="D20" s="1" t="str">
        <f aca="false">Report!X42</f>
        <v>Depósito ref. 02/06/2026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TRIPLASTIK VAREJO</v>
      </c>
      <c r="C21" s="16" t="n">
        <f aca="false">Report!U43</f>
        <v>1373.2</v>
      </c>
      <c r="D21" s="1" t="str">
        <f aca="false">Report!X43</f>
        <v>NF 3083 DESPESAS - SACOLAS -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BONNA VITTA INDUSTRIA E COMERCIO LTDA.</v>
      </c>
      <c r="C22" s="16" t="n">
        <f aca="false">Report!U44</f>
        <v>1398</v>
      </c>
      <c r="D22" s="1" t="str">
        <f aca="false">Report!X44</f>
        <v>NF 515967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BRASIL NORTE BEBIDAS S/A</v>
      </c>
      <c r="C23" s="16" t="n">
        <f aca="false">Report!U45</f>
        <v>256.41</v>
      </c>
      <c r="D23" s="1" t="str">
        <f aca="false">Report!X45</f>
        <v>NF 1834010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BRASIL NORTE BEBIDAS S/A</v>
      </c>
      <c r="C24" s="16" t="n">
        <f aca="false">Report!U46</f>
        <v>1193.82</v>
      </c>
      <c r="D24" s="1" t="str">
        <f aca="false">Report!X46</f>
        <v>NF 1833935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BRASIL NORTE BEBIDAS S/A</v>
      </c>
      <c r="C25" s="16" t="n">
        <f aca="false">Report!U47</f>
        <v>186.51</v>
      </c>
      <c r="D25" s="1" t="str">
        <f aca="false">Report!X47</f>
        <v>NF 1124397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NJF INDUSTRIA E COMERCIO LTDA</v>
      </c>
      <c r="C26" s="16" t="n">
        <f aca="false">Report!U49</f>
        <v>280</v>
      </c>
      <c r="D26" s="1" t="str">
        <f aca="false">Report!X49</f>
        <v>NF 81956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NJF INDUSTRIA E COMERCIO LTDA</v>
      </c>
      <c r="C27" s="16" t="n">
        <f aca="false">Report!U50</f>
        <v>1006.5</v>
      </c>
      <c r="D27" s="1" t="str">
        <f aca="false">Report!X50</f>
        <v>NF 81957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LIMA E BARANDA COMERCIO DE PRODUTOS REGI</v>
      </c>
      <c r="C28" s="16" t="n">
        <f aca="false">Report!U51</f>
        <v>199</v>
      </c>
      <c r="D28" s="1" t="str">
        <f aca="false">Report!X51</f>
        <v>NF 30655 ELLEN</v>
      </c>
    </row>
    <row r="29" customFormat="false" ht="12.75" hidden="false" customHeight="true" outlineLevel="0" collapsed="false">
      <c r="A29" s="15" t="n">
        <f aca="false">Report!C58</f>
        <v>46175</v>
      </c>
      <c r="B29" s="1" t="str">
        <f aca="false">Report!E58</f>
        <v>MANOEL TEXEIRA DE SOUZA RESTAURANTE</v>
      </c>
      <c r="C29" s="16" t="n">
        <f aca="false">Report!U58</f>
        <v>140</v>
      </c>
      <c r="D29" s="1" t="str">
        <f aca="false">Report!X58</f>
        <v>NF 5932 COMPRAS-BOLO PG NO P 2/6 ELLEN</v>
      </c>
    </row>
    <row r="30" customFormat="false" ht="12.75" hidden="false" customHeight="true" outlineLevel="0" collapsed="false">
      <c r="A30" s="15" t="n">
        <f aca="false">Report!C59</f>
        <v>46175</v>
      </c>
      <c r="B30" s="1" t="str">
        <f aca="false">Report!E59</f>
        <v>ITAU SA</v>
      </c>
      <c r="C30" s="16" t="n">
        <f aca="false">Report!U59</f>
        <v>329.94</v>
      </c>
      <c r="D30" s="1" t="str">
        <f aca="false">Report!X59</f>
        <v>IOF 6083.46843-6 - DEBORA</v>
      </c>
    </row>
    <row r="31" customFormat="false" ht="12.75" hidden="false" customHeight="true" outlineLevel="0" collapsed="false">
      <c r="A31" s="15" t="n">
        <f aca="false">Report!C60</f>
        <v>46175</v>
      </c>
      <c r="B31" s="1" t="str">
        <f aca="false">Report!E60</f>
        <v>ITAU SA</v>
      </c>
      <c r="C31" s="16" t="n">
        <f aca="false">Report!U60</f>
        <v>114.21</v>
      </c>
      <c r="D31" s="1" t="str">
        <f aca="false">Report!X60</f>
        <v>IOF 6083.43968-4 - DEBORA</v>
      </c>
    </row>
    <row r="32" customFormat="false" ht="12.75" hidden="false" customHeight="true" outlineLevel="0" collapsed="false">
      <c r="A32" s="15" t="n">
        <f aca="false">Report!C61</f>
        <v>46175</v>
      </c>
      <c r="B32" s="1" t="str">
        <f aca="false">Report!E61</f>
        <v>ITAU SA</v>
      </c>
      <c r="C32" s="16" t="n">
        <f aca="false">Report!U61</f>
        <v>212.66</v>
      </c>
      <c r="D32" s="1" t="str">
        <f aca="false">Report!X61</f>
        <v>IOF - DEBORA</v>
      </c>
    </row>
    <row r="33" customFormat="false" ht="12.75" hidden="false" customHeight="true" outlineLevel="0" collapsed="false">
      <c r="A33" s="15" t="n">
        <f aca="false">Report!C62</f>
        <v>46175</v>
      </c>
      <c r="B33" s="1" t="str">
        <f aca="false">Report!E62</f>
        <v>ITAU SA</v>
      </c>
      <c r="C33" s="16" t="n">
        <f aca="false">Report!U62</f>
        <v>36.11</v>
      </c>
      <c r="D33" s="1" t="str">
        <f aca="false">Report!X62</f>
        <v>TAR PIX PGTO TRANF - DEBORA</v>
      </c>
    </row>
    <row r="34" customFormat="false" ht="12.75" hidden="false" customHeight="true" outlineLevel="0" collapsed="false">
      <c r="A34" s="15" t="n">
        <f aca="false">Report!C63</f>
        <v>46175</v>
      </c>
      <c r="B34" s="1" t="str">
        <f aca="false">Report!E63</f>
        <v>ITAU SA</v>
      </c>
      <c r="C34" s="16" t="n">
        <f aca="false">Report!U63</f>
        <v>0.22</v>
      </c>
      <c r="D34" s="1" t="str">
        <f aca="false">Report!X63</f>
        <v>TAR PIX QR CODE LIQ MAQUININHA - DEBORA</v>
      </c>
    </row>
    <row r="35" customFormat="false" ht="12.75" hidden="false" customHeight="true" outlineLevel="0" collapsed="false">
      <c r="A35" s="15" t="n">
        <f aca="false">Report!C64</f>
        <v>46175</v>
      </c>
      <c r="B35" s="1" t="str">
        <f aca="false">Report!E64</f>
        <v>ITAU SA</v>
      </c>
      <c r="C35" s="16" t="n">
        <f aca="false">Report!U64</f>
        <v>485.04</v>
      </c>
      <c r="D35" s="1" t="str">
        <f aca="false">Report!X64</f>
        <v>TAR PIX QR CODE LIQUIDA - DEBORA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SEM FORNECEDOR</v>
      </c>
      <c r="C36" s="16" t="n">
        <f aca="false">Report!U65</f>
        <v>120</v>
      </c>
      <c r="D36" s="1" t="str">
        <f aca="false">Report!X65</f>
        <v>extra helio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SEM FORNECEDOR</v>
      </c>
      <c r="C37" s="16" t="n">
        <f aca="false">Report!U66</f>
        <v>70</v>
      </c>
      <c r="D37" s="1" t="str">
        <f aca="false">Report!X66</f>
        <v>extra idelma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SEM FORNECEDOR</v>
      </c>
      <c r="C38" s="16" t="n">
        <f aca="false">Report!U67</f>
        <v>2600</v>
      </c>
      <c r="D38" s="1" t="str">
        <f aca="false">Report!X67</f>
        <v>Depósito ref. 03/06/2026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DUNORTE DISTRIBUIDORA DE PRODUTOS DE CONSUMO LTDA</v>
      </c>
      <c r="C39" s="16" t="n">
        <f aca="false">Report!U68</f>
        <v>1036.09</v>
      </c>
      <c r="D39" s="1" t="str">
        <f aca="false">Report!X68</f>
        <v>NF 3186737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TRES CORACOES ALIMENTOS S.A.</v>
      </c>
      <c r="C40" s="16" t="n">
        <f aca="false">Report!U69</f>
        <v>843.12</v>
      </c>
      <c r="D40" s="1" t="str">
        <f aca="false">Report!X69</f>
        <v>NF 341419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MARTINS COM SERV DISTR SA</v>
      </c>
      <c r="C41" s="16" t="n">
        <f aca="false">Report!U70</f>
        <v>392.13</v>
      </c>
      <c r="D41" s="1" t="str">
        <f aca="false">Report!X70</f>
        <v>NF 1762194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MARTINS COM SERV DISTR SA</v>
      </c>
      <c r="C42" s="16" t="n">
        <f aca="false">Report!U71</f>
        <v>691.5</v>
      </c>
      <c r="D42" s="1" t="str">
        <f aca="false">Report!X71</f>
        <v>NF 1762195 ELLEN</v>
      </c>
    </row>
    <row r="43" customFormat="false" ht="12.75" hidden="false" customHeight="true" outlineLevel="0" collapsed="false">
      <c r="A43" s="15" t="n">
        <f aca="false">Report!C72</f>
        <v>46176</v>
      </c>
      <c r="B43" s="1" t="str">
        <f aca="false">Report!E72</f>
        <v>BRF S A</v>
      </c>
      <c r="C43" s="16" t="n">
        <f aca="false">Report!U72</f>
        <v>349.37</v>
      </c>
      <c r="D43" s="1" t="str">
        <f aca="false">Report!X72</f>
        <v>NF 1585747 ELLEN</v>
      </c>
    </row>
    <row r="44" customFormat="false" ht="12.75" hidden="false" customHeight="true" outlineLevel="0" collapsed="false">
      <c r="A44" s="15" t="n">
        <f aca="false">Report!C73</f>
        <v>46176</v>
      </c>
      <c r="B44" s="1" t="str">
        <f aca="false">Report!E73</f>
        <v>SB COMERCIO LTDA</v>
      </c>
      <c r="C44" s="16" t="n">
        <f aca="false">Report!U73</f>
        <v>1262.32</v>
      </c>
      <c r="D44" s="1" t="str">
        <f aca="false">Report!X73</f>
        <v>NF 1952417 ELLEN</v>
      </c>
    </row>
    <row r="45" customFormat="false" ht="12.75" hidden="false" customHeight="true" outlineLevel="0" collapsed="false">
      <c r="A45" s="15" t="n">
        <f aca="false">Report!C74</f>
        <v>46176</v>
      </c>
      <c r="B45" s="1" t="str">
        <f aca="false">Report!E74</f>
        <v>MARCLEY MACHADO CHAVES</v>
      </c>
      <c r="C45" s="16" t="n">
        <f aca="false">Report!U74</f>
        <v>504.96</v>
      </c>
      <c r="D45" s="1" t="str">
        <f aca="false">Report!X74</f>
        <v>NF 3481 ELLEN</v>
      </c>
    </row>
    <row r="46" customFormat="false" ht="12.75" hidden="false" customHeight="true" outlineLevel="0" collapsed="false">
      <c r="A46" s="15" t="n">
        <f aca="false">Report!C75</f>
        <v>46176</v>
      </c>
      <c r="B46" s="1" t="str">
        <f aca="false">Report!E75</f>
        <v>J G COMERCIO DE PRODUTOS ALIMENTICIOS LTDA</v>
      </c>
      <c r="C46" s="16" t="n">
        <f aca="false">Report!U75</f>
        <v>774.34</v>
      </c>
      <c r="D46" s="1" t="str">
        <f aca="false">Report!X75</f>
        <v>NF 382547 ELLEN</v>
      </c>
    </row>
    <row r="47" customFormat="false" ht="12.75" hidden="false" customHeight="true" outlineLevel="0" collapsed="false">
      <c r="A47" s="15" t="n">
        <f aca="false">Report!C76</f>
        <v>46176</v>
      </c>
      <c r="B47" s="1" t="str">
        <f aca="false">Report!E76</f>
        <v>BF COMERCIO DE ALIMENTOS REPRESENTACAO L</v>
      </c>
      <c r="C47" s="16" t="n">
        <f aca="false">Report!U76</f>
        <v>340.77</v>
      </c>
      <c r="D47" s="1" t="str">
        <f aca="false">Report!X76</f>
        <v>NF 20752 ELLEN</v>
      </c>
    </row>
    <row r="48" customFormat="false" ht="12.75" hidden="false" customHeight="true" outlineLevel="0" collapsed="false">
      <c r="A48" s="15" t="n">
        <f aca="false">Report!C77</f>
        <v>46176</v>
      </c>
      <c r="B48" s="1" t="str">
        <f aca="false">Report!E77</f>
        <v>PIARARA COMERCIO, IMPORTACAO E EXPORTACAO LTDA</v>
      </c>
      <c r="C48" s="16" t="n">
        <f aca="false">Report!U77</f>
        <v>534.12</v>
      </c>
      <c r="D48" s="1" t="str">
        <f aca="false">Report!X77</f>
        <v>NF 192719 ELLEN</v>
      </c>
    </row>
    <row r="49" customFormat="false" ht="12.75" hidden="false" customHeight="true" outlineLevel="0" collapsed="false">
      <c r="A49" s="15" t="n">
        <f aca="false">Report!C78</f>
        <v>46176</v>
      </c>
      <c r="B49" s="1" t="str">
        <f aca="false">Report!E78</f>
        <v>BRF S A</v>
      </c>
      <c r="C49" s="16" t="n">
        <f aca="false">Report!U78</f>
        <v>1208.63</v>
      </c>
      <c r="D49" s="1" t="str">
        <f aca="false">Report!X78</f>
        <v>NF 1588694 ELLEN</v>
      </c>
    </row>
    <row r="50" customFormat="false" ht="12.75" hidden="false" customHeight="true" outlineLevel="0" collapsed="false">
      <c r="A50" s="15" t="n">
        <f aca="false">Report!C80</f>
        <v>46176</v>
      </c>
      <c r="B50" s="1" t="str">
        <f aca="false">Report!E80</f>
        <v>NEYLIANE S DE OLIVEIRA &amp; CIA LTDA</v>
      </c>
      <c r="C50" s="16" t="n">
        <f aca="false">Report!U80</f>
        <v>950</v>
      </c>
      <c r="D50" s="1" t="str">
        <f aca="false">Report!X80</f>
        <v>COMPRAS - 5 FDS FARINHA OVINHA -3 IRMAOS- ELLEN</v>
      </c>
    </row>
    <row r="51" customFormat="false" ht="12.75" hidden="false" customHeight="true" outlineLevel="0" collapsed="false">
      <c r="A51" s="15" t="n">
        <f aca="false">Report!C81</f>
        <v>46176</v>
      </c>
      <c r="B51" s="1" t="str">
        <f aca="false">Report!E81</f>
        <v>NATUREZA COMERCIO DE DESCARTAVEIS LTDA</v>
      </c>
      <c r="C51" s="16" t="n">
        <f aca="false">Report!U81</f>
        <v>84.11</v>
      </c>
      <c r="D51" s="1" t="str">
        <f aca="false">Report!X81</f>
        <v>NF 27273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CB COMERCIO E DISTRIBUIDORA DE ALIMENTOS</v>
      </c>
      <c r="C52" s="16" t="n">
        <f aca="false">Report!U83</f>
        <v>897.51</v>
      </c>
      <c r="D52" s="1" t="str">
        <f aca="false">Report!X83</f>
        <v>NF 831791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BRASIL NORTE BEBIDAS S/A</v>
      </c>
      <c r="C53" s="16" t="n">
        <f aca="false">Report!U84</f>
        <v>157.75</v>
      </c>
      <c r="D53" s="1" t="str">
        <f aca="false">Report!X84</f>
        <v>NF 1109453</v>
      </c>
    </row>
    <row r="54" customFormat="false" ht="12.75" hidden="false" customHeight="true" outlineLevel="0" collapsed="false">
      <c r="A54" s="15" t="n">
        <f aca="false">Report!C85</f>
        <v>46177</v>
      </c>
      <c r="B54" s="1" t="str">
        <f aca="false">Report!E85</f>
        <v>MARTINS COM SERV DISTR SA</v>
      </c>
      <c r="C54" s="16" t="n">
        <f aca="false">Report!U85</f>
        <v>3345.97</v>
      </c>
      <c r="D54" s="1" t="str">
        <f aca="false">Report!X85</f>
        <v>NF'S 1762653/1762654 - ELLEN</v>
      </c>
    </row>
    <row r="55" customFormat="false" ht="12.75" hidden="false" customHeight="true" outlineLevel="0" collapsed="false">
      <c r="A55" s="15" t="n">
        <f aca="false">Report!C86</f>
        <v>46177</v>
      </c>
      <c r="B55" s="1" t="str">
        <f aca="false">Report!E86</f>
        <v>DA FRUTA DISTRIBUIDORA LTDA</v>
      </c>
      <c r="C55" s="16" t="n">
        <f aca="false">Report!U86</f>
        <v>538.53</v>
      </c>
      <c r="D55" s="1" t="str">
        <f aca="false">Report!X86</f>
        <v>NF 195290 ELLEN</v>
      </c>
    </row>
    <row r="56" customFormat="false" ht="12.75" hidden="false" customHeight="true" outlineLevel="0" collapsed="false">
      <c r="A56" s="15" t="n">
        <f aca="false">Report!C87</f>
        <v>46177</v>
      </c>
      <c r="B56" s="1" t="str">
        <f aca="false">Report!E87</f>
        <v>T A DE MATTOS COMIM EIRELI</v>
      </c>
      <c r="C56" s="16" t="n">
        <f aca="false">Report!U87</f>
        <v>228</v>
      </c>
      <c r="D56" s="1" t="str">
        <f aca="false">Report!X87</f>
        <v>NF 10468 ELLEN</v>
      </c>
    </row>
    <row r="57" customFormat="false" ht="12.75" hidden="false" customHeight="true" outlineLevel="0" collapsed="false">
      <c r="A57" s="15" t="n">
        <f aca="false">Report!C88</f>
        <v>46177</v>
      </c>
      <c r="B57" s="1" t="str">
        <f aca="false">Report!E88</f>
        <v>CB COMERCIO E DISTRIBUIDORA DE ALIMENTOS</v>
      </c>
      <c r="C57" s="16" t="n">
        <f aca="false">Report!U88</f>
        <v>346.96</v>
      </c>
      <c r="D57" s="1" t="str">
        <f aca="false">Report!X88</f>
        <v>NF 863836 ELLEN</v>
      </c>
    </row>
    <row r="58" customFormat="false" ht="12.75" hidden="false" customHeight="true" outlineLevel="0" collapsed="false">
      <c r="A58" s="15" t="n">
        <f aca="false">Report!C89</f>
        <v>46177</v>
      </c>
      <c r="B58" s="1" t="str">
        <f aca="false">Report!E89</f>
        <v>CB COMERCIO E DISTRIBUIDORA DE ALIMENTOS</v>
      </c>
      <c r="C58" s="16" t="n">
        <f aca="false">Report!U89</f>
        <v>560.42</v>
      </c>
      <c r="D58" s="1" t="str">
        <f aca="false">Report!X89</f>
        <v>NF 836835 ELLEN</v>
      </c>
    </row>
    <row r="59" customFormat="false" ht="12.75" hidden="false" customHeight="true" outlineLevel="0" collapsed="false">
      <c r="A59" s="15" t="n">
        <f aca="false">Report!C90</f>
        <v>46177</v>
      </c>
      <c r="B59" s="1" t="str">
        <f aca="false">Report!E90</f>
        <v>RUAN FERNANDES</v>
      </c>
      <c r="C59" s="16" t="n">
        <f aca="false">Report!U90</f>
        <v>258</v>
      </c>
      <c r="D59" s="1" t="str">
        <f aca="false">Report!X90</f>
        <v>MENSALIDADE DO TI MO2 - KEILA</v>
      </c>
    </row>
    <row r="60" customFormat="false" ht="12.75" hidden="false" customHeight="true" outlineLevel="0" collapsed="false">
      <c r="A60" s="15" t="n">
        <f aca="false">Report!C91</f>
        <v>46177</v>
      </c>
      <c r="B60" s="1" t="str">
        <f aca="false">Report!E91</f>
        <v>SAO JOSE COMERCIO DE LATICINIOS E FRIOS</v>
      </c>
      <c r="C60" s="16" t="n">
        <f aca="false">Report!U91</f>
        <v>398.65</v>
      </c>
      <c r="D60" s="1" t="str">
        <f aca="false">Report!X91</f>
        <v>NF 3278 ELLEN</v>
      </c>
    </row>
    <row r="61" customFormat="false" ht="12.75" hidden="false" customHeight="true" outlineLevel="0" collapsed="false">
      <c r="A61" s="15" t="n">
        <f aca="false">Report!C92</f>
        <v>46177</v>
      </c>
      <c r="B61" s="1" t="str">
        <f aca="false">Report!E92</f>
        <v>EMPRESA BRASILEIRA DE DISTRIBUICAO LTDA</v>
      </c>
      <c r="C61" s="16" t="n">
        <f aca="false">Report!U92</f>
        <v>506.55</v>
      </c>
      <c r="D61" s="1" t="str">
        <f aca="false">Report!X92</f>
        <v>NF 2285997 ELLEN</v>
      </c>
    </row>
    <row r="62" customFormat="false" ht="12.75" hidden="false" customHeight="true" outlineLevel="0" collapsed="false">
      <c r="A62" s="15" t="n">
        <f aca="false">Report!C93</f>
        <v>46177</v>
      </c>
      <c r="B62" s="1" t="str">
        <f aca="false">Report!E93</f>
        <v>MANAUS AMBIENTAL S/A </v>
      </c>
      <c r="C62" s="16" t="n">
        <f aca="false">Report!U93</f>
        <v>620.88</v>
      </c>
      <c r="D62" s="1" t="str">
        <f aca="false">Report!X93</f>
        <v>CONTA AGUA - MO2</v>
      </c>
    </row>
    <row r="63" customFormat="false" ht="12.75" hidden="false" customHeight="true" outlineLevel="0" collapsed="false">
      <c r="A63" s="15" t="n">
        <f aca="false">Report!C94</f>
        <v>46177</v>
      </c>
      <c r="B63" s="1" t="str">
        <f aca="false">Report!E94</f>
        <v>PANIFICADORA E CONFEITARIA REAL MADRI LTDA</v>
      </c>
      <c r="C63" s="16" t="n">
        <f aca="false">Report!U94</f>
        <v>189.8</v>
      </c>
      <c r="D63" s="1" t="str">
        <f aca="false">Report!X94</f>
        <v>NF 641 ELLEN</v>
      </c>
    </row>
    <row r="64" customFormat="false" ht="12.75" hidden="false" customHeight="true" outlineLevel="0" collapsed="false">
      <c r="A64" s="15" t="n">
        <f aca="false">Report!C95</f>
        <v>46177</v>
      </c>
      <c r="B64" s="1" t="str">
        <f aca="false">Report!E95</f>
        <v>ADICSO FABIAN GONZALEZ MONTILLA 70302186</v>
      </c>
      <c r="C64" s="16" t="n">
        <f aca="false">Report!U95</f>
        <v>180</v>
      </c>
      <c r="D64" s="1" t="str">
        <f aca="false">Report!X95</f>
        <v>NF 483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SEM FORNECEDOR</v>
      </c>
      <c r="C65" s="16" t="n">
        <f aca="false">Report!U96</f>
        <v>247</v>
      </c>
      <c r="D65" s="1" t="str">
        <f aca="false">Report!X96</f>
        <v>Pag de título:  Forn: 48-NEYLIANE S DE OLIVEIRA &amp; CIA LTDA. Tit: 2480-01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SEM FORNECEDOR</v>
      </c>
      <c r="C66" s="16" t="n">
        <f aca="false">Report!U97</f>
        <v>140</v>
      </c>
      <c r="D66" s="1" t="str">
        <f aca="false">Report!X97</f>
        <v>Pag de título:  Forn: 1038-MANOEL TEXEIRA DE SOUZA RESTAURANTE. Tit: 5947-01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SEM FORNECEDOR</v>
      </c>
      <c r="C67" s="16" t="n">
        <f aca="false">Report!U98</f>
        <v>118</v>
      </c>
      <c r="D67" s="1" t="str">
        <f aca="false">Report!X98</f>
        <v>queijo coalho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SEM FORNECEDOR</v>
      </c>
      <c r="C68" s="16" t="n">
        <f aca="false">Report!U99</f>
        <v>50</v>
      </c>
      <c r="D68" s="1" t="str">
        <f aca="false">Report!X99</f>
        <v>diaria elilton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SEM FORNECEDOR</v>
      </c>
      <c r="C69" s="16" t="n">
        <f aca="false">Report!U100</f>
        <v>2000</v>
      </c>
      <c r="D69" s="1" t="str">
        <f aca="false">Report!X100</f>
        <v>Depósito ref. 05/06/2026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ADRIANA DISTRIBUIDORA DE PRODUTOS ALIMEN</v>
      </c>
      <c r="C70" s="16" t="n">
        <f aca="false">Report!U101</f>
        <v>820.73</v>
      </c>
      <c r="D70" s="1" t="str">
        <f aca="false">Report!X101</f>
        <v>NF 869870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DISTRIBUIDORA FARIAS LTDA.</v>
      </c>
      <c r="C71" s="16" t="n">
        <f aca="false">Report!U102</f>
        <v>700.23</v>
      </c>
      <c r="D71" s="1" t="str">
        <f aca="false">Report!X102</f>
        <v>NF 666212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DISTRIBUIDORA FARIAS LTDA.</v>
      </c>
      <c r="C72" s="16" t="n">
        <f aca="false">Report!U104</f>
        <v>352.35</v>
      </c>
      <c r="D72" s="1" t="str">
        <f aca="false">Report!X104</f>
        <v>NF 668750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OESA COMERCIO E REPRESENTACOES S/A</v>
      </c>
      <c r="C73" s="16" t="n">
        <f aca="false">Report!U105</f>
        <v>639.84</v>
      </c>
      <c r="D73" s="1" t="str">
        <f aca="false">Report!X105</f>
        <v>NF 407270 ELLEN</v>
      </c>
    </row>
    <row r="74" customFormat="false" ht="12.75" hidden="false" customHeight="true" outlineLevel="0" collapsed="false">
      <c r="A74" s="15" t="n">
        <f aca="false">Report!C129</f>
        <v>46178</v>
      </c>
      <c r="B74" s="1" t="str">
        <f aca="false">Report!E129</f>
        <v>ELILTON NUNES BRITO</v>
      </c>
      <c r="C74" s="16" t="n">
        <f aca="false">Report!U129</f>
        <v>828.99</v>
      </c>
      <c r="D74" s="1" t="str">
        <f aca="false">Report!X129</f>
        <v>Compras func</v>
      </c>
    </row>
    <row r="75" customFormat="false" ht="12.75" hidden="false" customHeight="true" outlineLevel="0" collapsed="false">
      <c r="A75" s="15" t="n">
        <f aca="false">Report!C130</f>
        <v>46178</v>
      </c>
      <c r="B75" s="1" t="str">
        <f aca="false">Report!E130</f>
        <v>ELLEN SILVIA FERREIRA</v>
      </c>
      <c r="C75" s="16" t="n">
        <f aca="false">Report!U130</f>
        <v>1089.98</v>
      </c>
      <c r="D75" s="1" t="str">
        <f aca="false">Report!X130</f>
        <v>Saldo salario Maio/2026</v>
      </c>
    </row>
    <row r="76" customFormat="false" ht="12.75" hidden="false" customHeight="true" outlineLevel="0" collapsed="false">
      <c r="A76" s="15" t="n">
        <f aca="false">Report!C131</f>
        <v>46178</v>
      </c>
      <c r="B76" s="1" t="str">
        <f aca="false">Report!E131</f>
        <v>ELLEN SILVIA FERREIRA</v>
      </c>
      <c r="C76" s="16" t="n">
        <f aca="false">Report!U131</f>
        <v>81.41</v>
      </c>
      <c r="D76" s="1" t="str">
        <f aca="false">Report!X131</f>
        <v>Compras func</v>
      </c>
    </row>
    <row r="77" customFormat="false" ht="12.75" hidden="false" customHeight="true" outlineLevel="0" collapsed="false">
      <c r="A77" s="15" t="n">
        <f aca="false">Report!C132</f>
        <v>46178</v>
      </c>
      <c r="B77" s="1" t="str">
        <f aca="false">Report!E132</f>
        <v>FRANCISCO HELIO SERAFIM DE AZEVEDO</v>
      </c>
      <c r="C77" s="16" t="n">
        <f aca="false">Report!U132</f>
        <v>657.85</v>
      </c>
      <c r="D77" s="1" t="str">
        <f aca="false">Report!X132</f>
        <v>Compras func</v>
      </c>
    </row>
    <row r="78" customFormat="false" ht="12.75" hidden="false" customHeight="true" outlineLevel="0" collapsed="false">
      <c r="A78" s="15" t="n">
        <f aca="false">Report!C133</f>
        <v>46178</v>
      </c>
      <c r="B78" s="1" t="str">
        <f aca="false">Report!E133</f>
        <v>IDELMA MONTEIRO DA SILVA</v>
      </c>
      <c r="C78" s="16" t="n">
        <f aca="false">Report!U133</f>
        <v>1155.89</v>
      </c>
      <c r="D78" s="1" t="str">
        <f aca="false">Report!X133</f>
        <v>Saldo salario Maio/2026</v>
      </c>
    </row>
    <row r="79" customFormat="false" ht="12.75" hidden="false" customHeight="true" outlineLevel="0" collapsed="false">
      <c r="A79" s="15" t="n">
        <f aca="false">Report!C134</f>
        <v>46178</v>
      </c>
      <c r="B79" s="1" t="str">
        <f aca="false">Report!E134</f>
        <v>IDELMA MONTEIRO DA SILVA</v>
      </c>
      <c r="C79" s="16" t="n">
        <f aca="false">Report!U134</f>
        <v>225.14</v>
      </c>
      <c r="D79" s="1" t="str">
        <f aca="false">Report!X134</f>
        <v>Compras func</v>
      </c>
    </row>
    <row r="80" customFormat="false" ht="12.75" hidden="false" customHeight="true" outlineLevel="0" collapsed="false">
      <c r="A80" s="15" t="n">
        <f aca="false">Report!C135</f>
        <v>46178</v>
      </c>
      <c r="B80" s="1" t="str">
        <f aca="false">Report!E135</f>
        <v>LUCIRLANDIA DE OLIVEIRA AMARAL</v>
      </c>
      <c r="C80" s="16" t="n">
        <f aca="false">Report!U135</f>
        <v>998.37</v>
      </c>
      <c r="D80" s="1" t="str">
        <f aca="false">Report!X135</f>
        <v>Saldo salario Maio/2026</v>
      </c>
    </row>
    <row r="81" customFormat="false" ht="12.75" hidden="false" customHeight="true" outlineLevel="0" collapsed="false">
      <c r="A81" s="15" t="n">
        <f aca="false">Report!C137</f>
        <v>46178</v>
      </c>
      <c r="B81" s="1" t="str">
        <f aca="false">Report!E137</f>
        <v>SANDRO HELIO OLIVEIRA COSTA</v>
      </c>
      <c r="C81" s="16" t="n">
        <f aca="false">Report!U137</f>
        <v>572.89</v>
      </c>
      <c r="D81" s="1" t="str">
        <f aca="false">Report!X137</f>
        <v>Saldo salario Maio/2026</v>
      </c>
    </row>
    <row r="82" customFormat="false" ht="12.75" hidden="false" customHeight="true" outlineLevel="0" collapsed="false">
      <c r="A82" s="15" t="n">
        <f aca="false">Report!C138</f>
        <v>46178</v>
      </c>
      <c r="B82" s="1" t="str">
        <f aca="false">Report!E138</f>
        <v>SANDRO HELIO OLIVEIRA COSTA</v>
      </c>
      <c r="C82" s="16" t="n">
        <f aca="false">Report!U138</f>
        <v>289.97</v>
      </c>
      <c r="D82" s="1" t="str">
        <f aca="false">Report!X138</f>
        <v>Compras func</v>
      </c>
    </row>
    <row r="83" customFormat="false" ht="12.75" hidden="false" customHeight="true" outlineLevel="0" collapsed="false">
      <c r="A83" s="15" t="n">
        <f aca="false">Report!C139</f>
        <v>46178</v>
      </c>
      <c r="B83" s="1" t="str">
        <f aca="false">Report!E139</f>
        <v>THIAGO DA SILVA CRUZ</v>
      </c>
      <c r="C83" s="16" t="n">
        <f aca="false">Report!U139</f>
        <v>150.03</v>
      </c>
      <c r="D83" s="1" t="str">
        <f aca="false">Report!X139</f>
        <v>Saldo salario Maio/2026</v>
      </c>
    </row>
    <row r="84" customFormat="false" ht="12.75" hidden="false" customHeight="true" outlineLevel="0" collapsed="false">
      <c r="A84" s="15" t="n">
        <f aca="false">Report!C140</f>
        <v>46178</v>
      </c>
      <c r="B84" s="1" t="str">
        <f aca="false">Report!E140</f>
        <v>THIAGO DA SILVA CRUZ</v>
      </c>
      <c r="C84" s="16" t="n">
        <f aca="false">Report!U140</f>
        <v>359.56</v>
      </c>
      <c r="D84" s="1" t="str">
        <f aca="false">Report!X140</f>
        <v>Compras func</v>
      </c>
    </row>
    <row r="85" customFormat="false" ht="12.75" hidden="false" customHeight="true" outlineLevel="0" collapsed="false">
      <c r="A85" s="15" t="n">
        <f aca="false">Report!C141</f>
        <v>46178</v>
      </c>
      <c r="B85" s="1" t="str">
        <f aca="false">Report!E141</f>
        <v>RENATO DE OLIVEIRA AZEVEDO</v>
      </c>
      <c r="C85" s="16" t="n">
        <f aca="false">Report!U141</f>
        <v>234.18</v>
      </c>
      <c r="D85" s="1" t="str">
        <f aca="false">Report!X141</f>
        <v>Compras func</v>
      </c>
    </row>
    <row r="86" customFormat="false" ht="12.75" hidden="false" customHeight="true" outlineLevel="0" collapsed="false">
      <c r="A86" s="15" t="n">
        <f aca="false">Report!C142</f>
        <v>46178</v>
      </c>
      <c r="B86" s="1" t="str">
        <f aca="false">Report!E142</f>
        <v>CHARLES MO2</v>
      </c>
      <c r="C86" s="16" t="n">
        <f aca="false">Report!U142</f>
        <v>515.6</v>
      </c>
      <c r="D86" s="1" t="str">
        <f aca="false">Report!X142</f>
        <v>Compras func</v>
      </c>
    </row>
    <row r="87" customFormat="false" ht="12.75" hidden="false" customHeight="true" outlineLevel="0" collapsed="false">
      <c r="A87" s="15" t="n">
        <f aca="false">Report!C143</f>
        <v>46178</v>
      </c>
      <c r="B87" s="1" t="str">
        <f aca="false">Report!E143</f>
        <v>RENATO DE OLIVEIRA AZEVEDO</v>
      </c>
      <c r="C87" s="16" t="n">
        <f aca="false">Report!U143</f>
        <v>500</v>
      </c>
      <c r="D87" s="1" t="str">
        <f aca="false">Report!X143</f>
        <v>PAG SALARIO RENATO MO2 05/26 - KEILA</v>
      </c>
    </row>
    <row r="88" customFormat="false" ht="12.75" hidden="false" customHeight="true" outlineLevel="0" collapsed="false">
      <c r="A88" s="15" t="n">
        <f aca="false">Report!C145</f>
        <v>46179</v>
      </c>
      <c r="B88" s="1" t="str">
        <f aca="false">Report!E145</f>
        <v>SEM FORNECEDOR</v>
      </c>
      <c r="C88" s="16" t="n">
        <f aca="false">Report!U145</f>
        <v>50</v>
      </c>
      <c r="D88" s="1" t="str">
        <f aca="false">Report!X145</f>
        <v>diaria elilton</v>
      </c>
    </row>
    <row r="89" customFormat="false" ht="12.75" hidden="false" customHeight="true" outlineLevel="0" collapsed="false">
      <c r="A89" s="15" t="n">
        <f aca="false">Report!C146</f>
        <v>46179</v>
      </c>
      <c r="B89" s="1" t="str">
        <f aca="false">Report!E146</f>
        <v>SEM FORNECEDOR</v>
      </c>
      <c r="C89" s="16" t="n">
        <f aca="false">Report!U146</f>
        <v>3500</v>
      </c>
      <c r="D89" s="1" t="str">
        <f aca="false">Report!X146</f>
        <v>Depósito ref. 06/06/2026</v>
      </c>
    </row>
    <row r="90" customFormat="false" ht="12.75" hidden="false" customHeight="true" outlineLevel="0" collapsed="false">
      <c r="A90" s="15" t="n">
        <f aca="false">Report!C147</f>
        <v>46179</v>
      </c>
      <c r="B90" s="1" t="str">
        <f aca="false">Report!E147</f>
        <v>SUPER CANCUN COMERCIO DE PRODUTOS ALIMEN</v>
      </c>
      <c r="C90" s="16" t="n">
        <f aca="false">Report!U147</f>
        <v>317.81</v>
      </c>
      <c r="D90" s="1" t="str">
        <f aca="false">Report!X147</f>
        <v>NF 258977 ELLEN</v>
      </c>
    </row>
    <row r="91" customFormat="false" ht="12.75" hidden="false" customHeight="true" outlineLevel="0" collapsed="false">
      <c r="A91" s="15" t="n">
        <f aca="false">Report!C148</f>
        <v>46179</v>
      </c>
      <c r="B91" s="1" t="str">
        <f aca="false">Report!E148</f>
        <v>SUPER CANCUN COMERCIO DE PRODUTOS ALIMEN</v>
      </c>
      <c r="C91" s="16" t="n">
        <f aca="false">Report!U148</f>
        <v>528.95</v>
      </c>
      <c r="D91" s="1" t="str">
        <f aca="false">Report!X148</f>
        <v>NF 258978 ELLEN</v>
      </c>
    </row>
    <row r="92" customFormat="false" ht="12.75" hidden="false" customHeight="true" outlineLevel="0" collapsed="false">
      <c r="A92" s="15" t="n">
        <f aca="false">Report!C149</f>
        <v>46179</v>
      </c>
      <c r="B92" s="1" t="str">
        <f aca="false">Report!E149</f>
        <v>MAXFRI DISTRIUIDORA LTDA</v>
      </c>
      <c r="C92" s="16" t="n">
        <f aca="false">Report!U149</f>
        <v>2412.8</v>
      </c>
      <c r="D92" s="1" t="str">
        <f aca="false">Report!X149</f>
        <v>NF 14303 ELLEN</v>
      </c>
    </row>
    <row r="93" customFormat="false" ht="12.75" hidden="false" customHeight="true" outlineLevel="0" collapsed="false">
      <c r="A93" s="15" t="n">
        <f aca="false">Report!C150</f>
        <v>46179</v>
      </c>
      <c r="B93" s="1" t="str">
        <f aca="false">Report!E150</f>
        <v>FALCAO INDUSTRIA DE ALIMENTOS LTDA</v>
      </c>
      <c r="C93" s="16" t="n">
        <f aca="false">Report!U150</f>
        <v>1598.59</v>
      </c>
      <c r="D93" s="1" t="str">
        <f aca="false">Report!X150</f>
        <v>NF 29829 ELLEN</v>
      </c>
    </row>
    <row r="94" customFormat="false" ht="12.75" hidden="false" customHeight="true" outlineLevel="0" collapsed="false">
      <c r="A94" s="15" t="n">
        <f aca="false">Report!C151</f>
        <v>46179</v>
      </c>
      <c r="B94" s="1" t="str">
        <f aca="false">Report!E151</f>
        <v>SAO JOSE COMERCIO DE LATICINIOS E FRIOS</v>
      </c>
      <c r="C94" s="16" t="n">
        <f aca="false">Report!U151</f>
        <v>449.5</v>
      </c>
      <c r="D94" s="1" t="str">
        <f aca="false">Report!X151</f>
        <v>NF 3301 ELLEN</v>
      </c>
    </row>
    <row r="95" customFormat="false" ht="12.75" hidden="false" customHeight="true" outlineLevel="0" collapsed="false">
      <c r="A95" s="15" t="n">
        <f aca="false">Report!C152</f>
        <v>46179</v>
      </c>
      <c r="B95" s="1" t="str">
        <f aca="false">Report!E152</f>
        <v>MAXFRI DISTRIUIDORA LTDA</v>
      </c>
      <c r="C95" s="16" t="n">
        <f aca="false">Report!U152</f>
        <v>3329</v>
      </c>
      <c r="D95" s="1" t="str">
        <f aca="false">Report!X152</f>
        <v>NF 14361 ELLEN</v>
      </c>
    </row>
    <row r="96" customFormat="false" ht="12.75" hidden="false" customHeight="true" outlineLevel="0" collapsed="false">
      <c r="A96" s="15" t="n">
        <f aca="false">Report!C153</f>
        <v>46180</v>
      </c>
      <c r="B96" s="1" t="str">
        <f aca="false">Report!E153</f>
        <v>SEM FORNECEDOR</v>
      </c>
      <c r="C96" s="16" t="n">
        <f aca="false">Report!U153</f>
        <v>96</v>
      </c>
      <c r="D96" s="1" t="str">
        <f aca="false">Report!X153</f>
        <v>almoço regina</v>
      </c>
    </row>
    <row r="97" customFormat="false" ht="12.75" hidden="false" customHeight="true" outlineLevel="0" collapsed="false">
      <c r="A97" s="15" t="n">
        <f aca="false">Report!C155</f>
        <v>46180</v>
      </c>
      <c r="B97" s="1" t="str">
        <f aca="false">Report!E155</f>
        <v>SEM FORNECEDOR</v>
      </c>
      <c r="C97" s="16" t="n">
        <f aca="false">Report!U155</f>
        <v>1600</v>
      </c>
      <c r="D97" s="1" t="str">
        <f aca="false">Report!X155</f>
        <v>Depósito ref. 07/06/2026</v>
      </c>
    </row>
    <row r="98" customFormat="false" ht="12.75" hidden="false" customHeight="true" outlineLevel="0" collapsed="false">
      <c r="A98" s="15" t="n">
        <f aca="false">Report!C156</f>
        <v>46180</v>
      </c>
      <c r="B98" s="1" t="str">
        <f aca="false">Report!E156</f>
        <v>PRIME PET DISTRIBUIDORA LTDA</v>
      </c>
      <c r="C98" s="16" t="n">
        <f aca="false">Report!U156</f>
        <v>644.97</v>
      </c>
      <c r="D98" s="1" t="str">
        <f aca="false">Report!X156</f>
        <v>NF 10245 ELLEN</v>
      </c>
    </row>
    <row r="99" customFormat="false" ht="12.75" hidden="false" customHeight="true" outlineLevel="0" collapsed="false">
      <c r="A99" s="15" t="n">
        <f aca="false">Report!C157</f>
        <v>46180</v>
      </c>
      <c r="B99" s="1" t="str">
        <f aca="false">Report!E157</f>
        <v>OI S.A</v>
      </c>
      <c r="C99" s="16" t="n">
        <f aca="false">Report!U157</f>
        <v>119.97</v>
      </c>
      <c r="D99" s="1" t="str">
        <f aca="false">Report!X157</f>
        <v>MENSALIDADE INTERNET OI - KEILA</v>
      </c>
    </row>
    <row r="100" customFormat="false" ht="12.75" hidden="false" customHeight="true" outlineLevel="0" collapsed="false">
      <c r="A100" s="15" t="n">
        <f aca="false">Report!C158</f>
        <v>46181</v>
      </c>
      <c r="B100" s="1" t="str">
        <f aca="false">Report!E158</f>
        <v>SEM FORNECEDOR</v>
      </c>
      <c r="C100" s="16" t="n">
        <f aca="false">Report!U158</f>
        <v>195</v>
      </c>
      <c r="D100" s="1" t="str">
        <f aca="false">Report!X158</f>
        <v>Pag de título:  Forn: 48-NEYLIANE S DE OLIVEIRA &amp; CIA LTDA. Tit: 2486-01</v>
      </c>
    </row>
    <row r="101" customFormat="false" ht="12.75" hidden="false" customHeight="true" outlineLevel="0" collapsed="false">
      <c r="A101" s="15" t="n">
        <f aca="false">Report!C159</f>
        <v>46181</v>
      </c>
      <c r="B101" s="1" t="str">
        <f aca="false">Report!E159</f>
        <v>SEM FORNECEDOR</v>
      </c>
      <c r="C101" s="16" t="n">
        <f aca="false">Report!U159</f>
        <v>140</v>
      </c>
      <c r="D101" s="1" t="str">
        <f aca="false">Report!X159</f>
        <v>Pag de título:  Forn: 1038-MANOEL TEXEIRA DE SOUZA RESTAURANTE. Tit: 5957-01</v>
      </c>
    </row>
    <row r="102" customFormat="false" ht="12.75" hidden="false" customHeight="true" outlineLevel="0" collapsed="false">
      <c r="A102" s="15" t="n">
        <f aca="false">Report!C161</f>
        <v>46181</v>
      </c>
      <c r="B102" s="1" t="str">
        <f aca="false">Report!E161</f>
        <v>SEM FORNECEDOR</v>
      </c>
      <c r="C102" s="16" t="n">
        <f aca="false">Report!U161</f>
        <v>70</v>
      </c>
      <c r="D102" s="1" t="str">
        <f aca="false">Report!X161</f>
        <v>extra idelma</v>
      </c>
    </row>
    <row r="103" customFormat="false" ht="12.75" hidden="false" customHeight="true" outlineLevel="0" collapsed="false">
      <c r="A103" s="15" t="n">
        <f aca="false">Report!C162</f>
        <v>46181</v>
      </c>
      <c r="B103" s="1" t="str">
        <f aca="false">Report!E162</f>
        <v>SEM FORNECEDOR</v>
      </c>
      <c r="C103" s="16" t="n">
        <f aca="false">Report!U162</f>
        <v>4.5</v>
      </c>
      <c r="D103" s="1" t="str">
        <f aca="false">Report!X162</f>
        <v>despesa - clipes</v>
      </c>
    </row>
    <row r="104" customFormat="false" ht="12.75" hidden="false" customHeight="true" outlineLevel="0" collapsed="false">
      <c r="A104" s="15" t="n">
        <f aca="false">Report!C168</f>
        <v>46181</v>
      </c>
      <c r="B104" s="1" t="str">
        <f aca="false">Report!E168</f>
        <v>TAPAJOS COM DE PERFUMARIA COSMETICOS E G</v>
      </c>
      <c r="C104" s="16" t="n">
        <f aca="false">Report!U168</f>
        <v>680.53</v>
      </c>
      <c r="D104" s="1" t="str">
        <f aca="false">Report!X168</f>
        <v>NF 569926 ELLEN</v>
      </c>
    </row>
    <row r="105" customFormat="false" ht="12.75" hidden="false" customHeight="true" outlineLevel="0" collapsed="false">
      <c r="A105" s="15" t="n">
        <f aca="false">Report!C170</f>
        <v>46181</v>
      </c>
      <c r="B105" s="1" t="str">
        <f aca="false">Report!E170</f>
        <v>DUNORTE DISTRIBUIDORA DE PRODUTOS DE CONSUMO LTDA</v>
      </c>
      <c r="C105" s="16" t="n">
        <f aca="false">Report!U170</f>
        <v>1562.27</v>
      </c>
      <c r="D105" s="1" t="str">
        <f aca="false">Report!X170</f>
        <v>NF 3188782 ELLEN</v>
      </c>
    </row>
    <row r="106" customFormat="false" ht="12.75" hidden="false" customHeight="true" outlineLevel="0" collapsed="false">
      <c r="A106" s="15" t="n">
        <f aca="false">Report!C171</f>
        <v>46181</v>
      </c>
      <c r="B106" s="1" t="str">
        <f aca="false">Report!E171</f>
        <v>MANAUS AMBIENTAL S/A </v>
      </c>
      <c r="C106" s="16" t="n">
        <f aca="false">Report!U171</f>
        <v>620.88</v>
      </c>
      <c r="D106" s="1" t="str">
        <f aca="false">Report!X171</f>
        <v>agua mo2 - keila</v>
      </c>
    </row>
    <row r="107" customFormat="false" ht="12.75" hidden="false" customHeight="true" outlineLevel="0" collapsed="false">
      <c r="A107" s="15" t="n">
        <f aca="false">Report!C172</f>
        <v>46181</v>
      </c>
      <c r="B107" s="1" t="str">
        <f aca="false">Report!E172</f>
        <v>TAPAJOS COM DE PERFUMARIA COSMETICOS E G</v>
      </c>
      <c r="C107" s="16" t="n">
        <f aca="false">Report!U172</f>
        <v>1095.36</v>
      </c>
      <c r="D107" s="1" t="str">
        <f aca="false">Report!X172</f>
        <v>NF 569925 ELLEN</v>
      </c>
    </row>
    <row r="108" customFormat="false" ht="12.75" hidden="false" customHeight="true" outlineLevel="0" collapsed="false">
      <c r="A108" s="15" t="n">
        <f aca="false">Report!C173</f>
        <v>46181</v>
      </c>
      <c r="B108" s="1" t="str">
        <f aca="false">Report!E173</f>
        <v>FH DISTRIBUIDORA DE ALIM. E BEBIDAS LTDA</v>
      </c>
      <c r="C108" s="16" t="n">
        <f aca="false">Report!U173</f>
        <v>591.96</v>
      </c>
      <c r="D108" s="1" t="str">
        <f aca="false">Report!X173</f>
        <v>NF 325220 ELLEN</v>
      </c>
    </row>
    <row r="109" customFormat="false" ht="12.75" hidden="false" customHeight="true" outlineLevel="0" collapsed="false">
      <c r="A109" s="15" t="n">
        <f aca="false">Report!C174</f>
        <v>46181</v>
      </c>
      <c r="B109" s="1" t="str">
        <f aca="false">Report!E174</f>
        <v>MARQUES &amp; MELO LTDA - FILIAL</v>
      </c>
      <c r="C109" s="16" t="n">
        <f aca="false">Report!U174</f>
        <v>344.71</v>
      </c>
      <c r="D109" s="1" t="str">
        <f aca="false">Report!X174</f>
        <v>NF 491844 ELLEN</v>
      </c>
    </row>
    <row r="110" customFormat="false" ht="12.75" hidden="false" customHeight="true" outlineLevel="0" collapsed="false">
      <c r="A110" s="15" t="n">
        <f aca="false">Report!C175</f>
        <v>46181</v>
      </c>
      <c r="B110" s="1" t="str">
        <f aca="false">Report!E175</f>
        <v>MARQUES &amp; MELO LTDA - FILIAL</v>
      </c>
      <c r="C110" s="16" t="n">
        <f aca="false">Report!U175</f>
        <v>1022.42</v>
      </c>
      <c r="D110" s="1" t="str">
        <f aca="false">Report!X175</f>
        <v>NF 491834 ELLEN</v>
      </c>
    </row>
    <row r="111" customFormat="false" ht="12.75" hidden="false" customHeight="true" outlineLevel="0" collapsed="false">
      <c r="A111" s="15" t="n">
        <f aca="false">Report!C176</f>
        <v>46181</v>
      </c>
      <c r="B111" s="1" t="str">
        <f aca="false">Report!E176</f>
        <v>T. M. L. DA SILVA LTDA</v>
      </c>
      <c r="C111" s="16" t="n">
        <f aca="false">Report!U176</f>
        <v>374.01</v>
      </c>
      <c r="D111" s="1" t="str">
        <f aca="false">Report!X176</f>
        <v>NF 14975 ELLEN</v>
      </c>
    </row>
    <row r="112" customFormat="false" ht="12.75" hidden="false" customHeight="true" outlineLevel="0" collapsed="false">
      <c r="A112" s="15" t="n">
        <f aca="false">Report!C177</f>
        <v>46181</v>
      </c>
      <c r="B112" s="1" t="str">
        <f aca="false">Report!E177</f>
        <v>NOVA FRIOS COMERCIO ATACADISTA DE LATICINIOS LTDA</v>
      </c>
      <c r="C112" s="16" t="n">
        <f aca="false">Report!U177</f>
        <v>209.7</v>
      </c>
      <c r="D112" s="1" t="str">
        <f aca="false">Report!X177</f>
        <v>NF 3628 ELLEN</v>
      </c>
    </row>
    <row r="113" customFormat="false" ht="12.75" hidden="false" customHeight="true" outlineLevel="0" collapsed="false">
      <c r="A113" s="15" t="n">
        <f aca="false">Report!C178</f>
        <v>46181</v>
      </c>
      <c r="B113" s="1" t="str">
        <f aca="false">Report!E178</f>
        <v>NEYLIANE S DE OLIVEIRA &amp; CIA LTDA</v>
      </c>
      <c r="C113" s="16" t="n">
        <f aca="false">Report!U178</f>
        <v>180</v>
      </c>
      <c r="D113" s="1" t="str">
        <f aca="false">Report!X178</f>
        <v>COMPRAS - 10KG PITAYA - PG NO P 6/6/26 ELLEN</v>
      </c>
    </row>
    <row r="114" customFormat="false" ht="12.75" hidden="false" customHeight="true" outlineLevel="0" collapsed="false">
      <c r="A114" s="15" t="n">
        <f aca="false">Report!C179</f>
        <v>46181</v>
      </c>
      <c r="B114" s="1" t="str">
        <f aca="false">Report!E179</f>
        <v>NEYLIANE S DE OLIVEIRA &amp; CIA LTDA</v>
      </c>
      <c r="C114" s="16" t="n">
        <f aca="false">Report!U179</f>
        <v>195</v>
      </c>
      <c r="D114" s="1" t="str">
        <f aca="false">Report!X179</f>
        <v>COMPRAS - 15L DE AÇAI - PG NO NP 8/6/26 ELLEN</v>
      </c>
    </row>
    <row r="115" customFormat="false" ht="12.75" hidden="false" customHeight="true" outlineLevel="0" collapsed="false">
      <c r="A115" s="15" t="n">
        <f aca="false">Report!C180</f>
        <v>46181</v>
      </c>
      <c r="B115" s="1" t="str">
        <f aca="false">Report!E180</f>
        <v>MANOEL TEXEIRA DE SOUZA RESTAURANTE</v>
      </c>
      <c r="C115" s="16" t="n">
        <f aca="false">Report!U180</f>
        <v>140</v>
      </c>
      <c r="D115" s="1" t="str">
        <f aca="false">Report!X180</f>
        <v>NF 5957 COMPRAS-BOLO PG NO P 8/6/26 ELLEN</v>
      </c>
    </row>
    <row r="116" customFormat="false" ht="12.75" hidden="false" customHeight="true" outlineLevel="0" collapsed="false">
      <c r="A116" s="15" t="n">
        <f aca="false">Report!C181</f>
        <v>46182</v>
      </c>
      <c r="B116" s="1" t="str">
        <f aca="false">Report!E181</f>
        <v>SEM FORNECEDOR</v>
      </c>
      <c r="C116" s="16" t="n">
        <f aca="false">Report!U181</f>
        <v>50</v>
      </c>
      <c r="D116" s="1" t="str">
        <f aca="false">Report!X181</f>
        <v>diaria elilton</v>
      </c>
    </row>
    <row r="117" customFormat="false" ht="12.75" hidden="false" customHeight="true" outlineLevel="0" collapsed="false">
      <c r="A117" s="15" t="n">
        <f aca="false">Report!C184</f>
        <v>46182</v>
      </c>
      <c r="B117" s="1" t="str">
        <f aca="false">Report!E184</f>
        <v>SEM FORNECEDOR</v>
      </c>
      <c r="C117" s="16" t="n">
        <f aca="false">Report!U184</f>
        <v>70</v>
      </c>
      <c r="D117" s="1" t="str">
        <f aca="false">Report!X184</f>
        <v>extra helio</v>
      </c>
    </row>
    <row r="118" customFormat="false" ht="12.75" hidden="false" customHeight="true" outlineLevel="0" collapsed="false">
      <c r="A118" s="15" t="n">
        <f aca="false">Report!C185</f>
        <v>46182</v>
      </c>
      <c r="B118" s="1" t="str">
        <f aca="false">Report!E185</f>
        <v>SEM FORNECEDOR</v>
      </c>
      <c r="C118" s="16" t="n">
        <f aca="false">Report!U185</f>
        <v>2150</v>
      </c>
      <c r="D118" s="1" t="str">
        <f aca="false">Report!X185</f>
        <v>Depósito ref. 09/06/2026</v>
      </c>
    </row>
    <row r="119" customFormat="false" ht="12.75" hidden="false" customHeight="true" outlineLevel="0" collapsed="false">
      <c r="A119" s="15" t="n">
        <f aca="false">Report!C186</f>
        <v>46182</v>
      </c>
      <c r="B119" s="1" t="str">
        <f aca="false">Report!E186</f>
        <v>RENATO DE O AZEVEDO E CIA LTDA - EPP</v>
      </c>
      <c r="C119" s="16" t="n">
        <f aca="false">Report!U186</f>
        <v>225.48</v>
      </c>
      <c r="D119" s="1" t="str">
        <f aca="false">Report!X186</f>
        <v>SALARIO ELIANA MO2 PARTE - KEILA</v>
      </c>
    </row>
    <row r="120" customFormat="false" ht="12.75" hidden="false" customHeight="true" outlineLevel="0" collapsed="false">
      <c r="A120" s="15" t="n">
        <f aca="false">Report!C187</f>
        <v>46182</v>
      </c>
      <c r="B120" s="1" t="str">
        <f aca="false">Report!E187</f>
        <v>NATUREZA COMERCIO DE DESCARTAVEIS LTDA</v>
      </c>
      <c r="C120" s="16" t="n">
        <f aca="false">Report!U187</f>
        <v>460.61</v>
      </c>
      <c r="D120" s="1" t="str">
        <f aca="false">Report!X187</f>
        <v>NF 720157 ELLEN</v>
      </c>
    </row>
    <row r="121" customFormat="false" ht="12.75" hidden="false" customHeight="true" outlineLevel="0" collapsed="false">
      <c r="A121" s="15" t="n">
        <f aca="false">Report!C188</f>
        <v>46182</v>
      </c>
      <c r="B121" s="1" t="str">
        <f aca="false">Report!E188</f>
        <v>BRASIL NORTE BEBIDAS S/A</v>
      </c>
      <c r="C121" s="16" t="n">
        <f aca="false">Report!U188</f>
        <v>776.55</v>
      </c>
      <c r="D121" s="1" t="str">
        <f aca="false">Report!X188</f>
        <v>NF 1133947 ELLEN</v>
      </c>
    </row>
    <row r="122" customFormat="false" ht="12.75" hidden="false" customHeight="true" outlineLevel="0" collapsed="false">
      <c r="A122" s="15" t="n">
        <f aca="false">Report!C189</f>
        <v>46182</v>
      </c>
      <c r="B122" s="1" t="str">
        <f aca="false">Report!E189</f>
        <v>BRASIL NORTE BEBIDAS S/A</v>
      </c>
      <c r="C122" s="16" t="n">
        <f aca="false">Report!U189</f>
        <v>258.47</v>
      </c>
      <c r="D122" s="1" t="str">
        <f aca="false">Report!X189</f>
        <v>NF 1133905 ELLEN</v>
      </c>
    </row>
    <row r="123" customFormat="false" ht="12.75" hidden="false" customHeight="true" outlineLevel="0" collapsed="false">
      <c r="A123" s="15" t="n">
        <f aca="false">Report!C190</f>
        <v>46182</v>
      </c>
      <c r="B123" s="1" t="str">
        <f aca="false">Report!E190</f>
        <v>BROTHERS  INDUSTRIA DE ALIMENTOS LTDA</v>
      </c>
      <c r="C123" s="16" t="n">
        <f aca="false">Report!U190</f>
        <v>337.08</v>
      </c>
      <c r="D123" s="1" t="str">
        <f aca="false">Report!X190</f>
        <v>NF 1025111 ELLEN</v>
      </c>
    </row>
    <row r="124" customFormat="false" ht="12.75" hidden="false" customHeight="true" outlineLevel="0" collapsed="false">
      <c r="A124" s="15" t="n">
        <f aca="false">Report!C195</f>
        <v>46182</v>
      </c>
      <c r="B124" s="1" t="str">
        <f aca="false">Report!E195</f>
        <v>FEIRA</v>
      </c>
      <c r="C124" s="16" t="n">
        <f aca="false">Report!U195</f>
        <v>404</v>
      </c>
      <c r="D124" s="1" t="str">
        <f aca="false">Report!X195</f>
        <v>FEIRA SR. RENATO LOJAS</v>
      </c>
    </row>
    <row r="125" customFormat="false" ht="12.75" hidden="false" customHeight="true" outlineLevel="0" collapsed="false">
      <c r="A125" s="15" t="n">
        <f aca="false">Report!C196</f>
        <v>46182</v>
      </c>
      <c r="B125" s="1" t="str">
        <f aca="false">Report!E196</f>
        <v>FEIRA</v>
      </c>
      <c r="C125" s="16" t="n">
        <f aca="false">Report!U196</f>
        <v>1340</v>
      </c>
      <c r="D125" s="1" t="str">
        <f aca="false">Report!X196</f>
        <v>FEIRA SR. RENATO LOJAS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SEM FORNECEDOR</v>
      </c>
      <c r="C126" s="16" t="n">
        <f aca="false">Report!U197</f>
        <v>200</v>
      </c>
      <c r="D126" s="1" t="str">
        <f aca="false">Report!X197</f>
        <v>Pag de título:  Forn: 1038-MANOEL TEXEIRA DE SOUZA RESTAURANTE. Tit: 5967-01</v>
      </c>
    </row>
    <row r="127" customFormat="false" ht="12.75" hidden="false" customHeight="true" outlineLevel="0" collapsed="false">
      <c r="A127" s="15" t="n">
        <f aca="false">Report!C198</f>
        <v>46183</v>
      </c>
      <c r="B127" s="1" t="str">
        <f aca="false">Report!E198</f>
        <v>SEM FORNECEDOR</v>
      </c>
      <c r="C127" s="16" t="n">
        <f aca="false">Report!U198</f>
        <v>160.32</v>
      </c>
      <c r="D127" s="1" t="str">
        <f aca="false">Report!X198</f>
        <v>Pag de título:  Forn: 1783-LOURIVAL ALMEIDA DA SILVA 17128784845. Tit: 502-01</v>
      </c>
    </row>
    <row r="128" customFormat="false" ht="12.75" hidden="false" customHeight="true" outlineLevel="0" collapsed="false">
      <c r="A128" s="15" t="n">
        <f aca="false">Report!C199</f>
        <v>46183</v>
      </c>
      <c r="B128" s="1" t="str">
        <f aca="false">Report!E199</f>
        <v>SEM FORNECEDOR</v>
      </c>
      <c r="C128" s="16" t="n">
        <f aca="false">Report!U199</f>
        <v>195</v>
      </c>
      <c r="D128" s="1" t="str">
        <f aca="false">Report!X199</f>
        <v>Pag de título:  Forn: 48-NEYLIANE S DE OLIVEIRA &amp; CIA LTDA. Tit: 2493-01</v>
      </c>
    </row>
    <row r="129" customFormat="false" ht="12.75" hidden="false" customHeight="true" outlineLevel="0" collapsed="false">
      <c r="A129" s="15" t="n">
        <f aca="false">Report!C200</f>
        <v>46183</v>
      </c>
      <c r="B129" s="1" t="str">
        <f aca="false">Report!E200</f>
        <v>SEM FORNECEDOR</v>
      </c>
      <c r="C129" s="16" t="n">
        <f aca="false">Report!U200</f>
        <v>70</v>
      </c>
      <c r="D129" s="1" t="str">
        <f aca="false">Report!X200</f>
        <v>extra davi</v>
      </c>
    </row>
    <row r="130" customFormat="false" ht="12.75" hidden="false" customHeight="true" outlineLevel="0" collapsed="false">
      <c r="A130" s="15" t="n">
        <f aca="false">Report!C201</f>
        <v>46183</v>
      </c>
      <c r="B130" s="1" t="str">
        <f aca="false">Report!E201</f>
        <v>SEM FORNECEDOR</v>
      </c>
      <c r="C130" s="16" t="n">
        <f aca="false">Report!U201</f>
        <v>70</v>
      </c>
      <c r="D130" s="1" t="str">
        <f aca="false">Report!X201</f>
        <v>extra helio</v>
      </c>
    </row>
    <row r="131" customFormat="false" ht="12.75" hidden="false" customHeight="true" outlineLevel="0" collapsed="false">
      <c r="A131" s="15" t="n">
        <f aca="false">Report!C202</f>
        <v>46183</v>
      </c>
      <c r="B131" s="1" t="str">
        <f aca="false">Report!E202</f>
        <v>SEM FORNECEDOR</v>
      </c>
      <c r="C131" s="16" t="n">
        <f aca="false">Report!U202</f>
        <v>42</v>
      </c>
      <c r="D131" s="1" t="str">
        <f aca="false">Report!X202</f>
        <v>duas aguas completo</v>
      </c>
    </row>
    <row r="132" customFormat="false" ht="12.75" hidden="false" customHeight="true" outlineLevel="0" collapsed="false">
      <c r="A132" s="15" t="n">
        <f aca="false">Report!C203</f>
        <v>46183</v>
      </c>
      <c r="B132" s="1" t="str">
        <f aca="false">Report!E203</f>
        <v>SEM FORNECEDOR</v>
      </c>
      <c r="C132" s="16" t="n">
        <f aca="false">Report!U203</f>
        <v>70</v>
      </c>
      <c r="D132" s="1" t="str">
        <f aca="false">Report!X203</f>
        <v>extra idelma</v>
      </c>
    </row>
    <row r="133" customFormat="false" ht="12.75" hidden="false" customHeight="true" outlineLevel="0" collapsed="false">
      <c r="A133" s="15" t="n">
        <f aca="false">Report!C204</f>
        <v>46183</v>
      </c>
      <c r="B133" s="1" t="str">
        <f aca="false">Report!E204</f>
        <v>SEM FORNECEDOR</v>
      </c>
      <c r="C133" s="16" t="n">
        <f aca="false">Report!U204</f>
        <v>50</v>
      </c>
      <c r="D133" s="1" t="str">
        <f aca="false">Report!X204</f>
        <v>diaria elilton</v>
      </c>
    </row>
    <row r="134" customFormat="false" ht="12.75" hidden="false" customHeight="true" outlineLevel="0" collapsed="false">
      <c r="A134" s="15" t="n">
        <f aca="false">Report!C205</f>
        <v>46183</v>
      </c>
      <c r="B134" s="1" t="str">
        <f aca="false">Report!E205</f>
        <v>SEM FORNECEDOR</v>
      </c>
      <c r="C134" s="16" t="n">
        <f aca="false">Report!U205</f>
        <v>1650</v>
      </c>
      <c r="D134" s="1" t="str">
        <f aca="false">Report!X205</f>
        <v>Depósito ref. 10/06/2026</v>
      </c>
    </row>
    <row r="135" customFormat="false" ht="12.75" hidden="false" customHeight="true" outlineLevel="0" collapsed="false">
      <c r="A135" s="15" t="n">
        <f aca="false">Report!C206</f>
        <v>46183</v>
      </c>
      <c r="B135" s="1" t="str">
        <f aca="false">Report!E206</f>
        <v>ACL REPARACAO E TECNOLOGIA DA INFORMACAO LTDA</v>
      </c>
      <c r="C135" s="16" t="n">
        <f aca="false">Report!U206</f>
        <v>166</v>
      </c>
      <c r="D135" s="1" t="str">
        <f aca="false">Report!X206</f>
        <v>Licença office pc escritório mo02 PARC 04/04 - KEILA</v>
      </c>
    </row>
    <row r="136" customFormat="false" ht="12.75" hidden="false" customHeight="true" outlineLevel="0" collapsed="false">
      <c r="A136" s="15" t="n">
        <f aca="false">Report!C207</f>
        <v>46183</v>
      </c>
      <c r="B136" s="1" t="str">
        <f aca="false">Report!E207</f>
        <v>CHARLES ELETRICISTA</v>
      </c>
      <c r="C136" s="16" t="n">
        <f aca="false">Report!U207</f>
        <v>283.67</v>
      </c>
      <c r="D136" s="1" t="str">
        <f aca="false">Report!X207</f>
        <v>S/NF - DESPESAS-CAMERAS/CABOS-CT DIA 10-PARC4/6-ELLEN</v>
      </c>
    </row>
    <row r="137" customFormat="false" ht="12.75" hidden="false" customHeight="true" outlineLevel="0" collapsed="false">
      <c r="A137" s="15" t="n">
        <f aca="false">Report!C208</f>
        <v>46183</v>
      </c>
      <c r="B137" s="1" t="str">
        <f aca="false">Report!E208</f>
        <v>BRYDSON PAIVA DE FREITAS LTDA</v>
      </c>
      <c r="C137" s="16" t="n">
        <f aca="false">Report!U208</f>
        <v>340</v>
      </c>
      <c r="D137" s="1" t="str">
        <f aca="false">Report!X208</f>
        <v>NF 8973 DESPESAS - SSD - PARC 1/2 - ELLEN</v>
      </c>
    </row>
    <row r="138" customFormat="false" ht="12.75" hidden="false" customHeight="true" outlineLevel="0" collapsed="false">
      <c r="A138" s="15" t="n">
        <f aca="false">Report!C209</f>
        <v>46183</v>
      </c>
      <c r="B138" s="1" t="str">
        <f aca="false">Report!E209</f>
        <v>OPPORTUNITY ALIMENTOS PARA ANIMAIS LTDA</v>
      </c>
      <c r="C138" s="16" t="n">
        <f aca="false">Report!U209</f>
        <v>1270.35</v>
      </c>
      <c r="D138" s="1" t="str">
        <f aca="false">Report!X209</f>
        <v>NF 33574 ELLEN</v>
      </c>
    </row>
    <row r="139" customFormat="false" ht="12.75" hidden="false" customHeight="true" outlineLevel="0" collapsed="false">
      <c r="A139" s="15" t="n">
        <f aca="false">Report!C210</f>
        <v>46183</v>
      </c>
      <c r="B139" s="1" t="str">
        <f aca="false">Report!E210</f>
        <v>AFEAM</v>
      </c>
      <c r="C139" s="16" t="n">
        <f aca="false">Report!U210</f>
        <v>2332.19</v>
      </c>
      <c r="D139" s="1" t="str">
        <f aca="false">Report!X210</f>
        <v>PARC 13/30 EMPRESTIMO MO2 AFEAM - KEILA </v>
      </c>
    </row>
    <row r="140" customFormat="false" ht="12.75" hidden="false" customHeight="true" outlineLevel="0" collapsed="false">
      <c r="A140" s="15" t="n">
        <f aca="false">Report!C211</f>
        <v>46183</v>
      </c>
      <c r="B140" s="1" t="str">
        <f aca="false">Report!E211</f>
        <v>DUNORTE DISTRIBUIDORA DE PRODUTOS DE CONSUMO LTDA</v>
      </c>
      <c r="C140" s="16" t="n">
        <f aca="false">Report!U211</f>
        <v>1036.09</v>
      </c>
      <c r="D140" s="1" t="str">
        <f aca="false">Report!X211</f>
        <v>NF 3186737 ELLEN</v>
      </c>
    </row>
    <row r="141" customFormat="false" ht="12.75" hidden="false" customHeight="true" outlineLevel="0" collapsed="false">
      <c r="A141" s="15" t="n">
        <f aca="false">Report!C212</f>
        <v>46183</v>
      </c>
      <c r="B141" s="1" t="str">
        <f aca="false">Report!E212</f>
        <v>TRES CORACOES ALIMENTOS S.A.</v>
      </c>
      <c r="C141" s="16" t="n">
        <f aca="false">Report!U212</f>
        <v>843.15</v>
      </c>
      <c r="D141" s="1" t="str">
        <f aca="false">Report!X212</f>
        <v>NF 341419 ELLEN</v>
      </c>
    </row>
    <row r="142" customFormat="false" ht="12.75" hidden="false" customHeight="true" outlineLevel="0" collapsed="false">
      <c r="A142" s="15" t="n">
        <f aca="false">Report!C213</f>
        <v>46183</v>
      </c>
      <c r="B142" s="1" t="str">
        <f aca="false">Report!E213</f>
        <v>MARTINS COM SERV DISTR SA</v>
      </c>
      <c r="C142" s="16" t="n">
        <f aca="false">Report!U213</f>
        <v>392.13</v>
      </c>
      <c r="D142" s="1" t="str">
        <f aca="false">Report!X213</f>
        <v>NF 1762194 ELLEN</v>
      </c>
    </row>
    <row r="143" customFormat="false" ht="12.75" hidden="false" customHeight="true" outlineLevel="0" collapsed="false">
      <c r="A143" s="15" t="n">
        <f aca="false">Report!C214</f>
        <v>46183</v>
      </c>
      <c r="B143" s="1" t="str">
        <f aca="false">Report!E214</f>
        <v>MARTINS COM SERV DISTR SA</v>
      </c>
      <c r="C143" s="16" t="n">
        <f aca="false">Report!U214</f>
        <v>691.5</v>
      </c>
      <c r="D143" s="1" t="str">
        <f aca="false">Report!X214</f>
        <v>NF 1762195 ELLEN</v>
      </c>
    </row>
    <row r="144" customFormat="false" ht="12.75" hidden="false" customHeight="true" outlineLevel="0" collapsed="false">
      <c r="A144" s="15" t="n">
        <f aca="false">Report!C215</f>
        <v>46183</v>
      </c>
      <c r="B144" s="1" t="str">
        <f aca="false">Report!E215</f>
        <v>SB COMERCIO LTDA</v>
      </c>
      <c r="C144" s="16" t="n">
        <f aca="false">Report!U215</f>
        <v>1262.32</v>
      </c>
      <c r="D144" s="1" t="str">
        <f aca="false">Report!X215</f>
        <v>NF 1952417 ELLEN</v>
      </c>
    </row>
    <row r="145" customFormat="false" ht="12.75" hidden="false" customHeight="true" outlineLevel="0" collapsed="false">
      <c r="A145" s="15" t="n">
        <f aca="false">Report!C216</f>
        <v>46183</v>
      </c>
      <c r="B145" s="1" t="str">
        <f aca="false">Report!E216</f>
        <v>J G COMERCIO DE PRODUTOS ALIMENTICIOS LTDA</v>
      </c>
      <c r="C145" s="16" t="n">
        <f aca="false">Report!U216</f>
        <v>774.33</v>
      </c>
      <c r="D145" s="1" t="str">
        <f aca="false">Report!X216</f>
        <v>NF 382547 ELLEN</v>
      </c>
    </row>
    <row r="146" customFormat="false" ht="12.75" hidden="false" customHeight="true" outlineLevel="0" collapsed="false">
      <c r="A146" s="15" t="n">
        <f aca="false">Report!C217</f>
        <v>46183</v>
      </c>
      <c r="B146" s="1" t="str">
        <f aca="false">Report!E217</f>
        <v>FORTVET DISTRIBUIDORA LTDA</v>
      </c>
      <c r="C146" s="16" t="n">
        <f aca="false">Report!U217</f>
        <v>504.52</v>
      </c>
      <c r="D146" s="1" t="str">
        <f aca="false">Report!X217</f>
        <v>NF 2108 ELLEN</v>
      </c>
    </row>
    <row r="147" customFormat="false" ht="12.75" hidden="false" customHeight="true" outlineLevel="0" collapsed="false">
      <c r="A147" s="15" t="n">
        <f aca="false">Report!C218</f>
        <v>46183</v>
      </c>
      <c r="B147" s="1" t="str">
        <f aca="false">Report!E218</f>
        <v>BF COMERCIO DE ALIMENTOS REPRESENTACAO L</v>
      </c>
      <c r="C147" s="16" t="n">
        <f aca="false">Report!U218</f>
        <v>340.77</v>
      </c>
      <c r="D147" s="1" t="str">
        <f aca="false">Report!X218</f>
        <v>NF 20752 ELLEN</v>
      </c>
    </row>
    <row r="148" customFormat="false" ht="12.75" hidden="false" customHeight="true" outlineLevel="0" collapsed="false">
      <c r="A148" s="15" t="n">
        <f aca="false">Report!C219</f>
        <v>46183</v>
      </c>
      <c r="B148" s="1" t="str">
        <f aca="false">Report!E219</f>
        <v>RISADINHA LTDA</v>
      </c>
      <c r="C148" s="16" t="n">
        <f aca="false">Report!U219</f>
        <v>650</v>
      </c>
      <c r="D148" s="1" t="str">
        <f aca="false">Report!X219</f>
        <v>NF 654829 ELLEN</v>
      </c>
    </row>
    <row r="149" customFormat="false" ht="12.75" hidden="false" customHeight="true" outlineLevel="0" collapsed="false">
      <c r="A149" s="15" t="n">
        <f aca="false">Report!C220</f>
        <v>46183</v>
      </c>
      <c r="B149" s="1" t="str">
        <f aca="false">Report!E220</f>
        <v>BRF S A</v>
      </c>
      <c r="C149" s="16" t="n">
        <f aca="false">Report!U220</f>
        <v>1208.63</v>
      </c>
      <c r="D149" s="1" t="str">
        <f aca="false">Report!X220</f>
        <v>NF 1588694 ELLEN</v>
      </c>
    </row>
    <row r="150" customFormat="false" ht="12.75" hidden="false" customHeight="true" outlineLevel="0" collapsed="false">
      <c r="A150" s="15" t="n">
        <f aca="false">Report!C221</f>
        <v>46183</v>
      </c>
      <c r="B150" s="1" t="str">
        <f aca="false">Report!E221</f>
        <v>MARE DISTRIBUIDORA DE BEBIDAS E DE PRODUTOS ALIMENTICIOS LTDA</v>
      </c>
      <c r="C150" s="16" t="n">
        <f aca="false">Report!U221</f>
        <v>2345.6</v>
      </c>
      <c r="D150" s="1" t="str">
        <f aca="false">Report!X221</f>
        <v>NF 1353427 ELLEN</v>
      </c>
    </row>
    <row r="151" customFormat="false" ht="12.75" hidden="false" customHeight="true" outlineLevel="0" collapsed="false">
      <c r="A151" s="15" t="n">
        <f aca="false">Report!C222</f>
        <v>46183</v>
      </c>
      <c r="B151" s="1" t="str">
        <f aca="false">Report!E222</f>
        <v>TAPAJOS COM DE PERFUMARIA COSMETICOS E G</v>
      </c>
      <c r="C151" s="16" t="n">
        <f aca="false">Report!U222</f>
        <v>633.45</v>
      </c>
      <c r="D151" s="1" t="str">
        <f aca="false">Report!X222</f>
        <v>NF 571363 ELLEN</v>
      </c>
    </row>
    <row r="152" customFormat="false" ht="12.75" hidden="false" customHeight="true" outlineLevel="0" collapsed="false">
      <c r="A152" s="15" t="n">
        <f aca="false">Report!C223</f>
        <v>46183</v>
      </c>
      <c r="B152" s="1" t="str">
        <f aca="false">Report!E223</f>
        <v>EDMARA COMERCIO DE HIGIENE PESSOAL LTDA</v>
      </c>
      <c r="C152" s="16" t="n">
        <f aca="false">Report!U223</f>
        <v>430.35</v>
      </c>
      <c r="D152" s="1" t="str">
        <f aca="false">Report!X223</f>
        <v>NF 7941 DESPESAS-SACOLAS - ELLEN</v>
      </c>
    </row>
    <row r="153" customFormat="false" ht="12.75" hidden="false" customHeight="true" outlineLevel="0" collapsed="false">
      <c r="A153" s="15" t="n">
        <f aca="false">Report!C224</f>
        <v>46183</v>
      </c>
      <c r="B153" s="1" t="str">
        <f aca="false">Report!E224</f>
        <v>NATUREZA COMERCIO DE DESCARTAVEIS LTDA</v>
      </c>
      <c r="C153" s="16" t="n">
        <f aca="false">Report!U224</f>
        <v>474.78</v>
      </c>
      <c r="D153" s="1" t="str">
        <f aca="false">Report!X224</f>
        <v>NF 722976 DESPESAS - BANDEJAS - ELLEN</v>
      </c>
    </row>
    <row r="154" customFormat="false" ht="12.75" hidden="false" customHeight="true" outlineLevel="0" collapsed="false">
      <c r="A154" s="15" t="n">
        <f aca="false">Report!C225</f>
        <v>46183</v>
      </c>
      <c r="B154" s="1" t="str">
        <f aca="false">Report!E225</f>
        <v>BONNA VITTA INDUSTRIA E COMERCIO LTDA.</v>
      </c>
      <c r="C154" s="16" t="n">
        <f aca="false">Report!U225</f>
        <v>823.77</v>
      </c>
      <c r="D154" s="1" t="str">
        <f aca="false">Report!X225</f>
        <v>NF 517177 ELLEN</v>
      </c>
    </row>
    <row r="155" customFormat="false" ht="12.75" hidden="false" customHeight="true" outlineLevel="0" collapsed="false">
      <c r="A155" s="15" t="n">
        <f aca="false">Report!C228</f>
        <v>46183</v>
      </c>
      <c r="B155" s="1" t="str">
        <f aca="false">Report!E228</f>
        <v>CHERRYS SEMI JOIAS LTDA</v>
      </c>
      <c r="C155" s="16" t="n">
        <f aca="false">Report!U228</f>
        <v>405</v>
      </c>
      <c r="D155" s="1" t="str">
        <f aca="false">Report!X228</f>
        <v>NF 436 ELLEN</v>
      </c>
    </row>
    <row r="156" customFormat="false" ht="12.75" hidden="false" customHeight="true" outlineLevel="0" collapsed="false">
      <c r="A156" s="15" t="n">
        <f aca="false">Report!C229</f>
        <v>46183</v>
      </c>
      <c r="B156" s="1" t="str">
        <f aca="false">Report!E229</f>
        <v>LIMA E BARANDA COMERCIO DE PRODUTOS REGI</v>
      </c>
      <c r="C156" s="16" t="n">
        <f aca="false">Report!U229</f>
        <v>199</v>
      </c>
      <c r="D156" s="1" t="str">
        <f aca="false">Report!X229</f>
        <v>NF 30975 ELLEN</v>
      </c>
    </row>
    <row r="157" customFormat="false" ht="12.75" hidden="false" customHeight="true" outlineLevel="0" collapsed="false">
      <c r="A157" s="15" t="n">
        <f aca="false">Report!C230</f>
        <v>46183</v>
      </c>
      <c r="B157" s="1" t="str">
        <f aca="false">Report!E230</f>
        <v>SILVA E SANTOS FRIGORIFICO LTDA</v>
      </c>
      <c r="C157" s="16" t="n">
        <f aca="false">Report!U230</f>
        <v>1600.8</v>
      </c>
      <c r="D157" s="1" t="str">
        <f aca="false">Report!X230</f>
        <v>NF 30864 ELLEN</v>
      </c>
    </row>
    <row r="158" customFormat="false" ht="12.75" hidden="false" customHeight="true" outlineLevel="0" collapsed="false">
      <c r="A158" s="15" t="n">
        <f aca="false">Report!C231</f>
        <v>46183</v>
      </c>
      <c r="B158" s="1" t="str">
        <f aca="false">Report!E231</f>
        <v>SILVA E SANTOS FRIGORIFICO LTDA</v>
      </c>
      <c r="C158" s="16" t="n">
        <f aca="false">Report!U231</f>
        <v>290</v>
      </c>
      <c r="D158" s="1" t="str">
        <f aca="false">Report!X231</f>
        <v>COMPRAS - VISCERAS - ELLEN</v>
      </c>
    </row>
    <row r="159" customFormat="false" ht="12.75" hidden="false" customHeight="true" outlineLevel="0" collapsed="false">
      <c r="A159" s="15" t="n">
        <f aca="false">Report!C232</f>
        <v>46183</v>
      </c>
      <c r="B159" s="1" t="str">
        <f aca="false">Report!E232</f>
        <v>NET CLARO</v>
      </c>
      <c r="C159" s="16" t="n">
        <f aca="false">Report!U232</f>
        <v>160</v>
      </c>
      <c r="D159" s="1" t="str">
        <f aca="false">Report!X232</f>
        <v>INTERNET CLARO MO2 - KEILA</v>
      </c>
    </row>
    <row r="160" customFormat="false" ht="12.75" hidden="false" customHeight="true" outlineLevel="0" collapsed="false">
      <c r="A160" s="15" t="n">
        <f aca="false">Report!C233</f>
        <v>46183</v>
      </c>
      <c r="B160" s="1" t="str">
        <f aca="false">Report!E233</f>
        <v>MANAUS AMBIENTAL S/A </v>
      </c>
      <c r="C160" s="16" t="n">
        <f aca="false">Report!U233</f>
        <v>620.88</v>
      </c>
      <c r="D160" s="1" t="str">
        <f aca="false">Report!X233</f>
        <v>agua mo2 - keila</v>
      </c>
    </row>
    <row r="161" customFormat="false" ht="12.75" hidden="false" customHeight="true" outlineLevel="0" collapsed="false">
      <c r="A161" s="15" t="n">
        <f aca="false">Report!C234</f>
        <v>46183</v>
      </c>
      <c r="B161" s="1" t="str">
        <f aca="false">Report!E234</f>
        <v>RUAN FERNANDES</v>
      </c>
      <c r="C161" s="16" t="n">
        <f aca="false">Report!U234</f>
        <v>415.26</v>
      </c>
      <c r="D161" s="1" t="str">
        <f aca="false">Report!X234</f>
        <v>MEMORIA PC SERVIDOR MO2 - KEILA</v>
      </c>
    </row>
    <row r="162" customFormat="false" ht="12.75" hidden="false" customHeight="true" outlineLevel="0" collapsed="false">
      <c r="A162" s="15" t="n">
        <f aca="false">Report!C235</f>
        <v>46183</v>
      </c>
      <c r="B162" s="1" t="str">
        <f aca="false">Report!E235</f>
        <v>BRYDSON PAIVA DE FREITAS LTDA</v>
      </c>
      <c r="C162" s="16" t="n">
        <f aca="false">Report!U235</f>
        <v>226.67</v>
      </c>
      <c r="D162" s="1" t="str">
        <f aca="false">Report!X235</f>
        <v>NF 8973 DESPESAS - SSD PARC 01/03 - ELLENAgrupamento de títulos Ref. títulos:  139909-01 (340,00), 139909-02 (340,00), </v>
      </c>
    </row>
    <row r="163" customFormat="false" ht="12.75" hidden="false" customHeight="true" outlineLevel="0" collapsed="false">
      <c r="A163" s="15" t="n">
        <f aca="false">Report!C236</f>
        <v>46183</v>
      </c>
      <c r="B163" s="1" t="str">
        <f aca="false">Report!E236</f>
        <v>LOURIVAL ALMEIDA DA SILVA 17128784845</v>
      </c>
      <c r="C163" s="16" t="n">
        <f aca="false">Report!U236</f>
        <v>160.32</v>
      </c>
      <c r="D163" s="1" t="str">
        <f aca="false">Report!X236</f>
        <v>NF 502 COMPRAS-MARSHMALLOW - ELLEN</v>
      </c>
    </row>
    <row r="164" customFormat="false" ht="12.75" hidden="false" customHeight="true" outlineLevel="0" collapsed="false">
      <c r="A164" s="15" t="n">
        <f aca="false">Report!C239</f>
        <v>46184</v>
      </c>
      <c r="B164" s="1" t="str">
        <f aca="false">Report!E239</f>
        <v>SEM FORNECEDOR</v>
      </c>
      <c r="C164" s="16" t="n">
        <f aca="false">Report!U239</f>
        <v>50</v>
      </c>
      <c r="D164" s="1" t="str">
        <f aca="false">Report!X239</f>
        <v>extra elilton</v>
      </c>
    </row>
    <row r="165" customFormat="false" ht="12.75" hidden="false" customHeight="true" outlineLevel="0" collapsed="false">
      <c r="A165" s="15" t="n">
        <f aca="false">Report!C240</f>
        <v>46184</v>
      </c>
      <c r="B165" s="1" t="str">
        <f aca="false">Report!E240</f>
        <v>SEM FORNECEDOR</v>
      </c>
      <c r="C165" s="16" t="n">
        <f aca="false">Report!U240</f>
        <v>2150</v>
      </c>
      <c r="D165" s="1" t="str">
        <f aca="false">Report!X240</f>
        <v>Depósito ref. 11/06/2026</v>
      </c>
    </row>
    <row r="166" customFormat="false" ht="12.75" hidden="false" customHeight="true" outlineLevel="0" collapsed="false">
      <c r="A166" s="15" t="n">
        <f aca="false">Report!C241</f>
        <v>46184</v>
      </c>
      <c r="B166" s="1" t="str">
        <f aca="false">Report!E241</f>
        <v>MARTINS COM SERV DISTR SA</v>
      </c>
      <c r="C166" s="16" t="n">
        <f aca="false">Report!U241</f>
        <v>3345.97</v>
      </c>
      <c r="D166" s="1" t="str">
        <f aca="false">Report!X241</f>
        <v>NF'S 1762653/1762654 - ELLEN</v>
      </c>
    </row>
    <row r="167" customFormat="false" ht="12.75" hidden="false" customHeight="true" outlineLevel="0" collapsed="false">
      <c r="A167" s="15" t="n">
        <f aca="false">Report!C242</f>
        <v>46184</v>
      </c>
      <c r="B167" s="1" t="str">
        <f aca="false">Report!E242</f>
        <v>CB COMERCIO E DISTRIBUIDORA DE ALIMENTOS</v>
      </c>
      <c r="C167" s="16" t="n">
        <f aca="false">Report!U242</f>
        <v>560.42</v>
      </c>
      <c r="D167" s="1" t="str">
        <f aca="false">Report!X242</f>
        <v>NF 836835 ELLEN</v>
      </c>
    </row>
    <row r="168" customFormat="false" ht="12.75" hidden="false" customHeight="true" outlineLevel="0" collapsed="false">
      <c r="A168" s="15" t="n">
        <f aca="false">Report!C243</f>
        <v>46184</v>
      </c>
      <c r="B168" s="1" t="str">
        <f aca="false">Report!E243</f>
        <v>SB COMERCIO LTDA</v>
      </c>
      <c r="C168" s="16" t="n">
        <f aca="false">Report!U243</f>
        <v>409.2</v>
      </c>
      <c r="D168" s="1" t="str">
        <f aca="false">Report!X243</f>
        <v>NF 1953907 ELLEN</v>
      </c>
    </row>
    <row r="169" customFormat="false" ht="12.75" hidden="false" customHeight="true" outlineLevel="0" collapsed="false">
      <c r="A169" s="15" t="n">
        <f aca="false">Report!C244</f>
        <v>46184</v>
      </c>
      <c r="B169" s="1" t="str">
        <f aca="false">Report!E244</f>
        <v>BRASIL NORTE BEBIDAS S/A</v>
      </c>
      <c r="C169" s="16" t="n">
        <f aca="false">Report!U244</f>
        <v>472.41</v>
      </c>
      <c r="D169" s="1" t="str">
        <f aca="false">Report!X244</f>
        <v>1138131</v>
      </c>
    </row>
    <row r="170" customFormat="false" ht="12.75" hidden="false" customHeight="true" outlineLevel="0" collapsed="false">
      <c r="A170" s="15" t="n">
        <f aca="false">Report!C245</f>
        <v>46184</v>
      </c>
      <c r="B170" s="1" t="str">
        <f aca="false">Report!E245</f>
        <v>BRASIL NORTE BEBIDAS S/A</v>
      </c>
      <c r="C170" s="16" t="n">
        <f aca="false">Report!U245</f>
        <v>205.37</v>
      </c>
      <c r="D170" s="1" t="str">
        <f aca="false">Report!X245</f>
        <v>NF 1850474 ELLEN</v>
      </c>
    </row>
    <row r="171" customFormat="false" ht="12.75" hidden="false" customHeight="true" outlineLevel="0" collapsed="false">
      <c r="A171" s="15" t="n">
        <f aca="false">Report!C246</f>
        <v>46184</v>
      </c>
      <c r="B171" s="1" t="str">
        <f aca="false">Report!E246</f>
        <v>BRASIL NORTE BEBIDAS S/A</v>
      </c>
      <c r="C171" s="16" t="n">
        <f aca="false">Report!U246</f>
        <v>2614.74</v>
      </c>
      <c r="D171" s="1" t="str">
        <f aca="false">Report!X246</f>
        <v>NF 1851161 ELLEN</v>
      </c>
    </row>
    <row r="172" customFormat="false" ht="12.75" hidden="false" customHeight="true" outlineLevel="0" collapsed="false">
      <c r="A172" s="15" t="n">
        <f aca="false">Report!C247</f>
        <v>46184</v>
      </c>
      <c r="B172" s="1" t="str">
        <f aca="false">Report!E247</f>
        <v>L S M COMERCIO DE ALIMENTOS E NAVEGACAO</v>
      </c>
      <c r="C172" s="16" t="n">
        <f aca="false">Report!U247</f>
        <v>290</v>
      </c>
      <c r="D172" s="1" t="str">
        <f aca="false">Report!X247</f>
        <v>NF 302504 ELLEN</v>
      </c>
    </row>
    <row r="173" customFormat="false" ht="12.75" hidden="false" customHeight="true" outlineLevel="0" collapsed="false">
      <c r="A173" s="15" t="n">
        <f aca="false">Report!C248</f>
        <v>46184</v>
      </c>
      <c r="B173" s="1" t="str">
        <f aca="false">Report!E248</f>
        <v>EMPRESA BRASILEIRA DE DISTRIBUICAO LTDA</v>
      </c>
      <c r="C173" s="16" t="n">
        <f aca="false">Report!U248</f>
        <v>506.55</v>
      </c>
      <c r="D173" s="1" t="str">
        <f aca="false">Report!X248</f>
        <v>NF 2285997 ELLEN</v>
      </c>
    </row>
    <row r="174" customFormat="false" ht="12.75" hidden="false" customHeight="true" outlineLevel="0" collapsed="false">
      <c r="A174" s="15" t="n">
        <f aca="false">Report!C249</f>
        <v>46184</v>
      </c>
      <c r="B174" s="1" t="str">
        <f aca="false">Report!E249</f>
        <v>NOVA FRIOS COMERCIO ATACADISTA DE LATICINIOS LTDA</v>
      </c>
      <c r="C174" s="16" t="n">
        <f aca="false">Report!U249</f>
        <v>126.04</v>
      </c>
      <c r="D174" s="1" t="str">
        <f aca="false">Report!X249</f>
        <v>NF 3659 ELLEN</v>
      </c>
    </row>
    <row r="175" customFormat="false" ht="12.75" hidden="false" customHeight="true" outlineLevel="0" collapsed="false">
      <c r="A175" s="15" t="n">
        <f aca="false">Report!C250</f>
        <v>46184</v>
      </c>
      <c r="B175" s="1" t="str">
        <f aca="false">Report!E250</f>
        <v>PANIFICADORA E CONFEITARIA REAL MADRI LTDA</v>
      </c>
      <c r="C175" s="16" t="n">
        <f aca="false">Report!U250</f>
        <v>282.25</v>
      </c>
      <c r="D175" s="1" t="str">
        <f aca="false">Report!X250</f>
        <v>NF 654 ELLEN</v>
      </c>
    </row>
    <row r="176" customFormat="false" ht="12.75" hidden="false" customHeight="true" outlineLevel="0" collapsed="false">
      <c r="A176" s="15" t="n">
        <f aca="false">Report!C251</f>
        <v>46185</v>
      </c>
      <c r="B176" s="1" t="str">
        <f aca="false">Report!E251</f>
        <v>SEM FORNECEDOR</v>
      </c>
      <c r="C176" s="16" t="n">
        <f aca="false">Report!U251</f>
        <v>260</v>
      </c>
      <c r="D176" s="1" t="str">
        <f aca="false">Report!X251</f>
        <v>Pag de título:  Forn: 48-NEYLIANE S DE OLIVEIRA &amp; CIA LTDA. Tit: 2494-01</v>
      </c>
    </row>
    <row r="177" customFormat="false" ht="12.75" hidden="false" customHeight="true" outlineLevel="0" collapsed="false">
      <c r="A177" s="15" t="n">
        <f aca="false">Report!C252</f>
        <v>46185</v>
      </c>
      <c r="B177" s="1" t="str">
        <f aca="false">Report!E252</f>
        <v>SEM FORNECEDOR</v>
      </c>
      <c r="C177" s="16" t="n">
        <f aca="false">Report!U252</f>
        <v>50</v>
      </c>
      <c r="D177" s="1" t="str">
        <f aca="false">Report!X252</f>
        <v>diaria elilton</v>
      </c>
    </row>
    <row r="178" customFormat="false" ht="12.75" hidden="false" customHeight="true" outlineLevel="0" collapsed="false">
      <c r="A178" s="15" t="n">
        <f aca="false">Report!C253</f>
        <v>46185</v>
      </c>
      <c r="B178" s="1" t="str">
        <f aca="false">Report!E253</f>
        <v>SEM FORNECEDOR</v>
      </c>
      <c r="C178" s="16" t="n">
        <f aca="false">Report!U253</f>
        <v>54</v>
      </c>
      <c r="D178" s="1" t="str">
        <f aca="false">Report!X253</f>
        <v>compras - brigadeiro</v>
      </c>
    </row>
    <row r="179" customFormat="false" ht="12.75" hidden="false" customHeight="true" outlineLevel="0" collapsed="false">
      <c r="A179" s="15" t="n">
        <f aca="false">Report!C254</f>
        <v>46185</v>
      </c>
      <c r="B179" s="1" t="str">
        <f aca="false">Report!E254</f>
        <v>SEM FORNECEDOR</v>
      </c>
      <c r="C179" s="16" t="n">
        <f aca="false">Report!U254</f>
        <v>50</v>
      </c>
      <c r="D179" s="1" t="str">
        <f aca="false">Report!X254</f>
        <v>extra helio</v>
      </c>
    </row>
    <row r="180" customFormat="false" ht="12.75" hidden="false" customHeight="true" outlineLevel="0" collapsed="false">
      <c r="A180" s="15" t="n">
        <f aca="false">Report!C255</f>
        <v>46185</v>
      </c>
      <c r="B180" s="1" t="str">
        <f aca="false">Report!E255</f>
        <v>SEM FORNECEDOR</v>
      </c>
      <c r="C180" s="16" t="n">
        <f aca="false">Report!U255</f>
        <v>2050</v>
      </c>
      <c r="D180" s="1" t="str">
        <f aca="false">Report!X255</f>
        <v>Depósito ref. 12/06/2026</v>
      </c>
    </row>
    <row r="181" customFormat="false" ht="12.75" hidden="false" customHeight="true" outlineLevel="0" collapsed="false">
      <c r="A181" s="15" t="n">
        <f aca="false">Report!C256</f>
        <v>46185</v>
      </c>
      <c r="B181" s="1" t="str">
        <f aca="false">Report!E256</f>
        <v>DISTRIBUIDORA LOPES LTDA</v>
      </c>
      <c r="C181" s="16" t="n">
        <f aca="false">Report!U256</f>
        <v>956.2</v>
      </c>
      <c r="D181" s="1" t="str">
        <f aca="false">Report!X256</f>
        <v>NF 1659288 ELLEN</v>
      </c>
    </row>
    <row r="182" customFormat="false" ht="12.75" hidden="false" customHeight="true" outlineLevel="0" collapsed="false">
      <c r="A182" s="15" t="n">
        <f aca="false">Report!C257</f>
        <v>46185</v>
      </c>
      <c r="B182" s="1" t="str">
        <f aca="false">Report!E257</f>
        <v>DISTRIBUIDORA LOPES LTDA</v>
      </c>
      <c r="C182" s="16" t="n">
        <f aca="false">Report!U257</f>
        <v>643.51</v>
      </c>
      <c r="D182" s="1" t="str">
        <f aca="false">Report!X257</f>
        <v>NF 1659289 ELLEN</v>
      </c>
    </row>
    <row r="183" customFormat="false" ht="12.75" hidden="false" customHeight="true" outlineLevel="0" collapsed="false">
      <c r="A183" s="15" t="n">
        <f aca="false">Report!C258</f>
        <v>46185</v>
      </c>
      <c r="B183" s="1" t="str">
        <f aca="false">Report!E258</f>
        <v>DISTRIBUIDORA LOPES LTDA</v>
      </c>
      <c r="C183" s="16" t="n">
        <f aca="false">Report!U258</f>
        <v>1041.87</v>
      </c>
      <c r="D183" s="1" t="str">
        <f aca="false">Report!X258</f>
        <v>NF 1659538 ELLEN</v>
      </c>
    </row>
    <row r="184" customFormat="false" ht="12.75" hidden="false" customHeight="true" outlineLevel="0" collapsed="false">
      <c r="A184" s="15" t="n">
        <f aca="false">Report!C259</f>
        <v>46185</v>
      </c>
      <c r="B184" s="1" t="str">
        <f aca="false">Report!E259</f>
        <v>DISTRIBUIDORA FARIAS LTDA.</v>
      </c>
      <c r="C184" s="16" t="n">
        <f aca="false">Report!U259</f>
        <v>352.35</v>
      </c>
      <c r="D184" s="1" t="str">
        <f aca="false">Report!X259</f>
        <v>NF 668750 ELLEN</v>
      </c>
    </row>
    <row r="185" customFormat="false" ht="12.75" hidden="false" customHeight="true" outlineLevel="0" collapsed="false">
      <c r="A185" s="15" t="n">
        <f aca="false">Report!C260</f>
        <v>46185</v>
      </c>
      <c r="B185" s="1" t="str">
        <f aca="false">Report!E260</f>
        <v>OESA COMERCIO E REPRESENTACOES S/A</v>
      </c>
      <c r="C185" s="16" t="n">
        <f aca="false">Report!U260</f>
        <v>639.85</v>
      </c>
      <c r="D185" s="1" t="str">
        <f aca="false">Report!X260</f>
        <v>NF 407270 ELLEN</v>
      </c>
    </row>
    <row r="186" customFormat="false" ht="12.75" hidden="false" customHeight="true" outlineLevel="0" collapsed="false">
      <c r="A186" s="15" t="n">
        <f aca="false">Report!C261</f>
        <v>46185</v>
      </c>
      <c r="B186" s="1" t="str">
        <f aca="false">Report!E261</f>
        <v>SOUZA CRUZ LTDA.</v>
      </c>
      <c r="C186" s="16" t="n">
        <f aca="false">Report!U261</f>
        <v>3787.04</v>
      </c>
      <c r="D186" s="1" t="str">
        <f aca="false">Report!X261</f>
        <v>NF 560914 ELLEN</v>
      </c>
    </row>
    <row r="187" customFormat="false" ht="12.75" hidden="false" customHeight="true" outlineLevel="0" collapsed="false">
      <c r="A187" s="15" t="n">
        <f aca="false">Report!C262</f>
        <v>46185</v>
      </c>
      <c r="B187" s="1" t="str">
        <f aca="false">Report!E262</f>
        <v>COMERCIO DE FRIOS MANAUS LTDA</v>
      </c>
      <c r="C187" s="16" t="n">
        <f aca="false">Report!U262</f>
        <v>2264.85</v>
      </c>
      <c r="D187" s="1" t="str">
        <f aca="false">Report!X262</f>
        <v>NF 170938 ELLEN</v>
      </c>
    </row>
    <row r="188" customFormat="false" ht="12.75" hidden="false" customHeight="true" outlineLevel="0" collapsed="false">
      <c r="A188" s="15" t="n">
        <f aca="false">Report!C263</f>
        <v>46185</v>
      </c>
      <c r="B188" s="1" t="str">
        <f aca="false">Report!E263</f>
        <v>FENNIX BRASIL DISTRIBUIDORA DE PRODUTOS</v>
      </c>
      <c r="C188" s="16" t="n">
        <f aca="false">Report!U263</f>
        <v>392.25</v>
      </c>
      <c r="D188" s="1" t="str">
        <f aca="false">Report!X263</f>
        <v>NF 308379 ELLEN</v>
      </c>
    </row>
    <row r="189" customFormat="false" ht="12.75" hidden="false" customHeight="true" outlineLevel="0" collapsed="false">
      <c r="A189" s="15" t="n">
        <f aca="false">Report!C264</f>
        <v>46185</v>
      </c>
      <c r="B189" s="1" t="str">
        <f aca="false">Report!E264</f>
        <v>JAB COMERCIO DE PRODUTOS ALIMENTICIOS LT</v>
      </c>
      <c r="C189" s="16" t="n">
        <f aca="false">Report!U264</f>
        <v>161</v>
      </c>
      <c r="D189" s="1" t="str">
        <f aca="false">Report!X264</f>
        <v>NF 3322 ELLEN</v>
      </c>
    </row>
    <row r="190" customFormat="false" ht="12.75" hidden="false" customHeight="true" outlineLevel="0" collapsed="false">
      <c r="A190" s="15" t="n">
        <f aca="false">Report!C272</f>
        <v>46185</v>
      </c>
      <c r="B190" s="1" t="str">
        <f aca="false">Report!E272</f>
        <v>NEYLIANE S DE OLIVEIRA &amp; CIA LTDA</v>
      </c>
      <c r="C190" s="16" t="n">
        <f aca="false">Report!U272</f>
        <v>1323.79</v>
      </c>
      <c r="D190" s="1" t="str">
        <f aca="false">Report!X272</f>
        <v>FEIRA SR RENATO- CAIXA GERAL POTE - ELLEN</v>
      </c>
    </row>
    <row r="191" customFormat="false" ht="12.75" hidden="false" customHeight="true" outlineLevel="0" collapsed="false">
      <c r="A191" s="15" t="n">
        <f aca="false">Report!C274</f>
        <v>46185</v>
      </c>
      <c r="B191" s="1" t="str">
        <f aca="false">Report!E274</f>
        <v>GOLD SERVICE</v>
      </c>
      <c r="C191" s="16" t="n">
        <f aca="false">Report!U274</f>
        <v>2431.5</v>
      </c>
      <c r="D191" s="1" t="str">
        <f aca="false">Report!X274</f>
        <v>MENSALIDADE GOLD MO2 - KEILA</v>
      </c>
    </row>
    <row r="192" customFormat="false" ht="12.75" hidden="false" customHeight="true" outlineLevel="0" collapsed="false">
      <c r="A192" s="15" t="n">
        <f aca="false">Report!C275</f>
        <v>46185</v>
      </c>
      <c r="B192" s="1" t="str">
        <f aca="false">Report!E275</f>
        <v>FEIRA</v>
      </c>
      <c r="C192" s="16" t="n">
        <f aca="false">Report!U275</f>
        <v>4189</v>
      </c>
      <c r="D192" s="1" t="str">
        <f aca="false">Report!X275</f>
        <v>PG FEIRA LOJAS RENATO - KEILA</v>
      </c>
    </row>
    <row r="193" customFormat="false" ht="12.75" hidden="false" customHeight="true" outlineLevel="0" collapsed="false">
      <c r="A193" s="15" t="n">
        <f aca="false">Report!C276</f>
        <v>46186</v>
      </c>
      <c r="B193" s="1" t="str">
        <f aca="false">Report!E276</f>
        <v>SEM FORNECEDOR</v>
      </c>
      <c r="C193" s="16" t="n">
        <f aca="false">Report!U276</f>
        <v>50</v>
      </c>
      <c r="D193" s="1" t="str">
        <f aca="false">Report!X276</f>
        <v>extra elilton</v>
      </c>
    </row>
    <row r="194" customFormat="false" ht="12.75" hidden="false" customHeight="true" outlineLevel="0" collapsed="false">
      <c r="A194" s="15" t="n">
        <f aca="false">Report!C277</f>
        <v>46186</v>
      </c>
      <c r="B194" s="1" t="str">
        <f aca="false">Report!E277</f>
        <v>SEM FORNECEDOR</v>
      </c>
      <c r="C194" s="16" t="n">
        <f aca="false">Report!U277</f>
        <v>50</v>
      </c>
      <c r="D194" s="1" t="str">
        <f aca="false">Report!X277</f>
        <v>extra helio</v>
      </c>
    </row>
    <row r="195" customFormat="false" ht="12.75" hidden="false" customHeight="true" outlineLevel="0" collapsed="false">
      <c r="A195" s="15" t="n">
        <f aca="false">Report!C278</f>
        <v>46186</v>
      </c>
      <c r="B195" s="1" t="str">
        <f aca="false">Report!E278</f>
        <v>SEM FORNECEDOR</v>
      </c>
      <c r="C195" s="16" t="n">
        <f aca="false">Report!U278</f>
        <v>2650</v>
      </c>
      <c r="D195" s="1" t="str">
        <f aca="false">Report!X278</f>
        <v>Depósito ref. 13/06/2026</v>
      </c>
    </row>
    <row r="196" customFormat="false" ht="12.75" hidden="false" customHeight="true" outlineLevel="0" collapsed="false">
      <c r="A196" s="15" t="n">
        <f aca="false">Report!C279</f>
        <v>46186</v>
      </c>
      <c r="B196" s="1" t="str">
        <f aca="false">Report!E279</f>
        <v>BRASIL NORTE BEBIDAS S/A</v>
      </c>
      <c r="C196" s="16" t="n">
        <f aca="false">Report!U279</f>
        <v>800.9</v>
      </c>
      <c r="D196" s="1" t="n">
        <f aca="false">Report!X279</f>
        <v>0</v>
      </c>
    </row>
    <row r="197" customFormat="false" ht="12.75" hidden="false" customHeight="true" outlineLevel="0" collapsed="false">
      <c r="A197" s="15" t="n">
        <f aca="false">Report!C280</f>
        <v>46186</v>
      </c>
      <c r="B197" s="1" t="str">
        <f aca="false">Report!E280</f>
        <v>FALCAO INDUSTRIA DE ALIMENTOS LTDA</v>
      </c>
      <c r="C197" s="16" t="n">
        <f aca="false">Report!U280</f>
        <v>1598.58</v>
      </c>
      <c r="D197" s="1" t="str">
        <f aca="false">Report!X280</f>
        <v>NF 29829 ELLEN</v>
      </c>
    </row>
    <row r="198" customFormat="false" ht="12.75" hidden="false" customHeight="true" outlineLevel="0" collapsed="false">
      <c r="A198" s="15" t="n">
        <f aca="false">Report!C281</f>
        <v>46186</v>
      </c>
      <c r="B198" s="1" t="str">
        <f aca="false">Report!E281</f>
        <v>J G COMERCIO DE PRODUTOS ALIMENTICIOS LTDA</v>
      </c>
      <c r="C198" s="16" t="n">
        <f aca="false">Report!U281</f>
        <v>524.7</v>
      </c>
      <c r="D198" s="1" t="str">
        <f aca="false">Report!X281</f>
        <v>NF 385542 ELLEN</v>
      </c>
    </row>
    <row r="199" customFormat="false" ht="12.75" hidden="false" customHeight="true" outlineLevel="0" collapsed="false">
      <c r="A199" s="15" t="n">
        <f aca="false">Report!C282</f>
        <v>46186</v>
      </c>
      <c r="B199" s="1" t="str">
        <f aca="false">Report!E282</f>
        <v>BRAGA TABACARIA EIRELI ME</v>
      </c>
      <c r="C199" s="16" t="n">
        <f aca="false">Report!U282</f>
        <v>837.49</v>
      </c>
      <c r="D199" s="1" t="str">
        <f aca="false">Report!X282</f>
        <v>NF 18534 ELLEN</v>
      </c>
    </row>
    <row r="200" customFormat="false" ht="12.75" hidden="false" customHeight="true" outlineLevel="0" collapsed="false">
      <c r="A200" s="15" t="n">
        <f aca="false">Report!C283</f>
        <v>46187</v>
      </c>
      <c r="B200" s="1" t="str">
        <f aca="false">Report!E283</f>
        <v>SEM FORNECEDOR</v>
      </c>
      <c r="C200" s="16" t="n">
        <f aca="false">Report!U283</f>
        <v>90</v>
      </c>
      <c r="D200" s="1" t="str">
        <f aca="false">Report!X283</f>
        <v>almoço regina</v>
      </c>
    </row>
    <row r="201" customFormat="false" ht="12.75" hidden="false" customHeight="true" outlineLevel="0" collapsed="false">
      <c r="A201" s="15" t="n">
        <f aca="false">Report!C284</f>
        <v>46187</v>
      </c>
      <c r="B201" s="1" t="str">
        <f aca="false">Report!E284</f>
        <v>SEM FORNECEDOR</v>
      </c>
      <c r="C201" s="16" t="n">
        <f aca="false">Report!U284</f>
        <v>70</v>
      </c>
      <c r="D201" s="1" t="str">
        <f aca="false">Report!X284</f>
        <v>Hora extra</v>
      </c>
    </row>
    <row r="202" customFormat="false" ht="12.75" hidden="false" customHeight="true" outlineLevel="0" collapsed="false">
      <c r="A202" s="15" t="n">
        <f aca="false">Report!C285</f>
        <v>46187</v>
      </c>
      <c r="B202" s="1" t="str">
        <f aca="false">Report!E285</f>
        <v>SEM FORNECEDOR</v>
      </c>
      <c r="C202" s="16" t="n">
        <f aca="false">Report!U285</f>
        <v>2150</v>
      </c>
      <c r="D202" s="1" t="str">
        <f aca="false">Report!X285</f>
        <v>Depósito ref. 14/06/2026</v>
      </c>
    </row>
    <row r="203" customFormat="false" ht="12.75" hidden="false" customHeight="true" outlineLevel="0" collapsed="false">
      <c r="A203" s="15" t="n">
        <f aca="false">Report!C287</f>
        <v>46187</v>
      </c>
      <c r="B203" s="1" t="str">
        <f aca="false">Report!E287</f>
        <v>BRASIL NORTE BEBIDAS S/A</v>
      </c>
      <c r="C203" s="16" t="n">
        <f aca="false">Report!U287</f>
        <v>225.8</v>
      </c>
      <c r="D203" s="1" t="str">
        <f aca="false">Report!X287</f>
        <v>NF 1858412 ELLEN</v>
      </c>
    </row>
    <row r="204" customFormat="false" ht="12.75" hidden="false" customHeight="true" outlineLevel="0" collapsed="false">
      <c r="A204" s="15" t="n">
        <f aca="false">Report!C288</f>
        <v>46187</v>
      </c>
      <c r="B204" s="1" t="str">
        <f aca="false">Report!E288</f>
        <v>BRASIL NORTE BEBIDAS S/A</v>
      </c>
      <c r="C204" s="16" t="n">
        <f aca="false">Report!U288</f>
        <v>305.12</v>
      </c>
      <c r="D204" s="1" t="str">
        <f aca="false">Report!X288</f>
        <v>NF 1143885 ELLEN</v>
      </c>
    </row>
    <row r="205" customFormat="false" ht="12.75" hidden="false" customHeight="true" outlineLevel="0" collapsed="false">
      <c r="A205" s="15" t="n">
        <f aca="false">Report!C289</f>
        <v>46187</v>
      </c>
      <c r="B205" s="1" t="str">
        <f aca="false">Report!E289</f>
        <v>BRASIL NORTE BEBIDAS S/A</v>
      </c>
      <c r="C205" s="16" t="n">
        <f aca="false">Report!U289</f>
        <v>323.34</v>
      </c>
      <c r="D205" s="1" t="str">
        <f aca="false">Report!X289</f>
        <v>NF 1857569 ELLEN</v>
      </c>
    </row>
    <row r="206" customFormat="false" ht="12.75" hidden="false" customHeight="true" outlineLevel="0" collapsed="false">
      <c r="A206" s="15" t="n">
        <f aca="false">Report!C290</f>
        <v>46187</v>
      </c>
      <c r="B206" s="1" t="str">
        <f aca="false">Report!E290</f>
        <v>ADF DISTRIBUIDORA DE BEBIDAS LTDA</v>
      </c>
      <c r="C206" s="16" t="n">
        <f aca="false">Report!U290</f>
        <v>288</v>
      </c>
      <c r="D206" s="1" t="str">
        <f aca="false">Report!X290</f>
        <v>NF 459236 ELLEN</v>
      </c>
    </row>
    <row r="207" customFormat="false" ht="12.75" hidden="false" customHeight="true" outlineLevel="0" collapsed="false">
      <c r="A207" s="15" t="n">
        <f aca="false">Report!C291</f>
        <v>46188</v>
      </c>
      <c r="B207" s="1" t="str">
        <f aca="false">Report!E291</f>
        <v>SEM FORNECEDOR</v>
      </c>
      <c r="C207" s="16" t="n">
        <f aca="false">Report!U291</f>
        <v>210</v>
      </c>
      <c r="D207" s="1" t="str">
        <f aca="false">Report!X291</f>
        <v>Pag de título:  Forn: 48-NEYLIANE S DE OLIVEIRA &amp; CIA LTDA. Tit: 2496-01</v>
      </c>
    </row>
    <row r="208" customFormat="false" ht="12.75" hidden="false" customHeight="true" outlineLevel="0" collapsed="false">
      <c r="A208" s="15" t="n">
        <f aca="false">Report!C292</f>
        <v>46188</v>
      </c>
      <c r="B208" s="1" t="str">
        <f aca="false">Report!E292</f>
        <v>SEM FORNECEDOR</v>
      </c>
      <c r="C208" s="16" t="n">
        <f aca="false">Report!U292</f>
        <v>72</v>
      </c>
      <c r="D208" s="1" t="str">
        <f aca="false">Report!X292</f>
        <v>4 cxs brigadeiro/ jose</v>
      </c>
    </row>
    <row r="209" customFormat="false" ht="12.75" hidden="false" customHeight="true" outlineLevel="0" collapsed="false">
      <c r="A209" s="15" t="n">
        <f aca="false">Report!C293</f>
        <v>46188</v>
      </c>
      <c r="B209" s="1" t="str">
        <f aca="false">Report!E293</f>
        <v>SEM FORNECEDOR</v>
      </c>
      <c r="C209" s="16" t="n">
        <f aca="false">Report!U293</f>
        <v>70</v>
      </c>
      <c r="D209" s="1" t="str">
        <f aca="false">Report!X293</f>
        <v>extra davi</v>
      </c>
    </row>
    <row r="210" customFormat="false" ht="12.75" hidden="false" customHeight="true" outlineLevel="0" collapsed="false">
      <c r="A210" s="15" t="n">
        <f aca="false">Report!C294</f>
        <v>46188</v>
      </c>
      <c r="B210" s="1" t="str">
        <f aca="false">Report!E294</f>
        <v>SEM FORNECEDOR</v>
      </c>
      <c r="C210" s="16" t="n">
        <f aca="false">Report!U294</f>
        <v>70</v>
      </c>
      <c r="D210" s="1" t="str">
        <f aca="false">Report!X294</f>
        <v>extraidelma</v>
      </c>
    </row>
    <row r="211" customFormat="false" ht="12.75" hidden="false" customHeight="true" outlineLevel="0" collapsed="false">
      <c r="A211" s="15" t="n">
        <f aca="false">Report!C296</f>
        <v>46188</v>
      </c>
      <c r="B211" s="1" t="str">
        <f aca="false">Report!E296</f>
        <v>PREFEITURA MUNICIPAL DE MANAUS - IPTU</v>
      </c>
      <c r="C211" s="16" t="n">
        <f aca="false">Report!U296</f>
        <v>228.88</v>
      </c>
      <c r="D211" s="1" t="str">
        <f aca="false">Report!X296</f>
        <v>PARC 04/10 MATR 101674 IPTU MO2 - KEILA</v>
      </c>
    </row>
    <row r="212" customFormat="false" ht="12.75" hidden="false" customHeight="true" outlineLevel="0" collapsed="false">
      <c r="A212" s="15" t="n">
        <f aca="false">Report!C297</f>
        <v>46188</v>
      </c>
      <c r="B212" s="1" t="str">
        <f aca="false">Report!E297</f>
        <v>SOLANGE MARIA DE QUEIROZ</v>
      </c>
      <c r="C212" s="16" t="n">
        <f aca="false">Report!U297</f>
        <v>5700</v>
      </c>
      <c r="D212" s="1" t="str">
        <f aca="false">Report!X297</f>
        <v>ALUGUEL MO2 - KEILA</v>
      </c>
    </row>
    <row r="213" customFormat="false" ht="12.75" hidden="false" customHeight="true" outlineLevel="0" collapsed="false">
      <c r="A213" s="15" t="n">
        <f aca="false">Report!C298</f>
        <v>46188</v>
      </c>
      <c r="B213" s="1" t="str">
        <f aca="false">Report!E298</f>
        <v>TAPAJOS COM DE PERFUMARIA COSMETICOS E G</v>
      </c>
      <c r="C213" s="16" t="n">
        <f aca="false">Report!U298</f>
        <v>680.53</v>
      </c>
      <c r="D213" s="1" t="str">
        <f aca="false">Report!X298</f>
        <v>NF 569926 ELLEN</v>
      </c>
    </row>
    <row r="214" customFormat="false" ht="12.75" hidden="false" customHeight="true" outlineLevel="0" collapsed="false">
      <c r="A214" s="15" t="n">
        <f aca="false">Report!C299</f>
        <v>46188</v>
      </c>
      <c r="B214" s="1" t="str">
        <f aca="false">Report!E299</f>
        <v>DUNORTE DISTRIBUIDORA DE PRODUTOS DE CONSUMO LTDA</v>
      </c>
      <c r="C214" s="16" t="n">
        <f aca="false">Report!U299</f>
        <v>391.4</v>
      </c>
      <c r="D214" s="1" t="str">
        <f aca="false">Report!X299</f>
        <v>NF 3188783 ELLEN</v>
      </c>
    </row>
    <row r="215" customFormat="false" ht="12.75" hidden="false" customHeight="true" outlineLevel="0" collapsed="false">
      <c r="A215" s="15" t="n">
        <f aca="false">Report!C300</f>
        <v>46188</v>
      </c>
      <c r="B215" s="1" t="str">
        <f aca="false">Report!E300</f>
        <v>DUNORTE DISTRIBUIDORA DE PRODUTOS DE CONSUMO LTDA</v>
      </c>
      <c r="C215" s="16" t="n">
        <f aca="false">Report!U300</f>
        <v>1562.27</v>
      </c>
      <c r="D215" s="1" t="str">
        <f aca="false">Report!X300</f>
        <v>NF 3188782 ELLEN</v>
      </c>
    </row>
    <row r="216" customFormat="false" ht="12.75" hidden="false" customHeight="true" outlineLevel="0" collapsed="false">
      <c r="A216" s="15" t="n">
        <f aca="false">Report!C301</f>
        <v>46188</v>
      </c>
      <c r="B216" s="1" t="str">
        <f aca="false">Report!E301</f>
        <v>L S M COMERCIO DE ALIMENTOS E NAVEGACAO</v>
      </c>
      <c r="C216" s="16" t="n">
        <f aca="false">Report!U301</f>
        <v>1909.5</v>
      </c>
      <c r="D216" s="1" t="str">
        <f aca="false">Report!X301</f>
        <v>NF 303660 ELLEN</v>
      </c>
    </row>
    <row r="217" customFormat="false" ht="12.75" hidden="false" customHeight="true" outlineLevel="0" collapsed="false">
      <c r="A217" s="15" t="n">
        <f aca="false">Report!C302</f>
        <v>46188</v>
      </c>
      <c r="B217" s="1" t="str">
        <f aca="false">Report!E302</f>
        <v>TAPAJOS COM DE PERFUMARIA COSMETICOS E G</v>
      </c>
      <c r="C217" s="16" t="n">
        <f aca="false">Report!U302</f>
        <v>1095.36</v>
      </c>
      <c r="D217" s="1" t="str">
        <f aca="false">Report!X302</f>
        <v>NF 596625 ELLEN</v>
      </c>
    </row>
    <row r="218" customFormat="false" ht="12.75" hidden="false" customHeight="true" outlineLevel="0" collapsed="false">
      <c r="A218" s="15" t="n">
        <f aca="false">Report!C303</f>
        <v>46188</v>
      </c>
      <c r="B218" s="1" t="str">
        <f aca="false">Report!E303</f>
        <v>MARQUES &amp; MELO LTDA - FILIAL</v>
      </c>
      <c r="C218" s="16" t="n">
        <f aca="false">Report!U303</f>
        <v>1022.42</v>
      </c>
      <c r="D218" s="1" t="str">
        <f aca="false">Report!X303</f>
        <v>NF 491834 ELLEN</v>
      </c>
    </row>
    <row r="219" customFormat="false" ht="12.75" hidden="false" customHeight="true" outlineLevel="0" collapsed="false">
      <c r="A219" s="15" t="n">
        <f aca="false">Report!C304</f>
        <v>46188</v>
      </c>
      <c r="B219" s="1" t="str">
        <f aca="false">Report!E304</f>
        <v>EDSON AGUIAR DE SOUZA</v>
      </c>
      <c r="C219" s="16" t="n">
        <f aca="false">Report!U304</f>
        <v>172</v>
      </c>
      <c r="D219" s="1" t="str">
        <f aca="false">Report!X304</f>
        <v>COMPRAS - CHEIRO-VER - ELLEN</v>
      </c>
    </row>
    <row r="220" customFormat="false" ht="12.75" hidden="false" customHeight="true" outlineLevel="0" collapsed="false">
      <c r="A220" s="15" t="n">
        <f aca="false">Report!C305</f>
        <v>46188</v>
      </c>
      <c r="B220" s="1" t="str">
        <f aca="false">Report!E305</f>
        <v>EDSON AGUIAR DE SOUZA</v>
      </c>
      <c r="C220" s="16" t="n">
        <f aca="false">Report!U305</f>
        <v>130.5</v>
      </c>
      <c r="D220" s="1" t="str">
        <f aca="false">Report!X305</f>
        <v>COMPRAS - CHEIRO-VERDE - ELLEN</v>
      </c>
    </row>
    <row r="221" customFormat="false" ht="12.75" hidden="false" customHeight="true" outlineLevel="0" collapsed="false">
      <c r="A221" s="15" t="n">
        <f aca="false">Report!C306</f>
        <v>46188</v>
      </c>
      <c r="B221" s="1" t="str">
        <f aca="false">Report!E306</f>
        <v>EDSON AGUIAR DE SOUZA</v>
      </c>
      <c r="C221" s="16" t="n">
        <f aca="false">Report!U306</f>
        <v>133.5</v>
      </c>
      <c r="D221" s="1" t="str">
        <f aca="false">Report!X306</f>
        <v>COMPRAS - CHEIRO-VERDE-ELLEN</v>
      </c>
    </row>
    <row r="222" customFormat="false" ht="12.75" hidden="false" customHeight="true" outlineLevel="0" collapsed="false">
      <c r="A222" s="15" t="n">
        <f aca="false">Report!C307</f>
        <v>46188</v>
      </c>
      <c r="B222" s="1" t="str">
        <f aca="false">Report!E307</f>
        <v>EDSON AGUIAR DE SOUZA</v>
      </c>
      <c r="C222" s="16" t="n">
        <f aca="false">Report!U307</f>
        <v>90</v>
      </c>
      <c r="D222" s="1" t="str">
        <f aca="false">Report!X307</f>
        <v>COMPRAS - CHEIRO-VERDE - ELLEN</v>
      </c>
    </row>
    <row r="223" customFormat="false" ht="12.75" hidden="false" customHeight="true" outlineLevel="0" collapsed="false">
      <c r="A223" s="15" t="n">
        <f aca="false">Report!C308</f>
        <v>46188</v>
      </c>
      <c r="B223" s="1" t="str">
        <f aca="false">Report!E308</f>
        <v>EDSON AGUIAR DE SOUZA</v>
      </c>
      <c r="C223" s="16" t="n">
        <f aca="false">Report!U308</f>
        <v>81.5</v>
      </c>
      <c r="D223" s="1" t="str">
        <f aca="false">Report!X308</f>
        <v>COMPRAS - CHEIRO-VERDE - ELLEN</v>
      </c>
    </row>
    <row r="224" customFormat="false" ht="12.75" hidden="false" customHeight="true" outlineLevel="0" collapsed="false">
      <c r="A224" s="15" t="n">
        <f aca="false">Report!C309</f>
        <v>46188</v>
      </c>
      <c r="B224" s="1" t="str">
        <f aca="false">Report!E309</f>
        <v>DISTRIBUIDORA LOPES LTDA</v>
      </c>
      <c r="C224" s="16" t="n">
        <f aca="false">Report!U309</f>
        <v>333.54</v>
      </c>
      <c r="D224" s="1" t="str">
        <f aca="false">Report!X309</f>
        <v>NF 1668916 ELLEN</v>
      </c>
    </row>
    <row r="225" customFormat="false" ht="12.75" hidden="false" customHeight="true" outlineLevel="0" collapsed="false">
      <c r="A225" s="15" t="n">
        <f aca="false">Report!C310</f>
        <v>46188</v>
      </c>
      <c r="B225" s="1" t="str">
        <f aca="false">Report!E310</f>
        <v>COMERCIO DE FRIOS MANAUS LTDA</v>
      </c>
      <c r="C225" s="16" t="n">
        <f aca="false">Report!U310</f>
        <v>1068</v>
      </c>
      <c r="D225" s="1" t="str">
        <f aca="false">Report!X310</f>
        <v>NF 171066 ELLEN</v>
      </c>
    </row>
    <row r="226" customFormat="false" ht="12.75" hidden="false" customHeight="true" outlineLevel="0" collapsed="false">
      <c r="A226" s="15" t="n">
        <f aca="false">Report!C311</f>
        <v>46188</v>
      </c>
      <c r="B226" s="1" t="str">
        <f aca="false">Report!E311</f>
        <v>EDSON AGUIAR DE SOUZA</v>
      </c>
      <c r="C226" s="16" t="n">
        <f aca="false">Report!U311</f>
        <v>232</v>
      </c>
      <c r="D226" s="1" t="str">
        <f aca="false">Report!X311</f>
        <v>COMPRAS - CHEIRO-VERDE - ELLEN</v>
      </c>
    </row>
    <row r="227" customFormat="false" ht="12.75" hidden="false" customHeight="true" outlineLevel="0" collapsed="false">
      <c r="A227" s="15" t="n">
        <f aca="false">Report!C312</f>
        <v>46188</v>
      </c>
      <c r="B227" s="1" t="str">
        <f aca="false">Report!E312</f>
        <v>EDSON AGUIAR DE SOUZA</v>
      </c>
      <c r="C227" s="16" t="n">
        <f aca="false">Report!U312</f>
        <v>72</v>
      </c>
      <c r="D227" s="1" t="str">
        <f aca="false">Report!X312</f>
        <v>COMPRAS - CHEIRO-VERDE - ELLEN</v>
      </c>
    </row>
    <row r="228" customFormat="false" ht="12.75" hidden="false" customHeight="true" outlineLevel="0" collapsed="false">
      <c r="A228" s="15" t="n">
        <f aca="false">Report!C313</f>
        <v>46188</v>
      </c>
      <c r="B228" s="1" t="str">
        <f aca="false">Report!E313</f>
        <v>SAO JOSE COMERCIO DE LATICINIOS E FRIOS</v>
      </c>
      <c r="C228" s="16" t="n">
        <f aca="false">Report!U313</f>
        <v>561.5</v>
      </c>
      <c r="D228" s="1" t="str">
        <f aca="false">Report!X313</f>
        <v>NF 3362 ELLEN</v>
      </c>
    </row>
    <row r="229" customFormat="false" ht="12.75" hidden="false" customHeight="true" outlineLevel="0" collapsed="false">
      <c r="A229" s="15" t="n">
        <f aca="false">Report!C314</f>
        <v>46188</v>
      </c>
      <c r="B229" s="1" t="str">
        <f aca="false">Report!E314</f>
        <v>H. L. DO NASCIMENTO</v>
      </c>
      <c r="C229" s="16" t="n">
        <f aca="false">Report!U314</f>
        <v>688.3</v>
      </c>
      <c r="D229" s="1" t="str">
        <f aca="false">Report!X314</f>
        <v>NF 5642 ELLEN</v>
      </c>
    </row>
    <row r="230" customFormat="false" ht="12.75" hidden="false" customHeight="true" outlineLevel="0" collapsed="false">
      <c r="A230" s="15" t="n">
        <f aca="false">Report!C315</f>
        <v>46188</v>
      </c>
      <c r="B230" s="1" t="str">
        <f aca="false">Report!E315</f>
        <v>PANIFICADORA E CONFEITARIA REAL MADRI LTDA</v>
      </c>
      <c r="C230" s="16" t="n">
        <f aca="false">Report!U315</f>
        <v>307.2</v>
      </c>
      <c r="D230" s="1" t="str">
        <f aca="false">Report!X315</f>
        <v>NF 656 ELLEN</v>
      </c>
    </row>
    <row r="231" customFormat="false" ht="12.75" hidden="false" customHeight="true" outlineLevel="0" collapsed="false">
      <c r="A231" s="15" t="n">
        <f aca="false">Report!C316</f>
        <v>46188</v>
      </c>
      <c r="B231" s="1" t="str">
        <f aca="false">Report!E316</f>
        <v>NOVA FRIOS COMERCIO ATACADISTA DE LATICINIOS LTDA</v>
      </c>
      <c r="C231" s="16" t="n">
        <f aca="false">Report!U316</f>
        <v>186.94</v>
      </c>
      <c r="D231" s="1" t="str">
        <f aca="false">Report!X316</f>
        <v>NF 3699 ELLEN</v>
      </c>
    </row>
    <row r="232" customFormat="false" ht="12.75" hidden="false" customHeight="true" outlineLevel="0" collapsed="false">
      <c r="A232" s="15" t="n">
        <f aca="false">Report!C324</f>
        <v>46188</v>
      </c>
      <c r="B232" s="1" t="str">
        <f aca="false">Report!E324</f>
        <v>ELLEN SILVIA FERREIRA</v>
      </c>
      <c r="C232" s="16" t="n">
        <f aca="false">Report!U324</f>
        <v>400</v>
      </c>
      <c r="D232" s="1" t="str">
        <f aca="false">Report!X324</f>
        <v>Adiantamento junho</v>
      </c>
    </row>
    <row r="233" customFormat="false" ht="12.75" hidden="false" customHeight="true" outlineLevel="0" collapsed="false">
      <c r="A233" s="15" t="n">
        <f aca="false">Report!C326</f>
        <v>46188</v>
      </c>
      <c r="B233" s="1" t="str">
        <f aca="false">Report!E326</f>
        <v>ANDREZA OLIVEIRA DA SILVA</v>
      </c>
      <c r="C233" s="16" t="n">
        <f aca="false">Report!U326</f>
        <v>200</v>
      </c>
      <c r="D233" s="1" t="str">
        <f aca="false">Report!X326</f>
        <v>Adiantamento junho</v>
      </c>
    </row>
    <row r="234" customFormat="false" ht="12.75" hidden="false" customHeight="true" outlineLevel="0" collapsed="false">
      <c r="A234" s="15" t="n">
        <f aca="false">Report!C329</f>
        <v>46188</v>
      </c>
      <c r="B234" s="1" t="str">
        <f aca="false">Report!E329</f>
        <v>LUCIRLANDIA DE OLIVEIRA AMARAL</v>
      </c>
      <c r="C234" s="16" t="n">
        <f aca="false">Report!U329</f>
        <v>400</v>
      </c>
      <c r="D234" s="1" t="str">
        <f aca="false">Report!X329</f>
        <v>Adiantamento junho</v>
      </c>
    </row>
    <row r="235" customFormat="false" ht="12.75" hidden="false" customHeight="true" outlineLevel="0" collapsed="false">
      <c r="A235" s="15" t="n">
        <f aca="false">Report!C330</f>
        <v>46188</v>
      </c>
      <c r="B235" s="1" t="str">
        <f aca="false">Report!E330</f>
        <v>ELILTON NUNES BRITO</v>
      </c>
      <c r="C235" s="16" t="n">
        <f aca="false">Report!U330</f>
        <v>400</v>
      </c>
      <c r="D235" s="1" t="str">
        <f aca="false">Report!X330</f>
        <v>Adiantamento junho</v>
      </c>
    </row>
    <row r="236" customFormat="false" ht="12.75" hidden="false" customHeight="true" outlineLevel="0" collapsed="false">
      <c r="A236" s="15" t="n">
        <f aca="false">Report!C331</f>
        <v>46188</v>
      </c>
      <c r="B236" s="1" t="str">
        <f aca="false">Report!E331</f>
        <v>EDSON AGUIAR DE SOUZA</v>
      </c>
      <c r="C236" s="16" t="n">
        <f aca="false">Report!U331</f>
        <v>86</v>
      </c>
      <c r="D236" s="1" t="str">
        <f aca="false">Report!X331</f>
        <v>COMPRAS - CHEIRO-VERDE - ELLEN</v>
      </c>
    </row>
    <row r="237" customFormat="false" ht="12.75" hidden="false" customHeight="true" outlineLevel="0" collapsed="false">
      <c r="A237" s="15" t="n">
        <f aca="false">Report!C333</f>
        <v>46189</v>
      </c>
      <c r="B237" s="1" t="str">
        <f aca="false">Report!E333</f>
        <v>SEM FORNECEDOR</v>
      </c>
      <c r="C237" s="16" t="n">
        <f aca="false">Report!U333</f>
        <v>50</v>
      </c>
      <c r="D237" s="1" t="str">
        <f aca="false">Report!X333</f>
        <v>diaria elilton</v>
      </c>
    </row>
    <row r="238" customFormat="false" ht="12.75" hidden="false" customHeight="true" outlineLevel="0" collapsed="false">
      <c r="A238" s="15" t="n">
        <f aca="false">Report!C334</f>
        <v>46189</v>
      </c>
      <c r="B238" s="1" t="str">
        <f aca="false">Report!E334</f>
        <v>SEM FORNECEDOR</v>
      </c>
      <c r="C238" s="16" t="n">
        <f aca="false">Report!U334</f>
        <v>70</v>
      </c>
      <c r="D238" s="1" t="str">
        <f aca="false">Report!X334</f>
        <v>extra idelma</v>
      </c>
    </row>
    <row r="239" customFormat="false" ht="12.75" hidden="false" customHeight="true" outlineLevel="0" collapsed="false">
      <c r="A239" s="15" t="n">
        <f aca="false">Report!C335</f>
        <v>46189</v>
      </c>
      <c r="B239" s="1" t="str">
        <f aca="false">Report!E335</f>
        <v>SEM FORNECEDOR</v>
      </c>
      <c r="C239" s="16" t="n">
        <f aca="false">Report!U335</f>
        <v>50</v>
      </c>
      <c r="D239" s="1" t="str">
        <f aca="false">Report!X335</f>
        <v>visita tecnica balcão de carne</v>
      </c>
    </row>
    <row r="240" customFormat="false" ht="12.75" hidden="false" customHeight="true" outlineLevel="0" collapsed="false">
      <c r="A240" s="15" t="n">
        <f aca="false">Report!C337</f>
        <v>46189</v>
      </c>
      <c r="B240" s="1" t="str">
        <f aca="false">Report!E337</f>
        <v>NORTELAC DISTRIBUIDORA DE FRIOS LTDA</v>
      </c>
      <c r="C240" s="16" t="n">
        <f aca="false">Report!U337</f>
        <v>460</v>
      </c>
      <c r="D240" s="1" t="str">
        <f aca="false">Report!X337</f>
        <v>NF 40955 ELLEN</v>
      </c>
    </row>
    <row r="241" customFormat="false" ht="12.75" hidden="false" customHeight="true" outlineLevel="0" collapsed="false">
      <c r="A241" s="15" t="n">
        <f aca="false">Report!C338</f>
        <v>46189</v>
      </c>
      <c r="B241" s="1" t="str">
        <f aca="false">Report!E338</f>
        <v>FRUTAL INDUSTRIA E COMERCIO LTDA</v>
      </c>
      <c r="C241" s="16" t="n">
        <f aca="false">Report!U338</f>
        <v>796.16</v>
      </c>
      <c r="D241" s="1" t="str">
        <f aca="false">Report!X338</f>
        <v>NF 223109 ELLEN</v>
      </c>
    </row>
    <row r="242" customFormat="false" ht="12.75" hidden="false" customHeight="true" outlineLevel="0" collapsed="false">
      <c r="A242" s="15" t="n">
        <f aca="false">Report!C340</f>
        <v>46189</v>
      </c>
      <c r="B242" s="1" t="str">
        <f aca="false">Report!E340</f>
        <v>MAXFRI DISTRIUIDORA LTDA</v>
      </c>
      <c r="C242" s="16" t="n">
        <f aca="false">Report!U340</f>
        <v>4433</v>
      </c>
      <c r="D242" s="1" t="str">
        <f aca="false">Report!X340</f>
        <v>NF 14437 ELLEN</v>
      </c>
    </row>
    <row r="243" customFormat="false" ht="12.75" hidden="false" customHeight="true" outlineLevel="0" collapsed="false">
      <c r="A243" s="15" t="n">
        <f aca="false">Report!C341</f>
        <v>46189</v>
      </c>
      <c r="B243" s="1" t="str">
        <f aca="false">Report!E341</f>
        <v>ADICSO FABIAN GONZALEZ MONTILLA 70302186</v>
      </c>
      <c r="C243" s="16" t="n">
        <f aca="false">Report!U341</f>
        <v>180</v>
      </c>
      <c r="D243" s="1" t="str">
        <f aca="false">Report!X341</f>
        <v>NF 496 ELLEN</v>
      </c>
    </row>
    <row r="244" customFormat="false" ht="12.75" hidden="false" customHeight="true" outlineLevel="0" collapsed="false">
      <c r="A244" s="15" t="n">
        <f aca="false">Report!C342</f>
        <v>46189</v>
      </c>
      <c r="B244" s="1" t="str">
        <f aca="false">Report!E342</f>
        <v>NEYLIANE S DE OLIVEIRA &amp; CIA LTDA</v>
      </c>
      <c r="C244" s="16" t="n">
        <f aca="false">Report!U342</f>
        <v>1513.16</v>
      </c>
      <c r="D244" s="1" t="str">
        <f aca="false">Report!X342</f>
        <v>FEIRA SR RENATO - PG P LJ 1 - ELLEN</v>
      </c>
    </row>
    <row r="245" customFormat="false" ht="12.75" hidden="false" customHeight="true" outlineLevel="0" collapsed="false">
      <c r="A245" s="15" t="n">
        <f aca="false">Report!C344</f>
        <v>46190</v>
      </c>
      <c r="B245" s="1" t="str">
        <f aca="false">Report!E344</f>
        <v>SEM FORNECEDOR</v>
      </c>
      <c r="C245" s="16" t="n">
        <f aca="false">Report!U344</f>
        <v>70</v>
      </c>
      <c r="D245" s="1" t="str">
        <f aca="false">Report!X344</f>
        <v>extra helio</v>
      </c>
    </row>
    <row r="246" customFormat="false" ht="12.75" hidden="false" customHeight="true" outlineLevel="0" collapsed="false">
      <c r="A246" s="15" t="n">
        <f aca="false">Report!C345</f>
        <v>46190</v>
      </c>
      <c r="B246" s="1" t="str">
        <f aca="false">Report!E345</f>
        <v>SEM FORNECEDOR</v>
      </c>
      <c r="C246" s="16" t="n">
        <f aca="false">Report!U345</f>
        <v>1750</v>
      </c>
      <c r="D246" s="1" t="str">
        <f aca="false">Report!X345</f>
        <v>Depósito ref. 17/06/2026</v>
      </c>
    </row>
    <row r="247" customFormat="false" ht="12.75" hidden="false" customHeight="true" outlineLevel="0" collapsed="false">
      <c r="A247" s="15" t="n">
        <f aca="false">Report!C346</f>
        <v>46190</v>
      </c>
      <c r="B247" s="1" t="str">
        <f aca="false">Report!E346</f>
        <v>PRIME PET DISTRIBUIDORA LTDA</v>
      </c>
      <c r="C247" s="16" t="n">
        <f aca="false">Report!U346</f>
        <v>644.95</v>
      </c>
      <c r="D247" s="1" t="str">
        <f aca="false">Report!X346</f>
        <v>NF 10245 ELLEN</v>
      </c>
    </row>
    <row r="248" customFormat="false" ht="12.75" hidden="false" customHeight="true" outlineLevel="0" collapsed="false">
      <c r="A248" s="15" t="n">
        <f aca="false">Report!C347</f>
        <v>46190</v>
      </c>
      <c r="B248" s="1" t="str">
        <f aca="false">Report!E347</f>
        <v>OPPORTUNITY ALIMENTOS PARA ANIMAIS LTDA</v>
      </c>
      <c r="C248" s="16" t="n">
        <f aca="false">Report!U347</f>
        <v>666.6</v>
      </c>
      <c r="D248" s="1" t="str">
        <f aca="false">Report!X347</f>
        <v>NF 33662 ELLEN</v>
      </c>
    </row>
    <row r="249" customFormat="false" ht="12.75" hidden="false" customHeight="true" outlineLevel="0" collapsed="false">
      <c r="A249" s="15" t="n">
        <f aca="false">Report!C350</f>
        <v>46190</v>
      </c>
      <c r="B249" s="1" t="str">
        <f aca="false">Report!E350</f>
        <v>RISADINHA LTDA</v>
      </c>
      <c r="C249" s="16" t="n">
        <f aca="false">Report!U350</f>
        <v>650</v>
      </c>
      <c r="D249" s="1" t="str">
        <f aca="false">Report!X350</f>
        <v>NF 654829 ELLEN</v>
      </c>
    </row>
    <row r="250" customFormat="false" ht="12.75" hidden="false" customHeight="true" outlineLevel="0" collapsed="false">
      <c r="A250" s="15" t="n">
        <f aca="false">Report!C351</f>
        <v>46190</v>
      </c>
      <c r="B250" s="1" t="str">
        <f aca="false">Report!E351</f>
        <v>TAPAJOS COM DE PERFUMARIA COSMETICOS E G</v>
      </c>
      <c r="C250" s="16" t="n">
        <f aca="false">Report!U351</f>
        <v>635.45</v>
      </c>
      <c r="D250" s="1" t="str">
        <f aca="false">Report!X351</f>
        <v>NF 571363 ELLEN</v>
      </c>
    </row>
    <row r="251" customFormat="false" ht="12.75" hidden="false" customHeight="true" outlineLevel="0" collapsed="false">
      <c r="A251" s="15" t="n">
        <f aca="false">Report!C352</f>
        <v>46190</v>
      </c>
      <c r="B251" s="1" t="str">
        <f aca="false">Report!E352</f>
        <v>EDMARA COMERCIO DE HIGIENE PESSOAL LTDA</v>
      </c>
      <c r="C251" s="16" t="n">
        <f aca="false">Report!U352</f>
        <v>430.35</v>
      </c>
      <c r="D251" s="1" t="str">
        <f aca="false">Report!X352</f>
        <v>NF 7941 DESPESAS - SACOLAS - ELLEN</v>
      </c>
    </row>
    <row r="252" customFormat="false" ht="12.75" hidden="false" customHeight="true" outlineLevel="0" collapsed="false">
      <c r="A252" s="15" t="n">
        <f aca="false">Report!C353</f>
        <v>46190</v>
      </c>
      <c r="B252" s="1" t="str">
        <f aca="false">Report!E353</f>
        <v>BONNA VITTA INDUSTRIA E COMERCIO LTDA.</v>
      </c>
      <c r="C252" s="16" t="n">
        <f aca="false">Report!U353</f>
        <v>823.77</v>
      </c>
      <c r="D252" s="1" t="str">
        <f aca="false">Report!X353</f>
        <v>NF 517177 ELLEN</v>
      </c>
    </row>
    <row r="253" customFormat="false" ht="12.75" hidden="false" customHeight="true" outlineLevel="0" collapsed="false">
      <c r="A253" s="15" t="n">
        <f aca="false">Report!C354</f>
        <v>46190</v>
      </c>
      <c r="B253" s="1" t="str">
        <f aca="false">Report!E354</f>
        <v>NATUREZA COMERCIO DE DESCARTAVEIS LTDA</v>
      </c>
      <c r="C253" s="16" t="n">
        <f aca="false">Report!U354</f>
        <v>84.11</v>
      </c>
      <c r="D253" s="1" t="str">
        <f aca="false">Report!X354</f>
        <v>NF 27273 ELLEN</v>
      </c>
    </row>
    <row r="254" customFormat="false" ht="12.75" hidden="false" customHeight="true" outlineLevel="0" collapsed="false">
      <c r="A254" s="15" t="n">
        <f aca="false">Report!C355</f>
        <v>46190</v>
      </c>
      <c r="B254" s="1" t="str">
        <f aca="false">Report!E355</f>
        <v>BRF S A</v>
      </c>
      <c r="C254" s="16" t="n">
        <f aca="false">Report!U355</f>
        <v>1030.57</v>
      </c>
      <c r="D254" s="1" t="n">
        <f aca="false">Report!X355</f>
        <v>0</v>
      </c>
    </row>
    <row r="255" customFormat="false" ht="12.75" hidden="false" customHeight="true" outlineLevel="0" collapsed="false">
      <c r="A255" s="15" t="n">
        <f aca="false">Report!C356</f>
        <v>46190</v>
      </c>
      <c r="B255" s="1" t="str">
        <f aca="false">Report!E356</f>
        <v>J G COMERCIO DE PRODUTOS ALIMENTICIOS LTDA</v>
      </c>
      <c r="C255" s="16" t="n">
        <f aca="false">Report!U356</f>
        <v>737.07</v>
      </c>
      <c r="D255" s="1" t="str">
        <f aca="false">Report!X356</f>
        <v>NF 386175 ELLEN</v>
      </c>
    </row>
    <row r="256" customFormat="false" ht="12.75" hidden="false" customHeight="true" outlineLevel="0" collapsed="false">
      <c r="A256" s="15" t="n">
        <f aca="false">Report!C357</f>
        <v>46190</v>
      </c>
      <c r="B256" s="1" t="str">
        <f aca="false">Report!E357</f>
        <v>NEYLIANE S DE OLIVEIRA &amp; CIA LTDA</v>
      </c>
      <c r="C256" s="16" t="n">
        <f aca="false">Report!U357</f>
        <v>1800</v>
      </c>
      <c r="D256" s="1" t="str">
        <f aca="false">Report!X357</f>
        <v>COMPRAS - FARINHA 3 IRMAOS - ELLEN</v>
      </c>
    </row>
    <row r="257" customFormat="false" ht="12.75" hidden="false" customHeight="true" outlineLevel="0" collapsed="false">
      <c r="A257" s="15" t="n">
        <f aca="false">Report!C358</f>
        <v>46190</v>
      </c>
      <c r="B257" s="1" t="str">
        <f aca="false">Report!E358</f>
        <v>KAROLINY RODRIGUES SOUZA VENANCIO 915783</v>
      </c>
      <c r="C257" s="16" t="n">
        <f aca="false">Report!U358</f>
        <v>250</v>
      </c>
      <c r="D257" s="1" t="str">
        <f aca="false">Report!X358</f>
        <v>NF 1616 ELLEN</v>
      </c>
    </row>
    <row r="258" customFormat="false" ht="12.75" hidden="false" customHeight="true" outlineLevel="0" collapsed="false">
      <c r="A258" s="15" t="n">
        <f aca="false">Report!C359</f>
        <v>46190</v>
      </c>
      <c r="B258" s="1" t="str">
        <f aca="false">Report!E359</f>
        <v>ADRIANO FEITOSA OLIVEIRA LTDA</v>
      </c>
      <c r="C258" s="16" t="n">
        <f aca="false">Report!U359</f>
        <v>950</v>
      </c>
      <c r="D258" s="1" t="str">
        <f aca="false">Report!X359</f>
        <v>NF 299 ELLEN</v>
      </c>
    </row>
    <row r="259" customFormat="false" ht="12.75" hidden="false" customHeight="true" outlineLevel="0" collapsed="false">
      <c r="A259" s="15" t="n">
        <f aca="false">Report!C361</f>
        <v>46190</v>
      </c>
      <c r="B259" s="1" t="str">
        <f aca="false">Report!E361</f>
        <v>FORNECEDOR AVULSO</v>
      </c>
      <c r="C259" s="16" t="n">
        <f aca="false">Report!U361</f>
        <v>1396.73</v>
      </c>
      <c r="D259" s="1" t="str">
        <f aca="false">Report!X361</f>
        <v>PENDECNCIAS HAPIVIDA  ANTINGO -ANDREZA</v>
      </c>
    </row>
    <row r="260" customFormat="false" ht="12.75" hidden="false" customHeight="true" outlineLevel="0" collapsed="false">
      <c r="A260" s="15" t="n">
        <f aca="false">Report!C362</f>
        <v>46191</v>
      </c>
      <c r="B260" s="1" t="str">
        <f aca="false">Report!E362</f>
        <v>SEM FORNECEDOR</v>
      </c>
      <c r="C260" s="16" t="n">
        <f aca="false">Report!U362</f>
        <v>2550</v>
      </c>
      <c r="D260" s="1" t="str">
        <f aca="false">Report!X362</f>
        <v>Depósito ref. 18/06/2026</v>
      </c>
    </row>
    <row r="261" customFormat="false" ht="12.75" hidden="false" customHeight="true" outlineLevel="0" collapsed="false">
      <c r="A261" s="15" t="n">
        <f aca="false">Report!C363</f>
        <v>46191</v>
      </c>
      <c r="B261" s="1" t="str">
        <f aca="false">Report!E363</f>
        <v>CB COMERCIO E DISTRIBUIDORA DE ALIMENTOS</v>
      </c>
      <c r="C261" s="16" t="n">
        <f aca="false">Report!U363</f>
        <v>560.43</v>
      </c>
      <c r="D261" s="1" t="str">
        <f aca="false">Report!X363</f>
        <v>NF 836835 ELLEN</v>
      </c>
    </row>
    <row r="262" customFormat="false" ht="12.75" hidden="false" customHeight="true" outlineLevel="0" collapsed="false">
      <c r="A262" s="15" t="n">
        <f aca="false">Report!C364</f>
        <v>46191</v>
      </c>
      <c r="B262" s="1" t="str">
        <f aca="false">Report!E364</f>
        <v>L S M COMERCIO DE ALIMENTOS E NAVEGACAO</v>
      </c>
      <c r="C262" s="16" t="n">
        <f aca="false">Report!U364</f>
        <v>290</v>
      </c>
      <c r="D262" s="1" t="str">
        <f aca="false">Report!X364</f>
        <v>NF 302504 ELLEN</v>
      </c>
    </row>
    <row r="263" customFormat="false" ht="12.75" hidden="false" customHeight="true" outlineLevel="0" collapsed="false">
      <c r="A263" s="15" t="n">
        <f aca="false">Report!C365</f>
        <v>46191</v>
      </c>
      <c r="B263" s="1" t="str">
        <f aca="false">Report!E365</f>
        <v>BRASIL NORTE BEBIDAS S/A</v>
      </c>
      <c r="C263" s="16" t="n">
        <f aca="false">Report!U365</f>
        <v>953.47</v>
      </c>
      <c r="D263" s="1" t="str">
        <f aca="false">Report!X365</f>
        <v>NF 1863917 ELLEN</v>
      </c>
    </row>
    <row r="264" customFormat="false" ht="12.75" hidden="false" customHeight="true" outlineLevel="0" collapsed="false">
      <c r="A264" s="15" t="n">
        <f aca="false">Report!C366</f>
        <v>46191</v>
      </c>
      <c r="B264" s="1" t="str">
        <f aca="false">Report!E366</f>
        <v>BRASIL NORTE BEBIDAS S/A</v>
      </c>
      <c r="C264" s="16" t="n">
        <f aca="false">Report!U366</f>
        <v>552.17</v>
      </c>
      <c r="D264" s="1" t="str">
        <f aca="false">Report!X366</f>
        <v>NF 1149104 ELLEN</v>
      </c>
    </row>
    <row r="265" customFormat="false" ht="12.75" hidden="false" customHeight="true" outlineLevel="0" collapsed="false">
      <c r="A265" s="15" t="n">
        <f aca="false">Report!C367</f>
        <v>46191</v>
      </c>
      <c r="B265" s="1" t="str">
        <f aca="false">Report!E367</f>
        <v>BRASIL NORTE BEBIDAS S/A</v>
      </c>
      <c r="C265" s="16" t="n">
        <f aca="false">Report!U367</f>
        <v>186.74</v>
      </c>
      <c r="D265" s="1" t="str">
        <f aca="false">Report!X367</f>
        <v>NF 1862359 ELLEN</v>
      </c>
    </row>
    <row r="266" customFormat="false" ht="12.75" hidden="false" customHeight="true" outlineLevel="0" collapsed="false">
      <c r="A266" s="15" t="n">
        <f aca="false">Report!C368</f>
        <v>46191</v>
      </c>
      <c r="B266" s="1" t="str">
        <f aca="false">Report!E368</f>
        <v>OCIDENTAL COMERCIO DE FRIOS LTDA</v>
      </c>
      <c r="C266" s="16" t="n">
        <f aca="false">Report!U368</f>
        <v>345.7</v>
      </c>
      <c r="D266" s="1" t="str">
        <f aca="false">Report!X368</f>
        <v>NF 1235911 ELLEN</v>
      </c>
    </row>
    <row r="267" customFormat="false" ht="12.75" hidden="false" customHeight="true" outlineLevel="0" collapsed="false">
      <c r="A267" s="15" t="n">
        <f aca="false">Report!C369</f>
        <v>46191</v>
      </c>
      <c r="B267" s="1" t="str">
        <f aca="false">Report!E369</f>
        <v>REAL BEBIDAS DA AMAZONIA LTDA</v>
      </c>
      <c r="C267" s="16" t="n">
        <f aca="false">Report!U369</f>
        <v>278</v>
      </c>
      <c r="D267" s="1" t="str">
        <f aca="false">Report!X369</f>
        <v>NF 581432 ELLEN</v>
      </c>
    </row>
    <row r="268" customFormat="false" ht="12.75" hidden="false" customHeight="true" outlineLevel="0" collapsed="false">
      <c r="A268" s="15" t="n">
        <f aca="false">Report!C370</f>
        <v>46191</v>
      </c>
      <c r="B268" s="1" t="str">
        <f aca="false">Report!E370</f>
        <v>PANIFICADORA E CONFEITARIA REAL MADRI LTDA</v>
      </c>
      <c r="C268" s="16" t="n">
        <f aca="false">Report!U370</f>
        <v>379.6</v>
      </c>
      <c r="D268" s="1" t="str">
        <f aca="false">Report!X370</f>
        <v>NF 664 ELLEN</v>
      </c>
    </row>
    <row r="269" customFormat="false" ht="12.75" hidden="false" customHeight="true" outlineLevel="0" collapsed="false">
      <c r="A269" s="15" t="n">
        <f aca="false">Report!C371</f>
        <v>46191</v>
      </c>
      <c r="B269" s="1" t="str">
        <f aca="false">Report!E371</f>
        <v>NOVA FRIOS COMERCIO ATACADISTA DE LATICINIOS LTDA</v>
      </c>
      <c r="C269" s="16" t="n">
        <f aca="false">Report!U371</f>
        <v>184.96</v>
      </c>
      <c r="D269" s="1" t="str">
        <f aca="false">Report!X371</f>
        <v>NF 3741 ELLEN</v>
      </c>
    </row>
    <row r="270" customFormat="false" ht="12.75" hidden="false" customHeight="true" outlineLevel="0" collapsed="false">
      <c r="A270" s="15" t="n">
        <f aca="false">Report!C374</f>
        <v>46191</v>
      </c>
      <c r="B270" s="1" t="str">
        <f aca="false">Report!E374</f>
        <v>NESTLÉ BRASIL LTDA.</v>
      </c>
      <c r="C270" s="16" t="n">
        <f aca="false">Report!U374</f>
        <v>1529.51</v>
      </c>
      <c r="D270" s="1" t="str">
        <f aca="false">Report!X374</f>
        <v>NF 1415529 ELLEN</v>
      </c>
    </row>
    <row r="271" customFormat="false" ht="12.75" hidden="false" customHeight="true" outlineLevel="0" collapsed="false">
      <c r="A271" s="15" t="n">
        <f aca="false">Report!C375</f>
        <v>46192</v>
      </c>
      <c r="B271" s="1" t="str">
        <f aca="false">Report!E375</f>
        <v>SEM FORNECEDOR</v>
      </c>
      <c r="C271" s="16" t="n">
        <f aca="false">Report!U375</f>
        <v>50</v>
      </c>
      <c r="D271" s="1" t="str">
        <f aca="false">Report!X375</f>
        <v>diaria elilton</v>
      </c>
    </row>
    <row r="272" customFormat="false" ht="12.75" hidden="false" customHeight="true" outlineLevel="0" collapsed="false">
      <c r="A272" s="15" t="n">
        <f aca="false">Report!C376</f>
        <v>46192</v>
      </c>
      <c r="B272" s="1" t="str">
        <f aca="false">Report!E376</f>
        <v>SEM FORNECEDOR</v>
      </c>
      <c r="C272" s="16" t="n">
        <f aca="false">Report!U376</f>
        <v>108</v>
      </c>
      <c r="D272" s="1" t="str">
        <f aca="false">Report!X376</f>
        <v>brigadeiro caseiro/jose carstro</v>
      </c>
    </row>
    <row r="273" customFormat="false" ht="12.75" hidden="false" customHeight="true" outlineLevel="0" collapsed="false">
      <c r="A273" s="15" t="n">
        <f aca="false">Report!C377</f>
        <v>46192</v>
      </c>
      <c r="B273" s="1" t="str">
        <f aca="false">Report!E377</f>
        <v>SEM FORNECEDOR</v>
      </c>
      <c r="C273" s="16" t="n">
        <f aca="false">Report!U377</f>
        <v>50</v>
      </c>
      <c r="D273" s="1" t="str">
        <f aca="false">Report!X377</f>
        <v>extra helio</v>
      </c>
    </row>
    <row r="274" customFormat="false" ht="12.75" hidden="false" customHeight="true" outlineLevel="0" collapsed="false">
      <c r="A274" s="15" t="n">
        <f aca="false">Report!C378</f>
        <v>46192</v>
      </c>
      <c r="B274" s="1" t="str">
        <f aca="false">Report!E378</f>
        <v>SEM FORNECEDOR</v>
      </c>
      <c r="C274" s="16" t="n">
        <f aca="false">Report!U378</f>
        <v>2700</v>
      </c>
      <c r="D274" s="1" t="str">
        <f aca="false">Report!X378</f>
        <v>Depósito ref. 19/06/2026</v>
      </c>
    </row>
    <row r="275" customFormat="false" ht="12.75" hidden="false" customHeight="true" outlineLevel="0" collapsed="false">
      <c r="A275" s="15" t="n">
        <f aca="false">Report!C379</f>
        <v>46192</v>
      </c>
      <c r="B275" s="1" t="str">
        <f aca="false">Report!E379</f>
        <v>DISTRIBUIDORA LOPES LTDA</v>
      </c>
      <c r="C275" s="16" t="n">
        <f aca="false">Report!U379</f>
        <v>1041.87</v>
      </c>
      <c r="D275" s="1" t="str">
        <f aca="false">Report!X379</f>
        <v>NF 1659538 ELLEN</v>
      </c>
    </row>
    <row r="276" customFormat="false" ht="12.75" hidden="false" customHeight="true" outlineLevel="0" collapsed="false">
      <c r="A276" s="15" t="n">
        <f aca="false">Report!C380</f>
        <v>46192</v>
      </c>
      <c r="B276" s="1" t="str">
        <f aca="false">Report!E380</f>
        <v>OESA COMERCIO E REPRESENTACOES S/A</v>
      </c>
      <c r="C276" s="16" t="n">
        <f aca="false">Report!U380</f>
        <v>639.85</v>
      </c>
      <c r="D276" s="1" t="str">
        <f aca="false">Report!X380</f>
        <v>NF 407270 ELLEN</v>
      </c>
    </row>
    <row r="277" customFormat="false" ht="12.75" hidden="false" customHeight="true" outlineLevel="0" collapsed="false">
      <c r="A277" s="15" t="n">
        <f aca="false">Report!C381</f>
        <v>46192</v>
      </c>
      <c r="B277" s="1" t="str">
        <f aca="false">Report!E381</f>
        <v>FENNIX BRASIL DISTRIBUIDORA DE PRODUTOS</v>
      </c>
      <c r="C277" s="16" t="n">
        <f aca="false">Report!U381</f>
        <v>392.24</v>
      </c>
      <c r="D277" s="1" t="str">
        <f aca="false">Report!X381</f>
        <v>NF 308379 ELLEN</v>
      </c>
    </row>
    <row r="278" customFormat="false" ht="12.75" hidden="false" customHeight="true" outlineLevel="0" collapsed="false">
      <c r="A278" s="15" t="n">
        <f aca="false">Report!C382</f>
        <v>46192</v>
      </c>
      <c r="B278" s="1" t="str">
        <f aca="false">Report!E382</f>
        <v>DA FRUTA DISTRIBUIDORA LTDA</v>
      </c>
      <c r="C278" s="16" t="n">
        <f aca="false">Report!U382</f>
        <v>618.56</v>
      </c>
      <c r="D278" s="1" t="str">
        <f aca="false">Report!X382</f>
        <v>NF 195681 ELLEN</v>
      </c>
    </row>
    <row r="279" customFormat="false" ht="12.75" hidden="false" customHeight="true" outlineLevel="0" collapsed="false">
      <c r="A279" s="15" t="n">
        <f aca="false">Report!C387</f>
        <v>46192</v>
      </c>
      <c r="B279" s="1" t="str">
        <f aca="false">Report!E387</f>
        <v>CRBS S/A</v>
      </c>
      <c r="C279" s="16" t="n">
        <f aca="false">Report!U387</f>
        <v>1.55</v>
      </c>
      <c r="D279" s="1" t="str">
        <f aca="false">Report!X387</f>
        <v>NF 854255 REF TARIFA AMBEV - ELLEN</v>
      </c>
    </row>
    <row r="280" customFormat="false" ht="12.75" hidden="false" customHeight="true" outlineLevel="0" collapsed="false">
      <c r="A280" s="15" t="n">
        <f aca="false">Report!C388</f>
        <v>46192</v>
      </c>
      <c r="B280" s="1" t="str">
        <f aca="false">Report!E388</f>
        <v>E S O CONSULTORIA EIRELI</v>
      </c>
      <c r="C280" s="16" t="n">
        <f aca="false">Report!U388</f>
        <v>1402.37</v>
      </c>
      <c r="D280" s="1" t="str">
        <f aca="false">Report!X388</f>
        <v>INSS MO2 05/26 - KEILA</v>
      </c>
    </row>
    <row r="281" customFormat="false" ht="12.75" hidden="false" customHeight="true" outlineLevel="0" collapsed="false">
      <c r="A281" s="15" t="n">
        <f aca="false">Report!C389</f>
        <v>46192</v>
      </c>
      <c r="B281" s="1" t="str">
        <f aca="false">Report!E389</f>
        <v>E S O CONSULTORIA EIRELI</v>
      </c>
      <c r="C281" s="16" t="n">
        <f aca="false">Report!U389</f>
        <v>3059.01</v>
      </c>
      <c r="D281" s="1" t="str">
        <f aca="false">Report!X389</f>
        <v>FGTS MO2 05/26 - KEILA</v>
      </c>
    </row>
    <row r="282" customFormat="false" ht="12.75" hidden="false" customHeight="true" outlineLevel="0" collapsed="false">
      <c r="A282" s="15" t="n">
        <f aca="false">Report!C390</f>
        <v>46192</v>
      </c>
      <c r="B282" s="1" t="str">
        <f aca="false">Report!E390</f>
        <v>RENATO DE O AZEVEDO E CIA LTDA - EPP</v>
      </c>
      <c r="C282" s="16" t="n">
        <f aca="false">Report!U390</f>
        <v>666.67</v>
      </c>
      <c r="D282" s="1" t="str">
        <f aca="false">Report!X390</f>
        <v>MENSALIDADE CONCILIACAO SISTEMA CISS</v>
      </c>
    </row>
    <row r="283" customFormat="false" ht="12.75" hidden="false" customHeight="true" outlineLevel="0" collapsed="false">
      <c r="A283" s="15" t="n">
        <f aca="false">Report!C392</f>
        <v>46192</v>
      </c>
      <c r="B283" s="1" t="str">
        <f aca="false">Report!E392</f>
        <v>NEYLIANE SILVA DE OLIVEIRA</v>
      </c>
      <c r="C283" s="16" t="n">
        <f aca="false">Report!U392</f>
        <v>620</v>
      </c>
      <c r="D283" s="1" t="str">
        <f aca="false">Report!X392</f>
        <v>PL NEILA INSS 05/26 - KEILA</v>
      </c>
    </row>
    <row r="284" customFormat="false" ht="12.75" hidden="false" customHeight="true" outlineLevel="0" collapsed="false">
      <c r="A284" s="15" t="n">
        <f aca="false">Report!C393</f>
        <v>46192</v>
      </c>
      <c r="B284" s="1" t="str">
        <f aca="false">Report!E393</f>
        <v>FEIRA</v>
      </c>
      <c r="C284" s="16" t="n">
        <f aca="false">Report!U393</f>
        <v>1690</v>
      </c>
      <c r="D284" s="1" t="str">
        <f aca="false">Report!X393</f>
        <v>PG FEIRA LOJAS RENATO - KEILA</v>
      </c>
    </row>
    <row r="285" customFormat="false" ht="12.75" hidden="false" customHeight="true" outlineLevel="0" collapsed="false">
      <c r="A285" s="15" t="n">
        <f aca="false">Report!C394</f>
        <v>46193</v>
      </c>
      <c r="B285" s="1" t="str">
        <f aca="false">Report!E394</f>
        <v>SEM FORNECEDOR</v>
      </c>
      <c r="C285" s="16" t="n">
        <f aca="false">Report!U394</f>
        <v>75</v>
      </c>
      <c r="D285" s="1" t="str">
        <f aca="false">Report!X394</f>
        <v>almoço funcionário/carlos</v>
      </c>
    </row>
    <row r="286" customFormat="false" ht="12.75" hidden="false" customHeight="true" outlineLevel="0" collapsed="false">
      <c r="A286" s="15" t="n">
        <f aca="false">Report!C395</f>
        <v>46193</v>
      </c>
      <c r="B286" s="1" t="str">
        <f aca="false">Report!E395</f>
        <v>SEM FORNECEDOR</v>
      </c>
      <c r="C286" s="16" t="n">
        <f aca="false">Report!U395</f>
        <v>70</v>
      </c>
      <c r="D286" s="1" t="str">
        <f aca="false">Report!X395</f>
        <v>extra davi</v>
      </c>
    </row>
    <row r="287" customFormat="false" ht="12.75" hidden="false" customHeight="true" outlineLevel="0" collapsed="false">
      <c r="A287" s="15" t="n">
        <f aca="false">Report!C396</f>
        <v>46193</v>
      </c>
      <c r="B287" s="1" t="str">
        <f aca="false">Report!E396</f>
        <v>SEM FORNECEDOR</v>
      </c>
      <c r="C287" s="16" t="n">
        <f aca="false">Report!U396</f>
        <v>2500</v>
      </c>
      <c r="D287" s="1" t="str">
        <f aca="false">Report!X396</f>
        <v>Depósito ref. 20/06/2026</v>
      </c>
    </row>
    <row r="288" customFormat="false" ht="12.75" hidden="false" customHeight="true" outlineLevel="0" collapsed="false">
      <c r="A288" s="15" t="n">
        <f aca="false">Report!C397</f>
        <v>46193</v>
      </c>
      <c r="B288" s="1" t="str">
        <f aca="false">Report!E397</f>
        <v>RENATO DE OLIVEIRA AZEVEDO</v>
      </c>
      <c r="C288" s="16" t="n">
        <f aca="false">Report!U397</f>
        <v>278.93</v>
      </c>
      <c r="D288" s="1" t="str">
        <f aca="false">Report!X397</f>
        <v>PL RENATO PARC 02/02 CELULAR - KEILA</v>
      </c>
    </row>
    <row r="289" customFormat="false" ht="12.75" hidden="false" customHeight="true" outlineLevel="0" collapsed="false">
      <c r="A289" s="15" t="n">
        <f aca="false">Report!C398</f>
        <v>46193</v>
      </c>
      <c r="B289" s="1" t="str">
        <f aca="false">Report!E398</f>
        <v>J G COMERCIO DE PRODUTOS ALIMENTICIOS LTDA</v>
      </c>
      <c r="C289" s="16" t="n">
        <f aca="false">Report!U398</f>
        <v>524.69</v>
      </c>
      <c r="D289" s="1" t="str">
        <f aca="false">Report!X398</f>
        <v>NF 385542 ELLEN</v>
      </c>
    </row>
    <row r="290" customFormat="false" ht="12.75" hidden="false" customHeight="true" outlineLevel="0" collapsed="false">
      <c r="A290" s="15" t="n">
        <f aca="false">Report!C399</f>
        <v>46193</v>
      </c>
      <c r="B290" s="1" t="str">
        <f aca="false">Report!E399</f>
        <v>EYES NWHERE SISTEMAS INTELIGENTES DE IMAGEM SA</v>
      </c>
      <c r="C290" s="16" t="n">
        <f aca="false">Report!U399</f>
        <v>595.9</v>
      </c>
      <c r="D290" s="1" t="str">
        <f aca="false">Report!X399</f>
        <v>MENSALIDADE INTERNET MO2 - KEILA</v>
      </c>
    </row>
    <row r="291" customFormat="false" ht="12.75" hidden="false" customHeight="true" outlineLevel="0" collapsed="false">
      <c r="A291" s="15" t="n">
        <f aca="false">Report!C400</f>
        <v>46193</v>
      </c>
      <c r="B291" s="1" t="str">
        <f aca="false">Report!E400</f>
        <v>BRAGA TABACARIA EIRELI ME</v>
      </c>
      <c r="C291" s="16" t="n">
        <f aca="false">Report!U400</f>
        <v>837.48</v>
      </c>
      <c r="D291" s="1" t="str">
        <f aca="false">Report!X400</f>
        <v>NF 18534 ELLEN</v>
      </c>
    </row>
    <row r="292" customFormat="false" ht="12.75" hidden="false" customHeight="true" outlineLevel="0" collapsed="false">
      <c r="A292" s="15" t="n">
        <f aca="false">Report!C401</f>
        <v>46193</v>
      </c>
      <c r="B292" s="1" t="str">
        <f aca="false">Report!E401</f>
        <v>RENATO DE O AZEVEDO E CIA LTDA - EPP</v>
      </c>
      <c r="C292" s="16" t="n">
        <f aca="false">Report!U401</f>
        <v>140.24</v>
      </c>
      <c r="D292" s="1" t="str">
        <f aca="false">Report!X401</f>
        <v>MENSALIDADE INSTAGRAM PARTE MO2 -  KEILA</v>
      </c>
    </row>
    <row r="293" customFormat="false" ht="12.75" hidden="false" customHeight="true" outlineLevel="0" collapsed="false">
      <c r="A293" s="15" t="n">
        <f aca="false">Report!C402</f>
        <v>46194</v>
      </c>
      <c r="B293" s="1" t="str">
        <f aca="false">Report!E402</f>
        <v>SEM FORNECEDOR</v>
      </c>
      <c r="C293" s="16" t="n">
        <f aca="false">Report!U402</f>
        <v>76</v>
      </c>
      <c r="D293" s="1" t="str">
        <f aca="false">Report!X402</f>
        <v>almoço regina</v>
      </c>
    </row>
    <row r="294" customFormat="false" ht="12.75" hidden="false" customHeight="true" outlineLevel="0" collapsed="false">
      <c r="A294" s="15" t="n">
        <f aca="false">Report!C403</f>
        <v>46194</v>
      </c>
      <c r="B294" s="1" t="str">
        <f aca="false">Report!E403</f>
        <v>SEM FORNECEDOR</v>
      </c>
      <c r="C294" s="16" t="n">
        <f aca="false">Report!U403</f>
        <v>70</v>
      </c>
      <c r="D294" s="1" t="str">
        <f aca="false">Report!X403</f>
        <v>extra elilton</v>
      </c>
    </row>
    <row r="295" customFormat="false" ht="12.75" hidden="false" customHeight="true" outlineLevel="0" collapsed="false">
      <c r="A295" s="15" t="n">
        <f aca="false">Report!C406</f>
        <v>46195</v>
      </c>
      <c r="B295" s="1" t="str">
        <f aca="false">Report!E406</f>
        <v>EMOPS CONTROLE AMBIENTAL EIRELI</v>
      </c>
      <c r="C295" s="16" t="n">
        <f aca="false">Report!U406</f>
        <v>396.67</v>
      </c>
      <c r="D295" s="1" t="str">
        <f aca="false">Report!X406</f>
        <v>MENS DEDETIZACAO MO2 - KEILA</v>
      </c>
    </row>
    <row r="296" customFormat="false" ht="12.75" hidden="false" customHeight="true" outlineLevel="0" collapsed="false">
      <c r="A296" s="15" t="n">
        <f aca="false">Report!C407</f>
        <v>46195</v>
      </c>
      <c r="B296" s="1" t="str">
        <f aca="false">Report!E407</f>
        <v>TAPAJOS COM DE PERFUMARIA COSMETICOS E G</v>
      </c>
      <c r="C296" s="16" t="n">
        <f aca="false">Report!U407</f>
        <v>1095.36</v>
      </c>
      <c r="D296" s="1" t="str">
        <f aca="false">Report!X407</f>
        <v>NF 569925 ELLEN</v>
      </c>
    </row>
    <row r="297" customFormat="false" ht="12.75" hidden="false" customHeight="true" outlineLevel="0" collapsed="false">
      <c r="A297" s="15" t="n">
        <f aca="false">Report!C408</f>
        <v>46195</v>
      </c>
      <c r="B297" s="1" t="str">
        <f aca="false">Report!E408</f>
        <v>DISTRIBUIDORA LOPES LTDA</v>
      </c>
      <c r="C297" s="16" t="n">
        <f aca="false">Report!U408</f>
        <v>277.2</v>
      </c>
      <c r="D297" s="1" t="str">
        <f aca="false">Report!X408</f>
        <v>NF 1660317 ELLEN</v>
      </c>
    </row>
    <row r="298" customFormat="false" ht="12.75" hidden="false" customHeight="true" outlineLevel="0" collapsed="false">
      <c r="A298" s="15" t="n">
        <f aca="false">Report!C409</f>
        <v>46195</v>
      </c>
      <c r="B298" s="1" t="str">
        <f aca="false">Report!E409</f>
        <v>L S M COMERCIO DE ALIMENTOS E NAVEGACAO</v>
      </c>
      <c r="C298" s="16" t="n">
        <f aca="false">Report!U409</f>
        <v>1909.5</v>
      </c>
      <c r="D298" s="1" t="str">
        <f aca="false">Report!X409</f>
        <v>NF 303660 ELLEN</v>
      </c>
    </row>
    <row r="299" customFormat="false" ht="12.75" hidden="false" customHeight="true" outlineLevel="0" collapsed="false">
      <c r="A299" s="15" t="n">
        <f aca="false">Report!C410</f>
        <v>46195</v>
      </c>
      <c r="B299" s="1" t="str">
        <f aca="false">Report!E410</f>
        <v>RENATO DE O AZEVEDO E CIA LTDA - EPP</v>
      </c>
      <c r="C299" s="16" t="n">
        <f aca="false">Report!U410</f>
        <v>140.24</v>
      </c>
      <c r="D299" s="1" t="str">
        <f aca="false">Report!X410</f>
        <v>MENSALIDADE INSTAGRAM MO2 - KEILA</v>
      </c>
    </row>
    <row r="300" customFormat="false" ht="12.75" hidden="false" customHeight="true" outlineLevel="0" collapsed="false">
      <c r="A300" s="15" t="n">
        <f aca="false">Report!C411</f>
        <v>46195</v>
      </c>
      <c r="B300" s="1" t="str">
        <f aca="false">Report!E411</f>
        <v>SOUZA CRUZ LTDA.</v>
      </c>
      <c r="C300" s="16" t="n">
        <f aca="false">Report!U411</f>
        <v>5244.24</v>
      </c>
      <c r="D300" s="1" t="str">
        <f aca="false">Report!X411</f>
        <v>NF 562635 ELLEN</v>
      </c>
    </row>
    <row r="301" customFormat="false" ht="12.75" hidden="false" customHeight="true" outlineLevel="0" collapsed="false">
      <c r="A301" s="15" t="n">
        <f aca="false">Report!C412</f>
        <v>46195</v>
      </c>
      <c r="B301" s="1" t="str">
        <f aca="false">Report!E412</f>
        <v>DISTRIBUIDORA LOPES LTDA</v>
      </c>
      <c r="C301" s="16" t="n">
        <f aca="false">Report!U412</f>
        <v>767.16</v>
      </c>
      <c r="D301" s="1" t="str">
        <f aca="false">Report!X412</f>
        <v>NF 1672321 ELLEN</v>
      </c>
    </row>
    <row r="302" customFormat="false" ht="12.75" hidden="false" customHeight="true" outlineLevel="0" collapsed="false">
      <c r="A302" s="15" t="n">
        <f aca="false">Report!C413</f>
        <v>46195</v>
      </c>
      <c r="B302" s="1" t="str">
        <f aca="false">Report!E413</f>
        <v>NSB COMERCIO ATACADISTA E VAREJISTA DE P</v>
      </c>
      <c r="C302" s="16" t="n">
        <f aca="false">Report!U413</f>
        <v>383.24</v>
      </c>
      <c r="D302" s="1" t="str">
        <f aca="false">Report!X413</f>
        <v>NF 7725 ELLEN</v>
      </c>
    </row>
    <row r="303" customFormat="false" ht="12.75" hidden="false" customHeight="true" outlineLevel="0" collapsed="false">
      <c r="A303" s="15" t="n">
        <f aca="false">Report!C414</f>
        <v>46195</v>
      </c>
      <c r="B303" s="1" t="str">
        <f aca="false">Report!E414</f>
        <v>NL SERVICOS MEDICOS LTDA</v>
      </c>
      <c r="C303" s="16" t="n">
        <f aca="false">Report!U414</f>
        <v>541</v>
      </c>
      <c r="D303" s="1" t="str">
        <f aca="false">Report!X414</f>
        <v>ASOS MO2 FUNC 05/25 A 01/26 - KEILA</v>
      </c>
    </row>
    <row r="304" customFormat="false" ht="12.75" hidden="false" customHeight="true" outlineLevel="0" collapsed="false">
      <c r="A304" s="15" t="n">
        <f aca="false">Report!C415</f>
        <v>46195</v>
      </c>
      <c r="B304" s="1" t="str">
        <f aca="false">Report!E415</f>
        <v>NOVA FRIOS COMERCIO ATACADISTA DE LATICINIOS LTDA</v>
      </c>
      <c r="C304" s="16" t="n">
        <f aca="false">Report!U415</f>
        <v>185.2</v>
      </c>
      <c r="D304" s="1" t="str">
        <f aca="false">Report!X415</f>
        <v>NF 3777 ELLEN</v>
      </c>
    </row>
    <row r="305" customFormat="false" ht="12.75" hidden="false" customHeight="true" outlineLevel="0" collapsed="false">
      <c r="A305" s="15" t="n">
        <f aca="false">Report!C416</f>
        <v>46195</v>
      </c>
      <c r="B305" s="1" t="str">
        <f aca="false">Report!E416</f>
        <v>ADRIANO FEITOSA OLIVEIRA LTDA</v>
      </c>
      <c r="C305" s="16" t="n">
        <f aca="false">Report!U416</f>
        <v>925</v>
      </c>
      <c r="D305" s="1" t="str">
        <f aca="false">Report!X416</f>
        <v>NF 304 ELLEN</v>
      </c>
    </row>
    <row r="306" customFormat="false" ht="12.75" hidden="false" customHeight="true" outlineLevel="0" collapsed="false">
      <c r="A306" s="15" t="n">
        <f aca="false">Report!C419</f>
        <v>46195</v>
      </c>
      <c r="B306" s="1" t="str">
        <f aca="false">Report!E419</f>
        <v>NEYLIANE S DE OLIVEIRA &amp; CIA LTDA</v>
      </c>
      <c r="C306" s="16" t="n">
        <f aca="false">Report!U419</f>
        <v>1454</v>
      </c>
      <c r="D306" s="1" t="str">
        <f aca="false">Report!X419</f>
        <v>FEIRA SR RENATO - DINHEIRO POTE MO2 19/6/26 - ELLEN</v>
      </c>
    </row>
    <row r="307" customFormat="false" ht="12.75" hidden="false" customHeight="true" outlineLevel="0" collapsed="false">
      <c r="A307" s="15" t="n">
        <f aca="false">Report!C420</f>
        <v>46195</v>
      </c>
      <c r="B307" s="1" t="str">
        <f aca="false">Report!E420</f>
        <v>FEIRA</v>
      </c>
      <c r="C307" s="16" t="n">
        <f aca="false">Report!U420</f>
        <v>390</v>
      </c>
      <c r="D307" s="1" t="str">
        <f aca="false">Report!X420</f>
        <v>FEIRA SR RENATO-DINHEIRO/POTE-ALHO/MACA-SOMAR C NF2504-ELLEN</v>
      </c>
    </row>
    <row r="308" customFormat="false" ht="12.75" hidden="false" customHeight="true" outlineLevel="0" collapsed="false">
      <c r="A308" s="15" t="n">
        <f aca="false">Report!C423</f>
        <v>46195</v>
      </c>
      <c r="B308" s="1" t="str">
        <f aca="false">Report!E423</f>
        <v>66.356.670 FRANCISCO CARLOS FERNANDES COSTA</v>
      </c>
      <c r="C308" s="16" t="n">
        <f aca="false">Report!U423</f>
        <v>140</v>
      </c>
      <c r="D308" s="1" t="str">
        <f aca="false">Report!X423</f>
        <v>NF 10 COMPRAS-BOLO PG NO P 15/6/26 ELLEN</v>
      </c>
    </row>
    <row r="309" customFormat="false" ht="12.75" hidden="false" customHeight="true" outlineLevel="0" collapsed="false">
      <c r="A309" s="15" t="n">
        <f aca="false">Report!C424</f>
        <v>46195</v>
      </c>
      <c r="B309" s="1" t="str">
        <f aca="false">Report!E424</f>
        <v>66.356.670 FRANCISCO CARLOS FERNANDES COSTA</v>
      </c>
      <c r="C309" s="16" t="n">
        <f aca="false">Report!U424</f>
        <v>140</v>
      </c>
      <c r="D309" s="1" t="str">
        <f aca="false">Report!X424</f>
        <v>NF 11 COMPRAS-BOLO PG NO P´17/6/26 ELLEN </v>
      </c>
    </row>
    <row r="310" customFormat="false" ht="12.75" hidden="false" customHeight="true" outlineLevel="0" collapsed="false">
      <c r="A310" s="15" t="n">
        <f aca="false">Report!C425</f>
        <v>46195</v>
      </c>
      <c r="B310" s="1" t="str">
        <f aca="false">Report!E425</f>
        <v>66.356.670 FRANCISCO CARLOS FERNANDES COSTA</v>
      </c>
      <c r="C310" s="16" t="n">
        <f aca="false">Report!U425</f>
        <v>200</v>
      </c>
      <c r="D310" s="1" t="str">
        <f aca="false">Report!X425</f>
        <v>NF 12 COMPRAS-BOLO PG NO P 22/6/26 ELLEN</v>
      </c>
    </row>
    <row r="311" customFormat="false" ht="12.75" hidden="false" customHeight="true" outlineLevel="0" collapsed="false">
      <c r="A311" s="15" t="n">
        <f aca="false">Report!C426</f>
        <v>46195</v>
      </c>
      <c r="B311" s="1" t="str">
        <f aca="false">Report!E426</f>
        <v>ITAU SA</v>
      </c>
      <c r="C311" s="16" t="n">
        <f aca="false">Report!U426</f>
        <v>10000</v>
      </c>
      <c r="D311" s="1" t="str">
        <f aca="false">Report!X426</f>
        <v>AMORTIZAÇÃO GARANTIDA CT 00468436  ITAU MO2 ANDREZA</v>
      </c>
    </row>
    <row r="312" customFormat="false" ht="12.75" hidden="false" customHeight="true" outlineLevel="0" collapsed="false">
      <c r="A312" s="15" t="n">
        <f aca="false">Report!C427</f>
        <v>46195</v>
      </c>
      <c r="B312" s="1" t="str">
        <f aca="false">Report!E427</f>
        <v>RUAN FERNANDES</v>
      </c>
      <c r="C312" s="16" t="n">
        <f aca="false">Report!U427</f>
        <v>420</v>
      </c>
      <c r="D312" s="1" t="str">
        <f aca="false">Report!X427</f>
        <v>SSD 256GB PC SERVIDOR  MO2 - ANDREZA</v>
      </c>
    </row>
    <row r="313" customFormat="false" ht="12.75" hidden="false" customHeight="true" outlineLevel="0" collapsed="false">
      <c r="A313" s="15" t="n">
        <f aca="false">Report!C428</f>
        <v>46196</v>
      </c>
      <c r="B313" s="1" t="str">
        <f aca="false">Report!E428</f>
        <v>SEM FORNECEDOR</v>
      </c>
      <c r="C313" s="16" t="n">
        <f aca="false">Report!U428</f>
        <v>50</v>
      </c>
      <c r="D313" s="1" t="str">
        <f aca="false">Report!X428</f>
        <v>diaria elilton</v>
      </c>
    </row>
    <row r="314" customFormat="false" ht="12.75" hidden="false" customHeight="true" outlineLevel="0" collapsed="false">
      <c r="A314" s="15" t="n">
        <f aca="false">Report!C429</f>
        <v>46196</v>
      </c>
      <c r="B314" s="1" t="str">
        <f aca="false">Report!E429</f>
        <v>SEM FORNECEDOR</v>
      </c>
      <c r="C314" s="16" t="n">
        <f aca="false">Report!U429</f>
        <v>70</v>
      </c>
      <c r="D314" s="1" t="str">
        <f aca="false">Report!X429</f>
        <v>extra idelma</v>
      </c>
    </row>
    <row r="315" customFormat="false" ht="12.75" hidden="false" customHeight="true" outlineLevel="0" collapsed="false">
      <c r="A315" s="15" t="n">
        <f aca="false">Report!C430</f>
        <v>46196</v>
      </c>
      <c r="B315" s="1" t="str">
        <f aca="false">Report!E430</f>
        <v>SEM FORNECEDOR</v>
      </c>
      <c r="C315" s="16" t="n">
        <f aca="false">Report!U430</f>
        <v>2550</v>
      </c>
      <c r="D315" s="1" t="str">
        <f aca="false">Report!X430</f>
        <v>Depósito ref. 23/06/2026</v>
      </c>
    </row>
    <row r="316" customFormat="false" ht="12.75" hidden="false" customHeight="true" outlineLevel="0" collapsed="false">
      <c r="A316" s="15" t="n">
        <f aca="false">Report!C431</f>
        <v>46196</v>
      </c>
      <c r="B316" s="1" t="str">
        <f aca="false">Report!E431</f>
        <v>BONNA VITTA INDUSTRIA E COMERCIO LTDA.</v>
      </c>
      <c r="C316" s="16" t="n">
        <f aca="false">Report!U431</f>
        <v>431.22</v>
      </c>
      <c r="D316" s="1" t="str">
        <f aca="false">Report!X431</f>
        <v>NF 517670 ELLEN</v>
      </c>
    </row>
    <row r="317" customFormat="false" ht="12.75" hidden="false" customHeight="true" outlineLevel="0" collapsed="false">
      <c r="A317" s="15" t="n">
        <f aca="false">Report!C432</f>
        <v>46196</v>
      </c>
      <c r="B317" s="1" t="str">
        <f aca="false">Report!E432</f>
        <v>BRASIL NORTE BEBIDAS S/A</v>
      </c>
      <c r="C317" s="16" t="n">
        <f aca="false">Report!U432</f>
        <v>224.17</v>
      </c>
      <c r="D317" s="1" t="str">
        <f aca="false">Report!X432</f>
        <v>NF 1867172 ELLEN</v>
      </c>
    </row>
    <row r="318" customFormat="false" ht="12.75" hidden="false" customHeight="true" outlineLevel="0" collapsed="false">
      <c r="A318" s="15" t="n">
        <f aca="false">Report!C433</f>
        <v>46196</v>
      </c>
      <c r="B318" s="1" t="str">
        <f aca="false">Report!E433</f>
        <v>BRASIL NORTE BEBIDAS S/A</v>
      </c>
      <c r="C318" s="16" t="n">
        <f aca="false">Report!U433</f>
        <v>1134.74</v>
      </c>
      <c r="D318" s="1" t="str">
        <f aca="false">Report!X433</f>
        <v>NF 1868653 ELLEN</v>
      </c>
    </row>
    <row r="319" customFormat="false" ht="12.75" hidden="false" customHeight="true" outlineLevel="0" collapsed="false">
      <c r="A319" s="15" t="n">
        <f aca="false">Report!C434</f>
        <v>46196</v>
      </c>
      <c r="B319" s="1" t="str">
        <f aca="false">Report!E434</f>
        <v>BF COMERCIO DE ALIMENTOS REPRESENTACAO L</v>
      </c>
      <c r="C319" s="16" t="n">
        <f aca="false">Report!U434</f>
        <v>303.19</v>
      </c>
      <c r="D319" s="1" t="str">
        <f aca="false">Report!X434</f>
        <v>NF 20868 ELLEN</v>
      </c>
    </row>
    <row r="320" customFormat="false" ht="12.75" hidden="false" customHeight="true" outlineLevel="0" collapsed="false">
      <c r="A320" s="15" t="n">
        <f aca="false">Report!C435</f>
        <v>46196</v>
      </c>
      <c r="B320" s="1" t="str">
        <f aca="false">Report!E435</f>
        <v>BONNA VITTA INDUSTRIA E COMERCIO LTDA.</v>
      </c>
      <c r="C320" s="16" t="n">
        <f aca="false">Report!U435</f>
        <v>642.4</v>
      </c>
      <c r="D320" s="1" t="str">
        <f aca="false">Report!X435</f>
        <v>NF 518105 ELLEN</v>
      </c>
    </row>
    <row r="321" customFormat="false" ht="12.75" hidden="false" customHeight="true" outlineLevel="0" collapsed="false">
      <c r="A321" s="15" t="n">
        <f aca="false">Report!C436</f>
        <v>46196</v>
      </c>
      <c r="B321" s="1" t="str">
        <f aca="false">Report!E436</f>
        <v>COMERCIO DE FRIOS MANAUS LTDA</v>
      </c>
      <c r="C321" s="16" t="n">
        <f aca="false">Report!U436</f>
        <v>4757.6</v>
      </c>
      <c r="D321" s="1" t="str">
        <f aca="false">Report!X436</f>
        <v>NF 171507 ELLEN</v>
      </c>
    </row>
    <row r="322" customFormat="false" ht="12.75" hidden="false" customHeight="true" outlineLevel="0" collapsed="false">
      <c r="A322" s="15" t="n">
        <f aca="false">Report!C437</f>
        <v>46196</v>
      </c>
      <c r="B322" s="1" t="str">
        <f aca="false">Report!E437</f>
        <v>PANIFICADORA E CONFEITARIA REAL MADRI LTDA</v>
      </c>
      <c r="C322" s="16" t="n">
        <f aca="false">Report!U437</f>
        <v>304.75</v>
      </c>
      <c r="D322" s="1" t="str">
        <f aca="false">Report!X437</f>
        <v>NF 669 ELLEN</v>
      </c>
    </row>
    <row r="323" customFormat="false" ht="12.75" hidden="false" customHeight="true" outlineLevel="0" collapsed="false">
      <c r="A323" s="15" t="n">
        <f aca="false">Report!C438</f>
        <v>46196</v>
      </c>
      <c r="B323" s="1" t="str">
        <f aca="false">Report!E438</f>
        <v>NATUREZA COMERCIO DE DESCARTAVEIS LTDA</v>
      </c>
      <c r="C323" s="16" t="n">
        <f aca="false">Report!U438</f>
        <v>326.83</v>
      </c>
      <c r="D323" s="1" t="str">
        <f aca="false">Report!X438</f>
        <v>NF 729265 ELLEN</v>
      </c>
    </row>
    <row r="324" customFormat="false" ht="12.75" hidden="false" customHeight="true" outlineLevel="0" collapsed="false">
      <c r="A324" s="15" t="n">
        <f aca="false">Report!C439</f>
        <v>46196</v>
      </c>
      <c r="B324" s="1" t="str">
        <f aca="false">Report!E439</f>
        <v>ADICSO FABIAN GONZALEZ MONTILLA 70302186</v>
      </c>
      <c r="C324" s="16" t="n">
        <f aca="false">Report!U439</f>
        <v>156</v>
      </c>
      <c r="D324" s="1" t="str">
        <f aca="false">Report!X439</f>
        <v>NF 504 ELLEN</v>
      </c>
    </row>
    <row r="325" customFormat="false" ht="12.75" hidden="false" customHeight="true" outlineLevel="0" collapsed="false">
      <c r="A325" s="15" t="n">
        <f aca="false">Report!C440</f>
        <v>46196</v>
      </c>
      <c r="B325" s="1" t="str">
        <f aca="false">Report!E440</f>
        <v>J W N DOS SANTOS</v>
      </c>
      <c r="C325" s="16" t="n">
        <f aca="false">Report!U440</f>
        <v>264</v>
      </c>
      <c r="D325" s="1" t="str">
        <f aca="false">Report!X440</f>
        <v>NF 315 ELLEN</v>
      </c>
    </row>
    <row r="326" customFormat="false" ht="12.75" hidden="false" customHeight="true" outlineLevel="0" collapsed="false">
      <c r="A326" s="15" t="n">
        <f aca="false">Report!C441</f>
        <v>46196</v>
      </c>
      <c r="B326" s="1" t="str">
        <f aca="false">Report!E441</f>
        <v>ITAU SA</v>
      </c>
      <c r="C326" s="16" t="n">
        <f aca="false">Report!U441</f>
        <v>7000</v>
      </c>
      <c r="D326" s="1" t="str">
        <f aca="false">Report!X441</f>
        <v>AMORTIZACAO GARANTIDA MO2</v>
      </c>
    </row>
    <row r="327" customFormat="false" ht="12.75" hidden="false" customHeight="true" outlineLevel="0" collapsed="false">
      <c r="A327" s="15" t="n">
        <f aca="false">Report!C442</f>
        <v>46196</v>
      </c>
      <c r="B327" s="1" t="str">
        <f aca="false">Report!E442</f>
        <v>NEYLIANE S DE OLIVEIRA &amp; CIA LTDA</v>
      </c>
      <c r="C327" s="16" t="n">
        <f aca="false">Report!U442</f>
        <v>2140.44</v>
      </c>
      <c r="D327" s="1" t="str">
        <f aca="false">Report!X442</f>
        <v>FEIRA SR RENATO - PG P LJ1 - ELLEN</v>
      </c>
    </row>
    <row r="328" customFormat="false" ht="12.75" hidden="false" customHeight="true" outlineLevel="0" collapsed="false">
      <c r="A328" s="15" t="n">
        <f aca="false">Report!C443</f>
        <v>46196</v>
      </c>
      <c r="B328" s="1" t="str">
        <f aca="false">Report!E443</f>
        <v>FEIRA</v>
      </c>
      <c r="C328" s="16" t="n">
        <f aca="false">Report!U443</f>
        <v>710</v>
      </c>
      <c r="D328" s="1" t="str">
        <f aca="false">Report!X443</f>
        <v>FEIRA SR RENATO -PG P LJ1-MACA/PERA/UVA-SOMAR C NF 2507-ELLEN</v>
      </c>
    </row>
    <row r="329" customFormat="false" ht="12.75" hidden="false" customHeight="true" outlineLevel="0" collapsed="false">
      <c r="A329" s="15" t="n">
        <f aca="false">Report!C444</f>
        <v>46197</v>
      </c>
      <c r="B329" s="1" t="str">
        <f aca="false">Report!E444</f>
        <v>SEM FORNECEDOR</v>
      </c>
      <c r="C329" s="16" t="n">
        <f aca="false">Report!U444</f>
        <v>120</v>
      </c>
      <c r="D329" s="1" t="str">
        <f aca="false">Report!X444</f>
        <v>Pag de título:  Forn: 10086-66.356.670 FRANCISCO CARLOS FERNANDES COSTA. Tit: 37-01</v>
      </c>
    </row>
    <row r="330" customFormat="false" ht="12.75" hidden="false" customHeight="true" outlineLevel="0" collapsed="false">
      <c r="A330" s="15" t="n">
        <f aca="false">Report!C445</f>
        <v>46197</v>
      </c>
      <c r="B330" s="1" t="str">
        <f aca="false">Report!E445</f>
        <v>SEM FORNECEDOR</v>
      </c>
      <c r="C330" s="16" t="n">
        <f aca="false">Report!U445</f>
        <v>50</v>
      </c>
      <c r="D330" s="1" t="str">
        <f aca="false">Report!X445</f>
        <v>diaria elilton</v>
      </c>
    </row>
    <row r="331" customFormat="false" ht="12.75" hidden="false" customHeight="true" outlineLevel="0" collapsed="false">
      <c r="A331" s="15" t="n">
        <f aca="false">Report!C446</f>
        <v>46197</v>
      </c>
      <c r="B331" s="1" t="str">
        <f aca="false">Report!E446</f>
        <v>SEM FORNECEDOR</v>
      </c>
      <c r="C331" s="16" t="n">
        <f aca="false">Report!U446</f>
        <v>70</v>
      </c>
      <c r="D331" s="1" t="str">
        <f aca="false">Report!X446</f>
        <v>extra helio</v>
      </c>
    </row>
    <row r="332" customFormat="false" ht="12.75" hidden="false" customHeight="true" outlineLevel="0" collapsed="false">
      <c r="A332" s="15" t="n">
        <f aca="false">Report!C447</f>
        <v>46197</v>
      </c>
      <c r="B332" s="1" t="str">
        <f aca="false">Report!E447</f>
        <v>SEM FORNECEDOR</v>
      </c>
      <c r="C332" s="16" t="n">
        <f aca="false">Report!U447</f>
        <v>50</v>
      </c>
      <c r="D332" s="1" t="str">
        <f aca="false">Report!X447</f>
        <v>REF. ADTO. FUNCIONARIO  IDELMA MONTEIRO DA SILVA</v>
      </c>
    </row>
    <row r="333" customFormat="false" ht="12.75" hidden="false" customHeight="true" outlineLevel="0" collapsed="false">
      <c r="A333" s="15" t="n">
        <f aca="false">Report!C448</f>
        <v>46197</v>
      </c>
      <c r="B333" s="1" t="str">
        <f aca="false">Report!E448</f>
        <v>SEM FORNECEDOR</v>
      </c>
      <c r="C333" s="16" t="n">
        <f aca="false">Report!U448</f>
        <v>1650</v>
      </c>
      <c r="D333" s="1" t="str">
        <f aca="false">Report!X448</f>
        <v>Depósito ref. 24/06/2026</v>
      </c>
    </row>
    <row r="334" customFormat="false" ht="12.75" hidden="false" customHeight="true" outlineLevel="0" collapsed="false">
      <c r="A334" s="15" t="n">
        <f aca="false">Report!C451</f>
        <v>46197</v>
      </c>
      <c r="B334" s="1" t="str">
        <f aca="false">Report!E451</f>
        <v>OPPORTUNITY ALIMENTOS PARA ANIMAIS LTDA</v>
      </c>
      <c r="C334" s="16" t="n">
        <f aca="false">Report!U451</f>
        <v>938.27</v>
      </c>
      <c r="D334" s="1" t="str">
        <f aca="false">Report!X451</f>
        <v>NF 33745 ELLEN</v>
      </c>
    </row>
    <row r="335" customFormat="false" ht="12.75" hidden="false" customHeight="true" outlineLevel="0" collapsed="false">
      <c r="A335" s="15" t="n">
        <f aca="false">Report!C452</f>
        <v>46197</v>
      </c>
      <c r="B335" s="1" t="str">
        <f aca="false">Report!E452</f>
        <v>TAPAJOS COM DE PERFUMARIA COSMETICOS E G</v>
      </c>
      <c r="C335" s="16" t="n">
        <f aca="false">Report!U452</f>
        <v>635.45</v>
      </c>
      <c r="D335" s="1" t="str">
        <f aca="false">Report!X452</f>
        <v>NF 571363 ELLEN</v>
      </c>
    </row>
    <row r="336" customFormat="false" ht="12.75" hidden="false" customHeight="true" outlineLevel="0" collapsed="false">
      <c r="A336" s="15" t="n">
        <f aca="false">Report!C453</f>
        <v>46197</v>
      </c>
      <c r="B336" s="1" t="str">
        <f aca="false">Report!E453</f>
        <v>OPPORTUNITY ALIMENTOS PARA ANIMAIS LTDA</v>
      </c>
      <c r="C336" s="16" t="n">
        <f aca="false">Report!U453</f>
        <v>2718.34</v>
      </c>
      <c r="D336" s="1" t="str">
        <f aca="false">Report!X453</f>
        <v>NF 33746 ELLEN</v>
      </c>
    </row>
    <row r="337" customFormat="false" ht="12.75" hidden="false" customHeight="true" outlineLevel="0" collapsed="false">
      <c r="A337" s="15" t="n">
        <f aca="false">Report!C454</f>
        <v>46197</v>
      </c>
      <c r="B337" s="1" t="str">
        <f aca="false">Report!E454</f>
        <v>BONNA VITTA INDUSTRIA E COMERCIO LTDA.</v>
      </c>
      <c r="C337" s="16" t="n">
        <f aca="false">Report!U454</f>
        <v>823.76</v>
      </c>
      <c r="D337" s="1" t="str">
        <f aca="false">Report!X454</f>
        <v>NF 517177 ELLEN</v>
      </c>
    </row>
    <row r="338" customFormat="false" ht="12.75" hidden="false" customHeight="true" outlineLevel="0" collapsed="false">
      <c r="A338" s="15" t="n">
        <f aca="false">Report!C455</f>
        <v>46197</v>
      </c>
      <c r="B338" s="1" t="str">
        <f aca="false">Report!E455</f>
        <v>J G COMERCIO DE PRODUTOS ALIMENTICIOS LTDA</v>
      </c>
      <c r="C338" s="16" t="n">
        <f aca="false">Report!U455</f>
        <v>737.06</v>
      </c>
      <c r="D338" s="1" t="str">
        <f aca="false">Report!X455</f>
        <v>NF 386175 ELLEN</v>
      </c>
    </row>
    <row r="339" customFormat="false" ht="12.75" hidden="false" customHeight="true" outlineLevel="0" collapsed="false">
      <c r="A339" s="15" t="n">
        <f aca="false">Report!C456</f>
        <v>46197</v>
      </c>
      <c r="B339" s="1" t="str">
        <f aca="false">Report!E456</f>
        <v>FALCAO INDUSTRIA DE ALIMENTOS LTDA</v>
      </c>
      <c r="C339" s="16" t="n">
        <f aca="false">Report!U456</f>
        <v>922.08</v>
      </c>
      <c r="D339" s="1" t="str">
        <f aca="false">Report!X456</f>
        <v>NF 34450 ELLEN</v>
      </c>
    </row>
    <row r="340" customFormat="false" ht="12.75" hidden="false" customHeight="true" outlineLevel="0" collapsed="false">
      <c r="A340" s="15" t="n">
        <f aca="false">Report!C457</f>
        <v>46197</v>
      </c>
      <c r="B340" s="1" t="str">
        <f aca="false">Report!E457</f>
        <v>FALCAO INDUSTRIA DE ALIMENTOS LTDA</v>
      </c>
      <c r="C340" s="16" t="n">
        <f aca="false">Report!U457</f>
        <v>550.99</v>
      </c>
      <c r="D340" s="1" t="str">
        <f aca="false">Report!X457</f>
        <v>NF 30199 ELLEN</v>
      </c>
    </row>
    <row r="341" customFormat="false" ht="12.75" hidden="false" customHeight="true" outlineLevel="0" collapsed="false">
      <c r="A341" s="15" t="n">
        <f aca="false">Report!C458</f>
        <v>46197</v>
      </c>
      <c r="B341" s="1" t="str">
        <f aca="false">Report!E458</f>
        <v>AMAZONAS ENERGIA S/A</v>
      </c>
      <c r="C341" s="16" t="n">
        <f aca="false">Report!U458</f>
        <v>92.06</v>
      </c>
      <c r="D341" s="1" t="str">
        <f aca="false">Report!X458</f>
        <v>CONTA DE ENERGIA LANCHE/KEILA</v>
      </c>
    </row>
    <row r="342" customFormat="false" ht="12.75" hidden="false" customHeight="true" outlineLevel="0" collapsed="false">
      <c r="A342" s="15" t="n">
        <f aca="false">Report!C459</f>
        <v>46197</v>
      </c>
      <c r="B342" s="1" t="str">
        <f aca="false">Report!E459</f>
        <v>AMAZONAS ENERGIA S/A</v>
      </c>
      <c r="C342" s="16" t="n">
        <f aca="false">Report!U459</f>
        <v>7996.9</v>
      </c>
      <c r="D342" s="1" t="str">
        <f aca="false">Report!X459</f>
        <v>CONTA ENERGIA MO2</v>
      </c>
    </row>
    <row r="343" customFormat="false" ht="12.75" hidden="false" customHeight="true" outlineLevel="0" collapsed="false">
      <c r="A343" s="15" t="n">
        <f aca="false">Report!C460</f>
        <v>46197</v>
      </c>
      <c r="B343" s="1" t="str">
        <f aca="false">Report!E460</f>
        <v>TOYA INDUSTRIA E COMERCIO LTDA.</v>
      </c>
      <c r="C343" s="16" t="n">
        <f aca="false">Report!U460</f>
        <v>734.33</v>
      </c>
      <c r="D343" s="1" t="str">
        <f aca="false">Report!X460</f>
        <v>NF 253249 ELLEN</v>
      </c>
    </row>
    <row r="344" customFormat="false" ht="12.75" hidden="false" customHeight="true" outlineLevel="0" collapsed="false">
      <c r="A344" s="15" t="n">
        <f aca="false">Report!C461</f>
        <v>46197</v>
      </c>
      <c r="B344" s="1" t="str">
        <f aca="false">Report!E461</f>
        <v>BRF S A</v>
      </c>
      <c r="C344" s="16" t="n">
        <f aca="false">Report!U461</f>
        <v>1104.14</v>
      </c>
      <c r="D344" s="1" t="str">
        <f aca="false">Report!X461</f>
        <v>NF 1595886 ELLEN</v>
      </c>
    </row>
    <row r="345" customFormat="false" ht="12.75" hidden="false" customHeight="true" outlineLevel="0" collapsed="false">
      <c r="A345" s="15" t="n">
        <f aca="false">Report!C462</f>
        <v>46197</v>
      </c>
      <c r="B345" s="1" t="str">
        <f aca="false">Report!E462</f>
        <v>H.V.M. XAVIER ALIMENTOS</v>
      </c>
      <c r="C345" s="16" t="n">
        <f aca="false">Report!U462</f>
        <v>194.4</v>
      </c>
      <c r="D345" s="1" t="str">
        <f aca="false">Report!X462</f>
        <v>NF 132836 ELLEN</v>
      </c>
    </row>
    <row r="346" customFormat="false" ht="12.75" hidden="false" customHeight="true" outlineLevel="0" collapsed="false">
      <c r="A346" s="15" t="n">
        <f aca="false">Report!C463</f>
        <v>46197</v>
      </c>
      <c r="B346" s="1" t="str">
        <f aca="false">Report!E463</f>
        <v>SAO JOSE COMERCIO DE LATICINIOS E FRIOS</v>
      </c>
      <c r="C346" s="16" t="n">
        <f aca="false">Report!U463</f>
        <v>274.85</v>
      </c>
      <c r="D346" s="1" t="str">
        <f aca="false">Report!X463</f>
        <v>NF 3415 ELLEN</v>
      </c>
    </row>
    <row r="347" customFormat="false" ht="12.75" hidden="false" customHeight="true" outlineLevel="0" collapsed="false">
      <c r="A347" s="15" t="n">
        <f aca="false">Report!C464</f>
        <v>46197</v>
      </c>
      <c r="B347" s="1" t="str">
        <f aca="false">Report!E464</f>
        <v>CRBS S/A</v>
      </c>
      <c r="C347" s="16" t="n">
        <f aca="false">Report!U464</f>
        <v>614.97</v>
      </c>
      <c r="D347" s="1" t="str">
        <f aca="false">Report!X464</f>
        <v>NF 860219 ELLEN</v>
      </c>
    </row>
    <row r="348" customFormat="false" ht="12.75" hidden="false" customHeight="true" outlineLevel="0" collapsed="false">
      <c r="A348" s="15" t="n">
        <f aca="false">Report!C465</f>
        <v>46197</v>
      </c>
      <c r="B348" s="1" t="str">
        <f aca="false">Report!E465</f>
        <v>CRBS S/A</v>
      </c>
      <c r="C348" s="16" t="n">
        <f aca="false">Report!U465</f>
        <v>1.55</v>
      </c>
      <c r="D348" s="1" t="str">
        <f aca="false">Report!X465</f>
        <v>NF 860219 REF TARIFA AMBEV - ELLEN</v>
      </c>
    </row>
    <row r="349" customFormat="false" ht="12.75" hidden="false" customHeight="true" outlineLevel="0" collapsed="false">
      <c r="A349" s="15" t="n">
        <f aca="false">Report!C466</f>
        <v>46197</v>
      </c>
      <c r="B349" s="1" t="str">
        <f aca="false">Report!E466</f>
        <v>FALCAO INDUSTRIA DE ALIMENTOS LTDA</v>
      </c>
      <c r="C349" s="16" t="n">
        <f aca="false">Report!U466</f>
        <v>551.89</v>
      </c>
      <c r="D349" s="1" t="str">
        <f aca="false">Report!X466</f>
        <v>NF 30415 ELLEN</v>
      </c>
    </row>
    <row r="350" customFormat="false" ht="12.75" hidden="false" customHeight="true" outlineLevel="0" collapsed="false">
      <c r="A350" s="15" t="n">
        <f aca="false">Report!C467</f>
        <v>46197</v>
      </c>
      <c r="B350" s="1" t="str">
        <f aca="false">Report!E467</f>
        <v>TRES CORACOES ALIMENTOS S.A.</v>
      </c>
      <c r="C350" s="16" t="n">
        <f aca="false">Report!U467</f>
        <v>877.26</v>
      </c>
      <c r="D350" s="1" t="str">
        <f aca="false">Report!X467</f>
        <v>NF 346452 ELLEN</v>
      </c>
    </row>
    <row r="351" customFormat="false" ht="12.75" hidden="false" customHeight="true" outlineLevel="0" collapsed="false">
      <c r="A351" s="15" t="n">
        <f aca="false">Report!C468</f>
        <v>46197</v>
      </c>
      <c r="B351" s="1" t="str">
        <f aca="false">Report!E468</f>
        <v>66.356.670 FRANCISCO CARLOS FERNANDES COSTA</v>
      </c>
      <c r="C351" s="16" t="n">
        <f aca="false">Report!U468</f>
        <v>120</v>
      </c>
      <c r="D351" s="1" t="str">
        <f aca="false">Report!X468</f>
        <v>NF 37 COMPRAS-BOLO PG NO P 24/6/26 ELLEN</v>
      </c>
    </row>
    <row r="352" customFormat="false" ht="12.75" hidden="false" customHeight="true" outlineLevel="0" collapsed="false">
      <c r="A352" s="15" t="n">
        <f aca="false">Report!C469</f>
        <v>46197</v>
      </c>
      <c r="B352" s="1" t="str">
        <f aca="false">Report!E469</f>
        <v>ITAU SA</v>
      </c>
      <c r="C352" s="16" t="n">
        <f aca="false">Report!U469</f>
        <v>5423.3</v>
      </c>
      <c r="D352" s="1" t="str">
        <f aca="false">Report!X469</f>
        <v>JUROS GARANTIDA ITAU 6083-46843-6 ITAU MO2-ANDREZA</v>
      </c>
    </row>
    <row r="353" customFormat="false" ht="12.75" hidden="false" customHeight="true" outlineLevel="0" collapsed="false">
      <c r="A353" s="15" t="n">
        <f aca="false">Report!C470</f>
        <v>46197</v>
      </c>
      <c r="B353" s="1" t="str">
        <f aca="false">Report!E470</f>
        <v>IDELMA MONTEIRO DA SILVA</v>
      </c>
      <c r="C353" s="16" t="n">
        <f aca="false">Report!U470</f>
        <v>50</v>
      </c>
      <c r="D353" s="1" t="str">
        <f aca="false">Report!X470</f>
        <v>VALE IDELMA</v>
      </c>
    </row>
    <row r="354" customFormat="false" ht="12.75" hidden="false" customHeight="true" outlineLevel="0" collapsed="false">
      <c r="A354" s="15" t="n">
        <f aca="false">Report!C471</f>
        <v>46198</v>
      </c>
      <c r="B354" s="1" t="str">
        <f aca="false">Report!E471</f>
        <v>SEM FORNECEDOR</v>
      </c>
      <c r="C354" s="16" t="n">
        <f aca="false">Report!U471</f>
        <v>180</v>
      </c>
      <c r="D354" s="1" t="str">
        <f aca="false">Report!X471</f>
        <v>Pag de título:  Forn: 10086-66.356.670 FRANCISCO CARLOS FERNANDES COSTA. Tit: 44-01</v>
      </c>
    </row>
    <row r="355" customFormat="false" ht="12.75" hidden="false" customHeight="true" outlineLevel="0" collapsed="false">
      <c r="A355" s="15" t="n">
        <f aca="false">Report!C472</f>
        <v>46198</v>
      </c>
      <c r="B355" s="1" t="str">
        <f aca="false">Report!E472</f>
        <v>SEM FORNECEDOR</v>
      </c>
      <c r="C355" s="16" t="n">
        <f aca="false">Report!U472</f>
        <v>1550</v>
      </c>
      <c r="D355" s="1" t="str">
        <f aca="false">Report!X472</f>
        <v>Depósito ref. 25/06/2026</v>
      </c>
    </row>
    <row r="356" customFormat="false" ht="12.75" hidden="false" customHeight="true" outlineLevel="0" collapsed="false">
      <c r="A356" s="15" t="n">
        <f aca="false">Report!C473</f>
        <v>46198</v>
      </c>
      <c r="B356" s="1" t="str">
        <f aca="false">Report!E473</f>
        <v>NEYLIANE SILVA DE OLIVEIRA</v>
      </c>
      <c r="C356" s="16" t="n">
        <f aca="false">Report!U473</f>
        <v>84.03</v>
      </c>
      <c r="D356" s="1" t="str">
        <f aca="false">Report!X473</f>
        <v>PL NEILA CARTAO MO2 </v>
      </c>
    </row>
    <row r="357" customFormat="false" ht="12.75" hidden="false" customHeight="true" outlineLevel="0" collapsed="false">
      <c r="A357" s="15" t="n">
        <f aca="false">Report!C474</f>
        <v>46198</v>
      </c>
      <c r="B357" s="1" t="str">
        <f aca="false">Report!E474</f>
        <v>NEYLIANE SILVA DE OLIVEIRA</v>
      </c>
      <c r="C357" s="16" t="n">
        <f aca="false">Report!U474</f>
        <v>362.14</v>
      </c>
      <c r="D357" s="1" t="str">
        <f aca="false">Report!X474</f>
        <v>PL NEILA </v>
      </c>
    </row>
    <row r="358" customFormat="false" ht="12.75" hidden="false" customHeight="true" outlineLevel="0" collapsed="false">
      <c r="A358" s="15" t="n">
        <f aca="false">Report!C477</f>
        <v>46198</v>
      </c>
      <c r="B358" s="1" t="str">
        <f aca="false">Report!E477</f>
        <v>CB COMERCIO E DISTRIBUIDORA DE ALIMENTOS</v>
      </c>
      <c r="C358" s="16" t="n">
        <f aca="false">Report!U477</f>
        <v>844.75</v>
      </c>
      <c r="D358" s="1" t="str">
        <f aca="false">Report!X477</f>
        <v>NF 843147 ELLEN</v>
      </c>
    </row>
    <row r="359" customFormat="false" ht="12.75" hidden="false" customHeight="true" outlineLevel="0" collapsed="false">
      <c r="A359" s="15" t="n">
        <f aca="false">Report!C481</f>
        <v>46198</v>
      </c>
      <c r="B359" s="1" t="str">
        <f aca="false">Report!E481</f>
        <v>NESTLÉ BRASIL LTDA.</v>
      </c>
      <c r="C359" s="16" t="n">
        <f aca="false">Report!U481</f>
        <v>731.24</v>
      </c>
      <c r="D359" s="1" t="str">
        <f aca="false">Report!X481</f>
        <v>NF 1415530 ELLEN</v>
      </c>
    </row>
    <row r="360" customFormat="false" ht="12.75" hidden="false" customHeight="true" outlineLevel="0" collapsed="false">
      <c r="A360" s="15" t="n">
        <f aca="false">Report!C487</f>
        <v>46198</v>
      </c>
      <c r="B360" s="1" t="str">
        <f aca="false">Report!E487</f>
        <v>MAXFRI DISTRIUIDORA LTDA</v>
      </c>
      <c r="C360" s="16" t="n">
        <f aca="false">Report!U487</f>
        <v>5018.15</v>
      </c>
      <c r="D360" s="1" t="str">
        <f aca="false">Report!X487</f>
        <v>NF 14505 ELLEN</v>
      </c>
    </row>
    <row r="361" customFormat="false" ht="12.75" hidden="false" customHeight="true" outlineLevel="0" collapsed="false">
      <c r="A361" s="15" t="n">
        <f aca="false">Report!C488</f>
        <v>46198</v>
      </c>
      <c r="B361" s="1" t="str">
        <f aca="false">Report!E488</f>
        <v>R B CARDOSO</v>
      </c>
      <c r="C361" s="16" t="n">
        <f aca="false">Report!U488</f>
        <v>480.78</v>
      </c>
      <c r="D361" s="1" t="str">
        <f aca="false">Report!X488</f>
        <v>NF 721 ELLEN</v>
      </c>
    </row>
    <row r="362" customFormat="false" ht="12.75" hidden="false" customHeight="true" outlineLevel="0" collapsed="false">
      <c r="A362" s="15" t="n">
        <f aca="false">Report!C489</f>
        <v>46198</v>
      </c>
      <c r="B362" s="1" t="str">
        <f aca="false">Report!E489</f>
        <v>ADICSO FABIAN GONZALEZ MONTILLA 70302186</v>
      </c>
      <c r="C362" s="16" t="n">
        <f aca="false">Report!U489</f>
        <v>180</v>
      </c>
      <c r="D362" s="1" t="str">
        <f aca="false">Report!X489</f>
        <v>NF 509 ELLEN</v>
      </c>
    </row>
    <row r="363" customFormat="false" ht="12.75" hidden="false" customHeight="true" outlineLevel="0" collapsed="false">
      <c r="A363" s="15" t="n">
        <f aca="false">Report!C490</f>
        <v>46198</v>
      </c>
      <c r="B363" s="1" t="str">
        <f aca="false">Report!E490</f>
        <v>PANIFICADORA E CONFEITARIA REAL MADRI LTDA</v>
      </c>
      <c r="C363" s="16" t="n">
        <f aca="false">Report!U490</f>
        <v>234.8</v>
      </c>
      <c r="D363" s="1" t="str">
        <f aca="false">Report!X490</f>
        <v>NF 678 ELLEN</v>
      </c>
    </row>
    <row r="364" customFormat="false" ht="12.75" hidden="false" customHeight="true" outlineLevel="0" collapsed="false">
      <c r="A364" s="15" t="n">
        <f aca="false">Report!C491</f>
        <v>46198</v>
      </c>
      <c r="B364" s="1" t="str">
        <f aca="false">Report!E491</f>
        <v>66.356.670 FRANCISCO CARLOS FERNANDES COSTA</v>
      </c>
      <c r="C364" s="16" t="n">
        <f aca="false">Report!U491</f>
        <v>180</v>
      </c>
      <c r="D364" s="1" t="str">
        <f aca="false">Report!X491</f>
        <v>NF 44 COMPRAS-BOLO PG NO P 25/6 ELLEN</v>
      </c>
    </row>
    <row r="365" customFormat="false" ht="12.75" hidden="false" customHeight="true" outlineLevel="0" collapsed="false">
      <c r="A365" s="15" t="n">
        <f aca="false">Report!C492</f>
        <v>46198</v>
      </c>
      <c r="B365" s="1" t="str">
        <f aca="false">Report!E492</f>
        <v>ITAU SA</v>
      </c>
      <c r="C365" s="16" t="n">
        <f aca="false">Report!U492</f>
        <v>165</v>
      </c>
      <c r="D365" s="1" t="str">
        <f aca="false">Report!X492</f>
        <v>TAR CONTR/RENOV CTA GAR ITAY 2-ANDREZA</v>
      </c>
    </row>
    <row r="366" customFormat="false" ht="12.75" hidden="false" customHeight="true" outlineLevel="0" collapsed="false">
      <c r="A366" s="15" t="n">
        <f aca="false">Report!C493</f>
        <v>46199</v>
      </c>
      <c r="B366" s="1" t="str">
        <f aca="false">Report!E493</f>
        <v>SEM FORNECEDOR</v>
      </c>
      <c r="C366" s="16" t="n">
        <f aca="false">Report!U493</f>
        <v>210</v>
      </c>
      <c r="D366" s="1" t="str">
        <f aca="false">Report!X493</f>
        <v>Pag de título:  Forn: 48-NEYLIANE S DE OLIVEIRA &amp; CIA LTDA. Tit: 2510-01</v>
      </c>
    </row>
    <row r="367" customFormat="false" ht="12.75" hidden="false" customHeight="true" outlineLevel="0" collapsed="false">
      <c r="A367" s="15" t="n">
        <f aca="false">Report!C497</f>
        <v>46199</v>
      </c>
      <c r="B367" s="1" t="str">
        <f aca="false">Report!E497</f>
        <v>SEM FORNECEDOR</v>
      </c>
      <c r="C367" s="16" t="n">
        <f aca="false">Report!U497</f>
        <v>2000</v>
      </c>
      <c r="D367" s="1" t="str">
        <f aca="false">Report!X497</f>
        <v>Depósito ref. 26/06/2026</v>
      </c>
    </row>
    <row r="368" customFormat="false" ht="12.75" hidden="false" customHeight="true" outlineLevel="0" collapsed="false">
      <c r="A368" s="15" t="n">
        <f aca="false">Report!C499</f>
        <v>46199</v>
      </c>
      <c r="B368" s="1" t="str">
        <f aca="false">Report!E499</f>
        <v>FENNIX BRASIL DISTRIBUIDORA DE PRODUTOS</v>
      </c>
      <c r="C368" s="16" t="n">
        <f aca="false">Report!U499</f>
        <v>392.24</v>
      </c>
      <c r="D368" s="1" t="str">
        <f aca="false">Report!X499</f>
        <v>NF 308379 ELLEN</v>
      </c>
    </row>
    <row r="369" customFormat="false" ht="12.75" hidden="false" customHeight="true" outlineLevel="0" collapsed="false">
      <c r="A369" s="15" t="n">
        <f aca="false">Report!C500</f>
        <v>46199</v>
      </c>
      <c r="B369" s="1" t="str">
        <f aca="false">Report!E500</f>
        <v>FENNIX BRASIL DISTRIBUIDORA DE PRODUTOS</v>
      </c>
      <c r="C369" s="16" t="n">
        <f aca="false">Report!U500</f>
        <v>866.35</v>
      </c>
      <c r="D369" s="1" t="str">
        <f aca="false">Report!X500</f>
        <v>NF 394904 ELLEN</v>
      </c>
    </row>
    <row r="370" customFormat="false" ht="12.75" hidden="false" customHeight="true" outlineLevel="0" collapsed="false">
      <c r="A370" s="15" t="n">
        <f aca="false">Report!C501</f>
        <v>46199</v>
      </c>
      <c r="B370" s="1" t="str">
        <f aca="false">Report!E501</f>
        <v>PIARARA COMERCIO, IMPORTACAO E EXPORTACAO LTDA</v>
      </c>
      <c r="C370" s="16" t="n">
        <f aca="false">Report!U501</f>
        <v>540.3</v>
      </c>
      <c r="D370" s="1" t="str">
        <f aca="false">Report!X501</f>
        <v>NF 193355 ELLEN</v>
      </c>
    </row>
    <row r="371" customFormat="false" ht="12.75" hidden="false" customHeight="true" outlineLevel="0" collapsed="false">
      <c r="A371" s="15" t="n">
        <f aca="false">Report!C502</f>
        <v>46199</v>
      </c>
      <c r="B371" s="1" t="str">
        <f aca="false">Report!E502</f>
        <v>SOUZA CRUZ LTDA.</v>
      </c>
      <c r="C371" s="16" t="n">
        <f aca="false">Report!U502</f>
        <v>3138.67</v>
      </c>
      <c r="D371" s="1" t="str">
        <f aca="false">Report!X502</f>
        <v>NF 563269 ELLEN</v>
      </c>
    </row>
    <row r="372" customFormat="false" ht="12.75" hidden="false" customHeight="true" outlineLevel="0" collapsed="false">
      <c r="A372" s="15" t="n">
        <f aca="false">Report!C503</f>
        <v>46199</v>
      </c>
      <c r="B372" s="1" t="str">
        <f aca="false">Report!E503</f>
        <v>SUPER CANCUN COMERCIO DE PRODUTOS ALIMEN</v>
      </c>
      <c r="C372" s="16" t="n">
        <f aca="false">Report!U503</f>
        <v>482.36</v>
      </c>
      <c r="D372" s="1" t="str">
        <f aca="false">Report!X503</f>
        <v>NF 260896 ELLEN</v>
      </c>
    </row>
    <row r="373" customFormat="false" ht="12.75" hidden="false" customHeight="true" outlineLevel="0" collapsed="false">
      <c r="A373" s="15" t="n">
        <f aca="false">Report!C504</f>
        <v>46199</v>
      </c>
      <c r="B373" s="1" t="str">
        <f aca="false">Report!E504</f>
        <v>BROTHERS  INDUSTRIA DE ALIMENTOS LTDA</v>
      </c>
      <c r="C373" s="16" t="n">
        <f aca="false">Report!U504</f>
        <v>370.84</v>
      </c>
      <c r="D373" s="1" t="str">
        <f aca="false">Report!X504</f>
        <v>NF 1027913 ELLEN</v>
      </c>
    </row>
    <row r="374" customFormat="false" ht="12.75" hidden="false" customHeight="true" outlineLevel="0" collapsed="false">
      <c r="A374" s="15" t="n">
        <f aca="false">Report!C505</f>
        <v>46199</v>
      </c>
      <c r="B374" s="1" t="str">
        <f aca="false">Report!E505</f>
        <v>H. L. DO NASCIMENTO</v>
      </c>
      <c r="C374" s="16" t="n">
        <f aca="false">Report!U505</f>
        <v>306</v>
      </c>
      <c r="D374" s="1" t="str">
        <f aca="false">Report!X505</f>
        <v>NF 5679 ELLEN</v>
      </c>
    </row>
    <row r="375" customFormat="false" ht="12.75" hidden="false" customHeight="true" outlineLevel="0" collapsed="false">
      <c r="A375" s="15" t="n">
        <f aca="false">Report!C506</f>
        <v>46199</v>
      </c>
      <c r="B375" s="1" t="str">
        <f aca="false">Report!E506</f>
        <v>DISTRIBUIDORA LOPES LTDA</v>
      </c>
      <c r="C375" s="16" t="n">
        <f aca="false">Report!U506</f>
        <v>334.45</v>
      </c>
      <c r="D375" s="1" t="str">
        <f aca="false">Report!X506</f>
        <v>NF 1676964 ELLEN</v>
      </c>
    </row>
    <row r="376" customFormat="false" ht="12.75" hidden="false" customHeight="true" outlineLevel="0" collapsed="false">
      <c r="A376" s="15" t="n">
        <f aca="false">Report!C507</f>
        <v>46199</v>
      </c>
      <c r="B376" s="1" t="str">
        <f aca="false">Report!E507</f>
        <v>JAB COMERCIO DE PRODUTOS ALIMENTICIOS LT</v>
      </c>
      <c r="C376" s="16" t="n">
        <f aca="false">Report!U507</f>
        <v>110</v>
      </c>
      <c r="D376" s="1" t="str">
        <f aca="false">Report!X507</f>
        <v>NF 3407 ELLEN</v>
      </c>
    </row>
    <row r="377" customFormat="false" ht="12.75" hidden="false" customHeight="true" outlineLevel="0" collapsed="false">
      <c r="A377" s="15" t="n">
        <f aca="false">Report!C508</f>
        <v>46199</v>
      </c>
      <c r="B377" s="1" t="str">
        <f aca="false">Report!E508</f>
        <v>BRAGA TABACARIA EIRELI ME</v>
      </c>
      <c r="C377" s="16" t="n">
        <f aca="false">Report!U508</f>
        <v>1433.64</v>
      </c>
      <c r="D377" s="1" t="str">
        <f aca="false">Report!X508</f>
        <v>NF 18762 ELLEN</v>
      </c>
    </row>
    <row r="378" customFormat="false" ht="12.75" hidden="false" customHeight="true" outlineLevel="0" collapsed="false">
      <c r="A378" s="15" t="n">
        <f aca="false">Report!C512</f>
        <v>46199</v>
      </c>
      <c r="B378" s="1" t="str">
        <f aca="false">Report!E512</f>
        <v>NEYLIANE S DE OLIVEIRA &amp; CIA LTDA</v>
      </c>
      <c r="C378" s="16" t="n">
        <f aca="false">Report!U512</f>
        <v>210</v>
      </c>
      <c r="D378" s="1" t="str">
        <f aca="false">Report!X512</f>
        <v>COMPRAS - 15L AÇAI - PG NO P 26/6 - ELLEN</v>
      </c>
    </row>
    <row r="379" customFormat="false" ht="12.75" hidden="false" customHeight="true" outlineLevel="0" collapsed="false">
      <c r="A379" s="15" t="n">
        <f aca="false">Report!C513</f>
        <v>46199</v>
      </c>
      <c r="B379" s="1" t="str">
        <f aca="false">Report!E513</f>
        <v>NEYLIANE S DE OLIVEIRA &amp; CIA LTDA</v>
      </c>
      <c r="C379" s="16" t="n">
        <f aca="false">Report!U513</f>
        <v>1401.82</v>
      </c>
      <c r="D379" s="1" t="str">
        <f aca="false">Report!X513</f>
        <v>FEIRA SR RENATO - PG POTE MO2 - ELLEN</v>
      </c>
    </row>
    <row r="380" customFormat="false" ht="12.75" hidden="false" customHeight="true" outlineLevel="0" collapsed="false">
      <c r="A380" s="15" t="n">
        <f aca="false">Report!C514</f>
        <v>46199</v>
      </c>
      <c r="B380" s="1" t="str">
        <f aca="false">Report!E514</f>
        <v>FEIRA</v>
      </c>
      <c r="C380" s="16" t="n">
        <f aca="false">Report!U514</f>
        <v>4252</v>
      </c>
      <c r="D380" s="1" t="str">
        <f aca="false">Report!X514</f>
        <v>PG FEIRA LOJAS RENATO </v>
      </c>
    </row>
    <row r="381" customFormat="false" ht="12.75" hidden="false" customHeight="true" outlineLevel="0" collapsed="false">
      <c r="A381" s="15" t="n">
        <f aca="false">Report!C515</f>
        <v>46199</v>
      </c>
      <c r="B381" s="1" t="str">
        <f aca="false">Report!E515</f>
        <v>ITAU SA</v>
      </c>
      <c r="C381" s="16" t="n">
        <f aca="false">Report!U515</f>
        <v>1603.6</v>
      </c>
      <c r="D381" s="1" t="str">
        <f aca="false">Report!X515</f>
        <v>JUROS 6083.43968-4 - DEBORA</v>
      </c>
    </row>
    <row r="382" customFormat="false" ht="12.75" hidden="false" customHeight="true" outlineLevel="0" collapsed="false">
      <c r="A382" s="15" t="n">
        <f aca="false">Report!C516</f>
        <v>46200</v>
      </c>
      <c r="B382" s="1" t="str">
        <f aca="false">Report!E516</f>
        <v>SEM FORNECEDOR</v>
      </c>
      <c r="C382" s="16" t="n">
        <f aca="false">Report!U516</f>
        <v>50</v>
      </c>
      <c r="D382" s="1" t="str">
        <f aca="false">Report!X516</f>
        <v>diaria elilton</v>
      </c>
    </row>
    <row r="383" customFormat="false" ht="12.75" hidden="false" customHeight="true" outlineLevel="0" collapsed="false">
      <c r="A383" s="15" t="n">
        <f aca="false">Report!C517</f>
        <v>46200</v>
      </c>
      <c r="B383" s="1" t="str">
        <f aca="false">Report!E517</f>
        <v>SEM FORNECEDOR</v>
      </c>
      <c r="C383" s="16" t="n">
        <f aca="false">Report!U517</f>
        <v>2600</v>
      </c>
      <c r="D383" s="1" t="str">
        <f aca="false">Report!X517</f>
        <v>Depósito ref. 27/06/2026</v>
      </c>
    </row>
    <row r="384" customFormat="false" ht="12.75" hidden="false" customHeight="true" outlineLevel="0" collapsed="false">
      <c r="A384" s="15" t="n">
        <f aca="false">Report!C518</f>
        <v>46200</v>
      </c>
      <c r="B384" s="1" t="str">
        <f aca="false">Report!E518</f>
        <v>MARE DISTRIBUIDORA DE BEBIDAS E DE PRODUTOS ALIMENTICIOS LTDA</v>
      </c>
      <c r="C384" s="16" t="n">
        <f aca="false">Report!U518</f>
        <v>1837.1</v>
      </c>
      <c r="D384" s="1" t="str">
        <f aca="false">Report!X518</f>
        <v>NF 1366479 ELLEN</v>
      </c>
    </row>
    <row r="385" customFormat="false" ht="12.75" hidden="false" customHeight="true" outlineLevel="0" collapsed="false">
      <c r="A385" s="15" t="n">
        <f aca="false">Report!C519</f>
        <v>46200</v>
      </c>
      <c r="B385" s="1" t="str">
        <f aca="false">Report!E519</f>
        <v>BRAGA TABACARIA EIRELI ME</v>
      </c>
      <c r="C385" s="16" t="n">
        <f aca="false">Report!U519</f>
        <v>837.48</v>
      </c>
      <c r="D385" s="1" t="str">
        <f aca="false">Report!X519</f>
        <v>NF 18534 ELLEN</v>
      </c>
    </row>
    <row r="386" customFormat="false" ht="12.75" hidden="false" customHeight="true" outlineLevel="0" collapsed="false">
      <c r="A386" s="15" t="n">
        <f aca="false">Report!C520</f>
        <v>46200</v>
      </c>
      <c r="B386" s="1" t="str">
        <f aca="false">Report!E520</f>
        <v>BRASIL NORTE BEBIDAS S/A</v>
      </c>
      <c r="C386" s="16" t="n">
        <f aca="false">Report!U520</f>
        <v>16.61</v>
      </c>
      <c r="D386" s="1" t="str">
        <f aca="false">Report!X520</f>
        <v>NF 1877756 ELLEN</v>
      </c>
    </row>
    <row r="387" customFormat="false" ht="12.75" hidden="false" customHeight="true" outlineLevel="0" collapsed="false">
      <c r="A387" s="15" t="n">
        <f aca="false">Report!C521</f>
        <v>46200</v>
      </c>
      <c r="B387" s="1" t="str">
        <f aca="false">Report!E521</f>
        <v>BRASIL NORTE BEBIDAS S/A</v>
      </c>
      <c r="C387" s="16" t="n">
        <f aca="false">Report!U521</f>
        <v>192.43</v>
      </c>
      <c r="D387" s="1" t="str">
        <f aca="false">Report!X521</f>
        <v>NF 1159468 ELLEN</v>
      </c>
    </row>
    <row r="388" customFormat="false" ht="12.75" hidden="false" customHeight="true" outlineLevel="0" collapsed="false">
      <c r="A388" s="15" t="n">
        <f aca="false">Report!C522</f>
        <v>46200</v>
      </c>
      <c r="B388" s="1" t="str">
        <f aca="false">Report!E522</f>
        <v>BRASIL NORTE BEBIDAS S/A</v>
      </c>
      <c r="C388" s="16" t="n">
        <f aca="false">Report!U522</f>
        <v>544.32</v>
      </c>
      <c r="D388" s="1" t="str">
        <f aca="false">Report!X522</f>
        <v>NF 1159469 ELLEN</v>
      </c>
    </row>
    <row r="389" customFormat="false" ht="12.75" hidden="false" customHeight="true" outlineLevel="0" collapsed="false">
      <c r="A389" s="15" t="n">
        <f aca="false">Report!C523</f>
        <v>46200</v>
      </c>
      <c r="B389" s="1" t="str">
        <f aca="false">Report!E523</f>
        <v>BRASIL NORTE BEBIDAS S/A</v>
      </c>
      <c r="C389" s="16" t="n">
        <f aca="false">Report!U523</f>
        <v>1081.08</v>
      </c>
      <c r="D389" s="1" t="str">
        <f aca="false">Report!X523</f>
        <v>NF 1877757 ELLEN</v>
      </c>
    </row>
    <row r="390" customFormat="false" ht="12.75" hidden="false" customHeight="true" outlineLevel="0" collapsed="false">
      <c r="A390" s="15" t="n">
        <f aca="false">Report!C524</f>
        <v>46200</v>
      </c>
      <c r="B390" s="1" t="str">
        <f aca="false">Report!E524</f>
        <v>SILVA E SANTOS FRIGORIFICO LTDA</v>
      </c>
      <c r="C390" s="16" t="n">
        <f aca="false">Report!U524</f>
        <v>920</v>
      </c>
      <c r="D390" s="1" t="str">
        <f aca="false">Report!X524</f>
        <v>NF 31246 ELLEN</v>
      </c>
    </row>
    <row r="391" customFormat="false" ht="12.75" hidden="false" customHeight="true" outlineLevel="0" collapsed="false">
      <c r="A391" s="15" t="n">
        <f aca="false">Report!C525</f>
        <v>46200</v>
      </c>
      <c r="B391" s="1" t="str">
        <f aca="false">Report!E525</f>
        <v>ADRIANO FEITOSA OLIVEIRA LTDA</v>
      </c>
      <c r="C391" s="16" t="n">
        <f aca="false">Report!U525</f>
        <v>260</v>
      </c>
      <c r="D391" s="1" t="str">
        <f aca="false">Report!X525</f>
        <v>NF 313 ELLEN</v>
      </c>
    </row>
    <row r="392" customFormat="false" ht="12.75" hidden="false" customHeight="true" outlineLevel="0" collapsed="false">
      <c r="A392" s="15" t="n">
        <f aca="false">Report!C526</f>
        <v>46200</v>
      </c>
      <c r="B392" s="1" t="str">
        <f aca="false">Report!E526</f>
        <v>SILVA E SANTOS FRIGORIFICO LTDA</v>
      </c>
      <c r="C392" s="16" t="n">
        <f aca="false">Report!U526</f>
        <v>1538.7</v>
      </c>
      <c r="D392" s="1" t="str">
        <f aca="false">Report!X526</f>
        <v>NF 31247 ELLEN</v>
      </c>
    </row>
    <row r="393" customFormat="false" ht="12.75" hidden="false" customHeight="true" outlineLevel="0" collapsed="false">
      <c r="A393" s="15" t="n">
        <f aca="false">Report!C527</f>
        <v>46200</v>
      </c>
      <c r="B393" s="1" t="str">
        <f aca="false">Report!E527</f>
        <v>H L M PADARIA E CONFEITARIA LTDA</v>
      </c>
      <c r="C393" s="16" t="n">
        <f aca="false">Report!U527</f>
        <v>120</v>
      </c>
      <c r="D393" s="1" t="str">
        <f aca="false">Report!X527</f>
        <v>NF 15 COMPRAS-BOLO PG NO P 27/6 ELLEN</v>
      </c>
    </row>
    <row r="394" customFormat="false" ht="12.75" hidden="false" customHeight="true" outlineLevel="0" collapsed="false">
      <c r="A394" s="15" t="n">
        <f aca="false">Report!C528</f>
        <v>46201</v>
      </c>
      <c r="B394" s="1" t="str">
        <f aca="false">Report!E528</f>
        <v>SEM FORNECEDOR</v>
      </c>
      <c r="C394" s="16" t="n">
        <f aca="false">Report!U528</f>
        <v>74</v>
      </c>
      <c r="D394" s="1" t="str">
        <f aca="false">Report!X528</f>
        <v>almoço funcionários</v>
      </c>
    </row>
    <row r="395" customFormat="false" ht="12.75" hidden="false" customHeight="true" outlineLevel="0" collapsed="false">
      <c r="A395" s="15" t="n">
        <f aca="false">Report!C535</f>
        <v>46202</v>
      </c>
      <c r="B395" s="1" t="str">
        <f aca="false">Report!E535</f>
        <v>SEM FORNECEDOR</v>
      </c>
      <c r="C395" s="16" t="n">
        <f aca="false">Report!U535</f>
        <v>2200</v>
      </c>
      <c r="D395" s="1" t="str">
        <f aca="false">Report!X535</f>
        <v>Depósito ref. 29/06/2026</v>
      </c>
    </row>
    <row r="396" customFormat="false" ht="12.75" hidden="false" customHeight="true" outlineLevel="0" collapsed="false">
      <c r="A396" s="15" t="n">
        <f aca="false">Report!C536</f>
        <v>46202</v>
      </c>
      <c r="B396" s="1" t="str">
        <f aca="false">Report!E536</f>
        <v>L S M COMERCIO DE ALIMENTOS E NAVEGACAO</v>
      </c>
      <c r="C396" s="16" t="n">
        <f aca="false">Report!U536</f>
        <v>1909.5</v>
      </c>
      <c r="D396" s="1" t="str">
        <f aca="false">Report!X536</f>
        <v>NF 303660 ELLEN</v>
      </c>
    </row>
    <row r="397" customFormat="false" ht="12.75" hidden="false" customHeight="true" outlineLevel="0" collapsed="false">
      <c r="A397" s="15" t="n">
        <f aca="false">Report!C537</f>
        <v>46202</v>
      </c>
      <c r="B397" s="1" t="str">
        <f aca="false">Report!E537</f>
        <v>SOUZA CRUZ LTDA.</v>
      </c>
      <c r="C397" s="16" t="n">
        <f aca="false">Report!U537</f>
        <v>5403.15</v>
      </c>
      <c r="D397" s="1" t="str">
        <f aca="false">Report!X537</f>
        <v>NF 562635 ELLEN</v>
      </c>
    </row>
    <row r="398" customFormat="false" ht="12.75" hidden="false" customHeight="true" outlineLevel="0" collapsed="false">
      <c r="A398" s="15" t="n">
        <f aca="false">Report!C538</f>
        <v>46202</v>
      </c>
      <c r="B398" s="1" t="str">
        <f aca="false">Report!E538</f>
        <v>NSB COMERCIO ATACADISTA E VAREJISTA DE P</v>
      </c>
      <c r="C398" s="16" t="n">
        <f aca="false">Report!U538</f>
        <v>383.24</v>
      </c>
      <c r="D398" s="1" t="str">
        <f aca="false">Report!X538</f>
        <v>NF 7725 ELLEN</v>
      </c>
    </row>
    <row r="399" customFormat="false" ht="12.75" hidden="false" customHeight="true" outlineLevel="0" collapsed="false">
      <c r="A399" s="15" t="n">
        <f aca="false">Report!C539</f>
        <v>46202</v>
      </c>
      <c r="B399" s="1" t="str">
        <f aca="false">Report!E539</f>
        <v>ADRIANA DISTRIBUIDORA DE PRODUTOS ALIMEN</v>
      </c>
      <c r="C399" s="16" t="n">
        <f aca="false">Report!U539</f>
        <v>791.32</v>
      </c>
      <c r="D399" s="1" t="str">
        <f aca="false">Report!X539</f>
        <v>NF 878392 ELLEN</v>
      </c>
    </row>
    <row r="400" customFormat="false" ht="12.75" hidden="false" customHeight="true" outlineLevel="0" collapsed="false">
      <c r="A400" s="15" t="n">
        <f aca="false">Report!C540</f>
        <v>46202</v>
      </c>
      <c r="B400" s="1" t="str">
        <f aca="false">Report!E540</f>
        <v>NESTLÉ BRASIL LTDA.</v>
      </c>
      <c r="C400" s="16" t="n">
        <f aca="false">Report!U540</f>
        <v>1537.8</v>
      </c>
      <c r="D400" s="1" t="str">
        <f aca="false">Report!X540</f>
        <v>NF 1416973 ELLEN</v>
      </c>
    </row>
    <row r="401" customFormat="false" ht="12.75" hidden="false" customHeight="true" outlineLevel="0" collapsed="false">
      <c r="A401" s="15" t="n">
        <f aca="false">Report!C541</f>
        <v>46202</v>
      </c>
      <c r="B401" s="1" t="str">
        <f aca="false">Report!E541</f>
        <v>DUNORTE DISTRIBUIDORA DE PRODUTOS DE CONSUMO LTDA</v>
      </c>
      <c r="C401" s="16" t="n">
        <f aca="false">Report!U541</f>
        <v>641.14</v>
      </c>
      <c r="D401" s="1" t="str">
        <f aca="false">Report!X541</f>
        <v>NF 3202460 ELLEN</v>
      </c>
    </row>
    <row r="402" customFormat="false" ht="12.75" hidden="false" customHeight="true" outlineLevel="0" collapsed="false">
      <c r="A402" s="15" t="n">
        <f aca="false">Report!C542</f>
        <v>46202</v>
      </c>
      <c r="B402" s="1" t="str">
        <f aca="false">Report!E542</f>
        <v>T. M. L. DA SILVA LTDA</v>
      </c>
      <c r="C402" s="16" t="n">
        <f aca="false">Report!U542</f>
        <v>298.83</v>
      </c>
      <c r="D402" s="1" t="str">
        <f aca="false">Report!X542</f>
        <v>NF 15043 ELLEN</v>
      </c>
    </row>
    <row r="403" customFormat="false" ht="12.75" hidden="false" customHeight="true" outlineLevel="0" collapsed="false">
      <c r="A403" s="15" t="n">
        <f aca="false">Report!C544</f>
        <v>46202</v>
      </c>
      <c r="B403" s="1" t="str">
        <f aca="false">Report!E544</f>
        <v>SAO JOSE COMERCIO DE LATICINIOS E FRIOS</v>
      </c>
      <c r="C403" s="16" t="n">
        <f aca="false">Report!U544</f>
        <v>454.65</v>
      </c>
      <c r="D403" s="1" t="str">
        <f aca="false">Report!X544</f>
        <v>NF 3457 ELLEN</v>
      </c>
    </row>
    <row r="404" customFormat="false" ht="12.75" hidden="false" customHeight="true" outlineLevel="0" collapsed="false">
      <c r="A404" s="15" t="n">
        <f aca="false">Report!C545</f>
        <v>46202</v>
      </c>
      <c r="B404" s="1" t="str">
        <f aca="false">Report!E545</f>
        <v>CRBS S/A</v>
      </c>
      <c r="C404" s="16" t="n">
        <f aca="false">Report!U545</f>
        <v>1062.39</v>
      </c>
      <c r="D404" s="1" t="str">
        <f aca="false">Report!X545</f>
        <v>NF 869753 ELLEN</v>
      </c>
    </row>
    <row r="405" customFormat="false" ht="12.75" hidden="false" customHeight="true" outlineLevel="0" collapsed="false">
      <c r="A405" s="15" t="n">
        <f aca="false">Report!C546</f>
        <v>46202</v>
      </c>
      <c r="B405" s="1" t="str">
        <f aca="false">Report!E546</f>
        <v>CRBS S/A</v>
      </c>
      <c r="C405" s="16" t="n">
        <f aca="false">Report!U546</f>
        <v>1.55</v>
      </c>
      <c r="D405" s="1" t="str">
        <f aca="false">Report!X546</f>
        <v>NF 869753 REF TARIFA AMBEV - ELLEN</v>
      </c>
    </row>
    <row r="406" customFormat="false" ht="12.75" hidden="false" customHeight="true" outlineLevel="0" collapsed="false">
      <c r="A406" s="15" t="n">
        <f aca="false">Report!C547</f>
        <v>46202</v>
      </c>
      <c r="B406" s="1" t="str">
        <f aca="false">Report!E547</f>
        <v>NOVA FRIOS COMERCIO ATACADISTA DE LATICINIOS LTDA</v>
      </c>
      <c r="C406" s="16" t="n">
        <f aca="false">Report!U547</f>
        <v>162.56</v>
      </c>
      <c r="D406" s="1" t="str">
        <f aca="false">Report!X547</f>
        <v>NF 3858 ELLEN</v>
      </c>
    </row>
    <row r="407" customFormat="false" ht="12.75" hidden="false" customHeight="true" outlineLevel="0" collapsed="false">
      <c r="A407" s="15" t="n">
        <f aca="false">Report!C548</f>
        <v>46202</v>
      </c>
      <c r="B407" s="1" t="str">
        <f aca="false">Report!E548</f>
        <v>PANIFICADORA E CONFEITARIA REAL MADRI LTDA</v>
      </c>
      <c r="C407" s="16" t="n">
        <f aca="false">Report!U548</f>
        <v>307.2</v>
      </c>
      <c r="D407" s="1" t="str">
        <f aca="false">Report!X548</f>
        <v>NF 679 ELLEN</v>
      </c>
    </row>
    <row r="408" customFormat="false" ht="12.75" hidden="false" customHeight="true" outlineLevel="0" collapsed="false">
      <c r="A408" s="15" t="n">
        <f aca="false">Report!C549</f>
        <v>46202</v>
      </c>
      <c r="B408" s="1" t="str">
        <f aca="false">Report!E549</f>
        <v>J W N DOS SANTOS</v>
      </c>
      <c r="C408" s="16" t="n">
        <f aca="false">Report!U549</f>
        <v>212</v>
      </c>
      <c r="D408" s="1" t="str">
        <f aca="false">Report!X549</f>
        <v>NF 305 ELLEN</v>
      </c>
    </row>
    <row r="409" customFormat="false" ht="12.75" hidden="false" customHeight="true" outlineLevel="0" collapsed="false">
      <c r="A409" s="15" t="n">
        <f aca="false">Report!C550</f>
        <v>46202</v>
      </c>
      <c r="B409" s="1" t="str">
        <f aca="false">Report!E550</f>
        <v>NEYLIANE S DE OLIVEIRA &amp; CIA LTDA</v>
      </c>
      <c r="C409" s="16" t="n">
        <f aca="false">Report!U550</f>
        <v>210</v>
      </c>
      <c r="D409" s="1" t="str">
        <f aca="false">Report!X550</f>
        <v>COMPRAS - 15L DE AÇAI - PG NO P 29/6/26 ELLEN</v>
      </c>
    </row>
    <row r="410" customFormat="false" ht="12.75" hidden="false" customHeight="true" outlineLevel="0" collapsed="false">
      <c r="A410" s="15" t="n">
        <f aca="false">Report!C551</f>
        <v>46202</v>
      </c>
      <c r="B410" s="1" t="str">
        <f aca="false">Report!E551</f>
        <v>RUAN FERNANDES</v>
      </c>
      <c r="C410" s="16" t="n">
        <f aca="false">Report!U551</f>
        <v>1140</v>
      </c>
      <c r="D410" s="1" t="str">
        <f aca="false">Report!X551</f>
        <v>2 MEMORIAS 1 SSD SERVIDOR MO2 - KEILA</v>
      </c>
    </row>
    <row r="411" customFormat="false" ht="12.75" hidden="false" customHeight="true" outlineLevel="0" collapsed="false">
      <c r="A411" s="15" t="n">
        <f aca="false">Report!C552</f>
        <v>46202</v>
      </c>
      <c r="B411" s="1" t="str">
        <f aca="false">Report!E552</f>
        <v>ITAU SA</v>
      </c>
      <c r="C411" s="16" t="n">
        <f aca="false">Report!U552</f>
        <v>165</v>
      </c>
      <c r="D411" s="1" t="str">
        <f aca="false">Report!X552</f>
        <v>TAR CONTR/RENOV CTA GAR MO2 - KEILA</v>
      </c>
    </row>
    <row r="412" customFormat="false" ht="12.75" hidden="false" customHeight="true" outlineLevel="0" collapsed="false">
      <c r="A412" s="15" t="n">
        <f aca="false">Report!C553</f>
        <v>46203</v>
      </c>
      <c r="B412" s="1" t="str">
        <f aca="false">Report!E553</f>
        <v>SEM FORNECEDOR</v>
      </c>
      <c r="C412" s="16" t="n">
        <f aca="false">Report!U553</f>
        <v>72</v>
      </c>
      <c r="D412" s="1" t="str">
        <f aca="false">Report!X553</f>
        <v>4 cxs de brigadeiro/jose castro</v>
      </c>
    </row>
    <row r="413" customFormat="false" ht="12.75" hidden="false" customHeight="true" outlineLevel="0" collapsed="false">
      <c r="A413" s="15" t="n">
        <f aca="false">Report!C556</f>
        <v>46203</v>
      </c>
      <c r="B413" s="1" t="str">
        <f aca="false">Report!E556</f>
        <v>SEM FORNECEDOR</v>
      </c>
      <c r="C413" s="16" t="n">
        <f aca="false">Report!U556</f>
        <v>70</v>
      </c>
      <c r="D413" s="1" t="str">
        <f aca="false">Report!X556</f>
        <v>extra idelma</v>
      </c>
    </row>
    <row r="414" customFormat="false" ht="12.75" hidden="false" customHeight="true" outlineLevel="0" collapsed="false">
      <c r="A414" s="15" t="n">
        <f aca="false">Report!C557</f>
        <v>46203</v>
      </c>
      <c r="B414" s="1" t="str">
        <f aca="false">Report!E557</f>
        <v>SEM FORNECEDOR</v>
      </c>
      <c r="C414" s="16" t="n">
        <f aca="false">Report!U557</f>
        <v>70</v>
      </c>
      <c r="D414" s="1" t="str">
        <f aca="false">Report!X557</f>
        <v>extra davi</v>
      </c>
    </row>
    <row r="415" customFormat="false" ht="12.75" hidden="false" customHeight="true" outlineLevel="0" collapsed="false">
      <c r="A415" s="15" t="n">
        <f aca="false">Report!C580</f>
        <v>46203</v>
      </c>
      <c r="B415" s="1" t="str">
        <f aca="false">Report!E580</f>
        <v>EDSON AGUIAR DE SOUZA</v>
      </c>
      <c r="C415" s="16" t="n">
        <f aca="false">Report!U580</f>
        <v>130</v>
      </c>
      <c r="D415" s="1" t="str">
        <f aca="false">Report!X580</f>
        <v>COMPRAS - CHEIRO-VERDE - ELLEN</v>
      </c>
    </row>
    <row r="416" customFormat="false" ht="12.75" hidden="false" customHeight="true" outlineLevel="0" collapsed="false">
      <c r="A416" s="15" t="n">
        <f aca="false">Report!C581</f>
        <v>46203</v>
      </c>
      <c r="B416" s="1" t="str">
        <f aca="false">Report!E581</f>
        <v>NEYLIANE S DE OLIVEIRA &amp; CIA LTDA</v>
      </c>
      <c r="C416" s="16" t="n">
        <f aca="false">Report!U581</f>
        <v>1748.86</v>
      </c>
      <c r="D416" s="1" t="str">
        <f aca="false">Report!X581</f>
        <v>FEIRA SR RENATO- PG P LJ1 - ELLEN</v>
      </c>
    </row>
    <row r="417" customFormat="false" ht="12.75" hidden="false" customHeight="true" outlineLevel="0" collapsed="false">
      <c r="A417" s="15" t="n">
        <f aca="false">Report!C582</f>
        <v>46203</v>
      </c>
      <c r="B417" s="1" t="str">
        <f aca="false">Report!E582</f>
        <v>FEIRA</v>
      </c>
      <c r="C417" s="16" t="n">
        <f aca="false">Report!U582</f>
        <v>390</v>
      </c>
      <c r="D417" s="1" t="str">
        <f aca="false">Report!X582</f>
        <v>FEIRA SR RENATO-PG P LJ1-ALHO/MACA-SOMAR C NF2517-ELLEN</v>
      </c>
    </row>
    <row r="418" customFormat="false" ht="12.75" hidden="false" customHeight="true" outlineLevel="0" collapsed="false">
      <c r="A418" s="15" t="n">
        <f aca="false">Report!C583</f>
        <v>46203</v>
      </c>
      <c r="B418" s="1" t="str">
        <f aca="false">Report!E583</f>
        <v>FRANCISCO HELIO SERAFIM DE AZEVEDO</v>
      </c>
      <c r="C418" s="16" t="n">
        <f aca="false">Report!U583</f>
        <v>600</v>
      </c>
      <c r="D418" s="1" t="str">
        <f aca="false">Report!X583</f>
        <v>ADIANTAMENTO SAL 06/26 MO2</v>
      </c>
    </row>
    <row r="419" customFormat="false" ht="12.75" hidden="false" customHeight="true" outlineLevel="0" collapsed="false">
      <c r="A419" s="15" t="n">
        <f aca="false">Report!C584</f>
        <v>46203</v>
      </c>
      <c r="B419" s="1" t="str">
        <f aca="false">Report!E584</f>
        <v>ALMOCO </v>
      </c>
      <c r="C419" s="16" t="n">
        <f aca="false">Report!U584</f>
        <v>120</v>
      </c>
      <c r="D419" s="1" t="str">
        <f aca="false">Report!X584</f>
        <v>ALIMENTACAO ALMOÇO 6 MARMITAS  FUNCIONARIOS MO2-ANDREZA</v>
      </c>
    </row>
    <row r="420" customFormat="false" ht="12.75" hidden="false" customHeight="true" outlineLevel="0" collapsed="false">
      <c r="A420" s="15" t="n">
        <f aca="false">Report!C586</f>
        <v>46203</v>
      </c>
      <c r="B420" s="1" t="str">
        <f aca="false">Report!E586</f>
        <v>FOLHA DE PAGAMENTO </v>
      </c>
      <c r="C420" s="16" t="n">
        <f aca="false">Report!U586</f>
        <v>2790</v>
      </c>
      <c r="D420" s="1" t="str">
        <f aca="false">Report!X586</f>
        <v>DESPESAS DIARIAS E EXTRAS FUNCIONARIOS 06/26 MO2 - </v>
      </c>
    </row>
    <row r="421" customFormat="false" ht="12.75" hidden="false" customHeight="true" outlineLevel="0" collapsed="false">
      <c r="A421" s="15" t="n">
        <f aca="false">Report!C587</f>
        <v>46203</v>
      </c>
      <c r="B421" s="1" t="str">
        <f aca="false">Report!E587</f>
        <v>DESPESA OPER LOJA</v>
      </c>
      <c r="C421" s="16" t="n">
        <f aca="false">Report!U587</f>
        <v>549.5</v>
      </c>
      <c r="D421" s="1" t="str">
        <f aca="false">Report!X587</f>
        <v>DESPESA LOJA OPERACIONAL 06/26 - KEILA</v>
      </c>
    </row>
    <row r="422" customFormat="false" ht="12.75" hidden="false" customHeight="true" outlineLevel="0" collapsed="false">
      <c r="A422" s="15" t="n">
        <f aca="false">Report!C589</f>
        <v>46203</v>
      </c>
      <c r="B422" s="1" t="str">
        <f aca="false">Report!E589</f>
        <v>COMPRAS NA PORTA AVULSO</v>
      </c>
      <c r="C422" s="16" t="n">
        <f aca="false">Report!U589</f>
        <v>961</v>
      </c>
      <c r="D422" s="1" t="str">
        <f aca="false">Report!X589</f>
        <v>COMPRAS NA PORTA S/N 06/26 -KEILA</v>
      </c>
    </row>
    <row r="423" customFormat="false" ht="12.75" hidden="false" customHeight="true" outlineLevel="0" collapsed="false">
      <c r="A423" s="15" t="n">
        <f aca="false">Report!C590</f>
        <v>46204</v>
      </c>
      <c r="B423" s="1" t="str">
        <f aca="false">Report!E590</f>
        <v>SEM FORNECEDOR</v>
      </c>
      <c r="C423" s="16" t="n">
        <f aca="false">Report!U590</f>
        <v>60</v>
      </c>
      <c r="D423" s="1" t="str">
        <f aca="false">Report!X590</f>
        <v>pipoca gourmet/pop gio</v>
      </c>
    </row>
    <row r="424" customFormat="false" ht="12.75" hidden="false" customHeight="true" outlineLevel="0" collapsed="false">
      <c r="A424" s="15" t="n">
        <f aca="false">Report!C591</f>
        <v>46204</v>
      </c>
      <c r="B424" s="1" t="str">
        <f aca="false">Report!E591</f>
        <v>SEM FORNECEDOR</v>
      </c>
      <c r="C424" s="16" t="n">
        <f aca="false">Report!U591</f>
        <v>70</v>
      </c>
      <c r="D424" s="1" t="str">
        <f aca="false">Report!X591</f>
        <v>extra helio</v>
      </c>
    </row>
    <row r="425" customFormat="false" ht="12.75" hidden="false" customHeight="true" outlineLevel="0" collapsed="false">
      <c r="A425" s="15" t="n">
        <f aca="false">Report!C592</f>
        <v>46204</v>
      </c>
      <c r="B425" s="1" t="str">
        <f aca="false">Report!E592</f>
        <v>SEM FORNECEDOR</v>
      </c>
      <c r="C425" s="16" t="n">
        <f aca="false">Report!U592</f>
        <v>210</v>
      </c>
      <c r="D425" s="1" t="str">
        <f aca="false">Report!X592</f>
        <v>Pag de título:  Forn: 48-NEYLIANE S DE OLIVEIRA &amp; CIA LTDA. Tit: 2520-01</v>
      </c>
    </row>
    <row r="426" customFormat="false" ht="12.75" hidden="false" customHeight="true" outlineLevel="0" collapsed="false">
      <c r="A426" s="15" t="n">
        <f aca="false">Report!C593</f>
        <v>46204</v>
      </c>
      <c r="B426" s="1" t="str">
        <f aca="false">Report!E593</f>
        <v>SEM FORNECEDOR</v>
      </c>
      <c r="C426" s="16" t="n">
        <f aca="false">Report!U593</f>
        <v>3050</v>
      </c>
      <c r="D426" s="1" t="str">
        <f aca="false">Report!X593</f>
        <v>Depósito ref. 01/07/2026</v>
      </c>
    </row>
    <row r="427" customFormat="false" ht="12.75" hidden="false" customHeight="true" outlineLevel="0" collapsed="false">
      <c r="A427" s="15" t="n">
        <f aca="false">Report!C595</f>
        <v>46204</v>
      </c>
      <c r="B427" s="1" t="str">
        <f aca="false">Report!E595</f>
        <v>A C DUARTE DE CASTRO EPP.</v>
      </c>
      <c r="C427" s="16" t="n">
        <f aca="false">Report!U595</f>
        <v>666.65</v>
      </c>
      <c r="D427" s="1" t="str">
        <f aca="false">Report!X595</f>
        <v>NF 6278 - DEBORA</v>
      </c>
    </row>
    <row r="428" customFormat="false" ht="12.75" hidden="false" customHeight="true" outlineLevel="0" collapsed="false">
      <c r="A428" s="15" t="n">
        <f aca="false">Report!C596</f>
        <v>46204</v>
      </c>
      <c r="B428" s="1" t="str">
        <f aca="false">Report!E596</f>
        <v>M M DE S TATIKAWA LTDA</v>
      </c>
      <c r="C428" s="16" t="n">
        <f aca="false">Report!U596</f>
        <v>165</v>
      </c>
      <c r="D428" s="1" t="str">
        <f aca="false">Report!X596</f>
        <v>NF 7267 - DEBORA</v>
      </c>
    </row>
    <row r="429" customFormat="false" ht="12.75" hidden="false" customHeight="true" outlineLevel="0" collapsed="false">
      <c r="A429" s="15" t="n">
        <f aca="false">Report!C597</f>
        <v>46204</v>
      </c>
      <c r="B429" s="1" t="str">
        <f aca="false">Report!E597</f>
        <v>METALURGICA MARLIN INDUSTRIA E COMERCIO DE FERRO E ACO LTDA</v>
      </c>
      <c r="C429" s="16" t="n">
        <f aca="false">Report!U597</f>
        <v>1630</v>
      </c>
      <c r="D429" s="1" t="str">
        <f aca="false">Report!X597</f>
        <v>NF 439164 DESPESAS-CT DIA 1 - PARC 4/4 - ELLEN</v>
      </c>
    </row>
    <row r="430" customFormat="false" ht="12.75" hidden="false" customHeight="true" outlineLevel="0" collapsed="false">
      <c r="A430" s="15" t="n">
        <f aca="false">Report!C599</f>
        <v>46204</v>
      </c>
      <c r="B430" s="1" t="str">
        <f aca="false">Report!E599</f>
        <v>FALCAO INDUSTRIA DE ALIMENTOS LTDA</v>
      </c>
      <c r="C430" s="16" t="n">
        <f aca="false">Report!U599</f>
        <v>922.07</v>
      </c>
      <c r="D430" s="1" t="str">
        <f aca="false">Report!X599</f>
        <v>NF 34450 ELLEN</v>
      </c>
    </row>
    <row r="431" customFormat="false" ht="12.75" hidden="false" customHeight="true" outlineLevel="0" collapsed="false">
      <c r="A431" s="15" t="n">
        <f aca="false">Report!C600</f>
        <v>46204</v>
      </c>
      <c r="B431" s="1" t="str">
        <f aca="false">Report!E600</f>
        <v>FALCAO INDUSTRIA DE ALIMENTOS LTDA</v>
      </c>
      <c r="C431" s="16" t="n">
        <f aca="false">Report!U600</f>
        <v>550.99</v>
      </c>
      <c r="D431" s="1" t="str">
        <f aca="false">Report!X600</f>
        <v>NF 30199 ELLEN</v>
      </c>
    </row>
    <row r="432" customFormat="false" ht="12.75" hidden="false" customHeight="true" outlineLevel="0" collapsed="false">
      <c r="A432" s="15" t="n">
        <f aca="false">Report!C605</f>
        <v>46204</v>
      </c>
      <c r="B432" s="1" t="str">
        <f aca="false">Report!E605</f>
        <v>TRES CORACOES ALIMENTOS S.A.</v>
      </c>
      <c r="C432" s="16" t="n">
        <f aca="false">Report!U605</f>
        <v>877.26</v>
      </c>
      <c r="D432" s="1" t="str">
        <f aca="false">Report!X605</f>
        <v>NF 346452 ELLEN</v>
      </c>
    </row>
    <row r="433" customFormat="false" ht="12.75" hidden="false" customHeight="true" outlineLevel="0" collapsed="false">
      <c r="A433" s="15" t="n">
        <f aca="false">Report!C606</f>
        <v>46204</v>
      </c>
      <c r="B433" s="1" t="str">
        <f aca="false">Report!E606</f>
        <v>AUGUSTA E BOMFIM LTDA</v>
      </c>
      <c r="C433" s="16" t="n">
        <f aca="false">Report!U606</f>
        <v>920</v>
      </c>
      <c r="D433" s="1" t="str">
        <f aca="false">Report!X606</f>
        <v>NF 184 DESPESAS - BOBINA/ETIQUETA - ELLEN</v>
      </c>
    </row>
    <row r="434" customFormat="false" ht="12.75" hidden="false" customHeight="true" outlineLevel="0" collapsed="false">
      <c r="A434" s="15" t="n">
        <f aca="false">Report!C607</f>
        <v>46204</v>
      </c>
      <c r="B434" s="1" t="str">
        <f aca="false">Report!E607</f>
        <v>AUTO POSTO FILIAL</v>
      </c>
      <c r="C434" s="16" t="n">
        <f aca="false">Report!U607</f>
        <v>200</v>
      </c>
      <c r="D434" s="1" t="str">
        <f aca="false">Report!X607</f>
        <v>GASOLINA S10 RENATO - KEILA</v>
      </c>
    </row>
    <row r="435" customFormat="false" ht="12.75" hidden="false" customHeight="true" outlineLevel="0" collapsed="false">
      <c r="A435" s="15" t="n">
        <f aca="false">Report!C608</f>
        <v>46204</v>
      </c>
      <c r="B435" s="1" t="str">
        <f aca="false">Report!E608</f>
        <v>PETROVAN DERIVADOS DE PETROLEO LTDA</v>
      </c>
      <c r="C435" s="16" t="n">
        <f aca="false">Report!U608</f>
        <v>527.8</v>
      </c>
      <c r="D435" s="1" t="str">
        <f aca="false">Report!X608</f>
        <v>GASOLINA MO2 S10 - KEILA</v>
      </c>
    </row>
    <row r="436" customFormat="false" ht="12.75" hidden="false" customHeight="true" outlineLevel="0" collapsed="false">
      <c r="A436" s="15" t="n">
        <f aca="false">Report!C609</f>
        <v>46204</v>
      </c>
      <c r="B436" s="1" t="str">
        <f aca="false">Report!E609</f>
        <v>BRF S A</v>
      </c>
      <c r="C436" s="16" t="n">
        <f aca="false">Report!U609</f>
        <v>671.16</v>
      </c>
      <c r="D436" s="1" t="str">
        <f aca="false">Report!X609</f>
        <v>NF 1598763 ELLEN</v>
      </c>
    </row>
    <row r="437" customFormat="false" ht="12.75" hidden="false" customHeight="true" outlineLevel="0" collapsed="false">
      <c r="A437" s="15" t="n">
        <f aca="false">Report!C610</f>
        <v>46204</v>
      </c>
      <c r="B437" s="1" t="str">
        <f aca="false">Report!E610</f>
        <v>CAMPOS E LIMA GESTAO EMPRESARIAL</v>
      </c>
      <c r="C437" s="16" t="n">
        <f aca="false">Report!U610</f>
        <v>404.78</v>
      </c>
      <c r="D437" s="1" t="str">
        <f aca="false">Report!X610</f>
        <v>MENS SISTE MO2 VAREJO</v>
      </c>
    </row>
    <row r="438" customFormat="false" ht="12.75" hidden="false" customHeight="true" outlineLevel="0" collapsed="false">
      <c r="A438" s="15" t="n">
        <f aca="false">Report!C611</f>
        <v>46204</v>
      </c>
      <c r="B438" s="1" t="str">
        <f aca="false">Report!E611</f>
        <v>LINU LOJAS DE VARIEDADES LTDA</v>
      </c>
      <c r="C438" s="16" t="n">
        <f aca="false">Report!U611</f>
        <v>2913</v>
      </c>
      <c r="D438" s="1" t="str">
        <f aca="false">Report!X611</f>
        <v>NF 596 CARTÃO DIA 1 - AV -ELLEN</v>
      </c>
    </row>
    <row r="439" customFormat="false" ht="12.75" hidden="false" customHeight="true" outlineLevel="0" collapsed="false">
      <c r="A439" s="15" t="n">
        <f aca="false">Report!C612</f>
        <v>46204</v>
      </c>
      <c r="B439" s="1" t="str">
        <f aca="false">Report!E612</f>
        <v>A. CORREA JUNIOR</v>
      </c>
      <c r="C439" s="16" t="n">
        <f aca="false">Report!U612</f>
        <v>1290.17</v>
      </c>
      <c r="D439" s="1" t="str">
        <f aca="false">Report!X612</f>
        <v>NF 1829 CARTÃO DIA 1 PARC 1/3 - ELLEN</v>
      </c>
    </row>
    <row r="440" customFormat="false" ht="12.75" hidden="false" customHeight="true" outlineLevel="0" collapsed="false">
      <c r="A440" s="15" t="n">
        <f aca="false">Report!C613</f>
        <v>46204</v>
      </c>
      <c r="B440" s="1" t="str">
        <f aca="false">Report!E613</f>
        <v>SHMILY COMERCIO DE ARTIGOS DO VESTUARIO</v>
      </c>
      <c r="C440" s="16" t="n">
        <f aca="false">Report!U613</f>
        <v>1377</v>
      </c>
      <c r="D440" s="1" t="str">
        <f aca="false">Report!X613</f>
        <v>NF 420 CARTÃO DIA - AV - ELLEN</v>
      </c>
    </row>
    <row r="441" customFormat="false" ht="12.75" hidden="false" customHeight="true" outlineLevel="0" collapsed="false">
      <c r="A441" s="15" t="n">
        <f aca="false">Report!C615</f>
        <v>46204</v>
      </c>
      <c r="B441" s="1" t="str">
        <f aca="false">Report!E615</f>
        <v>ILTON DA SILVA DOURADO 75418711253</v>
      </c>
      <c r="C441" s="16" t="n">
        <f aca="false">Report!U615</f>
        <v>1195</v>
      </c>
      <c r="D441" s="1" t="str">
        <f aca="false">Report!X615</f>
        <v>NF 2316 CARTÃO DIA 1 - AV - ELLEN</v>
      </c>
    </row>
    <row r="442" customFormat="false" ht="12.75" hidden="false" customHeight="true" outlineLevel="0" collapsed="false">
      <c r="A442" s="15" t="n">
        <f aca="false">Report!C616</f>
        <v>46204</v>
      </c>
      <c r="B442" s="1" t="str">
        <f aca="false">Report!E616</f>
        <v>LUIS HENRIQUE FROTA MAGALHAES</v>
      </c>
      <c r="C442" s="16" t="n">
        <f aca="false">Report!U616</f>
        <v>351.53</v>
      </c>
      <c r="D442" s="1" t="str">
        <f aca="false">Report!X616</f>
        <v>NF 1948 CARTÃO DIA 1 - PARC 1/2 - ELLEN</v>
      </c>
    </row>
    <row r="443" customFormat="false" ht="12.75" hidden="false" customHeight="true" outlineLevel="0" collapsed="false">
      <c r="A443" s="15" t="n">
        <f aca="false">Report!C617</f>
        <v>46204</v>
      </c>
      <c r="B443" s="1" t="str">
        <f aca="false">Report!E617</f>
        <v>J G COMERCIO DE PRODUTOS ALIMENTICIOS LTDA</v>
      </c>
      <c r="C443" s="16" t="n">
        <f aca="false">Report!U617</f>
        <v>314.44</v>
      </c>
      <c r="D443" s="1" t="str">
        <f aca="false">Report!X617</f>
        <v>NF 388857 ELLEN</v>
      </c>
    </row>
    <row r="444" customFormat="false" ht="12.75" hidden="false" customHeight="true" outlineLevel="0" collapsed="false">
      <c r="A444" s="15" t="n">
        <f aca="false">Report!C618</f>
        <v>46204</v>
      </c>
      <c r="B444" s="1" t="str">
        <f aca="false">Report!E618</f>
        <v>PANIFICADORA E CONFEITARIA REAL MADRI LTDA</v>
      </c>
      <c r="C444" s="16" t="n">
        <f aca="false">Report!U618</f>
        <v>345.65</v>
      </c>
      <c r="D444" s="1" t="str">
        <f aca="false">Report!X618</f>
        <v>NF 685 ELLEN</v>
      </c>
    </row>
    <row r="445" customFormat="false" ht="12.75" hidden="false" customHeight="true" outlineLevel="0" collapsed="false">
      <c r="A445" s="15" t="n">
        <f aca="false">Report!C619</f>
        <v>46204</v>
      </c>
      <c r="B445" s="1" t="str">
        <f aca="false">Report!E619</f>
        <v>J W N DOS SANTOS</v>
      </c>
      <c r="C445" s="16" t="n">
        <f aca="false">Report!U619</f>
        <v>310</v>
      </c>
      <c r="D445" s="1" t="str">
        <f aca="false">Report!X619</f>
        <v>NF 325 ELLEN</v>
      </c>
    </row>
    <row r="446" customFormat="false" ht="12.75" hidden="false" customHeight="true" outlineLevel="0" collapsed="false">
      <c r="A446" s="15" t="n">
        <f aca="false">Report!C620</f>
        <v>46204</v>
      </c>
      <c r="B446" s="1" t="str">
        <f aca="false">Report!E620</f>
        <v>NEYLIANE S DE OLIVEIRA &amp; CIA LTDA</v>
      </c>
      <c r="C446" s="16" t="n">
        <f aca="false">Report!U620</f>
        <v>210</v>
      </c>
      <c r="D446" s="1" t="str">
        <f aca="false">Report!X620</f>
        <v>COMPRAS - 15L DE ACAI - PG NO P 1/7/26 ELLEN</v>
      </c>
    </row>
    <row r="447" customFormat="false" ht="12.75" hidden="false" customHeight="true" outlineLevel="0" collapsed="false">
      <c r="A447" s="15" t="n">
        <f aca="false">Report!C621</f>
        <v>46204</v>
      </c>
      <c r="B447" s="1" t="str">
        <f aca="false">Report!E621</f>
        <v>ELLEN SILVIA FERREIRA</v>
      </c>
      <c r="C447" s="16" t="n">
        <f aca="false">Report!U621</f>
        <v>270</v>
      </c>
      <c r="D447" s="1" t="str">
        <f aca="false">Report!X621</f>
        <v>VT JULHO</v>
      </c>
    </row>
    <row r="448" customFormat="false" ht="12.75" hidden="false" customHeight="true" outlineLevel="0" collapsed="false">
      <c r="A448" s="15" t="n">
        <f aca="false">Report!C622</f>
        <v>46204</v>
      </c>
      <c r="B448" s="1" t="str">
        <f aca="false">Report!E622</f>
        <v>SANDRO HELIO OLIVEIRA COSTA</v>
      </c>
      <c r="C448" s="16" t="n">
        <f aca="false">Report!U622</f>
        <v>270</v>
      </c>
      <c r="D448" s="1" t="str">
        <f aca="false">Report!X622</f>
        <v>VT JULHO</v>
      </c>
    </row>
    <row r="449" customFormat="false" ht="12.75" hidden="false" customHeight="true" outlineLevel="0" collapsed="false">
      <c r="A449" s="15" t="n">
        <f aca="false">Report!C623</f>
        <v>46204</v>
      </c>
      <c r="B449" s="1" t="str">
        <f aca="false">Report!E623</f>
        <v>THIAGO DA SILVA CRUZ</v>
      </c>
      <c r="C449" s="16" t="n">
        <f aca="false">Report!U623</f>
        <v>270</v>
      </c>
      <c r="D449" s="1" t="str">
        <f aca="false">Report!X623</f>
        <v>VT JULHO</v>
      </c>
    </row>
    <row r="450" customFormat="false" ht="12.75" hidden="false" customHeight="true" outlineLevel="0" collapsed="false">
      <c r="A450" s="15" t="n">
        <f aca="false">Report!C625</f>
        <v>46205</v>
      </c>
      <c r="B450" s="1" t="str">
        <f aca="false">Report!E625</f>
        <v>SEM FORNECEDOR</v>
      </c>
      <c r="C450" s="16" t="n">
        <f aca="false">Report!U625</f>
        <v>193</v>
      </c>
      <c r="D450" s="1" t="str">
        <f aca="false">Report!X625</f>
        <v>queijo coalho/valdirlan</v>
      </c>
    </row>
    <row r="451" customFormat="false" ht="12.75" hidden="false" customHeight="true" outlineLevel="0" collapsed="false">
      <c r="A451" s="15" t="n">
        <f aca="false">Report!C626</f>
        <v>46205</v>
      </c>
      <c r="B451" s="1" t="str">
        <f aca="false">Report!E626</f>
        <v>SEM FORNECEDOR</v>
      </c>
      <c r="C451" s="16" t="n">
        <f aca="false">Report!U626</f>
        <v>1850</v>
      </c>
      <c r="D451" s="1" t="str">
        <f aca="false">Report!X626</f>
        <v>Depósito ref. 02/07/2026</v>
      </c>
    </row>
    <row r="452" customFormat="false" ht="12.75" hidden="false" customHeight="true" outlineLevel="0" collapsed="false">
      <c r="A452" s="15" t="n">
        <f aca="false">Report!C627</f>
        <v>46205</v>
      </c>
      <c r="B452" s="1" t="str">
        <f aca="false">Report!E627</f>
        <v>CB COMERCIO E DISTRIBUIDORA DE ALIMENTOS</v>
      </c>
      <c r="C452" s="16" t="n">
        <f aca="false">Report!U627</f>
        <v>844.74</v>
      </c>
      <c r="D452" s="1" t="str">
        <f aca="false">Report!X627</f>
        <v>NF 843147 ELLEN</v>
      </c>
    </row>
    <row r="453" customFormat="false" ht="12.75" hidden="false" customHeight="true" outlineLevel="0" collapsed="false">
      <c r="A453" s="15" t="n">
        <f aca="false">Report!C628</f>
        <v>46205</v>
      </c>
      <c r="B453" s="1" t="str">
        <f aca="false">Report!E628</f>
        <v>DUNORTE DISTRIBUIDORA DE PRODUTOS DE CONSUMO LTDA</v>
      </c>
      <c r="C453" s="16" t="n">
        <f aca="false">Report!U628</f>
        <v>1105.95</v>
      </c>
      <c r="D453" s="1" t="str">
        <f aca="false">Report!X628</f>
        <v>NF 3201284 ELLEN</v>
      </c>
    </row>
    <row r="454" customFormat="false" ht="12.75" hidden="false" customHeight="true" outlineLevel="0" collapsed="false">
      <c r="A454" s="15" t="n">
        <f aca="false">Report!C629</f>
        <v>46205</v>
      </c>
      <c r="B454" s="1" t="str">
        <f aca="false">Report!E629</f>
        <v>DURAES DISTRIBUIDORA DE ESTIVAS LTDA</v>
      </c>
      <c r="C454" s="16" t="n">
        <f aca="false">Report!U629</f>
        <v>383.47</v>
      </c>
      <c r="D454" s="1" t="str">
        <f aca="false">Report!X629</f>
        <v>NF 645628 ELLEN</v>
      </c>
    </row>
    <row r="455" customFormat="false" ht="12.75" hidden="false" customHeight="true" outlineLevel="0" collapsed="false">
      <c r="A455" s="15" t="n">
        <f aca="false">Report!C631</f>
        <v>46205</v>
      </c>
      <c r="B455" s="1" t="str">
        <f aca="false">Report!E631</f>
        <v>NESTLÉ BRASIL LTDA.</v>
      </c>
      <c r="C455" s="16" t="n">
        <f aca="false">Report!U631</f>
        <v>1484.53</v>
      </c>
      <c r="D455" s="1" t="str">
        <f aca="false">Report!X631</f>
        <v>NF 1415529 ELLEN</v>
      </c>
    </row>
    <row r="456" customFormat="false" ht="12.75" hidden="false" customHeight="true" outlineLevel="0" collapsed="false">
      <c r="A456" s="15" t="n">
        <f aca="false">Report!C632</f>
        <v>46205</v>
      </c>
      <c r="B456" s="1" t="str">
        <f aca="false">Report!E632</f>
        <v>MARTINS COM SERV DISTR SA</v>
      </c>
      <c r="C456" s="16" t="n">
        <f aca="false">Report!U632</f>
        <v>613.33</v>
      </c>
      <c r="D456" s="1" t="str">
        <f aca="false">Report!X632</f>
        <v>NF 1771887 ELLEN</v>
      </c>
    </row>
    <row r="457" customFormat="false" ht="12.75" hidden="false" customHeight="true" outlineLevel="0" collapsed="false">
      <c r="A457" s="15" t="n">
        <f aca="false">Report!C633</f>
        <v>46205</v>
      </c>
      <c r="B457" s="1" t="str">
        <f aca="false">Report!E633</f>
        <v>RISADINHA LTDA</v>
      </c>
      <c r="C457" s="16" t="n">
        <f aca="false">Report!U633</f>
        <v>550.4</v>
      </c>
      <c r="D457" s="1" t="str">
        <f aca="false">Report!X633</f>
        <v>NF 658429 ELLEN</v>
      </c>
    </row>
    <row r="458" customFormat="false" ht="12.75" hidden="false" customHeight="true" outlineLevel="0" collapsed="false">
      <c r="A458" s="15" t="n">
        <f aca="false">Report!C634</f>
        <v>46205</v>
      </c>
      <c r="B458" s="1" t="str">
        <f aca="false">Report!E634</f>
        <v>BRASIL NORTE BEBIDAS S/A</v>
      </c>
      <c r="C458" s="16" t="n">
        <f aca="false">Report!U634</f>
        <v>1579.97</v>
      </c>
      <c r="D458" s="1" t="str">
        <f aca="false">Report!X634</f>
        <v>NF 1887053 ELLEN</v>
      </c>
    </row>
    <row r="459" customFormat="false" ht="12.75" hidden="false" customHeight="true" outlineLevel="0" collapsed="false">
      <c r="A459" s="15" t="n">
        <f aca="false">Report!C635</f>
        <v>46205</v>
      </c>
      <c r="B459" s="1" t="str">
        <f aca="false">Report!E635</f>
        <v>BRASIL NORTE BEBIDAS S/A</v>
      </c>
      <c r="C459" s="16" t="n">
        <f aca="false">Report!U635</f>
        <v>105.91</v>
      </c>
      <c r="D459" s="1" t="str">
        <f aca="false">Report!X635</f>
        <v>NF 1165748 ELLEN</v>
      </c>
    </row>
    <row r="460" customFormat="false" ht="12.75" hidden="false" customHeight="true" outlineLevel="0" collapsed="false">
      <c r="A460" s="15" t="n">
        <f aca="false">Report!C636</f>
        <v>46205</v>
      </c>
      <c r="B460" s="1" t="str">
        <f aca="false">Report!E636</f>
        <v>FH DISTRIBUIDORA DE ALIM. E BEBIDAS LTDA</v>
      </c>
      <c r="C460" s="16" t="n">
        <f aca="false">Report!U636</f>
        <v>496.2</v>
      </c>
      <c r="D460" s="1" t="str">
        <f aca="false">Report!X636</f>
        <v>NF 326863 ELLEN</v>
      </c>
    </row>
    <row r="461" customFormat="false" ht="12.75" hidden="false" customHeight="true" outlineLevel="0" collapsed="false">
      <c r="A461" s="15" t="n">
        <f aca="false">Report!C637</f>
        <v>46205</v>
      </c>
      <c r="B461" s="1" t="str">
        <f aca="false">Report!E637</f>
        <v>J G COMERCIO DE PRODUTOS ALIMENTICIOS LTDA</v>
      </c>
      <c r="C461" s="16" t="n">
        <f aca="false">Report!U637</f>
        <v>2664.53</v>
      </c>
      <c r="D461" s="1" t="str">
        <f aca="false">Report!X637</f>
        <v>NF 387833 ELLEN</v>
      </c>
    </row>
    <row r="462" customFormat="false" ht="12.75" hidden="false" customHeight="true" outlineLevel="0" collapsed="false">
      <c r="A462" s="15" t="n">
        <f aca="false">Report!C638</f>
        <v>46205</v>
      </c>
      <c r="B462" s="1" t="str">
        <f aca="false">Report!E638</f>
        <v>SL DISTRIBUIDORA COM. DE PROD. ALIMENTIC</v>
      </c>
      <c r="C462" s="16" t="n">
        <f aca="false">Report!U638</f>
        <v>552.38</v>
      </c>
      <c r="D462" s="1" t="str">
        <f aca="false">Report!X638</f>
        <v>NF 10423 ELLEN</v>
      </c>
    </row>
    <row r="463" customFormat="false" ht="12.75" hidden="false" customHeight="true" outlineLevel="0" collapsed="false">
      <c r="A463" s="15" t="n">
        <f aca="false">Report!C640</f>
        <v>46205</v>
      </c>
      <c r="B463" s="1" t="str">
        <f aca="false">Report!E640</f>
        <v>REAL BEBIDAS DA AMAZONIA LTDA</v>
      </c>
      <c r="C463" s="16" t="n">
        <f aca="false">Report!U640</f>
        <v>262</v>
      </c>
      <c r="D463" s="1" t="str">
        <f aca="false">Report!X640</f>
        <v>NF 590547 ELLEN</v>
      </c>
    </row>
    <row r="464" customFormat="false" ht="12.75" hidden="false" customHeight="true" outlineLevel="0" collapsed="false">
      <c r="A464" s="15" t="n">
        <f aca="false">Report!C641</f>
        <v>46205</v>
      </c>
      <c r="B464" s="1" t="str">
        <f aca="false">Report!E641</f>
        <v>LIMA E BARANDA COMERCIO DE PRODUTOS REGI</v>
      </c>
      <c r="C464" s="16" t="n">
        <f aca="false">Report!U641</f>
        <v>199</v>
      </c>
      <c r="D464" s="1" t="str">
        <f aca="false">Report!X641</f>
        <v>NF 31144 ELLEN</v>
      </c>
    </row>
    <row r="465" customFormat="false" ht="12.75" hidden="false" customHeight="true" outlineLevel="0" collapsed="false">
      <c r="A465" s="15" t="n">
        <f aca="false">Report!C642</f>
        <v>46205</v>
      </c>
      <c r="B465" s="1" t="str">
        <f aca="false">Report!E642</f>
        <v>ADICSO FABIAN GONZALEZ MONTILLA 70302186</v>
      </c>
      <c r="C465" s="16" t="n">
        <f aca="false">Report!U642</f>
        <v>180</v>
      </c>
      <c r="D465" s="1" t="str">
        <f aca="false">Report!X642</f>
        <v>NF 515 ELLEN</v>
      </c>
    </row>
    <row r="466" customFormat="false" ht="12.75" hidden="false" customHeight="true" outlineLevel="0" collapsed="false">
      <c r="A466" s="15" t="n">
        <f aca="false">Report!C643</f>
        <v>46205</v>
      </c>
      <c r="B466" s="1" t="str">
        <f aca="false">Report!E643</f>
        <v>ITAU SA</v>
      </c>
      <c r="C466" s="16" t="n">
        <f aca="false">Report!U643</f>
        <v>0.85</v>
      </c>
      <c r="D466" s="1" t="str">
        <f aca="false">Report!X643</f>
        <v>TAR PIXQR LIQ MAQUININHA  ITAU MO2-ANDREZA</v>
      </c>
    </row>
    <row r="467" customFormat="false" ht="12.75" hidden="false" customHeight="true" outlineLevel="0" collapsed="false">
      <c r="A467" s="15" t="n">
        <f aca="false">Report!C644</f>
        <v>46205</v>
      </c>
      <c r="B467" s="1" t="str">
        <f aca="false">Report!E644</f>
        <v>ITAU SA</v>
      </c>
      <c r="C467" s="16" t="n">
        <f aca="false">Report!U644</f>
        <v>135.43</v>
      </c>
      <c r="D467" s="1" t="str">
        <f aca="false">Report!X644</f>
        <v>IOF ITAU MO2-ANDREZA</v>
      </c>
    </row>
    <row r="468" customFormat="false" ht="12.75" hidden="false" customHeight="true" outlineLevel="0" collapsed="false">
      <c r="A468" s="15" t="n">
        <f aca="false">Report!C645</f>
        <v>46205</v>
      </c>
      <c r="B468" s="1" t="str">
        <f aca="false">Report!E645</f>
        <v>ITAU SA</v>
      </c>
      <c r="C468" s="16" t="n">
        <f aca="false">Report!U645</f>
        <v>103.81</v>
      </c>
      <c r="D468" s="1" t="str">
        <f aca="false">Report!X645</f>
        <v>IOF CONT 6083-43968-4  C/C ITAU MO2-ANDREZA</v>
      </c>
    </row>
    <row r="469" customFormat="false" ht="12.75" hidden="false" customHeight="true" outlineLevel="0" collapsed="false">
      <c r="A469" s="15" t="n">
        <f aca="false">Report!C646</f>
        <v>46205</v>
      </c>
      <c r="B469" s="1" t="str">
        <f aca="false">Report!E646</f>
        <v>ITAU SA</v>
      </c>
      <c r="C469" s="16" t="n">
        <f aca="false">Report!U646</f>
        <v>156.86</v>
      </c>
      <c r="D469" s="1" t="str">
        <f aca="false">Report!X646</f>
        <v>TAR. PIX PGT TRANSF ITAU MO2-ANDREZA</v>
      </c>
    </row>
    <row r="470" customFormat="false" ht="12.75" hidden="false" customHeight="true" outlineLevel="0" collapsed="false">
      <c r="A470" s="15" t="n">
        <f aca="false">Report!C647</f>
        <v>46205</v>
      </c>
      <c r="B470" s="1" t="str">
        <f aca="false">Report!E647</f>
        <v>ITAU SA</v>
      </c>
      <c r="C470" s="16" t="n">
        <f aca="false">Report!U647</f>
        <v>370.75</v>
      </c>
      <c r="D470" s="1" t="str">
        <f aca="false">Report!X647</f>
        <v>iof.6083.46843-6 C/C ITAU MO2</v>
      </c>
    </row>
    <row r="471" customFormat="false" ht="12.75" hidden="false" customHeight="true" outlineLevel="0" collapsed="false">
      <c r="A471" s="15" t="n">
        <f aca="false">Report!C648</f>
        <v>46205</v>
      </c>
      <c r="B471" s="1" t="str">
        <f aca="false">Report!E648</f>
        <v>ITAU SA</v>
      </c>
      <c r="C471" s="16" t="n">
        <f aca="false">Report!U648</f>
        <v>487.31</v>
      </c>
      <c r="D471" s="1" t="str">
        <f aca="false">Report!X648</f>
        <v>TAR. PIX QR CODE  LIQUIDA ITAU MO2</v>
      </c>
    </row>
    <row r="472" customFormat="false" ht="12.75" hidden="false" customHeight="true" outlineLevel="0" collapsed="false">
      <c r="A472" s="15" t="n">
        <f aca="false">Report!C649</f>
        <v>46205</v>
      </c>
      <c r="B472" s="1" t="str">
        <f aca="false">Report!E649</f>
        <v>H L M PADARIA E CONFEITARIA LTDA</v>
      </c>
      <c r="C472" s="16" t="n">
        <f aca="false">Report!U649</f>
        <v>140</v>
      </c>
      <c r="D472" s="1" t="str">
        <f aca="false">Report!X649</f>
        <v>NF 64 COMPRAS-BOLO PG NO P 2/7 ELLEN</v>
      </c>
    </row>
    <row r="473" customFormat="false" ht="12.75" hidden="false" customHeight="true" outlineLevel="0" collapsed="false">
      <c r="A473" s="15" t="n">
        <f aca="false">Report!C650</f>
        <v>46206</v>
      </c>
      <c r="B473" s="1" t="str">
        <f aca="false">Report!E650</f>
        <v>SEM FORNECEDOR</v>
      </c>
      <c r="C473" s="16" t="n">
        <f aca="false">Report!U650</f>
        <v>280</v>
      </c>
      <c r="D473" s="1" t="str">
        <f aca="false">Report!X650</f>
        <v>Pag de título:  Forn: 48-NEYLIANE S DE OLIVEIRA &amp; CIA LTDA. Tit: 2521-01</v>
      </c>
    </row>
    <row r="474" customFormat="false" ht="12.75" hidden="false" customHeight="true" outlineLevel="0" collapsed="false">
      <c r="A474" s="15" t="n">
        <f aca="false">Report!C651</f>
        <v>46206</v>
      </c>
      <c r="B474" s="1" t="str">
        <f aca="false">Report!E651</f>
        <v>SEM FORNECEDOR</v>
      </c>
      <c r="C474" s="16" t="n">
        <f aca="false">Report!U651</f>
        <v>50</v>
      </c>
      <c r="D474" s="1" t="str">
        <f aca="false">Report!X651</f>
        <v>extra elilton</v>
      </c>
    </row>
    <row r="475" customFormat="false" ht="12.75" hidden="false" customHeight="true" outlineLevel="0" collapsed="false">
      <c r="A475" s="15" t="n">
        <f aca="false">Report!C652</f>
        <v>46206</v>
      </c>
      <c r="B475" s="1" t="str">
        <f aca="false">Report!E652</f>
        <v>SEM FORNECEDOR</v>
      </c>
      <c r="C475" s="16" t="n">
        <f aca="false">Report!U652</f>
        <v>2500</v>
      </c>
      <c r="D475" s="1" t="str">
        <f aca="false">Report!X652</f>
        <v>Depósito ref. 03/07/2026</v>
      </c>
    </row>
    <row r="476" customFormat="false" ht="12.75" hidden="false" customHeight="true" outlineLevel="0" collapsed="false">
      <c r="A476" s="15" t="n">
        <f aca="false">Report!C653</f>
        <v>46206</v>
      </c>
      <c r="B476" s="1" t="str">
        <f aca="false">Report!E653</f>
        <v>FENNIX BRASIL DISTRIBUIDORA DE PRODUTOS</v>
      </c>
      <c r="C476" s="16" t="n">
        <f aca="false">Report!U653</f>
        <v>866.36</v>
      </c>
      <c r="D476" s="1" t="str">
        <f aca="false">Report!X653</f>
        <v>NF 394904 ELLEN</v>
      </c>
    </row>
    <row r="477" customFormat="false" ht="12.75" hidden="false" customHeight="true" outlineLevel="0" collapsed="false">
      <c r="A477" s="15" t="n">
        <f aca="false">Report!C654</f>
        <v>46206</v>
      </c>
      <c r="B477" s="1" t="str">
        <f aca="false">Report!E654</f>
        <v>DUNORTE DISTRIBUIDORA DE PRODUTOS DE CONSUMO LTDA</v>
      </c>
      <c r="C477" s="16" t="n">
        <f aca="false">Report!U654</f>
        <v>892.08</v>
      </c>
      <c r="D477" s="1" t="str">
        <f aca="false">Report!X654</f>
        <v>NF 3201857 ELLEN</v>
      </c>
    </row>
    <row r="478" customFormat="false" ht="12.75" hidden="false" customHeight="true" outlineLevel="0" collapsed="false">
      <c r="A478" s="15" t="n">
        <f aca="false">Report!C655</f>
        <v>46206</v>
      </c>
      <c r="B478" s="1" t="str">
        <f aca="false">Report!E655</f>
        <v>DISTRIBUIDORA FARIAS LTDA.</v>
      </c>
      <c r="C478" s="16" t="n">
        <f aca="false">Report!U655</f>
        <v>658.25</v>
      </c>
      <c r="D478" s="1" t="str">
        <f aca="false">Report!X655</f>
        <v>NF 674938 ELLEN</v>
      </c>
    </row>
    <row r="479" customFormat="false" ht="12.75" hidden="false" customHeight="true" outlineLevel="0" collapsed="false">
      <c r="A479" s="15" t="n">
        <f aca="false">Report!C656</f>
        <v>46206</v>
      </c>
      <c r="B479" s="1" t="str">
        <f aca="false">Report!E656</f>
        <v>DISTRIBUIDORA FARIAS LTDA.</v>
      </c>
      <c r="C479" s="16" t="n">
        <f aca="false">Report!U656</f>
        <v>1055.34</v>
      </c>
      <c r="D479" s="1" t="str">
        <f aca="false">Report!X656</f>
        <v>NF 674937 ELLEN</v>
      </c>
    </row>
    <row r="480" customFormat="false" ht="12.75" hidden="false" customHeight="true" outlineLevel="0" collapsed="false">
      <c r="A480" s="15" t="n">
        <f aca="false">Report!C657</f>
        <v>46206</v>
      </c>
      <c r="B480" s="1" t="str">
        <f aca="false">Report!E657</f>
        <v>OESA COMERCIO E REPRESENTACOES S/A</v>
      </c>
      <c r="C480" s="16" t="n">
        <f aca="false">Report!U657</f>
        <v>619.99</v>
      </c>
      <c r="D480" s="1" t="str">
        <f aca="false">Report!X657</f>
        <v>NF 419092 ELLEN</v>
      </c>
    </row>
    <row r="481" customFormat="false" ht="12.75" hidden="false" customHeight="true" outlineLevel="0" collapsed="false">
      <c r="A481" s="15" t="n">
        <f aca="false">Report!C663</f>
        <v>46206</v>
      </c>
      <c r="B481" s="1" t="str">
        <f aca="false">Report!E663</f>
        <v>BRAGA TABACARIA EIRELI ME</v>
      </c>
      <c r="C481" s="16" t="n">
        <f aca="false">Report!U663</f>
        <v>796.74</v>
      </c>
      <c r="D481" s="1" t="str">
        <f aca="false">Report!X663</f>
        <v>NF 18889 ELLEN</v>
      </c>
    </row>
    <row r="482" customFormat="false" ht="12.75" hidden="false" customHeight="true" outlineLevel="0" collapsed="false">
      <c r="A482" s="15" t="n">
        <f aca="false">Report!C665</f>
        <v>46206</v>
      </c>
      <c r="B482" s="1" t="str">
        <f aca="false">Report!E665</f>
        <v>J G COMERCIO DE PRODUTOS ALIMENTICIOS LTDA</v>
      </c>
      <c r="C482" s="16" t="n">
        <f aca="false">Report!U665</f>
        <v>371.88</v>
      </c>
      <c r="D482" s="1" t="str">
        <f aca="false">Report!X665</f>
        <v>NF 389368 ELLEN</v>
      </c>
    </row>
    <row r="483" customFormat="false" ht="12.75" hidden="false" customHeight="true" outlineLevel="0" collapsed="false">
      <c r="A483" s="15" t="n">
        <f aca="false">Report!C666</f>
        <v>46206</v>
      </c>
      <c r="B483" s="1" t="str">
        <f aca="false">Report!E666</f>
        <v>CRBS S/A</v>
      </c>
      <c r="C483" s="16" t="n">
        <f aca="false">Report!U666</f>
        <v>2177.83</v>
      </c>
      <c r="D483" s="1" t="str">
        <f aca="false">Report!X666</f>
        <v>NF 877177 ELLEN</v>
      </c>
    </row>
    <row r="484" customFormat="false" ht="12.75" hidden="false" customHeight="true" outlineLevel="0" collapsed="false">
      <c r="A484" s="15" t="n">
        <f aca="false">Report!C667</f>
        <v>46206</v>
      </c>
      <c r="B484" s="1" t="str">
        <f aca="false">Report!E667</f>
        <v>CRBS S/A</v>
      </c>
      <c r="C484" s="16" t="n">
        <f aca="false">Report!U667</f>
        <v>1.55</v>
      </c>
      <c r="D484" s="1" t="str">
        <f aca="false">Report!X667</f>
        <v>NF 877177 REF TARIFA AMBEV - ELLEN</v>
      </c>
    </row>
    <row r="485" customFormat="false" ht="12.75" hidden="false" customHeight="true" outlineLevel="0" collapsed="false">
      <c r="A485" s="15" t="n">
        <f aca="false">Report!C668</f>
        <v>46206</v>
      </c>
      <c r="B485" s="1" t="str">
        <f aca="false">Report!E668</f>
        <v>BRAGA TABACARIA EIRELI ME</v>
      </c>
      <c r="C485" s="16" t="n">
        <f aca="false">Report!U668</f>
        <v>534.44</v>
      </c>
      <c r="D485" s="1" t="str">
        <f aca="false">Report!X668</f>
        <v>S/NF - CATUABA/COPO/XAROPE-ELLEN</v>
      </c>
    </row>
    <row r="486" customFormat="false" ht="12.75" hidden="false" customHeight="true" outlineLevel="0" collapsed="false">
      <c r="A486" s="15" t="n">
        <f aca="false">Report!C669</f>
        <v>46206</v>
      </c>
      <c r="B486" s="1" t="str">
        <f aca="false">Report!E669</f>
        <v>CHARLES MO2</v>
      </c>
      <c r="C486" s="16" t="n">
        <f aca="false">Report!U669</f>
        <v>1217.33</v>
      </c>
      <c r="D486" s="1" t="str">
        <f aca="false">Report!X669</f>
        <v>DESPESA LOJA - COMPRAS CHARLES 06/26  - KEILA</v>
      </c>
    </row>
    <row r="487" customFormat="false" ht="12.75" hidden="false" customHeight="true" outlineLevel="0" collapsed="false">
      <c r="A487" s="15" t="n">
        <f aca="false">Report!C670</f>
        <v>46206</v>
      </c>
      <c r="B487" s="1" t="str">
        <f aca="false">Report!E670</f>
        <v>NEYLIANE S DE OLIVEIRA &amp; CIA LTDA</v>
      </c>
      <c r="C487" s="16" t="n">
        <f aca="false">Report!U670</f>
        <v>280</v>
      </c>
      <c r="D487" s="1" t="str">
        <f aca="false">Report!X670</f>
        <v>COMPRAS-20L DE ACAI-PG NO P 3/7/26-ELLEN</v>
      </c>
    </row>
    <row r="488" customFormat="false" ht="12.75" hidden="false" customHeight="true" outlineLevel="0" collapsed="false">
      <c r="A488" s="15" t="n">
        <f aca="false">Report!C672</f>
        <v>46206</v>
      </c>
      <c r="B488" s="1" t="str">
        <f aca="false">Report!E672</f>
        <v>RENATO DE O AZEVEDO E CIA LTDA - EPP</v>
      </c>
      <c r="C488" s="16" t="n">
        <f aca="false">Report!U672</f>
        <v>741.81</v>
      </c>
      <c r="D488" s="1" t="str">
        <f aca="false">Report!X672</f>
        <v>MENSALIDADE ADVOGADO MO2 MES 04,05 E 06/26 -  KEILA</v>
      </c>
    </row>
    <row r="489" customFormat="false" ht="12.75" hidden="false" customHeight="true" outlineLevel="0" collapsed="false">
      <c r="A489" s="15" t="n">
        <f aca="false">Report!C673</f>
        <v>46206</v>
      </c>
      <c r="B489" s="1" t="str">
        <f aca="false">Report!E673</f>
        <v>NEYLIANE S DE OLIVEIRA &amp; CIA LTDA</v>
      </c>
      <c r="C489" s="16" t="n">
        <f aca="false">Report!U673</f>
        <v>1082.6</v>
      </c>
      <c r="D489" s="1" t="str">
        <f aca="false">Report!X673</f>
        <v>FEIRA SR RENATO - PG POTE LJ2 - ELLEN</v>
      </c>
    </row>
    <row r="490" customFormat="false" ht="12.75" hidden="false" customHeight="true" outlineLevel="0" collapsed="false">
      <c r="A490" s="15" t="n">
        <f aca="false">Report!C674</f>
        <v>46206</v>
      </c>
      <c r="B490" s="1" t="str">
        <f aca="false">Report!E674</f>
        <v>FEIRA</v>
      </c>
      <c r="C490" s="16" t="n">
        <f aca="false">Report!U674</f>
        <v>280</v>
      </c>
      <c r="D490" s="1" t="str">
        <f aca="false">Report!X674</f>
        <v>FEIRA SR RENATO-PERA/UVA-SOMAR C NF2522-PG POTE LJ2-ELLEN</v>
      </c>
    </row>
    <row r="491" customFormat="false" ht="12.75" hidden="false" customHeight="true" outlineLevel="0" collapsed="false">
      <c r="A491" s="15" t="n">
        <f aca="false">Report!C675</f>
        <v>46206</v>
      </c>
      <c r="B491" s="1" t="str">
        <f aca="false">Report!E675</f>
        <v>ANDREZA OLIVEIRA DA SILVA</v>
      </c>
      <c r="C491" s="16" t="n">
        <f aca="false">Report!U675</f>
        <v>609.34</v>
      </c>
      <c r="D491" s="1" t="str">
        <f aca="false">Report!X675</f>
        <v>SALDO DE SALÁRIO JUNHO/2026</v>
      </c>
    </row>
    <row r="492" customFormat="false" ht="12.75" hidden="false" customHeight="true" outlineLevel="0" collapsed="false">
      <c r="A492" s="15" t="n">
        <f aca="false">Report!C676</f>
        <v>46206</v>
      </c>
      <c r="B492" s="1" t="str">
        <f aca="false">Report!E676</f>
        <v>ANDREZA OLIVEIRA DA SILVA</v>
      </c>
      <c r="C492" s="16" t="n">
        <f aca="false">Report!U676</f>
        <v>399.37</v>
      </c>
      <c r="D492" s="1" t="str">
        <f aca="false">Report!X676</f>
        <v>COMPRAS FUNC</v>
      </c>
    </row>
    <row r="493" customFormat="false" ht="12.75" hidden="false" customHeight="true" outlineLevel="0" collapsed="false">
      <c r="A493" s="15" t="n">
        <f aca="false">Report!C677</f>
        <v>46206</v>
      </c>
      <c r="B493" s="1" t="str">
        <f aca="false">Report!E677</f>
        <v>DAVI LIRA DE OLIVEIRA (MO2)</v>
      </c>
      <c r="C493" s="16" t="n">
        <f aca="false">Report!U677</f>
        <v>1514.86</v>
      </c>
      <c r="D493" s="1" t="str">
        <f aca="false">Report!X677</f>
        <v>SALDO DE SALÁRIO JUNHO/2026</v>
      </c>
    </row>
    <row r="494" customFormat="false" ht="12.75" hidden="false" customHeight="true" outlineLevel="0" collapsed="false">
      <c r="A494" s="15" t="n">
        <f aca="false">Report!C678</f>
        <v>46206</v>
      </c>
      <c r="B494" s="1" t="str">
        <f aca="false">Report!E678</f>
        <v>DAVI LIRA DE OLIVEIRA (MO2)</v>
      </c>
      <c r="C494" s="16" t="n">
        <f aca="false">Report!U678</f>
        <v>93.06</v>
      </c>
      <c r="D494" s="1" t="str">
        <f aca="false">Report!X678</f>
        <v>COMPRAS FUNC</v>
      </c>
    </row>
    <row r="495" customFormat="false" ht="12.75" hidden="false" customHeight="true" outlineLevel="0" collapsed="false">
      <c r="A495" s="15" t="n">
        <f aca="false">Report!C679</f>
        <v>46206</v>
      </c>
      <c r="B495" s="1" t="str">
        <f aca="false">Report!E679</f>
        <v>ELILTON NUNES BRITO</v>
      </c>
      <c r="C495" s="16" t="n">
        <f aca="false">Report!U679</f>
        <v>999.58</v>
      </c>
      <c r="D495" s="1" t="str">
        <f aca="false">Report!X679</f>
        <v>COMPRAS FUNC / FALTAS</v>
      </c>
    </row>
    <row r="496" customFormat="false" ht="12.75" hidden="false" customHeight="true" outlineLevel="0" collapsed="false">
      <c r="A496" s="15" t="n">
        <f aca="false">Report!C680</f>
        <v>46206</v>
      </c>
      <c r="B496" s="1" t="str">
        <f aca="false">Report!E680</f>
        <v>ELILTON NUNES BRITO</v>
      </c>
      <c r="C496" s="16" t="n">
        <f aca="false">Report!U680</f>
        <v>350.42</v>
      </c>
      <c r="D496" s="1" t="str">
        <f aca="false">Report!X680</f>
        <v>SALDO DE SALÁRIO JUNHO/2026</v>
      </c>
    </row>
    <row r="497" customFormat="false" ht="12.75" hidden="false" customHeight="true" outlineLevel="0" collapsed="false">
      <c r="A497" s="15" t="n">
        <f aca="false">Report!C681</f>
        <v>46206</v>
      </c>
      <c r="B497" s="1" t="str">
        <f aca="false">Report!E681</f>
        <v>ELLEN SILVIA FERREIRA</v>
      </c>
      <c r="C497" s="16" t="n">
        <f aca="false">Report!U681</f>
        <v>1122.72</v>
      </c>
      <c r="D497" s="1" t="str">
        <f aca="false">Report!X681</f>
        <v>SALDO DE SALÁRIO JUNHO/2026</v>
      </c>
    </row>
    <row r="498" customFormat="false" ht="12.75" hidden="false" customHeight="true" outlineLevel="0" collapsed="false">
      <c r="A498" s="15" t="n">
        <f aca="false">Report!C682</f>
        <v>46206</v>
      </c>
      <c r="B498" s="1" t="str">
        <f aca="false">Report!E682</f>
        <v>ELLEN SILVIA FERREIRA</v>
      </c>
      <c r="C498" s="16" t="n">
        <f aca="false">Report!U682</f>
        <v>48.67</v>
      </c>
      <c r="D498" s="1" t="str">
        <f aca="false">Report!X682</f>
        <v>COMPRAS FUNC</v>
      </c>
    </row>
    <row r="499" customFormat="false" ht="12.75" hidden="false" customHeight="true" outlineLevel="0" collapsed="false">
      <c r="A499" s="15" t="n">
        <f aca="false">Report!C683</f>
        <v>46206</v>
      </c>
      <c r="B499" s="1" t="str">
        <f aca="false">Report!E683</f>
        <v>FRANCISCO HELIO SERAFIM DE AZEVEDO</v>
      </c>
      <c r="C499" s="16" t="n">
        <f aca="false">Report!U683</f>
        <v>753.77</v>
      </c>
      <c r="D499" s="1" t="str">
        <f aca="false">Report!X683</f>
        <v>SALDO DE SALÁRIO JUNHO/2026</v>
      </c>
    </row>
    <row r="500" customFormat="false" ht="12.75" hidden="false" customHeight="true" outlineLevel="0" collapsed="false">
      <c r="A500" s="15" t="n">
        <f aca="false">Report!C685</f>
        <v>46206</v>
      </c>
      <c r="B500" s="1" t="str">
        <f aca="false">Report!E685</f>
        <v>IDELMA MONTEIRO DA SILVA</v>
      </c>
      <c r="C500" s="16" t="n">
        <f aca="false">Report!U685</f>
        <v>988.46</v>
      </c>
      <c r="D500" s="1" t="str">
        <f aca="false">Report!X685</f>
        <v>SALDO DE SALÁRIO JUNHO/2026</v>
      </c>
    </row>
    <row r="501" customFormat="false" ht="12.75" hidden="false" customHeight="true" outlineLevel="0" collapsed="false">
      <c r="A501" s="15" t="n">
        <f aca="false">Report!C686</f>
        <v>46206</v>
      </c>
      <c r="B501" s="1" t="str">
        <f aca="false">Report!E686</f>
        <v>IDELMA MONTEIRO DA SILVA</v>
      </c>
      <c r="C501" s="16" t="n">
        <f aca="false">Report!U686</f>
        <v>369.07</v>
      </c>
      <c r="D501" s="1" t="str">
        <f aca="false">Report!X686</f>
        <v>COMPRAS FUNC / DROGARIA</v>
      </c>
    </row>
    <row r="502" customFormat="false" ht="12.75" hidden="false" customHeight="true" outlineLevel="0" collapsed="false">
      <c r="A502" s="15" t="n">
        <f aca="false">Report!C687</f>
        <v>46206</v>
      </c>
      <c r="B502" s="1" t="str">
        <f aca="false">Report!E687</f>
        <v>LUCIRLANDIA DE OLIVEIRA AMARAL</v>
      </c>
      <c r="C502" s="16" t="n">
        <f aca="false">Report!U687</f>
        <v>986.6</v>
      </c>
      <c r="D502" s="1" t="str">
        <f aca="false">Report!X687</f>
        <v>SALDO DE SALÁRIO JUNHO/2026</v>
      </c>
    </row>
    <row r="503" customFormat="false" ht="12.75" hidden="false" customHeight="true" outlineLevel="0" collapsed="false">
      <c r="A503" s="15" t="n">
        <f aca="false">Report!C688</f>
        <v>46206</v>
      </c>
      <c r="B503" s="1" t="str">
        <f aca="false">Report!E688</f>
        <v>LUCIRLANDIA DE OLIVEIRA AMARAL</v>
      </c>
      <c r="C503" s="16" t="n">
        <f aca="false">Report!U688</f>
        <v>226.5</v>
      </c>
      <c r="D503" s="1" t="str">
        <f aca="false">Report!X688</f>
        <v>COMPRAS FUNC</v>
      </c>
    </row>
    <row r="504" customFormat="false" ht="12.75" hidden="false" customHeight="true" outlineLevel="0" collapsed="false">
      <c r="A504" s="15" t="n">
        <f aca="false">Report!C689</f>
        <v>46206</v>
      </c>
      <c r="B504" s="1" t="str">
        <f aca="false">Report!E689</f>
        <v>SANDRO HELIO OLIVEIRA COSTA</v>
      </c>
      <c r="C504" s="16" t="n">
        <f aca="false">Report!U689</f>
        <v>451.03</v>
      </c>
      <c r="D504" s="1" t="str">
        <f aca="false">Report!X689</f>
        <v>SALDO DE SALÁRIO JUNHO/2026</v>
      </c>
    </row>
    <row r="505" customFormat="false" ht="12.75" hidden="false" customHeight="true" outlineLevel="0" collapsed="false">
      <c r="A505" s="15" t="n">
        <f aca="false">Report!C690</f>
        <v>46206</v>
      </c>
      <c r="B505" s="1" t="str">
        <f aca="false">Report!E690</f>
        <v>SANDRO HELIO OLIVEIRA COSTA</v>
      </c>
      <c r="C505" s="16" t="n">
        <f aca="false">Report!U690</f>
        <v>291.6</v>
      </c>
      <c r="D505" s="1" t="str">
        <f aca="false">Report!X690</f>
        <v>COMPRAS FUNC</v>
      </c>
    </row>
    <row r="506" customFormat="false" ht="12.75" hidden="false" customHeight="true" outlineLevel="0" collapsed="false">
      <c r="A506" s="15" t="n">
        <f aca="false">Report!C691</f>
        <v>46206</v>
      </c>
      <c r="B506" s="1" t="str">
        <f aca="false">Report!E691</f>
        <v>THIAGO DA SILVA CRUZ</v>
      </c>
      <c r="C506" s="16" t="n">
        <f aca="false">Report!U691</f>
        <v>272.38</v>
      </c>
      <c r="D506" s="1" t="str">
        <f aca="false">Report!X691</f>
        <v>SALDO DE SALÁRIO JUNHO/2026</v>
      </c>
    </row>
    <row r="507" customFormat="false" ht="12.75" hidden="false" customHeight="true" outlineLevel="0" collapsed="false">
      <c r="A507" s="15" t="n">
        <f aca="false">Report!C692</f>
        <v>46206</v>
      </c>
      <c r="B507" s="1" t="str">
        <f aca="false">Report!E692</f>
        <v>THIAGO DA SILVA CRUZ</v>
      </c>
      <c r="C507" s="16" t="n">
        <f aca="false">Report!U692</f>
        <v>353.47</v>
      </c>
      <c r="D507" s="1" t="str">
        <f aca="false">Report!X692</f>
        <v>COMPRAS FUNC</v>
      </c>
    </row>
    <row r="508" customFormat="false" ht="12.75" hidden="false" customHeight="true" outlineLevel="0" collapsed="false">
      <c r="A508" s="15" t="n">
        <f aca="false">Report!C693</f>
        <v>46206</v>
      </c>
      <c r="B508" s="1" t="str">
        <f aca="false">Report!E693</f>
        <v>RENATO DE OLIVEIRA AZEVEDO</v>
      </c>
      <c r="C508" s="16" t="n">
        <f aca="false">Report!U693</f>
        <v>729.05</v>
      </c>
      <c r="D508" s="1" t="str">
        <f aca="false">Report!X693</f>
        <v>COMPRAS FUNC</v>
      </c>
    </row>
    <row r="509" customFormat="false" ht="12.75" hidden="false" customHeight="true" outlineLevel="0" collapsed="false">
      <c r="A509" s="15" t="n">
        <f aca="false">Report!C694</f>
        <v>46206</v>
      </c>
      <c r="B509" s="1" t="str">
        <f aca="false">Report!E694</f>
        <v>NEYLIANE SILVA DE OLIVEIRA</v>
      </c>
      <c r="C509" s="16" t="n">
        <f aca="false">Report!U694</f>
        <v>6.99</v>
      </c>
      <c r="D509" s="1" t="n">
        <f aca="false">Report!X694</f>
        <v>0</v>
      </c>
    </row>
    <row r="510" customFormat="false" ht="12.75" hidden="false" customHeight="true" outlineLevel="0" collapsed="false">
      <c r="A510" s="15" t="n">
        <f aca="false">Report!C695</f>
        <v>46206</v>
      </c>
      <c r="B510" s="1" t="str">
        <f aca="false">Report!E695</f>
        <v>CHARLES MO2</v>
      </c>
      <c r="C510" s="16" t="n">
        <f aca="false">Report!U695</f>
        <v>1217.33</v>
      </c>
      <c r="D510" s="1" t="str">
        <f aca="false">Report!X695</f>
        <v>COMPRAS FUNC</v>
      </c>
    </row>
    <row r="511" customFormat="false" ht="12.75" hidden="false" customHeight="true" outlineLevel="0" collapsed="false">
      <c r="A511" s="15" t="n">
        <f aca="false">Report!C697</f>
        <v>46206</v>
      </c>
      <c r="B511" s="1" t="str">
        <f aca="false">Report!E697</f>
        <v>H L M PADARIA E CONFEITARIA LTDA</v>
      </c>
      <c r="C511" s="16" t="n">
        <f aca="false">Report!U697</f>
        <v>120</v>
      </c>
      <c r="D511" s="1" t="str">
        <f aca="false">Report!X697</f>
        <v>NF 17 COMPRAS-BOLO PG NO P 3/7 ELLEN</v>
      </c>
    </row>
    <row r="512" customFormat="false" ht="12.75" hidden="false" customHeight="true" outlineLevel="0" collapsed="false">
      <c r="A512" s="15" t="n">
        <f aca="false">Report!C698</f>
        <v>46207</v>
      </c>
      <c r="B512" s="1" t="str">
        <f aca="false">Report!E698</f>
        <v>SEM FORNECEDOR</v>
      </c>
      <c r="C512" s="16" t="n">
        <f aca="false">Report!U698</f>
        <v>50</v>
      </c>
      <c r="D512" s="1" t="str">
        <f aca="false">Report!X698</f>
        <v>extra elilton</v>
      </c>
    </row>
    <row r="513" customFormat="false" ht="12.75" hidden="false" customHeight="true" outlineLevel="0" collapsed="false">
      <c r="A513" s="15" t="n">
        <f aca="false">Report!C699</f>
        <v>46207</v>
      </c>
      <c r="B513" s="1" t="str">
        <f aca="false">Report!E699</f>
        <v>SEM FORNECEDOR</v>
      </c>
      <c r="C513" s="16" t="n">
        <f aca="false">Report!U699</f>
        <v>3150</v>
      </c>
      <c r="D513" s="1" t="str">
        <f aca="false">Report!X699</f>
        <v>Depósito ref. 04/07/2026</v>
      </c>
    </row>
    <row r="514" customFormat="false" ht="12.75" hidden="false" customHeight="true" outlineLevel="0" collapsed="false">
      <c r="A514" s="15" t="n">
        <f aca="false">Report!C700</f>
        <v>46207</v>
      </c>
      <c r="B514" s="1" t="str">
        <f aca="false">Report!E700</f>
        <v>OPPORTUNITY ALIMENTOS PARA ANIMAIS LTDA</v>
      </c>
      <c r="C514" s="16" t="n">
        <f aca="false">Report!U700</f>
        <v>938.27</v>
      </c>
      <c r="D514" s="1" t="str">
        <f aca="false">Report!X700</f>
        <v>NF 33745 ELLEN</v>
      </c>
    </row>
    <row r="515" customFormat="false" ht="12.75" hidden="false" customHeight="true" outlineLevel="0" collapsed="false">
      <c r="A515" s="15" t="n">
        <f aca="false">Report!C701</f>
        <v>46207</v>
      </c>
      <c r="B515" s="1" t="str">
        <f aca="false">Report!E701</f>
        <v>BRASIL NORTE BEBIDAS S/A</v>
      </c>
      <c r="C515" s="16" t="n">
        <f aca="false">Report!U701</f>
        <v>50.85</v>
      </c>
      <c r="D515" s="1" t="str">
        <f aca="false">Report!X701</f>
        <v>NF 1169404 ELLEN</v>
      </c>
    </row>
    <row r="516" customFormat="false" ht="12.75" hidden="false" customHeight="true" outlineLevel="0" collapsed="false">
      <c r="A516" s="15" t="n">
        <f aca="false">Report!C702</f>
        <v>46207</v>
      </c>
      <c r="B516" s="1" t="str">
        <f aca="false">Report!E702</f>
        <v>BRASIL NORTE BEBIDAS S/A</v>
      </c>
      <c r="C516" s="16" t="n">
        <f aca="false">Report!U702</f>
        <v>467.76</v>
      </c>
      <c r="D516" s="1" t="str">
        <f aca="false">Report!X702</f>
        <v>NF 1890993 ELLEN</v>
      </c>
    </row>
    <row r="517" customFormat="false" ht="12.75" hidden="false" customHeight="true" outlineLevel="0" collapsed="false">
      <c r="A517" s="15" t="n">
        <f aca="false">Report!C703</f>
        <v>46207</v>
      </c>
      <c r="B517" s="1" t="str">
        <f aca="false">Report!E703</f>
        <v>COMERCIO DE FRIOS MANAUS LTDA</v>
      </c>
      <c r="C517" s="16" t="n">
        <f aca="false">Report!U703</f>
        <v>4001</v>
      </c>
      <c r="D517" s="1" t="str">
        <f aca="false">Report!X703</f>
        <v>NF 172089 ELLEN</v>
      </c>
    </row>
    <row r="518" customFormat="false" ht="12.75" hidden="false" customHeight="true" outlineLevel="0" collapsed="false">
      <c r="A518" s="15" t="n">
        <f aca="false">Report!C704</f>
        <v>46207</v>
      </c>
      <c r="B518" s="1" t="str">
        <f aca="false">Report!E704</f>
        <v>RUAN FERNANDES</v>
      </c>
      <c r="C518" s="16" t="n">
        <f aca="false">Report!U704</f>
        <v>258</v>
      </c>
      <c r="D518" s="1" t="str">
        <f aca="false">Report!X704</f>
        <v>MENSALIDADE DO TI MO2 - KEILA</v>
      </c>
    </row>
    <row r="519" customFormat="false" ht="12.75" hidden="false" customHeight="true" outlineLevel="0" collapsed="false">
      <c r="A519" s="15" t="n">
        <f aca="false">Report!C706</f>
        <v>46207</v>
      </c>
      <c r="B519" s="1" t="str">
        <f aca="false">Report!E706</f>
        <v>H L M PADARIA E CONFEITARIA LTDA</v>
      </c>
      <c r="C519" s="16" t="n">
        <f aca="false">Report!U706</f>
        <v>140</v>
      </c>
      <c r="D519" s="1" t="str">
        <f aca="false">Report!X706</f>
        <v>NF 65 COMPRAS BOLO - PG NO P 4/7 ELLEN</v>
      </c>
    </row>
    <row r="520" customFormat="false" ht="12.75" hidden="false" customHeight="true" outlineLevel="0" collapsed="false">
      <c r="A520" s="15" t="n">
        <f aca="false">Report!C707</f>
        <v>46208</v>
      </c>
      <c r="B520" s="1" t="str">
        <f aca="false">Report!E707</f>
        <v>SEM FORNECEDOR</v>
      </c>
      <c r="C520" s="16" t="n">
        <f aca="false">Report!U707</f>
        <v>91</v>
      </c>
      <c r="D520" s="1" t="str">
        <f aca="false">Report!X707</f>
        <v>almoço regina</v>
      </c>
    </row>
    <row r="521" customFormat="false" ht="12.75" hidden="false" customHeight="true" outlineLevel="0" collapsed="false">
      <c r="A521" s="15" t="n">
        <f aca="false">Report!C708</f>
        <v>46208</v>
      </c>
      <c r="B521" s="1" t="str">
        <f aca="false">Report!E708</f>
        <v>SEM FORNECEDOR</v>
      </c>
      <c r="C521" s="16" t="n">
        <f aca="false">Report!U708</f>
        <v>70</v>
      </c>
      <c r="D521" s="1" t="str">
        <f aca="false">Report!X708</f>
        <v>extra elilton</v>
      </c>
    </row>
    <row r="522" customFormat="false" ht="12.75" hidden="false" customHeight="true" outlineLevel="0" collapsed="false">
      <c r="A522" s="15" t="n">
        <f aca="false">Report!C709</f>
        <v>46208</v>
      </c>
      <c r="B522" s="1" t="str">
        <f aca="false">Report!E709</f>
        <v>SEM FORNECEDOR</v>
      </c>
      <c r="C522" s="16" t="n">
        <f aca="false">Report!U709</f>
        <v>1700</v>
      </c>
      <c r="D522" s="1" t="str">
        <f aca="false">Report!X709</f>
        <v>Depósito ref. 05/07/2026</v>
      </c>
    </row>
    <row r="523" customFormat="false" ht="12.75" hidden="false" customHeight="true" outlineLevel="0" collapsed="false">
      <c r="A523" s="15" t="n">
        <f aca="false">Report!C710</f>
        <v>46208</v>
      </c>
      <c r="B523" s="1" t="str">
        <f aca="false">Report!E710</f>
        <v>INMETRO INSTITUTO DE PESOS E MEDIDAS DO </v>
      </c>
      <c r="C523" s="16" t="n">
        <f aca="false">Report!U710</f>
        <v>573.02</v>
      </c>
      <c r="D523" s="1" t="str">
        <f aca="false">Report!X710</f>
        <v>INMETRO - BOLETO - MO2 - ELLEN</v>
      </c>
    </row>
    <row r="524" customFormat="false" ht="12.75" hidden="false" customHeight="true" outlineLevel="0" collapsed="false">
      <c r="A524" s="15" t="n">
        <f aca="false">Report!C711</f>
        <v>46209</v>
      </c>
      <c r="B524" s="1" t="str">
        <f aca="false">Report!E711</f>
        <v>SEM FORNECEDOR</v>
      </c>
      <c r="C524" s="16" t="n">
        <f aca="false">Report!U711</f>
        <v>210</v>
      </c>
      <c r="D524" s="1" t="str">
        <f aca="false">Report!X711</f>
        <v>Pag de título:  Forn: 48-NEYLIANE S DE OLIVEIRA &amp; CIA LTDA. Tit: 2527-01</v>
      </c>
    </row>
    <row r="525" customFormat="false" ht="12.75" hidden="false" customHeight="true" outlineLevel="0" collapsed="false">
      <c r="A525" s="15" t="n">
        <f aca="false">Report!C712</f>
        <v>46209</v>
      </c>
      <c r="B525" s="1" t="str">
        <f aca="false">Report!E712</f>
        <v>SEM FORNECEDOR</v>
      </c>
      <c r="C525" s="16" t="n">
        <f aca="false">Report!U712</f>
        <v>160.32</v>
      </c>
      <c r="D525" s="1" t="str">
        <f aca="false">Report!X712</f>
        <v>Pag de título:  Forn: 1783-LOURIVAL ALMEIDA DA SILVA 17128784845. Tit: 512-01</v>
      </c>
    </row>
    <row r="526" customFormat="false" ht="12.75" hidden="false" customHeight="true" outlineLevel="0" collapsed="false">
      <c r="A526" s="15" t="n">
        <f aca="false">Report!C713</f>
        <v>46209</v>
      </c>
      <c r="B526" s="1" t="str">
        <f aca="false">Report!E713</f>
        <v>SEM FORNECEDOR</v>
      </c>
      <c r="C526" s="16" t="n">
        <f aca="false">Report!U713</f>
        <v>70</v>
      </c>
      <c r="D526" s="1" t="str">
        <f aca="false">Report!X713</f>
        <v>extra idelma</v>
      </c>
    </row>
    <row r="527" customFormat="false" ht="12.75" hidden="false" customHeight="true" outlineLevel="0" collapsed="false">
      <c r="A527" s="15" t="n">
        <f aca="false">Report!C714</f>
        <v>46209</v>
      </c>
      <c r="B527" s="1" t="str">
        <f aca="false">Report!E714</f>
        <v>SEM FORNECEDOR</v>
      </c>
      <c r="C527" s="16" t="n">
        <f aca="false">Report!U714</f>
        <v>2200</v>
      </c>
      <c r="D527" s="1" t="str">
        <f aca="false">Report!X714</f>
        <v>Depósito ref. 06/07/2026</v>
      </c>
    </row>
    <row r="528" customFormat="false" ht="12.75" hidden="false" customHeight="true" outlineLevel="0" collapsed="false">
      <c r="A528" s="15" t="n">
        <f aca="false">Report!C715</f>
        <v>46209</v>
      </c>
      <c r="B528" s="1" t="str">
        <f aca="false">Report!E715</f>
        <v>ADRIANA DISTRIBUIDORA DE PRODUTOS ALIMEN</v>
      </c>
      <c r="C528" s="16" t="n">
        <f aca="false">Report!U715</f>
        <v>791.31</v>
      </c>
      <c r="D528" s="1" t="str">
        <f aca="false">Report!X715</f>
        <v>NF 878392 ELLEN</v>
      </c>
    </row>
    <row r="529" customFormat="false" ht="12.75" hidden="false" customHeight="true" outlineLevel="0" collapsed="false">
      <c r="A529" s="15" t="n">
        <f aca="false">Report!C716</f>
        <v>46209</v>
      </c>
      <c r="B529" s="1" t="str">
        <f aca="false">Report!E716</f>
        <v>DUNORTE DISTRIBUIDORA DE PRODUTOS DE CONSUMO LTDA</v>
      </c>
      <c r="C529" s="16" t="n">
        <f aca="false">Report!U716</f>
        <v>643.05</v>
      </c>
      <c r="D529" s="1" t="str">
        <f aca="false">Report!X716</f>
        <v>NF 3202460 ELLEN</v>
      </c>
    </row>
    <row r="530" customFormat="false" ht="12.75" hidden="false" customHeight="true" outlineLevel="0" collapsed="false">
      <c r="A530" s="15" t="n">
        <f aca="false">Report!C717</f>
        <v>46209</v>
      </c>
      <c r="B530" s="1" t="str">
        <f aca="false">Report!E717</f>
        <v>ROCHA E PAIVA LTDA</v>
      </c>
      <c r="C530" s="16" t="n">
        <f aca="false">Report!U717</f>
        <v>591.51</v>
      </c>
      <c r="D530" s="1" t="str">
        <f aca="false">Report!X717</f>
        <v>NF 207912 ELLEN</v>
      </c>
    </row>
    <row r="531" customFormat="false" ht="12.75" hidden="false" customHeight="true" outlineLevel="0" collapsed="false">
      <c r="A531" s="15" t="n">
        <f aca="false">Report!C718</f>
        <v>46209</v>
      </c>
      <c r="B531" s="1" t="str">
        <f aca="false">Report!E718</f>
        <v>FENNIX BRASIL DISTRIBUIDORA DE PRODUTOS</v>
      </c>
      <c r="C531" s="16" t="n">
        <f aca="false">Report!U718</f>
        <v>675.35</v>
      </c>
      <c r="D531" s="1" t="str">
        <f aca="false">Report!X718</f>
        <v>NF 310316 ELLEN</v>
      </c>
    </row>
    <row r="532" customFormat="false" ht="12.75" hidden="false" customHeight="true" outlineLevel="0" collapsed="false">
      <c r="A532" s="15" t="n">
        <f aca="false">Report!C719</f>
        <v>46209</v>
      </c>
      <c r="B532" s="1" t="str">
        <f aca="false">Report!E719</f>
        <v>DURAES DISTRIBUIDORA DE ESTIVAS LTDA</v>
      </c>
      <c r="C532" s="16" t="n">
        <f aca="false">Report!U719</f>
        <v>347.17</v>
      </c>
      <c r="D532" s="1" t="str">
        <f aca="false">Report!X719</f>
        <v>NF 646732 ELLEN</v>
      </c>
    </row>
    <row r="533" customFormat="false" ht="12.75" hidden="false" customHeight="true" outlineLevel="0" collapsed="false">
      <c r="A533" s="15" t="n">
        <f aca="false">Report!C720</f>
        <v>46209</v>
      </c>
      <c r="B533" s="1" t="str">
        <f aca="false">Report!E720</f>
        <v>EDMARA COMERCIO DE HIGIENE PESSOAL LTDA</v>
      </c>
      <c r="C533" s="16" t="n">
        <f aca="false">Report!U720</f>
        <v>737.43</v>
      </c>
      <c r="D533" s="1" t="str">
        <f aca="false">Report!X720</f>
        <v>NF 8155 SACOLAS - ELLEN</v>
      </c>
    </row>
    <row r="534" customFormat="false" ht="12.75" hidden="false" customHeight="true" outlineLevel="0" collapsed="false">
      <c r="A534" s="15" t="n">
        <f aca="false">Report!C721</f>
        <v>46209</v>
      </c>
      <c r="B534" s="1" t="str">
        <f aca="false">Report!E721</f>
        <v>PANIFICADORA E CONFEITARIA REAL MADRI LTDA</v>
      </c>
      <c r="C534" s="16" t="n">
        <f aca="false">Report!U721</f>
        <v>304.75</v>
      </c>
      <c r="D534" s="1" t="str">
        <f aca="false">Report!X721</f>
        <v>NF 690 ELLEN</v>
      </c>
    </row>
    <row r="535" customFormat="false" ht="12.75" hidden="false" customHeight="true" outlineLevel="0" collapsed="false">
      <c r="A535" s="15" t="n">
        <f aca="false">Report!C728</f>
        <v>46209</v>
      </c>
      <c r="B535" s="1" t="str">
        <f aca="false">Report!E728</f>
        <v>RENATO DE OLIVEIRA AZEVEDO</v>
      </c>
      <c r="C535" s="16" t="n">
        <f aca="false">Report!U728</f>
        <v>500</v>
      </c>
      <c r="D535" s="1" t="str">
        <f aca="false">Report!X728</f>
        <v>SAL.RENATO 06/26 PARTE MO2-ANDREZA</v>
      </c>
    </row>
    <row r="536" customFormat="false" ht="12.75" hidden="false" customHeight="true" outlineLevel="0" collapsed="false">
      <c r="A536" s="15" t="n">
        <f aca="false">Report!C729</f>
        <v>46209</v>
      </c>
      <c r="B536" s="1" t="str">
        <f aca="false">Report!E729</f>
        <v>RENATO DE O AZEVEDO E CIA LTDA - EPP</v>
      </c>
      <c r="C536" s="16" t="n">
        <f aca="false">Report!U729</f>
        <v>222.91</v>
      </c>
      <c r="D536" s="1" t="str">
        <f aca="false">Report!X729</f>
        <v>PAG SALARIO ELIANA PARTE MO2 - ANDREZA</v>
      </c>
    </row>
    <row r="537" customFormat="false" ht="12.75" hidden="false" customHeight="true" outlineLevel="0" collapsed="false">
      <c r="A537" s="15" t="n">
        <f aca="false">Report!C730</f>
        <v>46209</v>
      </c>
      <c r="B537" s="1" t="str">
        <f aca="false">Report!E730</f>
        <v>FRANCISCO HELIO SERAFIM DE AZEVEDO</v>
      </c>
      <c r="C537" s="16" t="n">
        <f aca="false">Report!U730</f>
        <v>600</v>
      </c>
      <c r="D537" s="1" t="str">
        <f aca="false">Report!X730</f>
        <v>ADIANTAMENTO ANTEC 30/6 JULHO/2026</v>
      </c>
    </row>
    <row r="538" customFormat="false" ht="12.75" hidden="false" customHeight="true" outlineLevel="0" collapsed="false">
      <c r="A538" s="15" t="n">
        <f aca="false">Report!C731</f>
        <v>46210</v>
      </c>
      <c r="B538" s="1" t="str">
        <f aca="false">Report!E731</f>
        <v>SEM FORNECEDOR</v>
      </c>
      <c r="C538" s="16" t="n">
        <f aca="false">Report!U731</f>
        <v>70</v>
      </c>
      <c r="D538" s="1" t="str">
        <f aca="false">Report!X731</f>
        <v>extra idelma</v>
      </c>
    </row>
    <row r="539" customFormat="false" ht="12.75" hidden="false" customHeight="true" outlineLevel="0" collapsed="false">
      <c r="A539" s="15" t="n">
        <f aca="false">Report!C732</f>
        <v>46210</v>
      </c>
      <c r="B539" s="1" t="str">
        <f aca="false">Report!E732</f>
        <v>SEM FORNECEDOR</v>
      </c>
      <c r="C539" s="16" t="n">
        <f aca="false">Report!U732</f>
        <v>70</v>
      </c>
      <c r="D539" s="1" t="str">
        <f aca="false">Report!X732</f>
        <v>extra helio</v>
      </c>
    </row>
    <row r="540" customFormat="false" ht="12.75" hidden="false" customHeight="true" outlineLevel="0" collapsed="false">
      <c r="A540" s="15" t="n">
        <f aca="false">Report!C733</f>
        <v>46210</v>
      </c>
      <c r="B540" s="1" t="str">
        <f aca="false">Report!E733</f>
        <v>SEM FORNECEDOR</v>
      </c>
      <c r="C540" s="16" t="n">
        <f aca="false">Report!U733</f>
        <v>1900</v>
      </c>
      <c r="D540" s="1" t="str">
        <f aca="false">Report!X733</f>
        <v>Depósito ref. 07/07/2026</v>
      </c>
    </row>
    <row r="541" customFormat="false" ht="12.75" hidden="false" customHeight="true" outlineLevel="0" collapsed="false">
      <c r="A541" s="15" t="n">
        <f aca="false">Report!C734</f>
        <v>46210</v>
      </c>
      <c r="B541" s="1" t="str">
        <f aca="false">Report!E734</f>
        <v>BF COMERCIO DE ALIMENTOS REPRESENTACAO L</v>
      </c>
      <c r="C541" s="16" t="n">
        <f aca="false">Report!U734</f>
        <v>303.19</v>
      </c>
      <c r="D541" s="1" t="str">
        <f aca="false">Report!X734</f>
        <v>NF 20868 ELLEN</v>
      </c>
    </row>
    <row r="542" customFormat="false" ht="12.75" hidden="false" customHeight="true" outlineLevel="0" collapsed="false">
      <c r="A542" s="15" t="n">
        <f aca="false">Report!C735</f>
        <v>46210</v>
      </c>
      <c r="B542" s="1" t="str">
        <f aca="false">Report!E735</f>
        <v>BONNA VITTA INDUSTRIA E COMERCIO LTDA.</v>
      </c>
      <c r="C542" s="16" t="n">
        <f aca="false">Report!U735</f>
        <v>642.4</v>
      </c>
      <c r="D542" s="1" t="str">
        <f aca="false">Report!X735</f>
        <v>NF 518105 ELLEN</v>
      </c>
    </row>
    <row r="543" customFormat="false" ht="12.75" hidden="false" customHeight="true" outlineLevel="0" collapsed="false">
      <c r="A543" s="15" t="n">
        <f aca="false">Report!C736</f>
        <v>46210</v>
      </c>
      <c r="B543" s="1" t="str">
        <f aca="false">Report!E736</f>
        <v>INNOVAR DISTRIBUIDORA DE COSMETICOS E MEDICAMENTOS LTDA</v>
      </c>
      <c r="C543" s="16" t="n">
        <f aca="false">Report!U736</f>
        <v>360.24</v>
      </c>
      <c r="D543" s="1" t="str">
        <f aca="false">Report!X736</f>
        <v>NF 102727 ELLEN</v>
      </c>
    </row>
    <row r="544" customFormat="false" ht="12.75" hidden="false" customHeight="true" outlineLevel="0" collapsed="false">
      <c r="A544" s="15" t="n">
        <f aca="false">Report!C737</f>
        <v>46210</v>
      </c>
      <c r="B544" s="1" t="str">
        <f aca="false">Report!E737</f>
        <v>BONNA VITTA INDUSTRIA E COMERCIO LTDA.</v>
      </c>
      <c r="C544" s="16" t="n">
        <f aca="false">Report!U737</f>
        <v>684</v>
      </c>
      <c r="D544" s="1" t="str">
        <f aca="false">Report!X737</f>
        <v>NF 518753 ELLEN</v>
      </c>
    </row>
    <row r="545" customFormat="false" ht="12.75" hidden="false" customHeight="true" outlineLevel="0" collapsed="false">
      <c r="A545" s="15" t="n">
        <f aca="false">Report!C738</f>
        <v>46210</v>
      </c>
      <c r="B545" s="1" t="str">
        <f aca="false">Report!E738</f>
        <v>NATUREZA COMERCIO DE DESCARTAVEIS LTDA</v>
      </c>
      <c r="C545" s="16" t="n">
        <f aca="false">Report!U738</f>
        <v>326.84</v>
      </c>
      <c r="D545" s="1" t="str">
        <f aca="false">Report!X738</f>
        <v>NF 729265 ELLEN</v>
      </c>
    </row>
    <row r="546" customFormat="false" ht="12.75" hidden="false" customHeight="true" outlineLevel="0" collapsed="false">
      <c r="A546" s="15" t="n">
        <f aca="false">Report!C739</f>
        <v>46210</v>
      </c>
      <c r="B546" s="1" t="str">
        <f aca="false">Report!E739</f>
        <v>BRASIL NORTE BEBIDAS S/A</v>
      </c>
      <c r="C546" s="16" t="n">
        <f aca="false">Report!U739</f>
        <v>22.95</v>
      </c>
      <c r="D546" s="1" t="str">
        <f aca="false">Report!X739</f>
        <v>NF 1170564 ELLEN</v>
      </c>
    </row>
    <row r="547" customFormat="false" ht="12.75" hidden="false" customHeight="true" outlineLevel="0" collapsed="false">
      <c r="A547" s="15" t="n">
        <f aca="false">Report!C740</f>
        <v>46210</v>
      </c>
      <c r="B547" s="1" t="str">
        <f aca="false">Report!E740</f>
        <v>BRASIL NORTE BEBIDAS S/A</v>
      </c>
      <c r="C547" s="16" t="n">
        <f aca="false">Report!U740</f>
        <v>840.06</v>
      </c>
      <c r="D547" s="1" t="str">
        <f aca="false">Report!X740</f>
        <v>NF 1893322 ELLEN</v>
      </c>
    </row>
    <row r="548" customFormat="false" ht="12.75" hidden="false" customHeight="true" outlineLevel="0" collapsed="false">
      <c r="A548" s="15" t="n">
        <f aca="false">Report!C741</f>
        <v>46210</v>
      </c>
      <c r="B548" s="1" t="str">
        <f aca="false">Report!E741</f>
        <v>BRASIL NORTE BEBIDAS S/A</v>
      </c>
      <c r="C548" s="16" t="n">
        <f aca="false">Report!U741</f>
        <v>2287.85</v>
      </c>
      <c r="D548" s="1" t="str">
        <f aca="false">Report!X741</f>
        <v>NF 1171501 ELLEN</v>
      </c>
    </row>
    <row r="549" customFormat="false" ht="12.75" hidden="false" customHeight="true" outlineLevel="0" collapsed="false">
      <c r="A549" s="15" t="n">
        <f aca="false">Report!C742</f>
        <v>46210</v>
      </c>
      <c r="B549" s="1" t="str">
        <f aca="false">Report!E742</f>
        <v>BRASIL NORTE BEBIDAS S/A</v>
      </c>
      <c r="C549" s="16" t="n">
        <f aca="false">Report!U742</f>
        <v>97.97</v>
      </c>
      <c r="D549" s="1" t="n">
        <f aca="false">Report!X742</f>
        <v>0</v>
      </c>
    </row>
    <row r="550" customFormat="false" ht="12.75" hidden="false" customHeight="true" outlineLevel="0" collapsed="false">
      <c r="A550" s="15" t="n">
        <f aca="false">Report!C743</f>
        <v>46210</v>
      </c>
      <c r="B550" s="1" t="str">
        <f aca="false">Report!E743</f>
        <v>P. S. DA C. AMORIM LTDA</v>
      </c>
      <c r="C550" s="16" t="n">
        <f aca="false">Report!U743</f>
        <v>317.66</v>
      </c>
      <c r="D550" s="1" t="str">
        <f aca="false">Report!X743</f>
        <v>NF 2453 DESPESAS - BANDEJA/LUVAS - ELLEN</v>
      </c>
    </row>
    <row r="551" customFormat="false" ht="12.75" hidden="false" customHeight="true" outlineLevel="0" collapsed="false">
      <c r="A551" s="15" t="n">
        <f aca="false">Report!C744</f>
        <v>46210</v>
      </c>
      <c r="B551" s="1" t="str">
        <f aca="false">Report!E744</f>
        <v>NESTLÉ BRASIL LTDA.</v>
      </c>
      <c r="C551" s="16" t="n">
        <f aca="false">Report!U744</f>
        <v>418.83</v>
      </c>
      <c r="D551" s="1" t="str">
        <f aca="false">Report!X744</f>
        <v>NF 1420058 ELLEN</v>
      </c>
    </row>
    <row r="552" customFormat="false" ht="12.75" hidden="false" customHeight="true" outlineLevel="0" collapsed="false">
      <c r="A552" s="15" t="n">
        <f aca="false">Report!C745</f>
        <v>46210</v>
      </c>
      <c r="B552" s="1" t="str">
        <f aca="false">Report!E745</f>
        <v>H. L. DO NASCIMENTO</v>
      </c>
      <c r="C552" s="16" t="n">
        <f aca="false">Report!U745</f>
        <v>358.65</v>
      </c>
      <c r="D552" s="1" t="str">
        <f aca="false">Report!X745</f>
        <v>NF 5720 ELLEN</v>
      </c>
    </row>
    <row r="553" customFormat="false" ht="12.75" hidden="false" customHeight="true" outlineLevel="0" collapsed="false">
      <c r="A553" s="15" t="n">
        <f aca="false">Report!C746</f>
        <v>46210</v>
      </c>
      <c r="B553" s="1" t="str">
        <f aca="false">Report!E746</f>
        <v>JAB COMERCIO DE PRODUTOS ALIMENTICIOS LT</v>
      </c>
      <c r="C553" s="16" t="n">
        <f aca="false">Report!U746</f>
        <v>122</v>
      </c>
      <c r="D553" s="1" t="str">
        <f aca="false">Report!X746</f>
        <v>NF 3453 ELLEN</v>
      </c>
    </row>
    <row r="554" customFormat="false" ht="12.75" hidden="false" customHeight="true" outlineLevel="0" collapsed="false">
      <c r="A554" s="15" t="n">
        <f aca="false">Report!C747</f>
        <v>46210</v>
      </c>
      <c r="B554" s="1" t="str">
        <f aca="false">Report!E747</f>
        <v>SAO JOSE COMERCIO DE LATICINIOS E FRIOS</v>
      </c>
      <c r="C554" s="16" t="n">
        <f aca="false">Report!U747</f>
        <v>589.5</v>
      </c>
      <c r="D554" s="1" t="str">
        <f aca="false">Report!X747</f>
        <v>NF 3507 ELLEN</v>
      </c>
    </row>
    <row r="555" customFormat="false" ht="12.75" hidden="false" customHeight="true" outlineLevel="0" collapsed="false">
      <c r="A555" s="15" t="n">
        <f aca="false">Report!C748</f>
        <v>46210</v>
      </c>
      <c r="B555" s="1" t="str">
        <f aca="false">Report!E748</f>
        <v>SILVA E SANTOS FRIGORIFICO LTDA</v>
      </c>
      <c r="C555" s="16" t="n">
        <f aca="false">Report!U748</f>
        <v>3140</v>
      </c>
      <c r="D555" s="1" t="str">
        <f aca="false">Report!X748</f>
        <v>NF 31492 ELLEN</v>
      </c>
    </row>
    <row r="556" customFormat="false" ht="12.75" hidden="false" customHeight="true" outlineLevel="0" collapsed="false">
      <c r="A556" s="15" t="n">
        <f aca="false">Report!C749</f>
        <v>46210</v>
      </c>
      <c r="B556" s="1" t="str">
        <f aca="false">Report!E749</f>
        <v>NOVA FRIOS COMERCIO ATACADISTA DE LATICINIOS LTDA</v>
      </c>
      <c r="C556" s="16" t="n">
        <f aca="false">Report!U749</f>
        <v>236.18</v>
      </c>
      <c r="D556" s="1" t="str">
        <f aca="false">Report!X749</f>
        <v>NF 3933 ELLEN</v>
      </c>
    </row>
    <row r="557" customFormat="false" ht="12.75" hidden="false" customHeight="true" outlineLevel="0" collapsed="false">
      <c r="A557" s="15" t="n">
        <f aca="false">Report!C750</f>
        <v>46210</v>
      </c>
      <c r="B557" s="1" t="str">
        <f aca="false">Report!E750</f>
        <v>ADICSO FABIAN GONZALEZ MONTILLA 70302186</v>
      </c>
      <c r="C557" s="16" t="n">
        <f aca="false">Report!U750</f>
        <v>240</v>
      </c>
      <c r="D557" s="1" t="str">
        <f aca="false">Report!X750</f>
        <v>NF 520 ELLEN</v>
      </c>
    </row>
    <row r="558" customFormat="false" ht="12.75" hidden="false" customHeight="true" outlineLevel="0" collapsed="false">
      <c r="A558" s="15" t="n">
        <f aca="false">Report!C751</f>
        <v>46210</v>
      </c>
      <c r="B558" s="1" t="str">
        <f aca="false">Report!E751</f>
        <v>NEYLIANE S DE OLIVEIRA &amp; CIA LTDA</v>
      </c>
      <c r="C558" s="16" t="n">
        <f aca="false">Report!U751</f>
        <v>2024.65</v>
      </c>
      <c r="D558" s="1" t="str">
        <f aca="false">Report!X751</f>
        <v>FEIRA SR RENATO - PG P LJ1 - ELLEN</v>
      </c>
    </row>
    <row r="559" customFormat="false" ht="12.75" hidden="false" customHeight="true" outlineLevel="0" collapsed="false">
      <c r="A559" s="15" t="n">
        <f aca="false">Report!C752</f>
        <v>46210</v>
      </c>
      <c r="B559" s="1" t="str">
        <f aca="false">Report!E752</f>
        <v>FEIRA</v>
      </c>
      <c r="C559" s="16" t="n">
        <f aca="false">Report!U752</f>
        <v>220</v>
      </c>
      <c r="D559" s="1" t="str">
        <f aca="false">Report!X752</f>
        <v>FEIRA SR RENATO - MACA/UVA-PG P LJ1 -SOMAR C NF2528-ELLEN</v>
      </c>
    </row>
    <row r="560" customFormat="false" ht="12.75" hidden="false" customHeight="true" outlineLevel="0" collapsed="false">
      <c r="A560" s="15" t="n">
        <f aca="false">Report!C753</f>
        <v>46210</v>
      </c>
      <c r="B560" s="1" t="str">
        <f aca="false">Report!E753</f>
        <v>OI S.A</v>
      </c>
      <c r="C560" s="16" t="n">
        <f aca="false">Report!U753</f>
        <v>119.97</v>
      </c>
      <c r="D560" s="1" t="str">
        <f aca="false">Report!X753</f>
        <v>INTERNET MO2 - KEILA</v>
      </c>
    </row>
    <row r="561" customFormat="false" ht="12.75" hidden="false" customHeight="true" outlineLevel="0" collapsed="false">
      <c r="A561" s="15" t="n">
        <f aca="false">Report!C754</f>
        <v>46210</v>
      </c>
      <c r="B561" s="1" t="str">
        <f aca="false">Report!E754</f>
        <v>H L M PADARIA E CONFEITARIA LTDA</v>
      </c>
      <c r="C561" s="16" t="n">
        <f aca="false">Report!U754</f>
        <v>120</v>
      </c>
      <c r="D561" s="1" t="str">
        <f aca="false">Report!X754</f>
        <v>NF 18 COMPRAS-BOLO PG NO P 7/7/26 ELLEN</v>
      </c>
    </row>
    <row r="562" customFormat="false" ht="12.75" hidden="false" customHeight="true" outlineLevel="0" collapsed="false">
      <c r="A562" s="15" t="n">
        <f aca="false">Report!C755</f>
        <v>46211</v>
      </c>
      <c r="B562" s="1" t="str">
        <f aca="false">Report!E755</f>
        <v>SEM FORNECEDOR</v>
      </c>
      <c r="C562" s="16" t="n">
        <f aca="false">Report!U755</f>
        <v>164.5</v>
      </c>
      <c r="D562" s="1" t="str">
        <f aca="false">Report!X755</f>
        <v>Pag de título:  Forn: 10092-L. DOS SANTOS PIMENTEL LTDA. Tit: 294-01</v>
      </c>
    </row>
    <row r="563" customFormat="false" ht="12.75" hidden="false" customHeight="true" outlineLevel="0" collapsed="false">
      <c r="A563" s="15" t="n">
        <f aca="false">Report!C756</f>
        <v>46211</v>
      </c>
      <c r="B563" s="1" t="str">
        <f aca="false">Report!E756</f>
        <v>SEM FORNECEDOR</v>
      </c>
      <c r="C563" s="16" t="n">
        <f aca="false">Report!U756</f>
        <v>72</v>
      </c>
      <c r="D563" s="1" t="str">
        <f aca="false">Report!X756</f>
        <v>4 bandejas de brigadeiro/jose</v>
      </c>
    </row>
    <row r="564" customFormat="false" ht="12.75" hidden="false" customHeight="true" outlineLevel="0" collapsed="false">
      <c r="A564" s="15" t="n">
        <f aca="false">Report!C757</f>
        <v>46211</v>
      </c>
      <c r="B564" s="1" t="str">
        <f aca="false">Report!E757</f>
        <v>SEM FORNECEDOR</v>
      </c>
      <c r="C564" s="16" t="n">
        <f aca="false">Report!U757</f>
        <v>1850</v>
      </c>
      <c r="D564" s="1" t="str">
        <f aca="false">Report!X757</f>
        <v>Depósito ref. 08/07/2026</v>
      </c>
    </row>
    <row r="565" customFormat="false" ht="12.75" hidden="false" customHeight="true" outlineLevel="0" collapsed="false">
      <c r="A565" s="15" t="n">
        <f aca="false">Report!C758</f>
        <v>46211</v>
      </c>
      <c r="B565" s="1" t="str">
        <f aca="false">Report!E758</f>
        <v>ADRIANA DISTRIBUIDORA DE PRODUTOS ALIMEN</v>
      </c>
      <c r="C565" s="16" t="n">
        <f aca="false">Report!U758</f>
        <v>589.08</v>
      </c>
      <c r="D565" s="1" t="str">
        <f aca="false">Report!X758</f>
        <v>NF 878758 ELLEN</v>
      </c>
    </row>
    <row r="566" customFormat="false" ht="12.75" hidden="false" customHeight="true" outlineLevel="0" collapsed="false">
      <c r="A566" s="15" t="n">
        <f aca="false">Report!C759</f>
        <v>46211</v>
      </c>
      <c r="B566" s="1" t="str">
        <f aca="false">Report!E759</f>
        <v>FUNNY PET DISTRIBUIDORA DE ALIMENTOS PAR</v>
      </c>
      <c r="C566" s="16" t="n">
        <f aca="false">Report!U759</f>
        <v>1589.28</v>
      </c>
      <c r="D566" s="1" t="str">
        <f aca="false">Report!X759</f>
        <v>NF 20499 ELLEN</v>
      </c>
    </row>
    <row r="567" customFormat="false" ht="12.75" hidden="false" customHeight="true" outlineLevel="0" collapsed="false">
      <c r="A567" s="15" t="n">
        <f aca="false">Report!C760</f>
        <v>46211</v>
      </c>
      <c r="B567" s="1" t="str">
        <f aca="false">Report!E760</f>
        <v>OESA COMERCIO E REPRESENTACOES S/A</v>
      </c>
      <c r="C567" s="16" t="n">
        <f aca="false">Report!U760</f>
        <v>61.58</v>
      </c>
      <c r="D567" s="1" t="str">
        <f aca="false">Report!X760</f>
        <v>NF 416678 ELLEN</v>
      </c>
    </row>
    <row r="568" customFormat="false" ht="12.75" hidden="false" customHeight="true" outlineLevel="0" collapsed="false">
      <c r="A568" s="15" t="n">
        <f aca="false">Report!C761</f>
        <v>46211</v>
      </c>
      <c r="B568" s="1" t="str">
        <f aca="false">Report!E761</f>
        <v>TRES CORACOES ALIMENTOS S.A.</v>
      </c>
      <c r="C568" s="16" t="n">
        <f aca="false">Report!U761</f>
        <v>877.29</v>
      </c>
      <c r="D568" s="1" t="str">
        <f aca="false">Report!X761</f>
        <v>NF 346452 ELLEN</v>
      </c>
    </row>
    <row r="569" customFormat="false" ht="12.75" hidden="false" customHeight="true" outlineLevel="0" collapsed="false">
      <c r="A569" s="15" t="n">
        <f aca="false">Report!C762</f>
        <v>46211</v>
      </c>
      <c r="B569" s="1" t="str">
        <f aca="false">Report!E762</f>
        <v>AUGUSTA E BOMFIM LTDA</v>
      </c>
      <c r="C569" s="16" t="n">
        <f aca="false">Report!U762</f>
        <v>920</v>
      </c>
      <c r="D569" s="1" t="str">
        <f aca="false">Report!X762</f>
        <v>NF 184 DESPESAS - BOBINA/ETIQUETA - ELLEN</v>
      </c>
    </row>
    <row r="570" customFormat="false" ht="12.75" hidden="false" customHeight="true" outlineLevel="0" collapsed="false">
      <c r="A570" s="15" t="n">
        <f aca="false">Report!C763</f>
        <v>46211</v>
      </c>
      <c r="B570" s="1" t="str">
        <f aca="false">Report!E763</f>
        <v>NATUREZA COMERCIO DE DESCARTAVEIS LTDA</v>
      </c>
      <c r="C570" s="16" t="n">
        <f aca="false">Report!U763</f>
        <v>381.51</v>
      </c>
      <c r="D570" s="1" t="str">
        <f aca="false">Report!X763</f>
        <v>NF 729799 ELLEN</v>
      </c>
    </row>
    <row r="571" customFormat="false" ht="12.75" hidden="false" customHeight="true" outlineLevel="0" collapsed="false">
      <c r="A571" s="15" t="n">
        <f aca="false">Report!C764</f>
        <v>46211</v>
      </c>
      <c r="B571" s="1" t="str">
        <f aca="false">Report!E764</f>
        <v>COARI DISTRIBUIDORA DE BEBIDAS LTDA</v>
      </c>
      <c r="C571" s="16" t="n">
        <f aca="false">Report!U764</f>
        <v>324.43</v>
      </c>
      <c r="D571" s="1" t="str">
        <f aca="false">Report!X764</f>
        <v>NF 252 ELLEN</v>
      </c>
    </row>
    <row r="572" customFormat="false" ht="12.75" hidden="false" customHeight="true" outlineLevel="0" collapsed="false">
      <c r="A572" s="15" t="n">
        <f aca="false">Report!C765</f>
        <v>46211</v>
      </c>
      <c r="B572" s="1" t="str">
        <f aca="false">Report!E765</f>
        <v>BRF S A</v>
      </c>
      <c r="C572" s="16" t="n">
        <f aca="false">Report!U765</f>
        <v>671.15</v>
      </c>
      <c r="D572" s="1" t="str">
        <f aca="false">Report!X765</f>
        <v>NF 1598763 ELLEN</v>
      </c>
    </row>
    <row r="573" customFormat="false" ht="12.75" hidden="false" customHeight="true" outlineLevel="0" collapsed="false">
      <c r="A573" s="15" t="n">
        <f aca="false">Report!C766</f>
        <v>46211</v>
      </c>
      <c r="B573" s="1" t="str">
        <f aca="false">Report!E766</f>
        <v>D DE J SANTOS LTDA</v>
      </c>
      <c r="C573" s="16" t="n">
        <f aca="false">Report!U766</f>
        <v>845</v>
      </c>
      <c r="D573" s="1" t="str">
        <f aca="false">Report!X766</f>
        <v>NF 253 ELLEN</v>
      </c>
    </row>
    <row r="574" customFormat="false" ht="12.75" hidden="false" customHeight="true" outlineLevel="0" collapsed="false">
      <c r="A574" s="15" t="n">
        <f aca="false">Report!C767</f>
        <v>46211</v>
      </c>
      <c r="B574" s="1" t="str">
        <f aca="false">Report!E767</f>
        <v>J G COMERCIO DE PRODUTOS ALIMENTICIOS LTDA</v>
      </c>
      <c r="C574" s="16" t="n">
        <f aca="false">Report!U767</f>
        <v>314.44</v>
      </c>
      <c r="D574" s="1" t="str">
        <f aca="false">Report!X767</f>
        <v>NF 388857 ELLEN</v>
      </c>
    </row>
    <row r="575" customFormat="false" ht="12.75" hidden="false" customHeight="true" outlineLevel="0" collapsed="false">
      <c r="A575" s="15" t="n">
        <f aca="false">Report!C768</f>
        <v>46211</v>
      </c>
      <c r="B575" s="1" t="str">
        <f aca="false">Report!E768</f>
        <v>ORIENTE COM. ATACADISTA E REPRES. LTDA</v>
      </c>
      <c r="C575" s="16" t="n">
        <f aca="false">Report!U768</f>
        <v>1159.5</v>
      </c>
      <c r="D575" s="1" t="str">
        <f aca="false">Report!X768</f>
        <v>NF 1996 ELLEN</v>
      </c>
    </row>
    <row r="576" customFormat="false" ht="12.75" hidden="false" customHeight="true" outlineLevel="0" collapsed="false">
      <c r="A576" s="15" t="n">
        <f aca="false">Report!C769</f>
        <v>46211</v>
      </c>
      <c r="B576" s="1" t="str">
        <f aca="false">Report!E769</f>
        <v>BRF S A</v>
      </c>
      <c r="C576" s="16" t="n">
        <f aca="false">Report!U769</f>
        <v>1881.47</v>
      </c>
      <c r="D576" s="1" t="str">
        <f aca="false">Report!X769</f>
        <v>NF 1600681 ELLEN</v>
      </c>
    </row>
    <row r="577" customFormat="false" ht="12.75" hidden="false" customHeight="true" outlineLevel="0" collapsed="false">
      <c r="A577" s="15" t="n">
        <f aca="false">Report!C770</f>
        <v>46211</v>
      </c>
      <c r="B577" s="1" t="str">
        <f aca="false">Report!E770</f>
        <v>PANIFICADORA E CONFEITARIA REAL MADRI LTDA</v>
      </c>
      <c r="C577" s="16" t="n">
        <f aca="false">Report!U770</f>
        <v>379.6</v>
      </c>
      <c r="D577" s="1" t="str">
        <f aca="false">Report!X770</f>
        <v>NF 698 ELLEN</v>
      </c>
    </row>
    <row r="578" customFormat="false" ht="12.75" hidden="false" customHeight="true" outlineLevel="0" collapsed="false">
      <c r="A578" s="15" t="n">
        <f aca="false">Report!C771</f>
        <v>46211</v>
      </c>
      <c r="B578" s="1" t="str">
        <f aca="false">Report!E771</f>
        <v>RENATO DE O AZEVEDO E CIA LTDA</v>
      </c>
      <c r="C578" s="16" t="n">
        <f aca="false">Report!U771</f>
        <v>96.97</v>
      </c>
      <c r="D578" s="1" t="str">
        <f aca="false">Report!X771</f>
        <v>DESPESA DROGARIA MEDICAMENTO - KEILA</v>
      </c>
    </row>
    <row r="579" customFormat="false" ht="12.75" hidden="false" customHeight="true" outlineLevel="0" collapsed="false">
      <c r="A579" s="15" t="n">
        <f aca="false">Report!C772</f>
        <v>46211</v>
      </c>
      <c r="B579" s="1" t="str">
        <f aca="false">Report!E772</f>
        <v>L. DOS SANTOS PIMENTEL LTDA</v>
      </c>
      <c r="C579" s="16" t="n">
        <f aca="false">Report!U772</f>
        <v>164.5</v>
      </c>
      <c r="D579" s="1" t="str">
        <f aca="false">Report!X772</f>
        <v>NF 294 COMPRAS-IOGURTE CASEIRO-ELLEN</v>
      </c>
    </row>
    <row r="580" customFormat="false" ht="12.75" hidden="false" customHeight="true" outlineLevel="0" collapsed="false">
      <c r="A580" s="15" t="n">
        <f aca="false">Report!C774</f>
        <v>46212</v>
      </c>
      <c r="B580" s="1" t="str">
        <f aca="false">Report!E774</f>
        <v>SEM FORNECEDOR</v>
      </c>
      <c r="C580" s="16" t="n">
        <f aca="false">Report!U774</f>
        <v>192</v>
      </c>
      <c r="D580" s="1" t="str">
        <f aca="false">Report!X774</f>
        <v>queijo coalho/valdirlan</v>
      </c>
    </row>
    <row r="581" customFormat="false" ht="12.75" hidden="false" customHeight="true" outlineLevel="0" collapsed="false">
      <c r="A581" s="15" t="n">
        <f aca="false">Report!C775</f>
        <v>46212</v>
      </c>
      <c r="B581" s="1" t="str">
        <f aca="false">Report!E775</f>
        <v>SEM FORNECEDOR</v>
      </c>
      <c r="C581" s="16" t="n">
        <f aca="false">Report!U775</f>
        <v>50</v>
      </c>
      <c r="D581" s="1" t="str">
        <f aca="false">Report!X775</f>
        <v>extra elilton</v>
      </c>
    </row>
    <row r="582" customFormat="false" ht="12.75" hidden="false" customHeight="true" outlineLevel="0" collapsed="false">
      <c r="A582" s="15" t="n">
        <f aca="false">Report!C776</f>
        <v>46212</v>
      </c>
      <c r="B582" s="1" t="str">
        <f aca="false">Report!E776</f>
        <v>SEM FORNECEDOR</v>
      </c>
      <c r="C582" s="16" t="n">
        <f aca="false">Report!U776</f>
        <v>200</v>
      </c>
      <c r="D582" s="1" t="str">
        <f aca="false">Report!X776</f>
        <v>compras-trufas</v>
      </c>
    </row>
    <row r="583" customFormat="false" ht="12.75" hidden="false" customHeight="true" outlineLevel="0" collapsed="false">
      <c r="A583" s="15" t="n">
        <f aca="false">Report!C778</f>
        <v>46212</v>
      </c>
      <c r="B583" s="1" t="str">
        <f aca="false">Report!E778</f>
        <v>DISTRIBUIDORA LOPES LTDA</v>
      </c>
      <c r="C583" s="16" t="n">
        <f aca="false">Report!U778</f>
        <v>478.8</v>
      </c>
      <c r="D583" s="1" t="str">
        <f aca="false">Report!X778</f>
        <v>NF 1671078 ELLEN</v>
      </c>
    </row>
    <row r="584" customFormat="false" ht="12.75" hidden="false" customHeight="true" outlineLevel="0" collapsed="false">
      <c r="A584" s="15" t="n">
        <f aca="false">Report!C779</f>
        <v>46212</v>
      </c>
      <c r="B584" s="1" t="str">
        <f aca="false">Report!E779</f>
        <v>DUNORTE DISTRIBUIDORA DE PRODUTOS DE CONSUMO LTDA</v>
      </c>
      <c r="C584" s="16" t="n">
        <f aca="false">Report!U779</f>
        <v>1105.95</v>
      </c>
      <c r="D584" s="1" t="str">
        <f aca="false">Report!X779</f>
        <v>NF 3201284 ELLEN</v>
      </c>
    </row>
    <row r="585" customFormat="false" ht="12.75" hidden="false" customHeight="true" outlineLevel="0" collapsed="false">
      <c r="A585" s="15" t="n">
        <f aca="false">Report!C780</f>
        <v>46212</v>
      </c>
      <c r="B585" s="1" t="str">
        <f aca="false">Report!E780</f>
        <v>DURAES DISTRIBUIDORA DE ESTIVAS LTDA</v>
      </c>
      <c r="C585" s="16" t="n">
        <f aca="false">Report!U780</f>
        <v>383.47</v>
      </c>
      <c r="D585" s="1" t="str">
        <f aca="false">Report!X780</f>
        <v>NF 645628 ELLEN</v>
      </c>
    </row>
    <row r="586" customFormat="false" ht="12.75" hidden="false" customHeight="true" outlineLevel="0" collapsed="false">
      <c r="A586" s="15" t="n">
        <f aca="false">Report!C781</f>
        <v>46212</v>
      </c>
      <c r="B586" s="1" t="str">
        <f aca="false">Report!E781</f>
        <v>MARTINS COM SERV DISTR SA</v>
      </c>
      <c r="C586" s="16" t="n">
        <f aca="false">Report!U781</f>
        <v>613.33</v>
      </c>
      <c r="D586" s="1" t="str">
        <f aca="false">Report!X781</f>
        <v>NF 1771887 ELLEN</v>
      </c>
    </row>
    <row r="587" customFormat="false" ht="12.75" hidden="false" customHeight="true" outlineLevel="0" collapsed="false">
      <c r="A587" s="15" t="n">
        <f aca="false">Report!C782</f>
        <v>46212</v>
      </c>
      <c r="B587" s="1" t="str">
        <f aca="false">Report!E782</f>
        <v>RISADINHA LTDA</v>
      </c>
      <c r="C587" s="16" t="n">
        <f aca="false">Report!U782</f>
        <v>550.4</v>
      </c>
      <c r="D587" s="1" t="str">
        <f aca="false">Report!X782</f>
        <v>NF 658429 ELLEN</v>
      </c>
    </row>
    <row r="588" customFormat="false" ht="12.75" hidden="false" customHeight="true" outlineLevel="0" collapsed="false">
      <c r="A588" s="15" t="n">
        <f aca="false">Report!C784</f>
        <v>46212</v>
      </c>
      <c r="B588" s="1" t="str">
        <f aca="false">Report!E784</f>
        <v>FH DISTRIBUIDORA DE ALIM. E BEBIDAS LTDA</v>
      </c>
      <c r="C588" s="16" t="n">
        <f aca="false">Report!U784</f>
        <v>496.2</v>
      </c>
      <c r="D588" s="1" t="str">
        <f aca="false">Report!X784</f>
        <v>NF 326863 ELLEN</v>
      </c>
    </row>
    <row r="589" customFormat="false" ht="12.75" hidden="false" customHeight="true" outlineLevel="0" collapsed="false">
      <c r="A589" s="15" t="n">
        <f aca="false">Report!C785</f>
        <v>46212</v>
      </c>
      <c r="B589" s="1" t="str">
        <f aca="false">Report!E785</f>
        <v>J G COMERCIO DE PRODUTOS ALIMENTICIOS LTDA</v>
      </c>
      <c r="C589" s="16" t="n">
        <f aca="false">Report!U785</f>
        <v>2664.54</v>
      </c>
      <c r="D589" s="1" t="str">
        <f aca="false">Report!X785</f>
        <v>NF 387833 ELLEN</v>
      </c>
    </row>
    <row r="590" customFormat="false" ht="12.75" hidden="false" customHeight="true" outlineLevel="0" collapsed="false">
      <c r="A590" s="15" t="n">
        <f aca="false">Report!C788</f>
        <v>46212</v>
      </c>
      <c r="B590" s="1" t="str">
        <f aca="false">Report!E788</f>
        <v>BRASIL NORTE BEBIDAS S/A</v>
      </c>
      <c r="C590" s="16" t="n">
        <f aca="false">Report!U788</f>
        <v>1547.44</v>
      </c>
      <c r="D590" s="1" t="str">
        <f aca="false">Report!X788</f>
        <v>NF 1899276 ELLEN</v>
      </c>
    </row>
    <row r="591" customFormat="false" ht="12.75" hidden="false" customHeight="true" outlineLevel="0" collapsed="false">
      <c r="A591" s="15" t="n">
        <f aca="false">Report!C789</f>
        <v>46212</v>
      </c>
      <c r="B591" s="1" t="str">
        <f aca="false">Report!E789</f>
        <v>BRASIL NORTE BEBIDAS S/A</v>
      </c>
      <c r="C591" s="16" t="n">
        <f aca="false">Report!U789</f>
        <v>124.47</v>
      </c>
      <c r="D591" s="1" t="str">
        <f aca="false">Report!X789</f>
        <v>NF 1175404 ELLEN</v>
      </c>
    </row>
    <row r="592" customFormat="false" ht="12.75" hidden="false" customHeight="true" outlineLevel="0" collapsed="false">
      <c r="A592" s="15" t="n">
        <f aca="false">Report!C790</f>
        <v>46212</v>
      </c>
      <c r="B592" s="1" t="str">
        <f aca="false">Report!E790</f>
        <v>AMERICANA DISTRIBUIDORA DE BEBIDAS E MERCADORIAS LTDA</v>
      </c>
      <c r="C592" s="16" t="n">
        <f aca="false">Report!U790</f>
        <v>155.16</v>
      </c>
      <c r="D592" s="1" t="str">
        <f aca="false">Report!X790</f>
        <v>NF 77922 ELLEN</v>
      </c>
    </row>
    <row r="593" customFormat="false" ht="12.75" hidden="false" customHeight="true" outlineLevel="0" collapsed="false">
      <c r="A593" s="15" t="n">
        <f aca="false">Report!C791</f>
        <v>46212</v>
      </c>
      <c r="B593" s="1" t="str">
        <f aca="false">Report!E791</f>
        <v>J G COMERCIO DE PRODUTOS ALIMENTICIOS LTDA</v>
      </c>
      <c r="C593" s="16" t="n">
        <f aca="false">Report!U791</f>
        <v>2005.45</v>
      </c>
      <c r="D593" s="1" t="str">
        <f aca="false">Report!X791</f>
        <v>NF 390211 ELLEN</v>
      </c>
    </row>
    <row r="594" customFormat="false" ht="12.75" hidden="false" customHeight="true" outlineLevel="0" collapsed="false">
      <c r="A594" s="15" t="n">
        <f aca="false">Report!C792</f>
        <v>46212</v>
      </c>
      <c r="B594" s="1" t="str">
        <f aca="false">Report!E792</f>
        <v>BRAGA TABACARIA EIRELI ME</v>
      </c>
      <c r="C594" s="16" t="n">
        <f aca="false">Report!U792</f>
        <v>1073.2</v>
      </c>
      <c r="D594" s="1" t="str">
        <f aca="false">Report!X792</f>
        <v>NF 18998 ELLEN</v>
      </c>
    </row>
    <row r="595" customFormat="false" ht="12.75" hidden="false" customHeight="true" outlineLevel="0" collapsed="false">
      <c r="A595" s="15" t="n">
        <f aca="false">Report!C796</f>
        <v>46213</v>
      </c>
      <c r="B595" s="1" t="str">
        <f aca="false">Report!E796</f>
        <v>SEM FORNECEDOR</v>
      </c>
      <c r="C595" s="16" t="n">
        <f aca="false">Report!U796</f>
        <v>2500</v>
      </c>
      <c r="D595" s="1" t="str">
        <f aca="false">Report!X796</f>
        <v>Depósito ref. 10/07/2026</v>
      </c>
    </row>
    <row r="596" customFormat="false" ht="12.75" hidden="false" customHeight="true" outlineLevel="0" collapsed="false">
      <c r="A596" s="15" t="n">
        <f aca="false">Report!C798</f>
        <v>46213</v>
      </c>
      <c r="B596" s="1" t="str">
        <f aca="false">Report!E798</f>
        <v>BRYDSON PAIVA DE FREITAS LTDA</v>
      </c>
      <c r="C596" s="16" t="n">
        <f aca="false">Report!U798</f>
        <v>340</v>
      </c>
      <c r="D596" s="1" t="str">
        <f aca="false">Report!X798</f>
        <v>NF 8973 DESPESAS - SSD - PARC 2/2 - ELLEN</v>
      </c>
    </row>
    <row r="597" customFormat="false" ht="12.75" hidden="false" customHeight="true" outlineLevel="0" collapsed="false">
      <c r="A597" s="15" t="n">
        <f aca="false">Report!C800</f>
        <v>46213</v>
      </c>
      <c r="B597" s="1" t="str">
        <f aca="false">Report!E800</f>
        <v>RUAN FERNANDES</v>
      </c>
      <c r="C597" s="16" t="n">
        <f aca="false">Report!U800</f>
        <v>415.26</v>
      </c>
      <c r="D597" s="1" t="str">
        <f aca="false">Report!X800</f>
        <v>MEMORIA PC SERVIDOR MO2 - KEILA</v>
      </c>
    </row>
    <row r="598" customFormat="false" ht="12.75" hidden="false" customHeight="true" outlineLevel="0" collapsed="false">
      <c r="A598" s="15" t="n">
        <f aca="false">Report!C801</f>
        <v>46213</v>
      </c>
      <c r="B598" s="1" t="str">
        <f aca="false">Report!E801</f>
        <v>BRYDSON PAIVA DE FREITAS LTDA</v>
      </c>
      <c r="C598" s="16" t="n">
        <f aca="false">Report!U801</f>
        <v>226.67</v>
      </c>
      <c r="D598" s="1" t="str">
        <f aca="false">Report!X801</f>
        <v>NF 8973 DESPESAS - SSD PARC 02/03 - ELLENAgrupamento de títulos Ref. títulos:  139909-01 (340,00), 139909-02 (340,00), </v>
      </c>
    </row>
    <row r="599" customFormat="false" ht="12.75" hidden="false" customHeight="true" outlineLevel="0" collapsed="false">
      <c r="A599" s="15" t="n">
        <f aca="false">Report!C802</f>
        <v>46213</v>
      </c>
      <c r="B599" s="1" t="str">
        <f aca="false">Report!E802</f>
        <v>DISTRIBUIDORA FARIAS LTDA.</v>
      </c>
      <c r="C599" s="16" t="n">
        <f aca="false">Report!U802</f>
        <v>1055.34</v>
      </c>
      <c r="D599" s="1" t="str">
        <f aca="false">Report!X802</f>
        <v>NF 674937 ELLEN</v>
      </c>
    </row>
    <row r="600" customFormat="false" ht="12.75" hidden="false" customHeight="true" outlineLevel="0" collapsed="false">
      <c r="A600" s="15" t="n">
        <f aca="false">Report!C803</f>
        <v>46213</v>
      </c>
      <c r="B600" s="1" t="str">
        <f aca="false">Report!E803</f>
        <v>RENATO DE O AZEVEDO E CIA LTDA - EPP</v>
      </c>
      <c r="C600" s="16" t="n">
        <f aca="false">Report!U803</f>
        <v>666.67</v>
      </c>
      <c r="D600" s="1" t="str">
        <f aca="false">Report!X803</f>
        <v>MENSALIDADE CONCILIACAO SISTEMA CISS</v>
      </c>
    </row>
    <row r="601" customFormat="false" ht="12.75" hidden="false" customHeight="true" outlineLevel="0" collapsed="false">
      <c r="A601" s="15" t="n">
        <f aca="false">Report!C804</f>
        <v>46213</v>
      </c>
      <c r="B601" s="1" t="str">
        <f aca="false">Report!E804</f>
        <v>OESA COMERCIO E REPRESENTACOES S/A</v>
      </c>
      <c r="C601" s="16" t="n">
        <f aca="false">Report!U804</f>
        <v>620</v>
      </c>
      <c r="D601" s="1" t="str">
        <f aca="false">Report!X804</f>
        <v>NF 419092 ELLEN</v>
      </c>
    </row>
    <row r="602" customFormat="false" ht="12.75" hidden="false" customHeight="true" outlineLevel="0" collapsed="false">
      <c r="A602" s="15" t="n">
        <f aca="false">Report!C805</f>
        <v>46213</v>
      </c>
      <c r="B602" s="1" t="str">
        <f aca="false">Report!E805</f>
        <v>DISTRIBUIDORA LOPES LTDA</v>
      </c>
      <c r="C602" s="16" t="n">
        <f aca="false">Report!U805</f>
        <v>1154.88</v>
      </c>
      <c r="D602" s="1" t="str">
        <f aca="false">Report!X805</f>
        <v>NF 1676804 ELLEN</v>
      </c>
    </row>
    <row r="603" customFormat="false" ht="12.75" hidden="false" customHeight="true" outlineLevel="0" collapsed="false">
      <c r="A603" s="15" t="n">
        <f aca="false">Report!C806</f>
        <v>46213</v>
      </c>
      <c r="B603" s="1" t="str">
        <f aca="false">Report!E806</f>
        <v>BRAGA TABACARIA EIRELI ME</v>
      </c>
      <c r="C603" s="16" t="n">
        <f aca="false">Report!U806</f>
        <v>1433.64</v>
      </c>
      <c r="D603" s="1" t="str">
        <f aca="false">Report!X806</f>
        <v>NF 18762 ELLEN</v>
      </c>
    </row>
    <row r="604" customFormat="false" ht="12.75" hidden="false" customHeight="true" outlineLevel="0" collapsed="false">
      <c r="A604" s="15" t="n">
        <f aca="false">Report!C807</f>
        <v>46213</v>
      </c>
      <c r="B604" s="1" t="str">
        <f aca="false">Report!E807</f>
        <v>AGM INDUSTRIA COMERCIO E REPRESENTACAO LTDA</v>
      </c>
      <c r="C604" s="16" t="n">
        <f aca="false">Report!U807</f>
        <v>603.5</v>
      </c>
      <c r="D604" s="1" t="str">
        <f aca="false">Report!X807</f>
        <v>NF 47502 ELLEN</v>
      </c>
    </row>
    <row r="605" customFormat="false" ht="12.75" hidden="false" customHeight="true" outlineLevel="0" collapsed="false">
      <c r="A605" s="15" t="n">
        <f aca="false">Report!C808</f>
        <v>46213</v>
      </c>
      <c r="B605" s="1" t="str">
        <f aca="false">Report!E808</f>
        <v>AGM COMERCIO E DISTRIBUIDORA DE MATERIAS DE PERFUMARIA E LIMPEZA LTDA</v>
      </c>
      <c r="C605" s="16" t="n">
        <f aca="false">Report!U808</f>
        <v>592.5</v>
      </c>
      <c r="D605" s="1" t="str">
        <f aca="false">Report!X808</f>
        <v>NF 161137 ELLEN</v>
      </c>
    </row>
    <row r="606" customFormat="false" ht="12.75" hidden="false" customHeight="true" outlineLevel="0" collapsed="false">
      <c r="A606" s="15" t="n">
        <f aca="false">Report!C809</f>
        <v>46213</v>
      </c>
      <c r="B606" s="1" t="str">
        <f aca="false">Report!E809</f>
        <v>E. D. SENA &amp; CIA LTDA</v>
      </c>
      <c r="C606" s="16" t="n">
        <f aca="false">Report!U809</f>
        <v>531.2</v>
      </c>
      <c r="D606" s="1" t="str">
        <f aca="false">Report!X809</f>
        <v>NF 9495 ELLEN</v>
      </c>
    </row>
    <row r="607" customFormat="false" ht="12.75" hidden="false" customHeight="true" outlineLevel="0" collapsed="false">
      <c r="A607" s="15" t="n">
        <f aca="false">Report!C810</f>
        <v>46213</v>
      </c>
      <c r="B607" s="1" t="str">
        <f aca="false">Report!E810</f>
        <v>GLG COMERCIO E INDUSTRIA DO VESTUARIO LTDA</v>
      </c>
      <c r="C607" s="16" t="n">
        <f aca="false">Report!U810</f>
        <v>160</v>
      </c>
      <c r="D607" s="1" t="str">
        <f aca="false">Report!X810</f>
        <v>CALCA UNIFORME ACOUGUEIROS MO2 - KEILA</v>
      </c>
    </row>
    <row r="608" customFormat="false" ht="12.75" hidden="false" customHeight="true" outlineLevel="0" collapsed="false">
      <c r="A608" s="15" t="n">
        <f aca="false">Report!C811</f>
        <v>46213</v>
      </c>
      <c r="B608" s="1" t="str">
        <f aca="false">Report!E811</f>
        <v>L S M COMERCIO DE ALIMENTOS E NAVEGACAO</v>
      </c>
      <c r="C608" s="16" t="n">
        <f aca="false">Report!U811</f>
        <v>1184.07</v>
      </c>
      <c r="D608" s="1" t="str">
        <f aca="false">Report!X811</f>
        <v>NF 305929 ELLEN</v>
      </c>
    </row>
    <row r="609" customFormat="false" ht="12.75" hidden="false" customHeight="true" outlineLevel="0" collapsed="false">
      <c r="A609" s="15" t="n">
        <f aca="false">Report!C812</f>
        <v>46213</v>
      </c>
      <c r="B609" s="1" t="str">
        <f aca="false">Report!E812</f>
        <v>SOUZA CRUZ LTDA.</v>
      </c>
      <c r="C609" s="16" t="n">
        <f aca="false">Report!U812</f>
        <v>5621.36</v>
      </c>
      <c r="D609" s="1" t="str">
        <f aca="false">Report!X812</f>
        <v>NF 564993 ELLEN</v>
      </c>
    </row>
    <row r="610" customFormat="false" ht="12.75" hidden="false" customHeight="true" outlineLevel="0" collapsed="false">
      <c r="A610" s="15" t="n">
        <f aca="false">Report!C813</f>
        <v>46213</v>
      </c>
      <c r="B610" s="1" t="str">
        <f aca="false">Report!E813</f>
        <v>J G COMERCIO DE PRODUTOS ALIMENTICIOS LTDA</v>
      </c>
      <c r="C610" s="16" t="n">
        <f aca="false">Report!U813</f>
        <v>371.88</v>
      </c>
      <c r="D610" s="1" t="n">
        <f aca="false">Report!X813</f>
        <v>0</v>
      </c>
    </row>
    <row r="611" customFormat="false" ht="12.75" hidden="false" customHeight="true" outlineLevel="0" collapsed="false">
      <c r="A611" s="15" t="n">
        <f aca="false">Report!C814</f>
        <v>46213</v>
      </c>
      <c r="B611" s="1" t="str">
        <f aca="false">Report!E814</f>
        <v>BROTHERS  INDUSTRIA DE ALIMENTOS LTDA</v>
      </c>
      <c r="C611" s="16" t="n">
        <f aca="false">Report!U814</f>
        <v>279.82</v>
      </c>
      <c r="D611" s="1" t="str">
        <f aca="false">Report!X814</f>
        <v>NF 1030058 ELLEN</v>
      </c>
    </row>
    <row r="612" customFormat="false" ht="12.75" hidden="false" customHeight="true" outlineLevel="0" collapsed="false">
      <c r="A612" s="15" t="n">
        <f aca="false">Report!C815</f>
        <v>46213</v>
      </c>
      <c r="B612" s="1" t="str">
        <f aca="false">Report!E815</f>
        <v>H. L. DO NASCIMENTO</v>
      </c>
      <c r="C612" s="16" t="n">
        <f aca="false">Report!U815</f>
        <v>430.3</v>
      </c>
      <c r="D612" s="1" t="str">
        <f aca="false">Report!X815</f>
        <v>NF 5765 ELLEN</v>
      </c>
    </row>
    <row r="613" customFormat="false" ht="12.75" hidden="false" customHeight="true" outlineLevel="0" collapsed="false">
      <c r="A613" s="15" t="n">
        <f aca="false">Report!C818</f>
        <v>46213</v>
      </c>
      <c r="B613" s="1" t="str">
        <f aca="false">Report!E818</f>
        <v>CRBS S/A</v>
      </c>
      <c r="C613" s="16" t="n">
        <f aca="false">Report!U818</f>
        <v>1.55</v>
      </c>
      <c r="D613" s="1" t="str">
        <f aca="false">Report!X818</f>
        <v>NF 888702 REF TARIFA AMBEV - ELLEN</v>
      </c>
    </row>
    <row r="614" customFormat="false" ht="12.75" hidden="false" customHeight="true" outlineLevel="0" collapsed="false">
      <c r="A614" s="15" t="n">
        <f aca="false">Report!C819</f>
        <v>46213</v>
      </c>
      <c r="B614" s="1" t="str">
        <f aca="false">Report!E819</f>
        <v>FRUTAL INDUSTRIA E COMERCIO LTDA</v>
      </c>
      <c r="C614" s="16" t="n">
        <f aca="false">Report!U819</f>
        <v>393.86</v>
      </c>
      <c r="D614" s="1" t="str">
        <f aca="false">Report!X819</f>
        <v>NF 225160 ELLEN</v>
      </c>
    </row>
    <row r="615" customFormat="false" ht="12.75" hidden="false" customHeight="true" outlineLevel="0" collapsed="false">
      <c r="A615" s="15" t="n">
        <f aca="false">Report!C820</f>
        <v>46213</v>
      </c>
      <c r="B615" s="1" t="str">
        <f aca="false">Report!E820</f>
        <v>NORTELAC DISTRIBUIDORA DE FRIOS LTDA</v>
      </c>
      <c r="C615" s="16" t="n">
        <f aca="false">Report!U820</f>
        <v>460</v>
      </c>
      <c r="D615" s="1" t="str">
        <f aca="false">Report!X820</f>
        <v>NF 42910 ELLEN</v>
      </c>
    </row>
    <row r="616" customFormat="false" ht="12.75" hidden="false" customHeight="true" outlineLevel="0" collapsed="false">
      <c r="A616" s="15" t="n">
        <f aca="false">Report!C821</f>
        <v>46213</v>
      </c>
      <c r="B616" s="1" t="str">
        <f aca="false">Report!E821</f>
        <v>MAXFRI DISTRIUIDORA LTDA</v>
      </c>
      <c r="C616" s="16" t="n">
        <f aca="false">Report!U821</f>
        <v>5738.21</v>
      </c>
      <c r="D616" s="1" t="str">
        <f aca="false">Report!X821</f>
        <v>NF 14615 ELLEN</v>
      </c>
    </row>
    <row r="617" customFormat="false" ht="12.75" hidden="false" customHeight="true" outlineLevel="0" collapsed="false">
      <c r="A617" s="15" t="n">
        <f aca="false">Report!C822</f>
        <v>46213</v>
      </c>
      <c r="B617" s="1" t="str">
        <f aca="false">Report!E822</f>
        <v>BRAGA TABACARIA EIRELI ME</v>
      </c>
      <c r="C617" s="16" t="n">
        <f aca="false">Report!U822</f>
        <v>148.2</v>
      </c>
      <c r="D617" s="1" t="str">
        <f aca="false">Report!X822</f>
        <v>S/NF - COMPRAS-CACHACA/SKARLOFF - ELLEN</v>
      </c>
    </row>
    <row r="618" customFormat="false" ht="12.75" hidden="false" customHeight="true" outlineLevel="0" collapsed="false">
      <c r="A618" s="15" t="n">
        <f aca="false">Report!C823</f>
        <v>46213</v>
      </c>
      <c r="B618" s="1" t="str">
        <f aca="false">Report!E823</f>
        <v>NET CLARO</v>
      </c>
      <c r="C618" s="16" t="n">
        <f aca="false">Report!U823</f>
        <v>160</v>
      </c>
      <c r="D618" s="1" t="str">
        <f aca="false">Report!X823</f>
        <v>INTERNET CLARO MO2 - KEILA</v>
      </c>
    </row>
    <row r="619" customFormat="false" ht="12.75" hidden="false" customHeight="true" outlineLevel="0" collapsed="false">
      <c r="A619" s="15" t="n">
        <f aca="false">Report!C824</f>
        <v>46213</v>
      </c>
      <c r="B619" s="1" t="str">
        <f aca="false">Report!E824</f>
        <v>NEYLIANE S DE OLIVEIRA &amp; CIA LTDA</v>
      </c>
      <c r="C619" s="16" t="n">
        <f aca="false">Report!U824</f>
        <v>1838.6</v>
      </c>
      <c r="D619" s="1" t="str">
        <f aca="false">Report!X824</f>
        <v>FEIRA SR RENATO - PG P LJ1 - ELLEN</v>
      </c>
    </row>
    <row r="620" customFormat="false" ht="12.75" hidden="false" customHeight="true" outlineLevel="0" collapsed="false">
      <c r="A620" s="15" t="n">
        <f aca="false">Report!C825</f>
        <v>46213</v>
      </c>
      <c r="B620" s="1" t="str">
        <f aca="false">Report!E825</f>
        <v>H L M PADARIA E CONFEITARIA LTDA</v>
      </c>
      <c r="C620" s="16" t="n">
        <f aca="false">Report!U825</f>
        <v>200</v>
      </c>
      <c r="D620" s="1" t="str">
        <f aca="false">Report!X825</f>
        <v>NF 20 COMPRAS-BOLO PG NO P 10/7/26 ELLEN</v>
      </c>
    </row>
    <row r="621" customFormat="false" ht="12.75" hidden="false" customHeight="true" outlineLevel="0" collapsed="false">
      <c r="A621" s="15" t="n">
        <f aca="false">Report!C826</f>
        <v>46214</v>
      </c>
      <c r="B621" s="1" t="str">
        <f aca="false">Report!E826</f>
        <v>SEM FORNECEDOR</v>
      </c>
      <c r="C621" s="16" t="n">
        <f aca="false">Report!U826</f>
        <v>30</v>
      </c>
      <c r="D621" s="1" t="str">
        <f aca="false">Report!X826</f>
        <v>capa/pelicula-celular loja</v>
      </c>
    </row>
    <row r="622" customFormat="false" ht="12.75" hidden="false" customHeight="true" outlineLevel="0" collapsed="false">
      <c r="A622" s="15" t="n">
        <f aca="false">Report!C828</f>
        <v>46214</v>
      </c>
      <c r="B622" s="1" t="str">
        <f aca="false">Report!E828</f>
        <v>SEM FORNECEDOR</v>
      </c>
      <c r="C622" s="16" t="n">
        <f aca="false">Report!U828</f>
        <v>200</v>
      </c>
      <c r="D622" s="1" t="str">
        <f aca="false">Report!X828</f>
        <v>ref a 4 extras elilton</v>
      </c>
    </row>
    <row r="623" customFormat="false" ht="12.75" hidden="false" customHeight="true" outlineLevel="0" collapsed="false">
      <c r="A623" s="15" t="n">
        <f aca="false">Report!C829</f>
        <v>46214</v>
      </c>
      <c r="B623" s="1" t="str">
        <f aca="false">Report!E829</f>
        <v>SEM FORNECEDOR</v>
      </c>
      <c r="C623" s="16" t="n">
        <f aca="false">Report!U829</f>
        <v>2000</v>
      </c>
      <c r="D623" s="1" t="str">
        <f aca="false">Report!X829</f>
        <v>Depósito ref. 11/07/2026</v>
      </c>
    </row>
    <row r="624" customFormat="false" ht="12.75" hidden="false" customHeight="true" outlineLevel="0" collapsed="false">
      <c r="A624" s="15" t="n">
        <f aca="false">Report!C830</f>
        <v>46214</v>
      </c>
      <c r="B624" s="1" t="str">
        <f aca="false">Report!E830</f>
        <v>MARE DISTRIBUIDORA DE BEBIDAS E DE PRODUTOS ALIMENTICIOS LTDA</v>
      </c>
      <c r="C624" s="16" t="n">
        <f aca="false">Report!U830</f>
        <v>1831.6</v>
      </c>
      <c r="D624" s="1" t="str">
        <f aca="false">Report!X830</f>
        <v>NF 1378386 ELLEN</v>
      </c>
    </row>
    <row r="625" customFormat="false" ht="12.75" hidden="false" customHeight="true" outlineLevel="0" collapsed="false">
      <c r="A625" s="15" t="n">
        <f aca="false">Report!C831</f>
        <v>46214</v>
      </c>
      <c r="B625" s="1" t="str">
        <f aca="false">Report!E831</f>
        <v>DISTRIBUIDORA LOPES LTDA</v>
      </c>
      <c r="C625" s="16" t="n">
        <f aca="false">Report!U831</f>
        <v>832.51</v>
      </c>
      <c r="D625" s="1" t="str">
        <f aca="false">Report!X831</f>
        <v>NF 1686081 ELLEN</v>
      </c>
    </row>
    <row r="626" customFormat="false" ht="12.75" hidden="false" customHeight="true" outlineLevel="0" collapsed="false">
      <c r="A626" s="15" t="n">
        <f aca="false">Report!C832</f>
        <v>46215</v>
      </c>
      <c r="B626" s="1" t="str">
        <f aca="false">Report!E832</f>
        <v>SEM FORNECEDOR</v>
      </c>
      <c r="C626" s="16" t="n">
        <f aca="false">Report!U832</f>
        <v>70</v>
      </c>
      <c r="D626" s="1" t="str">
        <f aca="false">Report!X832</f>
        <v>extra elilton</v>
      </c>
    </row>
    <row r="627" customFormat="false" ht="12.75" hidden="false" customHeight="true" outlineLevel="0" collapsed="false">
      <c r="A627" s="15" t="n">
        <f aca="false">Report!C833</f>
        <v>46215</v>
      </c>
      <c r="B627" s="1" t="str">
        <f aca="false">Report!E833</f>
        <v>SEM FORNECEDOR</v>
      </c>
      <c r="C627" s="16" t="n">
        <f aca="false">Report!U833</f>
        <v>90</v>
      </c>
      <c r="D627" s="1" t="str">
        <f aca="false">Report!X833</f>
        <v>almoço funcionarios</v>
      </c>
    </row>
    <row r="628" customFormat="false" ht="12.75" hidden="false" customHeight="true" outlineLevel="0" collapsed="false">
      <c r="A628" s="15" t="n">
        <f aca="false">Report!C834</f>
        <v>46215</v>
      </c>
      <c r="B628" s="1" t="str">
        <f aca="false">Report!E834</f>
        <v>SEM FORNECEDOR</v>
      </c>
      <c r="C628" s="16" t="n">
        <f aca="false">Report!U834</f>
        <v>1500</v>
      </c>
      <c r="D628" s="1" t="str">
        <f aca="false">Report!X834</f>
        <v>Depósito ref. 12/07/2026</v>
      </c>
    </row>
    <row r="629" customFormat="false" ht="12.75" hidden="false" customHeight="true" outlineLevel="0" collapsed="false">
      <c r="A629" s="15" t="n">
        <f aca="false">Report!C835</f>
        <v>46215</v>
      </c>
      <c r="B629" s="1" t="str">
        <f aca="false">Report!E835</f>
        <v>PRIME PET DISTRIBUIDORA LTDA</v>
      </c>
      <c r="C629" s="16" t="n">
        <f aca="false">Report!U835</f>
        <v>1361.81</v>
      </c>
      <c r="D629" s="1" t="str">
        <f aca="false">Report!X835</f>
        <v>NF 10860 ELLEN</v>
      </c>
    </row>
    <row r="630" customFormat="false" ht="12.75" hidden="false" customHeight="true" outlineLevel="0" collapsed="false">
      <c r="A630" s="15" t="n">
        <f aca="false">Report!C836</f>
        <v>46216</v>
      </c>
      <c r="B630" s="1" t="str">
        <f aca="false">Report!E836</f>
        <v>SEM FORNECEDOR</v>
      </c>
      <c r="C630" s="16" t="n">
        <f aca="false">Report!U836</f>
        <v>70</v>
      </c>
      <c r="D630" s="1" t="str">
        <f aca="false">Report!X836</f>
        <v>extra idelma</v>
      </c>
    </row>
    <row r="631" customFormat="false" ht="12.75" hidden="false" customHeight="true" outlineLevel="0" collapsed="false">
      <c r="A631" s="15" t="n">
        <f aca="false">Report!C837</f>
        <v>46216</v>
      </c>
      <c r="B631" s="1" t="str">
        <f aca="false">Report!E837</f>
        <v>SEM FORNECEDOR</v>
      </c>
      <c r="C631" s="16" t="n">
        <f aca="false">Report!U837</f>
        <v>120</v>
      </c>
      <c r="D631" s="1" t="str">
        <f aca="false">Report!X837</f>
        <v>Pag de título:  Forn: 10096-H L M PADARIA E CONFEITARIA LTDA. Tit: 191324-01</v>
      </c>
    </row>
    <row r="632" customFormat="false" ht="12.75" hidden="false" customHeight="true" outlineLevel="0" collapsed="false">
      <c r="A632" s="15" t="n">
        <f aca="false">Report!C838</f>
        <v>46216</v>
      </c>
      <c r="B632" s="1" t="str">
        <f aca="false">Report!E838</f>
        <v>SEM FORNECEDOR</v>
      </c>
      <c r="C632" s="16" t="n">
        <f aca="false">Report!U838</f>
        <v>1600</v>
      </c>
      <c r="D632" s="1" t="str">
        <f aca="false">Report!X838</f>
        <v>Depósito ref. 13/07/2026</v>
      </c>
    </row>
    <row r="633" customFormat="false" ht="12.75" hidden="false" customHeight="true" outlineLevel="0" collapsed="false">
      <c r="A633" s="15" t="n">
        <f aca="false">Report!C839</f>
        <v>46216</v>
      </c>
      <c r="B633" s="1" t="str">
        <f aca="false">Report!E839</f>
        <v>ADRIANA DISTRIBUIDORA DE PRODUTOS ALIMEN</v>
      </c>
      <c r="C633" s="16" t="n">
        <f aca="false">Report!U839</f>
        <v>791.31</v>
      </c>
      <c r="D633" s="1" t="str">
        <f aca="false">Report!X839</f>
        <v>NF 878392 ELLEN</v>
      </c>
    </row>
    <row r="634" customFormat="false" ht="12.75" hidden="false" customHeight="true" outlineLevel="0" collapsed="false">
      <c r="A634" s="15" t="n">
        <f aca="false">Report!C840</f>
        <v>46216</v>
      </c>
      <c r="B634" s="1" t="str">
        <f aca="false">Report!E840</f>
        <v>DUNORTE DISTRIBUIDORA DE PRODUTOS DE CONSUMO LTDA</v>
      </c>
      <c r="C634" s="16" t="n">
        <f aca="false">Report!U840</f>
        <v>643.05</v>
      </c>
      <c r="D634" s="1" t="str">
        <f aca="false">Report!X840</f>
        <v>NF 3202460 ELLEN</v>
      </c>
    </row>
    <row r="635" customFormat="false" ht="12.75" hidden="false" customHeight="true" outlineLevel="0" collapsed="false">
      <c r="A635" s="15" t="n">
        <f aca="false">Report!C841</f>
        <v>46216</v>
      </c>
      <c r="B635" s="1" t="str">
        <f aca="false">Report!E841</f>
        <v>ROCHA E PAIVA LTDA</v>
      </c>
      <c r="C635" s="16" t="n">
        <f aca="false">Report!U841</f>
        <v>591.52</v>
      </c>
      <c r="D635" s="1" t="str">
        <f aca="false">Report!X841</f>
        <v>NF 207912 ELLEN</v>
      </c>
    </row>
    <row r="636" customFormat="false" ht="12.75" hidden="false" customHeight="true" outlineLevel="0" collapsed="false">
      <c r="A636" s="15" t="n">
        <f aca="false">Report!C842</f>
        <v>46216</v>
      </c>
      <c r="B636" s="1" t="str">
        <f aca="false">Report!E842</f>
        <v>ATACADAO S.A.</v>
      </c>
      <c r="C636" s="16" t="n">
        <f aca="false">Report!U842</f>
        <v>671.67</v>
      </c>
      <c r="D636" s="1" t="str">
        <f aca="false">Report!X842</f>
        <v>NF 1894392 ELLEN</v>
      </c>
    </row>
    <row r="637" customFormat="false" ht="12.75" hidden="false" customHeight="true" outlineLevel="0" collapsed="false">
      <c r="A637" s="15" t="n">
        <f aca="false">Report!C843</f>
        <v>46216</v>
      </c>
      <c r="B637" s="1" t="str">
        <f aca="false">Report!E843</f>
        <v>FENNIX BRASIL DISTRIBUIDORA DE PRODUTOS</v>
      </c>
      <c r="C637" s="16" t="n">
        <f aca="false">Report!U843</f>
        <v>675.35</v>
      </c>
      <c r="D637" s="1" t="str">
        <f aca="false">Report!X843</f>
        <v>NF 310316 ELLEN</v>
      </c>
    </row>
    <row r="638" customFormat="false" ht="12.75" hidden="false" customHeight="true" outlineLevel="0" collapsed="false">
      <c r="A638" s="15" t="n">
        <f aca="false">Report!C845</f>
        <v>46216</v>
      </c>
      <c r="B638" s="1" t="str">
        <f aca="false">Report!E845</f>
        <v>EDMARA COMERCIO DE HIGIENE PESSOAL LTDA</v>
      </c>
      <c r="C638" s="16" t="n">
        <f aca="false">Report!U845</f>
        <v>737.43</v>
      </c>
      <c r="D638" s="1" t="str">
        <f aca="false">Report!X845</f>
        <v>NF 8155 SACOLAS - ELLEN</v>
      </c>
    </row>
    <row r="639" customFormat="false" ht="12.75" hidden="false" customHeight="true" outlineLevel="0" collapsed="false">
      <c r="A639" s="15" t="n">
        <f aca="false">Report!C846</f>
        <v>46216</v>
      </c>
      <c r="B639" s="1" t="str">
        <f aca="false">Report!E846</f>
        <v>ADRIANO FEITOSA OLIVEIRA LTDA</v>
      </c>
      <c r="C639" s="16" t="n">
        <f aca="false">Report!U846</f>
        <v>2388.97</v>
      </c>
      <c r="D639" s="1" t="str">
        <f aca="false">Report!X846</f>
        <v>NF 322 ELLEN</v>
      </c>
    </row>
    <row r="640" customFormat="false" ht="12.75" hidden="false" customHeight="true" outlineLevel="0" collapsed="false">
      <c r="A640" s="15" t="n">
        <f aca="false">Report!C847</f>
        <v>46216</v>
      </c>
      <c r="B640" s="1" t="str">
        <f aca="false">Report!E847</f>
        <v>JAB COMERCIO DE PRODUTOS ALIMENTICIOS LT</v>
      </c>
      <c r="C640" s="16" t="n">
        <f aca="false">Report!U847</f>
        <v>142</v>
      </c>
      <c r="D640" s="1" t="str">
        <f aca="false">Report!X847</f>
        <v>NF 3500 ELLEN</v>
      </c>
    </row>
    <row r="641" customFormat="false" ht="12.75" hidden="false" customHeight="true" outlineLevel="0" collapsed="false">
      <c r="A641" s="15" t="n">
        <f aca="false">Report!C848</f>
        <v>46216</v>
      </c>
      <c r="B641" s="1" t="str">
        <f aca="false">Report!E848</f>
        <v>NOVA FRIOS COMERCIO ATACADISTA DE LATICINIOS LTDA</v>
      </c>
      <c r="C641" s="16" t="n">
        <f aca="false">Report!U848</f>
        <v>194.08</v>
      </c>
      <c r="D641" s="1" t="str">
        <f aca="false">Report!X848</f>
        <v>NF 3993 ELLEN</v>
      </c>
    </row>
    <row r="642" customFormat="false" ht="12.75" hidden="false" customHeight="true" outlineLevel="0" collapsed="false">
      <c r="A642" s="15" t="n">
        <f aca="false">Report!C849</f>
        <v>46216</v>
      </c>
      <c r="B642" s="1" t="str">
        <f aca="false">Report!E849</f>
        <v>NEYLIANE S DE OLIVEIRA &amp; CIA LTDA</v>
      </c>
      <c r="C642" s="16" t="n">
        <f aca="false">Report!U849</f>
        <v>560</v>
      </c>
      <c r="D642" s="1" t="str">
        <f aca="false">Report!X849</f>
        <v>COMPRAS - FARINHA DAGUA DE FEIRA - ELLEN</v>
      </c>
    </row>
    <row r="643" customFormat="false" ht="12.75" hidden="false" customHeight="true" outlineLevel="0" collapsed="false">
      <c r="A643" s="15" t="n">
        <f aca="false">Report!C850</f>
        <v>46216</v>
      </c>
      <c r="B643" s="1" t="str">
        <f aca="false">Report!E850</f>
        <v>PANIFICADORA E CONFEITARIA REAL MADRI LTDA</v>
      </c>
      <c r="C643" s="16" t="n">
        <f aca="false">Report!U850</f>
        <v>259.75</v>
      </c>
      <c r="D643" s="1" t="str">
        <f aca="false">Report!X850</f>
        <v>NF 704 ELLEN</v>
      </c>
    </row>
    <row r="644" customFormat="false" ht="12.75" hidden="false" customHeight="true" outlineLevel="0" collapsed="false">
      <c r="A644" s="15" t="n">
        <f aca="false">Report!C851</f>
        <v>46216</v>
      </c>
      <c r="B644" s="1" t="str">
        <f aca="false">Report!E851</f>
        <v>J W N DOS SANTOS</v>
      </c>
      <c r="C644" s="16" t="n">
        <f aca="false">Report!U851</f>
        <v>225</v>
      </c>
      <c r="D644" s="1" t="str">
        <f aca="false">Report!X851</f>
        <v>NF 351 ELLEN</v>
      </c>
    </row>
    <row r="645" customFormat="false" ht="12.75" hidden="false" customHeight="true" outlineLevel="0" collapsed="false">
      <c r="A645" s="15" t="n">
        <f aca="false">Report!C852</f>
        <v>46216</v>
      </c>
      <c r="B645" s="1" t="str">
        <f aca="false">Report!E852</f>
        <v>NEYLIANE S DE OLIVEIRA &amp; CIA LTDA</v>
      </c>
      <c r="C645" s="16" t="n">
        <f aca="false">Report!U852</f>
        <v>210</v>
      </c>
      <c r="D645" s="1" t="str">
        <f aca="false">Report!X852</f>
        <v>COMPRAS 15L DE AÇAI - PG NO P 11/7/26 ELLEN</v>
      </c>
    </row>
    <row r="646" customFormat="false" ht="12.75" hidden="false" customHeight="true" outlineLevel="0" collapsed="false">
      <c r="A646" s="15" t="n">
        <f aca="false">Report!C853</f>
        <v>46216</v>
      </c>
      <c r="B646" s="1" t="str">
        <f aca="false">Report!E853</f>
        <v>H L M PADARIA E CONFEITARIA LTDA</v>
      </c>
      <c r="C646" s="16" t="n">
        <f aca="false">Report!U853</f>
        <v>120</v>
      </c>
      <c r="D646" s="1" t="str">
        <f aca="false">Report!X853</f>
        <v>NF 19 COMPRAS-BOLO PG NO P 13/7/26 ELLEN</v>
      </c>
    </row>
    <row r="647" customFormat="false" ht="12.75" hidden="false" customHeight="true" outlineLevel="0" collapsed="false">
      <c r="A647" s="15" t="n">
        <f aca="false">Report!C854</f>
        <v>46217</v>
      </c>
      <c r="B647" s="1" t="str">
        <f aca="false">Report!E854</f>
        <v>SEM FORNECEDOR</v>
      </c>
      <c r="C647" s="16" t="n">
        <f aca="false">Report!U854</f>
        <v>182</v>
      </c>
      <c r="D647" s="1" t="str">
        <f aca="false">Report!X854</f>
        <v>Pag de título:  Forn: 48-NEYLIANE S DE OLIVEIRA &amp; CIA LTDA. Tit: 2543-01</v>
      </c>
    </row>
    <row r="648" customFormat="false" ht="12.75" hidden="false" customHeight="true" outlineLevel="0" collapsed="false">
      <c r="A648" s="15" t="n">
        <f aca="false">Report!C855</f>
        <v>46217</v>
      </c>
      <c r="B648" s="1" t="str">
        <f aca="false">Report!E855</f>
        <v>SEM FORNECEDOR</v>
      </c>
      <c r="C648" s="16" t="n">
        <f aca="false">Report!U855</f>
        <v>70</v>
      </c>
      <c r="D648" s="1" t="str">
        <f aca="false">Report!X855</f>
        <v>CAIXA GERAL - 14/07/2026</v>
      </c>
    </row>
    <row r="649" customFormat="false" ht="12.75" hidden="false" customHeight="true" outlineLevel="0" collapsed="false">
      <c r="A649" s="15" t="n">
        <f aca="false">Report!C856</f>
        <v>46217</v>
      </c>
      <c r="B649" s="1" t="str">
        <f aca="false">Report!E856</f>
        <v>SEM FORNECEDOR</v>
      </c>
      <c r="C649" s="16" t="n">
        <f aca="false">Report!U856</f>
        <v>70</v>
      </c>
      <c r="D649" s="1" t="str">
        <f aca="false">Report!X856</f>
        <v>CAIXA GERAL - 14/07/2026</v>
      </c>
    </row>
    <row r="650" customFormat="false" ht="12.75" hidden="false" customHeight="true" outlineLevel="0" collapsed="false">
      <c r="A650" s="15" t="n">
        <f aca="false">Report!C857</f>
        <v>46217</v>
      </c>
      <c r="B650" s="1" t="str">
        <f aca="false">Report!E857</f>
        <v>SEM FORNECEDOR</v>
      </c>
      <c r="C650" s="16" t="n">
        <f aca="false">Report!U857</f>
        <v>800</v>
      </c>
      <c r="D650" s="1" t="str">
        <f aca="false">Report!X857</f>
        <v>16 extras helio</v>
      </c>
    </row>
    <row r="651" customFormat="false" ht="12.75" hidden="false" customHeight="true" outlineLevel="0" collapsed="false">
      <c r="A651" s="15" t="n">
        <f aca="false">Report!C858</f>
        <v>46217</v>
      </c>
      <c r="B651" s="1" t="str">
        <f aca="false">Report!E858</f>
        <v>SEM FORNECEDOR</v>
      </c>
      <c r="C651" s="16" t="n">
        <f aca="false">Report!U858</f>
        <v>2000</v>
      </c>
      <c r="D651" s="1" t="str">
        <f aca="false">Report!X858</f>
        <v>Depósito ref. 14/07/2026</v>
      </c>
    </row>
    <row r="652" customFormat="false" ht="12.75" hidden="false" customHeight="true" outlineLevel="0" collapsed="false">
      <c r="A652" s="15" t="n">
        <f aca="false">Report!C859</f>
        <v>46217</v>
      </c>
      <c r="B652" s="1" t="str">
        <f aca="false">Report!E859</f>
        <v>P. S. DA C. AMORIM LTDA</v>
      </c>
      <c r="C652" s="16" t="n">
        <f aca="false">Report!U859</f>
        <v>317.66</v>
      </c>
      <c r="D652" s="1" t="str">
        <f aca="false">Report!X859</f>
        <v>NF 2453 DESPESAS - BANDEJA/LUVAS - ELLEN</v>
      </c>
    </row>
    <row r="653" customFormat="false" ht="12.75" hidden="false" customHeight="true" outlineLevel="0" collapsed="false">
      <c r="A653" s="15" t="n">
        <f aca="false">Report!C860</f>
        <v>46217</v>
      </c>
      <c r="B653" s="1" t="str">
        <f aca="false">Report!E860</f>
        <v>BONNA VITTA INDUSTRIA E COMERCIO LTDA.</v>
      </c>
      <c r="C653" s="16" t="n">
        <f aca="false">Report!U860</f>
        <v>304.45</v>
      </c>
      <c r="D653" s="1" t="str">
        <f aca="false">Report!X860</f>
        <v>NF 519349 ELLEN</v>
      </c>
    </row>
    <row r="654" customFormat="false" ht="12.75" hidden="false" customHeight="true" outlineLevel="0" collapsed="false">
      <c r="A654" s="15" t="n">
        <f aca="false">Report!C861</f>
        <v>46217</v>
      </c>
      <c r="B654" s="1" t="str">
        <f aca="false">Report!E861</f>
        <v>BRASIL NORTE BEBIDAS S/A</v>
      </c>
      <c r="C654" s="16" t="n">
        <f aca="false">Report!U861</f>
        <v>29.3</v>
      </c>
      <c r="D654" s="1" t="str">
        <f aca="false">Report!X861</f>
        <v>NF 1180339 ELLEN</v>
      </c>
    </row>
    <row r="655" customFormat="false" ht="12.75" hidden="false" customHeight="true" outlineLevel="0" collapsed="false">
      <c r="A655" s="15" t="n">
        <f aca="false">Report!C862</f>
        <v>46217</v>
      </c>
      <c r="B655" s="1" t="str">
        <f aca="false">Report!E862</f>
        <v>BRASIL NORTE BEBIDAS S/A</v>
      </c>
      <c r="C655" s="16" t="n">
        <f aca="false">Report!U862</f>
        <v>156.29</v>
      </c>
      <c r="D655" s="1" t="str">
        <f aca="false">Report!X862</f>
        <v>NF 1906318 ELLEN</v>
      </c>
    </row>
    <row r="656" customFormat="false" ht="12.75" hidden="false" customHeight="true" outlineLevel="0" collapsed="false">
      <c r="A656" s="15" t="n">
        <f aca="false">Report!C863</f>
        <v>46217</v>
      </c>
      <c r="B656" s="1" t="str">
        <f aca="false">Report!E863</f>
        <v>BRASIL NORTE BEBIDAS S/A</v>
      </c>
      <c r="C656" s="16" t="n">
        <f aca="false">Report!U863</f>
        <v>974.53</v>
      </c>
      <c r="D656" s="1" t="str">
        <f aca="false">Report!X863</f>
        <v>NF 1906109 ELLEN</v>
      </c>
    </row>
    <row r="657" customFormat="false" ht="12.75" hidden="false" customHeight="true" outlineLevel="0" collapsed="false">
      <c r="A657" s="15" t="n">
        <f aca="false">Report!C864</f>
        <v>46217</v>
      </c>
      <c r="B657" s="1" t="str">
        <f aca="false">Report!E864</f>
        <v>MARTINS COM SERV DISTR SA</v>
      </c>
      <c r="C657" s="16" t="n">
        <f aca="false">Report!U864</f>
        <v>542.11</v>
      </c>
      <c r="D657" s="1" t="str">
        <f aca="false">Report!X864</f>
        <v>NF 1777487 ELLEN</v>
      </c>
    </row>
    <row r="658" customFormat="false" ht="12.75" hidden="false" customHeight="true" outlineLevel="0" collapsed="false">
      <c r="A658" s="15" t="n">
        <f aca="false">Report!C865</f>
        <v>46217</v>
      </c>
      <c r="B658" s="1" t="str">
        <f aca="false">Report!E865</f>
        <v>COMERCIO DE FRIOS MANAUS LTDA</v>
      </c>
      <c r="C658" s="16" t="n">
        <f aca="false">Report!U865</f>
        <v>2243.2</v>
      </c>
      <c r="D658" s="1" t="str">
        <f aca="false">Report!X865</f>
        <v>NF 172659 ELLEN</v>
      </c>
    </row>
    <row r="659" customFormat="false" ht="12.75" hidden="false" customHeight="true" outlineLevel="0" collapsed="false">
      <c r="A659" s="15" t="n">
        <f aca="false">Report!C869</f>
        <v>46217</v>
      </c>
      <c r="B659" s="1" t="str">
        <f aca="false">Report!E869</f>
        <v>NEYLIANE S DE OLIVEIRA &amp; CIA LTDA</v>
      </c>
      <c r="C659" s="16" t="n">
        <f aca="false">Report!U869</f>
        <v>290</v>
      </c>
      <c r="D659" s="1" t="str">
        <f aca="false">Report!X869</f>
        <v>COMPRAS - VISCERAS (BOLETO) ELLEN</v>
      </c>
    </row>
    <row r="660" customFormat="false" ht="12.75" hidden="false" customHeight="true" outlineLevel="0" collapsed="false">
      <c r="A660" s="15" t="n">
        <f aca="false">Report!C871</f>
        <v>46217</v>
      </c>
      <c r="B660" s="1" t="str">
        <f aca="false">Report!E871</f>
        <v>PANIFICADORA E CONFEITARIA REAL MADRI LTDA</v>
      </c>
      <c r="C660" s="16" t="n">
        <f aca="false">Report!U871</f>
        <v>307.11</v>
      </c>
      <c r="D660" s="1" t="str">
        <f aca="false">Report!X871</f>
        <v>NF 708 ELLEN</v>
      </c>
    </row>
    <row r="661" customFormat="false" ht="12.75" hidden="false" customHeight="true" outlineLevel="0" collapsed="false">
      <c r="A661" s="15" t="n">
        <f aca="false">Report!C872</f>
        <v>46217</v>
      </c>
      <c r="B661" s="1" t="str">
        <f aca="false">Report!E872</f>
        <v>NSB COMERCIO ATACADISTA E VAREJISTA DE P</v>
      </c>
      <c r="C661" s="16" t="n">
        <f aca="false">Report!U872</f>
        <v>378.89</v>
      </c>
      <c r="D661" s="1" t="str">
        <f aca="false">Report!X872</f>
        <v>NF 7874 ELLEN</v>
      </c>
    </row>
    <row r="662" customFormat="false" ht="12.75" hidden="false" customHeight="true" outlineLevel="0" collapsed="false">
      <c r="A662" s="15" t="n">
        <f aca="false">Report!C873</f>
        <v>46217</v>
      </c>
      <c r="B662" s="1" t="str">
        <f aca="false">Report!E873</f>
        <v>NEYLIANE S DE OLIVEIRA &amp; CIA LTDA</v>
      </c>
      <c r="C662" s="16" t="n">
        <f aca="false">Report!U873</f>
        <v>1946.36</v>
      </c>
      <c r="D662" s="1" t="str">
        <f aca="false">Report!X873</f>
        <v>FEIRA SR RENATO - PG P LJ1 - ELLEN</v>
      </c>
    </row>
    <row r="663" customFormat="false" ht="12.75" hidden="false" customHeight="true" outlineLevel="0" collapsed="false">
      <c r="A663" s="15" t="n">
        <f aca="false">Report!C876</f>
        <v>46217</v>
      </c>
      <c r="B663" s="1" t="str">
        <f aca="false">Report!E876</f>
        <v>ANDREZA OLIVEIRA DA SILVA</v>
      </c>
      <c r="C663" s="16" t="n">
        <f aca="false">Report!U876</f>
        <v>200</v>
      </c>
      <c r="D663" s="1" t="str">
        <f aca="false">Report!X876</f>
        <v>ADIANTAMENTO JULHO/2026</v>
      </c>
    </row>
    <row r="664" customFormat="false" ht="12.75" hidden="false" customHeight="true" outlineLevel="0" collapsed="false">
      <c r="A664" s="15" t="n">
        <f aca="false">Report!C877</f>
        <v>46217</v>
      </c>
      <c r="B664" s="1" t="str">
        <f aca="false">Report!E877</f>
        <v>SANDRO HELIO OLIVEIRA COSTA</v>
      </c>
      <c r="C664" s="16" t="n">
        <f aca="false">Report!U877</f>
        <v>1000</v>
      </c>
      <c r="D664" s="1" t="str">
        <f aca="false">Report!X877</f>
        <v>ADIANTAMENTO JULHO/2026</v>
      </c>
    </row>
    <row r="665" customFormat="false" ht="12.75" hidden="false" customHeight="true" outlineLevel="0" collapsed="false">
      <c r="A665" s="15" t="n">
        <f aca="false">Report!C878</f>
        <v>46217</v>
      </c>
      <c r="B665" s="1" t="str">
        <f aca="false">Report!E878</f>
        <v>THIAGO DA SILVA CRUZ</v>
      </c>
      <c r="C665" s="16" t="n">
        <f aca="false">Report!U878</f>
        <v>400</v>
      </c>
      <c r="D665" s="1" t="str">
        <f aca="false">Report!X878</f>
        <v>ADIANTAMENTO JULHO/2026</v>
      </c>
    </row>
    <row r="666" customFormat="false" ht="12.75" hidden="false" customHeight="true" outlineLevel="0" collapsed="false">
      <c r="A666" s="15" t="n">
        <f aca="false">Report!C879</f>
        <v>46217</v>
      </c>
      <c r="B666" s="1" t="str">
        <f aca="false">Report!E879</f>
        <v>LUCIRLANDIA DE OLIVEIRA AMARAL</v>
      </c>
      <c r="C666" s="16" t="n">
        <f aca="false">Report!U879</f>
        <v>400</v>
      </c>
      <c r="D666" s="1" t="str">
        <f aca="false">Report!X879</f>
        <v>ADIANTAMENTO JULHO/2026</v>
      </c>
    </row>
    <row r="667" customFormat="false" ht="12.75" hidden="false" customHeight="true" outlineLevel="0" collapsed="false">
      <c r="A667" s="15" t="n">
        <f aca="false">Report!C880</f>
        <v>46218</v>
      </c>
      <c r="B667" s="1" t="str">
        <f aca="false">Report!E880</f>
        <v>SEM FORNECEDOR</v>
      </c>
      <c r="C667" s="16" t="n">
        <f aca="false">Report!U880</f>
        <v>140</v>
      </c>
      <c r="D667" s="1" t="str">
        <f aca="false">Report!X880</f>
        <v>Pag de título:  Forn: 10096-H L M PADARIA E CONFEITARIA LTDA. Tit: 191329-01</v>
      </c>
    </row>
    <row r="668" customFormat="false" ht="12.75" hidden="false" customHeight="true" outlineLevel="0" collapsed="false">
      <c r="A668" s="15" t="n">
        <f aca="false">Report!C881</f>
        <v>46218</v>
      </c>
      <c r="B668" s="1" t="str">
        <f aca="false">Report!E881</f>
        <v>SEM FORNECEDOR</v>
      </c>
      <c r="C668" s="16" t="n">
        <f aca="false">Report!U881</f>
        <v>70</v>
      </c>
      <c r="D668" s="1" t="str">
        <f aca="false">Report!X881</f>
        <v>extra helio</v>
      </c>
    </row>
    <row r="669" customFormat="false" ht="12.75" hidden="false" customHeight="true" outlineLevel="0" collapsed="false">
      <c r="A669" s="15" t="n">
        <f aca="false">Report!C882</f>
        <v>46218</v>
      </c>
      <c r="B669" s="1" t="str">
        <f aca="false">Report!E882</f>
        <v>SEM FORNECEDOR</v>
      </c>
      <c r="C669" s="16" t="n">
        <f aca="false">Report!U882</f>
        <v>50</v>
      </c>
      <c r="D669" s="1" t="str">
        <f aca="false">Report!X882</f>
        <v>extra elilton</v>
      </c>
    </row>
    <row r="670" customFormat="false" ht="12.75" hidden="false" customHeight="true" outlineLevel="0" collapsed="false">
      <c r="A670" s="15" t="n">
        <f aca="false">Report!C883</f>
        <v>46218</v>
      </c>
      <c r="B670" s="1" t="str">
        <f aca="false">Report!E883</f>
        <v>SEM FORNECEDOR</v>
      </c>
      <c r="C670" s="16" t="n">
        <f aca="false">Report!U883</f>
        <v>2250</v>
      </c>
      <c r="D670" s="1" t="str">
        <f aca="false">Report!X883</f>
        <v>Depósito ref. 15/07/2026</v>
      </c>
    </row>
    <row r="671" customFormat="false" ht="12.75" hidden="false" customHeight="true" outlineLevel="0" collapsed="false">
      <c r="A671" s="15" t="n">
        <f aca="false">Report!C884</f>
        <v>46218</v>
      </c>
      <c r="B671" s="1" t="str">
        <f aca="false">Report!E884</f>
        <v>PREFEITURA MUNICIPAL DE MANAUS - IPTU</v>
      </c>
      <c r="C671" s="16" t="n">
        <f aca="false">Report!U884</f>
        <v>228.88</v>
      </c>
      <c r="D671" s="1" t="str">
        <f aca="false">Report!X884</f>
        <v>PARC 05/10 MATR 101674 IPTU MO2 - KEILA</v>
      </c>
    </row>
    <row r="672" customFormat="false" ht="12.75" hidden="false" customHeight="true" outlineLevel="0" collapsed="false">
      <c r="A672" s="15" t="n">
        <f aca="false">Report!C885</f>
        <v>46218</v>
      </c>
      <c r="B672" s="1" t="str">
        <f aca="false">Report!E885</f>
        <v>SOLANGE MARIA DE QUEIROZ</v>
      </c>
      <c r="C672" s="16" t="n">
        <f aca="false">Report!U885</f>
        <v>5700</v>
      </c>
      <c r="D672" s="1" t="str">
        <f aca="false">Report!X885</f>
        <v>ALUGUEL MO2 - KEILA</v>
      </c>
    </row>
    <row r="673" customFormat="false" ht="12.75" hidden="false" customHeight="true" outlineLevel="0" collapsed="false">
      <c r="A673" s="15" t="n">
        <f aca="false">Report!C886</f>
        <v>46218</v>
      </c>
      <c r="B673" s="1" t="str">
        <f aca="false">Report!E886</f>
        <v>ADRIANA DISTRIBUIDORA DE PRODUTOS ALIMEN</v>
      </c>
      <c r="C673" s="16" t="n">
        <f aca="false">Report!U886</f>
        <v>589.08</v>
      </c>
      <c r="D673" s="1" t="str">
        <f aca="false">Report!X886</f>
        <v>NF 878758 ELLEN</v>
      </c>
    </row>
    <row r="674" customFormat="false" ht="12.75" hidden="false" customHeight="true" outlineLevel="0" collapsed="false">
      <c r="A674" s="15" t="n">
        <f aca="false">Report!C892</f>
        <v>46218</v>
      </c>
      <c r="B674" s="1" t="str">
        <f aca="false">Report!E892</f>
        <v>EDSON AGUIAR DE SOUZA</v>
      </c>
      <c r="C674" s="16" t="n">
        <f aca="false">Report!U892</f>
        <v>89.5</v>
      </c>
      <c r="D674" s="1" t="str">
        <f aca="false">Report!X892</f>
        <v>COMPRAS - CHEIRO-VERDE - ELLEN</v>
      </c>
    </row>
    <row r="675" customFormat="false" ht="12.75" hidden="false" customHeight="true" outlineLevel="0" collapsed="false">
      <c r="A675" s="15" t="n">
        <f aca="false">Report!C893</f>
        <v>46218</v>
      </c>
      <c r="B675" s="1" t="str">
        <f aca="false">Report!E893</f>
        <v>EDSON AGUIAR DE SOUZA</v>
      </c>
      <c r="C675" s="16" t="n">
        <f aca="false">Report!U893</f>
        <v>140</v>
      </c>
      <c r="D675" s="1" t="str">
        <f aca="false">Report!X893</f>
        <v>COMPRAS - CHEIRO-VERDE - ELLEN</v>
      </c>
    </row>
    <row r="676" customFormat="false" ht="12.75" hidden="false" customHeight="true" outlineLevel="0" collapsed="false">
      <c r="A676" s="15" t="n">
        <f aca="false">Report!C896</f>
        <v>46218</v>
      </c>
      <c r="B676" s="1" t="str">
        <f aca="false">Report!E896</f>
        <v>EDSON AGUIAR DE SOUZA</v>
      </c>
      <c r="C676" s="16" t="n">
        <f aca="false">Report!U896</f>
        <v>129.5</v>
      </c>
      <c r="D676" s="1" t="str">
        <f aca="false">Report!X896</f>
        <v>COMPRAS - CHEIRO-VERDE - ELLEN</v>
      </c>
    </row>
    <row r="677" customFormat="false" ht="12.75" hidden="false" customHeight="true" outlineLevel="0" collapsed="false">
      <c r="A677" s="15" t="n">
        <f aca="false">Report!C897</f>
        <v>46218</v>
      </c>
      <c r="B677" s="1" t="str">
        <f aca="false">Report!E897</f>
        <v>FEMAR IND E COM DE BEBIDAS LTDA</v>
      </c>
      <c r="C677" s="16" t="n">
        <f aca="false">Report!U897</f>
        <v>316.08</v>
      </c>
      <c r="D677" s="1" t="str">
        <f aca="false">Report!X897</f>
        <v>NF 53410 ELLEN</v>
      </c>
    </row>
    <row r="678" customFormat="false" ht="12.75" hidden="false" customHeight="true" outlineLevel="0" collapsed="false">
      <c r="A678" s="15" t="n">
        <f aca="false">Report!C898</f>
        <v>46218</v>
      </c>
      <c r="B678" s="1" t="str">
        <f aca="false">Report!E898</f>
        <v>ADRIANO FEITOSA OLIVEIRA LTDA</v>
      </c>
      <c r="C678" s="16" t="n">
        <f aca="false">Report!U898</f>
        <v>915</v>
      </c>
      <c r="D678" s="1" t="str">
        <f aca="false">Report!X898</f>
        <v>NF 331 ELLEN</v>
      </c>
    </row>
    <row r="679" customFormat="false" ht="12.75" hidden="false" customHeight="true" outlineLevel="0" collapsed="false">
      <c r="A679" s="15" t="n">
        <f aca="false">Report!C899</f>
        <v>46218</v>
      </c>
      <c r="B679" s="1" t="str">
        <f aca="false">Report!E899</f>
        <v>LIMA E BARANDA COMERCIO DE PRODUTOS REGI</v>
      </c>
      <c r="C679" s="16" t="n">
        <f aca="false">Report!U899</f>
        <v>329</v>
      </c>
      <c r="D679" s="1" t="str">
        <f aca="false">Report!X899</f>
        <v>NF 31344 ELLEN</v>
      </c>
    </row>
    <row r="680" customFormat="false" ht="12.75" hidden="false" customHeight="true" outlineLevel="0" collapsed="false">
      <c r="A680" s="15" t="n">
        <f aca="false">Report!C900</f>
        <v>46218</v>
      </c>
      <c r="B680" s="1" t="str">
        <f aca="false">Report!E900</f>
        <v>EDSON AGUIAR DE SOUZA</v>
      </c>
      <c r="C680" s="16" t="n">
        <f aca="false">Report!U900</f>
        <v>61.5</v>
      </c>
      <c r="D680" s="1" t="str">
        <f aca="false">Report!X900</f>
        <v>COMPRAS - CHEIRO-VERDE - ELLEN</v>
      </c>
    </row>
    <row r="681" customFormat="false" ht="12.75" hidden="false" customHeight="true" outlineLevel="0" collapsed="false">
      <c r="A681" s="15" t="n">
        <f aca="false">Report!C901</f>
        <v>46218</v>
      </c>
      <c r="B681" s="1" t="str">
        <f aca="false">Report!E901</f>
        <v>EDSON AGUIAR DE SOUZA</v>
      </c>
      <c r="C681" s="16" t="n">
        <f aca="false">Report!U901</f>
        <v>174</v>
      </c>
      <c r="D681" s="1" t="str">
        <f aca="false">Report!X901</f>
        <v>COMPRAS - CHEIRO-VERDE - ELLEN</v>
      </c>
    </row>
    <row r="682" customFormat="false" ht="12.75" hidden="false" customHeight="true" outlineLevel="0" collapsed="false">
      <c r="A682" s="15" t="n">
        <f aca="false">Report!C902</f>
        <v>46218</v>
      </c>
      <c r="B682" s="1" t="str">
        <f aca="false">Report!E902</f>
        <v>EDSON AGUIAR DE SOUZA</v>
      </c>
      <c r="C682" s="16" t="n">
        <f aca="false">Report!U902</f>
        <v>117</v>
      </c>
      <c r="D682" s="1" t="str">
        <f aca="false">Report!X902</f>
        <v>COMPRAS - CHEIRO-VERDE - ELLEN</v>
      </c>
    </row>
    <row r="683" customFormat="false" ht="12.75" hidden="false" customHeight="true" outlineLevel="0" collapsed="false">
      <c r="A683" s="15" t="n">
        <f aca="false">Report!C903</f>
        <v>46218</v>
      </c>
      <c r="B683" s="1" t="str">
        <f aca="false">Report!E903</f>
        <v>EDSON AGUIAR DE SOUZA</v>
      </c>
      <c r="C683" s="16" t="n">
        <f aca="false">Report!U903</f>
        <v>76.5</v>
      </c>
      <c r="D683" s="1" t="str">
        <f aca="false">Report!X903</f>
        <v>COMPRAS - CHEIRO-VERDE - ELLEN</v>
      </c>
    </row>
    <row r="684" customFormat="false" ht="12.75" hidden="false" customHeight="true" outlineLevel="0" collapsed="false">
      <c r="A684" s="15" t="n">
        <f aca="false">Report!C904</f>
        <v>46218</v>
      </c>
      <c r="B684" s="1" t="str">
        <f aca="false">Report!E904</f>
        <v>H L M PADARIA E CONFEITARIA LTDA</v>
      </c>
      <c r="C684" s="16" t="n">
        <f aca="false">Report!U904</f>
        <v>140</v>
      </c>
      <c r="D684" s="1" t="str">
        <f aca="false">Report!X904</f>
        <v>NF 22 COMPRAS-BOLO PG NO P 15/7/26 ELLEN</v>
      </c>
    </row>
    <row r="685" customFormat="false" ht="12.75" hidden="false" customHeight="true" outlineLevel="0" collapsed="false">
      <c r="A685" s="15" t="n">
        <f aca="false">Report!C905</f>
        <v>46219</v>
      </c>
      <c r="B685" s="1" t="str">
        <f aca="false">Report!E905</f>
        <v>SEM FORNECEDOR</v>
      </c>
      <c r="C685" s="16" t="n">
        <f aca="false">Report!U905</f>
        <v>204</v>
      </c>
      <c r="D685" s="1" t="str">
        <f aca="false">Report!X905</f>
        <v>queijo coalho/valdirlan</v>
      </c>
    </row>
    <row r="686" customFormat="false" ht="12.75" hidden="false" customHeight="true" outlineLevel="0" collapsed="false">
      <c r="A686" s="15" t="n">
        <f aca="false">Report!C906</f>
        <v>46219</v>
      </c>
      <c r="B686" s="1" t="str">
        <f aca="false">Report!E906</f>
        <v>SEM FORNECEDOR</v>
      </c>
      <c r="C686" s="16" t="n">
        <f aca="false">Report!U906</f>
        <v>72</v>
      </c>
      <c r="D686" s="1" t="str">
        <f aca="false">Report!X906</f>
        <v>4 cxs brigadeiro/jose cast</v>
      </c>
    </row>
    <row r="687" customFormat="false" ht="12.75" hidden="false" customHeight="true" outlineLevel="0" collapsed="false">
      <c r="A687" s="15" t="n">
        <f aca="false">Report!C907</f>
        <v>46219</v>
      </c>
      <c r="B687" s="1" t="str">
        <f aca="false">Report!E907</f>
        <v>SEM FORNECEDOR</v>
      </c>
      <c r="C687" s="16" t="n">
        <f aca="false">Report!U907</f>
        <v>3250</v>
      </c>
      <c r="D687" s="1" t="str">
        <f aca="false">Report!X907</f>
        <v>Depósito ref. 16/07/2026</v>
      </c>
    </row>
    <row r="688" customFormat="false" ht="12.75" hidden="false" customHeight="true" outlineLevel="0" collapsed="false">
      <c r="A688" s="15" t="n">
        <f aca="false">Report!C910</f>
        <v>46219</v>
      </c>
      <c r="B688" s="1" t="str">
        <f aca="false">Report!E910</f>
        <v>DA FRUTA DISTRIBUIDORA LTDA</v>
      </c>
      <c r="C688" s="16" t="n">
        <f aca="false">Report!U910</f>
        <v>652.4</v>
      </c>
      <c r="D688" s="1" t="str">
        <f aca="false">Report!X910</f>
        <v>NF 196323 ELLEN</v>
      </c>
    </row>
    <row r="689" customFormat="false" ht="12.75" hidden="false" customHeight="true" outlineLevel="0" collapsed="false">
      <c r="A689" s="15" t="n">
        <f aca="false">Report!C911</f>
        <v>46219</v>
      </c>
      <c r="B689" s="1" t="str">
        <f aca="false">Report!E911</f>
        <v>J G COMERCIO DE PRODUTOS ALIMENTICIOS LTDA</v>
      </c>
      <c r="C689" s="16" t="n">
        <f aca="false">Report!U911</f>
        <v>2005.45</v>
      </c>
      <c r="D689" s="1" t="str">
        <f aca="false">Report!X911</f>
        <v>NF 390211 ELLEN</v>
      </c>
    </row>
    <row r="690" customFormat="false" ht="12.75" hidden="false" customHeight="true" outlineLevel="0" collapsed="false">
      <c r="A690" s="15" t="n">
        <f aca="false">Report!C912</f>
        <v>46219</v>
      </c>
      <c r="B690" s="1" t="str">
        <f aca="false">Report!E912</f>
        <v>FE COMERCIO DE MATERIAIS DE CONSTRUCAO</v>
      </c>
      <c r="C690" s="16" t="n">
        <f aca="false">Report!U912</f>
        <v>819.52</v>
      </c>
      <c r="D690" s="1" t="str">
        <f aca="false">Report!X912</f>
        <v>NF 4467 ELLEN</v>
      </c>
    </row>
    <row r="691" customFormat="false" ht="12.75" hidden="false" customHeight="true" outlineLevel="0" collapsed="false">
      <c r="A691" s="15" t="n">
        <f aca="false">Report!C913</f>
        <v>46219</v>
      </c>
      <c r="B691" s="1" t="str">
        <f aca="false">Report!E913</f>
        <v>BRAGA TABACARIA EIRELI ME</v>
      </c>
      <c r="C691" s="16" t="n">
        <f aca="false">Report!U913</f>
        <v>1073.2</v>
      </c>
      <c r="D691" s="1" t="str">
        <f aca="false">Report!X913</f>
        <v>NF 18998 ELLEN</v>
      </c>
    </row>
    <row r="692" customFormat="false" ht="12.75" hidden="false" customHeight="true" outlineLevel="0" collapsed="false">
      <c r="A692" s="15" t="n">
        <f aca="false">Report!C914</f>
        <v>46219</v>
      </c>
      <c r="B692" s="1" t="str">
        <f aca="false">Report!E914</f>
        <v>DISTRIBUIDORA LOPES LTDA</v>
      </c>
      <c r="C692" s="16" t="n">
        <f aca="false">Report!U914</f>
        <v>197.37</v>
      </c>
      <c r="D692" s="1" t="str">
        <f aca="false">Report!X914</f>
        <v>NF 1688844 ELLEN</v>
      </c>
    </row>
    <row r="693" customFormat="false" ht="12.75" hidden="false" customHeight="true" outlineLevel="0" collapsed="false">
      <c r="A693" s="15" t="n">
        <f aca="false">Report!C915</f>
        <v>46219</v>
      </c>
      <c r="B693" s="1" t="str">
        <f aca="false">Report!E915</f>
        <v>SILVA E SANTOS FRIGORIFICO LTDA</v>
      </c>
      <c r="C693" s="16" t="n">
        <f aca="false">Report!U915</f>
        <v>3640</v>
      </c>
      <c r="D693" s="1" t="str">
        <f aca="false">Report!X915</f>
        <v>NF 31703 ELLEN</v>
      </c>
    </row>
    <row r="694" customFormat="false" ht="12.75" hidden="false" customHeight="true" outlineLevel="0" collapsed="false">
      <c r="A694" s="15" t="n">
        <f aca="false">Report!C916</f>
        <v>46219</v>
      </c>
      <c r="B694" s="1" t="str">
        <f aca="false">Report!E916</f>
        <v>REAL BEBIDAS DA AMAZONIA LTDA</v>
      </c>
      <c r="C694" s="16" t="n">
        <f aca="false">Report!U916</f>
        <v>280</v>
      </c>
      <c r="D694" s="1" t="str">
        <f aca="false">Report!X916</f>
        <v>NF 599833 ELLEN</v>
      </c>
    </row>
    <row r="695" customFormat="false" ht="12.75" hidden="false" customHeight="true" outlineLevel="0" collapsed="false">
      <c r="A695" s="15" t="n">
        <f aca="false">Report!C917</f>
        <v>46219</v>
      </c>
      <c r="B695" s="1" t="str">
        <f aca="false">Report!E917</f>
        <v>CHERRYS SEMI JOIAS LTDA</v>
      </c>
      <c r="C695" s="16" t="n">
        <f aca="false">Report!U917</f>
        <v>435</v>
      </c>
      <c r="D695" s="1" t="str">
        <f aca="false">Report!X917</f>
        <v>NF 462 ELLEN</v>
      </c>
    </row>
    <row r="696" customFormat="false" ht="12.75" hidden="false" customHeight="true" outlineLevel="0" collapsed="false">
      <c r="A696" s="15" t="n">
        <f aca="false">Report!C918</f>
        <v>46219</v>
      </c>
      <c r="B696" s="1" t="str">
        <f aca="false">Report!E918</f>
        <v>64.225.624 ROBERTO REIS AROUCHE</v>
      </c>
      <c r="C696" s="16" t="n">
        <f aca="false">Report!U918</f>
        <v>432</v>
      </c>
      <c r="D696" s="1" t="str">
        <f aca="false">Report!X918</f>
        <v>NF 66 ELLEN</v>
      </c>
    </row>
    <row r="697" customFormat="false" ht="12.75" hidden="false" customHeight="true" outlineLevel="0" collapsed="false">
      <c r="A697" s="15" t="n">
        <f aca="false">Report!C919</f>
        <v>46220</v>
      </c>
      <c r="B697" s="1" t="str">
        <f aca="false">Report!E919</f>
        <v>SEM FORNECEDOR</v>
      </c>
      <c r="C697" s="16" t="n">
        <f aca="false">Report!U919</f>
        <v>140</v>
      </c>
      <c r="D697" s="1" t="str">
        <f aca="false">Report!X919</f>
        <v>Pag de título:  Forn: 10096-H L M PADARIA E CONFEITARIA LTDA. Tit: 191334-01</v>
      </c>
    </row>
    <row r="698" customFormat="false" ht="12.75" hidden="false" customHeight="true" outlineLevel="0" collapsed="false">
      <c r="A698" s="15" t="n">
        <f aca="false">Report!C920</f>
        <v>46220</v>
      </c>
      <c r="B698" s="1" t="str">
        <f aca="false">Report!E920</f>
        <v>SEM FORNECEDOR</v>
      </c>
      <c r="C698" s="16" t="n">
        <f aca="false">Report!U920</f>
        <v>280</v>
      </c>
      <c r="D698" s="1" t="str">
        <f aca="false">Report!X920</f>
        <v>Pag de título:  Forn: 48-NEYLIANE S DE OLIVEIRA &amp; CIA LTDA. Tit: 2546-01</v>
      </c>
    </row>
    <row r="699" customFormat="false" ht="12.75" hidden="false" customHeight="true" outlineLevel="0" collapsed="false">
      <c r="A699" s="15" t="n">
        <f aca="false">Report!C921</f>
        <v>46220</v>
      </c>
      <c r="B699" s="1" t="str">
        <f aca="false">Report!E921</f>
        <v>SEM FORNECEDOR</v>
      </c>
      <c r="C699" s="16" t="n">
        <f aca="false">Report!U921</f>
        <v>11</v>
      </c>
      <c r="D699" s="1" t="str">
        <f aca="false">Report!X921</f>
        <v>despesa -2 cx clips</v>
      </c>
    </row>
    <row r="700" customFormat="false" ht="12.75" hidden="false" customHeight="true" outlineLevel="0" collapsed="false">
      <c r="A700" s="15" t="n">
        <f aca="false">Report!C923</f>
        <v>46220</v>
      </c>
      <c r="B700" s="1" t="str">
        <f aca="false">Report!E923</f>
        <v>SEM FORNECEDOR</v>
      </c>
      <c r="C700" s="16" t="n">
        <f aca="false">Report!U923</f>
        <v>2350</v>
      </c>
      <c r="D700" s="1" t="str">
        <f aca="false">Report!X923</f>
        <v>Depósito ref. 17/07/2026</v>
      </c>
    </row>
    <row r="701" customFormat="false" ht="12.75" hidden="false" customHeight="true" outlineLevel="0" collapsed="false">
      <c r="A701" s="15" t="n">
        <f aca="false">Report!C925</f>
        <v>46220</v>
      </c>
      <c r="B701" s="1" t="str">
        <f aca="false">Report!E925</f>
        <v>OESA COMERCIO E REPRESENTACOES S/A</v>
      </c>
      <c r="C701" s="16" t="n">
        <f aca="false">Report!U925</f>
        <v>620</v>
      </c>
      <c r="D701" s="1" t="str">
        <f aca="false">Report!X925</f>
        <v>NF 419092 ELLEN</v>
      </c>
    </row>
    <row r="702" customFormat="false" ht="12.75" hidden="false" customHeight="true" outlineLevel="0" collapsed="false">
      <c r="A702" s="15" t="n">
        <f aca="false">Report!C927</f>
        <v>46220</v>
      </c>
      <c r="B702" s="1" t="str">
        <f aca="false">Report!E927</f>
        <v>L S M COMERCIO DE ALIMENTOS E NAVEGACAO</v>
      </c>
      <c r="C702" s="16" t="n">
        <f aca="false">Report!U927</f>
        <v>1184.06</v>
      </c>
      <c r="D702" s="1" t="str">
        <f aca="false">Report!X927</f>
        <v>NF 305929 ELLEN</v>
      </c>
    </row>
    <row r="703" customFormat="false" ht="12.75" hidden="false" customHeight="true" outlineLevel="0" collapsed="false">
      <c r="A703" s="15" t="n">
        <f aca="false">Report!C928</f>
        <v>46220</v>
      </c>
      <c r="B703" s="1" t="str">
        <f aca="false">Report!E928</f>
        <v>SOUZA CRUZ LTDA.</v>
      </c>
      <c r="C703" s="16" t="n">
        <f aca="false">Report!U928</f>
        <v>5791.7</v>
      </c>
      <c r="D703" s="1" t="str">
        <f aca="false">Report!X928</f>
        <v>NF 564993 ELLEN</v>
      </c>
    </row>
    <row r="704" customFormat="false" ht="12.75" hidden="false" customHeight="true" outlineLevel="0" collapsed="false">
      <c r="A704" s="15" t="n">
        <f aca="false">Report!C929</f>
        <v>46220</v>
      </c>
      <c r="B704" s="1" t="str">
        <f aca="false">Report!E929</f>
        <v>G A COMERCIO DE PRODUTOS HOSPITALARES LTDA</v>
      </c>
      <c r="C704" s="16" t="n">
        <f aca="false">Report!U929</f>
        <v>368.4</v>
      </c>
      <c r="D704" s="1" t="str">
        <f aca="false">Report!X929</f>
        <v>NF 890 ELLEN</v>
      </c>
    </row>
    <row r="705" customFormat="false" ht="12.75" hidden="false" customHeight="true" outlineLevel="0" collapsed="false">
      <c r="A705" s="15" t="n">
        <f aca="false">Report!C931</f>
        <v>46220</v>
      </c>
      <c r="B705" s="1" t="str">
        <f aca="false">Report!E931</f>
        <v>H. L. DO NASCIMENTO</v>
      </c>
      <c r="C705" s="16" t="n">
        <f aca="false">Report!U931</f>
        <v>519.65</v>
      </c>
      <c r="D705" s="1" t="str">
        <f aca="false">Report!X931</f>
        <v>NF 5786 ELLEN</v>
      </c>
    </row>
    <row r="706" customFormat="false" ht="12.75" hidden="false" customHeight="true" outlineLevel="0" collapsed="false">
      <c r="A706" s="15" t="n">
        <f aca="false">Report!C932</f>
        <v>46220</v>
      </c>
      <c r="B706" s="1" t="str">
        <f aca="false">Report!E932</f>
        <v>BROTHERS  INDUSTRIA DE ALIMENTOS LTDA</v>
      </c>
      <c r="C706" s="16" t="n">
        <f aca="false">Report!U932</f>
        <v>250.08</v>
      </c>
      <c r="D706" s="1" t="str">
        <f aca="false">Report!X932</f>
        <v>NF 1031214 ELLEN</v>
      </c>
    </row>
    <row r="707" customFormat="false" ht="12.75" hidden="false" customHeight="true" outlineLevel="0" collapsed="false">
      <c r="A707" s="15" t="n">
        <f aca="false">Report!C933</f>
        <v>46220</v>
      </c>
      <c r="B707" s="1" t="str">
        <f aca="false">Report!E933</f>
        <v>J. S. MOREIRA ALVES LTDA</v>
      </c>
      <c r="C707" s="16" t="n">
        <f aca="false">Report!U933</f>
        <v>150</v>
      </c>
      <c r="D707" s="1" t="str">
        <f aca="false">Report!X933</f>
        <v>NF 2635 ELLEN</v>
      </c>
    </row>
    <row r="708" customFormat="false" ht="12.75" hidden="false" customHeight="true" outlineLevel="0" collapsed="false">
      <c r="A708" s="15" t="n">
        <f aca="false">Report!C934</f>
        <v>46220</v>
      </c>
      <c r="B708" s="1" t="str">
        <f aca="false">Report!E934</f>
        <v>ADRIANO FEITOSA OLIVEIRA LTDA</v>
      </c>
      <c r="C708" s="16" t="n">
        <f aca="false">Report!U934</f>
        <v>1171.37</v>
      </c>
      <c r="D708" s="1" t="str">
        <f aca="false">Report!X934</f>
        <v>NF 333 ELLEN</v>
      </c>
    </row>
    <row r="709" customFormat="false" ht="12.75" hidden="false" customHeight="true" outlineLevel="0" collapsed="false">
      <c r="A709" s="15" t="n">
        <f aca="false">Report!C935</f>
        <v>46220</v>
      </c>
      <c r="B709" s="1" t="str">
        <f aca="false">Report!E935</f>
        <v>SOUZA CRUZ LTDA.</v>
      </c>
      <c r="C709" s="16" t="n">
        <f aca="false">Report!U935</f>
        <v>4572.86</v>
      </c>
      <c r="D709" s="1" t="str">
        <f aca="false">Report!X935</f>
        <v>NF 566541 ELLEN</v>
      </c>
    </row>
    <row r="710" customFormat="false" ht="12.75" hidden="false" customHeight="true" outlineLevel="0" collapsed="false">
      <c r="A710" s="15" t="n">
        <f aca="false">Report!C936</f>
        <v>46220</v>
      </c>
      <c r="B710" s="1" t="str">
        <f aca="false">Report!E936</f>
        <v>PANIFICADORA E CONFEITARIA REAL MADRI LTDA</v>
      </c>
      <c r="C710" s="16" t="n">
        <f aca="false">Report!U936</f>
        <v>135</v>
      </c>
      <c r="D710" s="1" t="str">
        <f aca="false">Report!X936</f>
        <v>NF 711 ELLEN</v>
      </c>
    </row>
    <row r="711" customFormat="false" ht="12.75" hidden="false" customHeight="true" outlineLevel="0" collapsed="false">
      <c r="A711" s="15" t="n">
        <f aca="false">Report!C937</f>
        <v>46220</v>
      </c>
      <c r="B711" s="1" t="str">
        <f aca="false">Report!E937</f>
        <v>NEYLIANE S DE OLIVEIRA &amp; CIA LTDA</v>
      </c>
      <c r="C711" s="16" t="n">
        <f aca="false">Report!U937</f>
        <v>280</v>
      </c>
      <c r="D711" s="1" t="str">
        <f aca="false">Report!X937</f>
        <v>COMPRAS - 20L DE AÇAI - PG NO P 17/7/26 - ELLEN</v>
      </c>
    </row>
    <row r="712" customFormat="false" ht="12.75" hidden="false" customHeight="true" outlineLevel="0" collapsed="false">
      <c r="A712" s="15" t="n">
        <f aca="false">Report!C939</f>
        <v>46220</v>
      </c>
      <c r="B712" s="1" t="str">
        <f aca="false">Report!E939</f>
        <v>ELILTON NUNES BRITO</v>
      </c>
      <c r="C712" s="16" t="n">
        <f aca="false">Report!U939</f>
        <v>400</v>
      </c>
      <c r="D712" s="1" t="str">
        <f aca="false">Report!X939</f>
        <v>ADIANTAMENTO JULHO/2026</v>
      </c>
    </row>
    <row r="713" customFormat="false" ht="12.75" hidden="false" customHeight="true" outlineLevel="0" collapsed="false">
      <c r="A713" s="15" t="n">
        <f aca="false">Report!C940</f>
        <v>46220</v>
      </c>
      <c r="B713" s="1" t="str">
        <f aca="false">Report!E940</f>
        <v>H L M PADARIA E CONFEITARIA LTDA</v>
      </c>
      <c r="C713" s="16" t="n">
        <f aca="false">Report!U940</f>
        <v>140</v>
      </c>
      <c r="D713" s="1" t="str">
        <f aca="false">Report!X940</f>
        <v>NF 23 COMPRAS-BOLO PG NO P 17/7/26 ELLEN</v>
      </c>
    </row>
    <row r="714" customFormat="false" ht="12.75" hidden="false" customHeight="true" outlineLevel="0" collapsed="false">
      <c r="A714" s="15" t="n">
        <f aca="false">Report!C941</f>
        <v>46221</v>
      </c>
      <c r="B714" s="1" t="str">
        <f aca="false">Report!E941</f>
        <v>SEM FORNECEDOR</v>
      </c>
      <c r="C714" s="16" t="n">
        <f aca="false">Report!U941</f>
        <v>120</v>
      </c>
      <c r="D714" s="1" t="str">
        <f aca="false">Report!X941</f>
        <v>Pag de título:  Forn: 10096-H L M PADARIA E CONFEITARIA LTDA. Tit: 191353-01</v>
      </c>
    </row>
    <row r="715" customFormat="false" ht="12.75" hidden="false" customHeight="true" outlineLevel="0" collapsed="false">
      <c r="A715" s="15" t="n">
        <f aca="false">Report!C942</f>
        <v>46221</v>
      </c>
      <c r="B715" s="1" t="str">
        <f aca="false">Report!E942</f>
        <v>SEM FORNECEDOR</v>
      </c>
      <c r="C715" s="16" t="n">
        <f aca="false">Report!U942</f>
        <v>50</v>
      </c>
      <c r="D715" s="1" t="str">
        <f aca="false">Report!X942</f>
        <v>extra elilton</v>
      </c>
    </row>
    <row r="716" customFormat="false" ht="12.75" hidden="false" customHeight="true" outlineLevel="0" collapsed="false">
      <c r="A716" s="15" t="n">
        <f aca="false">Report!C943</f>
        <v>46221</v>
      </c>
      <c r="B716" s="1" t="str">
        <f aca="false">Report!E943</f>
        <v>SEM FORNECEDOR</v>
      </c>
      <c r="C716" s="16" t="n">
        <f aca="false">Report!U943</f>
        <v>3150</v>
      </c>
      <c r="D716" s="1" t="str">
        <f aca="false">Report!X943</f>
        <v>Depósito ref. 18/07/2026</v>
      </c>
    </row>
    <row r="717" customFormat="false" ht="12.75" hidden="false" customHeight="true" outlineLevel="0" collapsed="false">
      <c r="A717" s="15" t="n">
        <f aca="false">Report!C944</f>
        <v>46221</v>
      </c>
      <c r="B717" s="1" t="str">
        <f aca="false">Report!E944</f>
        <v>FUNNY PET DISTRIBUIDORA DE ALIMENTOS PAR</v>
      </c>
      <c r="C717" s="16" t="n">
        <f aca="false">Report!U944</f>
        <v>1589.28</v>
      </c>
      <c r="D717" s="1" t="str">
        <f aca="false">Report!X944</f>
        <v>NF 20499 ELLEN</v>
      </c>
    </row>
    <row r="718" customFormat="false" ht="12.75" hidden="false" customHeight="true" outlineLevel="0" collapsed="false">
      <c r="A718" s="15" t="n">
        <f aca="false">Report!C945</f>
        <v>46221</v>
      </c>
      <c r="B718" s="1" t="str">
        <f aca="false">Report!E945</f>
        <v>FORTVET DISTRIBUIDORA LTDA</v>
      </c>
      <c r="C718" s="16" t="n">
        <f aca="false">Report!U945</f>
        <v>660</v>
      </c>
      <c r="D718" s="1" t="str">
        <f aca="false">Report!X945</f>
        <v>NF 2495 ELLEN</v>
      </c>
    </row>
    <row r="719" customFormat="false" ht="12.75" hidden="false" customHeight="true" outlineLevel="0" collapsed="false">
      <c r="A719" s="15" t="n">
        <f aca="false">Report!C946</f>
        <v>46221</v>
      </c>
      <c r="B719" s="1" t="str">
        <f aca="false">Report!E946</f>
        <v>RENATO DE O AZEVEDO E CIA LTDA - EPP</v>
      </c>
      <c r="C719" s="16" t="n">
        <f aca="false">Report!U946</f>
        <v>247.27</v>
      </c>
      <c r="D719" s="1" t="str">
        <f aca="false">Report!X946</f>
        <v>MENSALIDADE ADVOGADO MO2 MES -  KEILA</v>
      </c>
    </row>
    <row r="720" customFormat="false" ht="12.75" hidden="false" customHeight="true" outlineLevel="0" collapsed="false">
      <c r="A720" s="15" t="n">
        <f aca="false">Report!C947</f>
        <v>46221</v>
      </c>
      <c r="B720" s="1" t="str">
        <f aca="false">Report!E947</f>
        <v>MAXFRI DISTRIUIDORA LTDA</v>
      </c>
      <c r="C720" s="16" t="n">
        <f aca="false">Report!U947</f>
        <v>4043.8</v>
      </c>
      <c r="D720" s="1" t="str">
        <f aca="false">Report!X947</f>
        <v>NF 14685 ELLEN</v>
      </c>
    </row>
    <row r="721" customFormat="false" ht="12.75" hidden="false" customHeight="true" outlineLevel="0" collapsed="false">
      <c r="A721" s="15" t="n">
        <f aca="false">Report!C948</f>
        <v>46221</v>
      </c>
      <c r="B721" s="1" t="str">
        <f aca="false">Report!E948</f>
        <v>H L M PADARIA E CONFEITARIA LTDA</v>
      </c>
      <c r="C721" s="16" t="n">
        <f aca="false">Report!U948</f>
        <v>120</v>
      </c>
      <c r="D721" s="1" t="str">
        <f aca="false">Report!X948</f>
        <v>NF 35 COMPRAS-BOLO PG NO P 18/7/26 ELLEN</v>
      </c>
    </row>
    <row r="722" customFormat="false" ht="12.75" hidden="false" customHeight="true" outlineLevel="0" collapsed="false">
      <c r="A722" s="15" t="n">
        <f aca="false">Report!C949</f>
        <v>46222</v>
      </c>
      <c r="B722" s="1" t="str">
        <f aca="false">Report!E949</f>
        <v>SEM FORNECEDOR</v>
      </c>
      <c r="C722" s="16" t="n">
        <f aca="false">Report!U949</f>
        <v>68</v>
      </c>
      <c r="D722" s="1" t="str">
        <f aca="false">Report!X949</f>
        <v>almoço regina</v>
      </c>
    </row>
    <row r="723" customFormat="false" ht="12.75" hidden="false" customHeight="true" outlineLevel="0" collapsed="false">
      <c r="A723" s="15" t="n">
        <f aca="false">Report!C950</f>
        <v>46222</v>
      </c>
      <c r="B723" s="1" t="str">
        <f aca="false">Report!E950</f>
        <v>SEM FORNECEDOR</v>
      </c>
      <c r="C723" s="16" t="n">
        <f aca="false">Report!U950</f>
        <v>70</v>
      </c>
      <c r="D723" s="1" t="str">
        <f aca="false">Report!X950</f>
        <v>extra elilton</v>
      </c>
    </row>
    <row r="724" customFormat="false" ht="12.75" hidden="false" customHeight="true" outlineLevel="0" collapsed="false">
      <c r="A724" s="15" t="n">
        <f aca="false">Report!C951</f>
        <v>46222</v>
      </c>
      <c r="B724" s="1" t="str">
        <f aca="false">Report!E951</f>
        <v>SEM FORNECEDOR</v>
      </c>
      <c r="C724" s="16" t="n">
        <f aca="false">Report!U951</f>
        <v>1750</v>
      </c>
      <c r="D724" s="1" t="str">
        <f aca="false">Report!X951</f>
        <v>Depósito ref. 19/07/2026</v>
      </c>
    </row>
    <row r="725" customFormat="false" ht="12.75" hidden="false" customHeight="true" outlineLevel="0" collapsed="false">
      <c r="A725" s="15" t="n">
        <f aca="false">Report!C952</f>
        <v>46222</v>
      </c>
      <c r="B725" s="1" t="str">
        <f aca="false">Report!E952</f>
        <v>MAXPEL COMERCIAL LTDA</v>
      </c>
      <c r="C725" s="16" t="n">
        <f aca="false">Report!U952</f>
        <v>1996.2</v>
      </c>
      <c r="D725" s="1" t="str">
        <f aca="false">Report!X952</f>
        <v>NF 316130 ELLEN</v>
      </c>
    </row>
    <row r="726" customFormat="false" ht="12.75" hidden="false" customHeight="true" outlineLevel="0" collapsed="false">
      <c r="A726" s="15" t="n">
        <f aca="false">Report!C954</f>
        <v>46223</v>
      </c>
      <c r="B726" s="1" t="str">
        <f aca="false">Report!E954</f>
        <v>SEM FORNECEDOR</v>
      </c>
      <c r="C726" s="16" t="n">
        <f aca="false">Report!U954</f>
        <v>210</v>
      </c>
      <c r="D726" s="1" t="str">
        <f aca="false">Report!X954</f>
        <v>Pag de título:  Forn: 48-NEYLIANE S DE OLIVEIRA &amp; CIA LTDA. Tit: 2553-01</v>
      </c>
    </row>
    <row r="727" customFormat="false" ht="12.75" hidden="false" customHeight="true" outlineLevel="0" collapsed="false">
      <c r="A727" s="15" t="n">
        <f aca="false">Report!C955</f>
        <v>46223</v>
      </c>
      <c r="B727" s="1" t="str">
        <f aca="false">Report!E955</f>
        <v>SEM FORNECEDOR</v>
      </c>
      <c r="C727" s="16" t="n">
        <f aca="false">Report!U955</f>
        <v>70</v>
      </c>
      <c r="D727" s="1" t="str">
        <f aca="false">Report!X955</f>
        <v>extra idelma</v>
      </c>
    </row>
    <row r="728" customFormat="false" ht="12.75" hidden="false" customHeight="true" outlineLevel="0" collapsed="false">
      <c r="A728" s="15" t="n">
        <f aca="false">Report!C956</f>
        <v>46223</v>
      </c>
      <c r="B728" s="1" t="str">
        <f aca="false">Report!E956</f>
        <v>SEM FORNECEDOR</v>
      </c>
      <c r="C728" s="16" t="n">
        <f aca="false">Report!U956</f>
        <v>2200</v>
      </c>
      <c r="D728" s="1" t="str">
        <f aca="false">Report!X956</f>
        <v>Depósito ref. 20/07/2026</v>
      </c>
    </row>
    <row r="729" customFormat="false" ht="12.75" hidden="false" customHeight="true" outlineLevel="0" collapsed="false">
      <c r="A729" s="15" t="n">
        <f aca="false">Report!C957</f>
        <v>46223</v>
      </c>
      <c r="B729" s="1" t="str">
        <f aca="false">Report!E957</f>
        <v>ROCHA E PAIVA LTDA</v>
      </c>
      <c r="C729" s="16" t="n">
        <f aca="false">Report!U957</f>
        <v>591.52</v>
      </c>
      <c r="D729" s="1" t="str">
        <f aca="false">Report!X957</f>
        <v>NF 207912 ELLEN</v>
      </c>
    </row>
    <row r="730" customFormat="false" ht="12.75" hidden="false" customHeight="true" outlineLevel="0" collapsed="false">
      <c r="A730" s="15" t="n">
        <f aca="false">Report!C958</f>
        <v>46223</v>
      </c>
      <c r="B730" s="1" t="str">
        <f aca="false">Report!E958</f>
        <v>EDMARA COMERCIO DE HIGIENE PESSOAL LTDA</v>
      </c>
      <c r="C730" s="16" t="n">
        <f aca="false">Report!U958</f>
        <v>737.44</v>
      </c>
      <c r="D730" s="1" t="str">
        <f aca="false">Report!X958</f>
        <v>NF 8155 DESPESAS - SACOLAS - ELLEN</v>
      </c>
    </row>
    <row r="731" customFormat="false" ht="12.75" hidden="false" customHeight="true" outlineLevel="0" collapsed="false">
      <c r="A731" s="15" t="n">
        <f aca="false">Report!C959</f>
        <v>46223</v>
      </c>
      <c r="B731" s="1" t="str">
        <f aca="false">Report!E959</f>
        <v>E. D. SENA &amp; CIA LTDA</v>
      </c>
      <c r="C731" s="16" t="n">
        <f aca="false">Report!U959</f>
        <v>531.18</v>
      </c>
      <c r="D731" s="1" t="str">
        <f aca="false">Report!X959</f>
        <v>NF 9495 ELLEN</v>
      </c>
    </row>
    <row r="732" customFormat="false" ht="12.75" hidden="false" customHeight="true" outlineLevel="0" collapsed="false">
      <c r="A732" s="15" t="n">
        <f aca="false">Report!C960</f>
        <v>46223</v>
      </c>
      <c r="B732" s="1" t="str">
        <f aca="false">Report!E960</f>
        <v>NEXUS DISTRIBUIDORA</v>
      </c>
      <c r="C732" s="16" t="n">
        <f aca="false">Report!U960</f>
        <v>374.1</v>
      </c>
      <c r="D732" s="1" t="str">
        <f aca="false">Report!X960</f>
        <v>NF 102073 ELLEN</v>
      </c>
    </row>
    <row r="733" customFormat="false" ht="12.75" hidden="false" customHeight="true" outlineLevel="0" collapsed="false">
      <c r="A733" s="15" t="n">
        <f aca="false">Report!C961</f>
        <v>46223</v>
      </c>
      <c r="B733" s="1" t="str">
        <f aca="false">Report!E961</f>
        <v>EYES NWHERE SISTEMAS INTELIGENTES DE IMAGEM SA</v>
      </c>
      <c r="C733" s="16" t="n">
        <f aca="false">Report!U961</f>
        <v>595.9</v>
      </c>
      <c r="D733" s="1" t="str">
        <f aca="false">Report!X961</f>
        <v>MENSALIDADE INTERNET MO2 - KEILA</v>
      </c>
    </row>
    <row r="734" customFormat="false" ht="12.75" hidden="false" customHeight="true" outlineLevel="0" collapsed="false">
      <c r="A734" s="15" t="n">
        <f aca="false">Report!C962</f>
        <v>46223</v>
      </c>
      <c r="B734" s="1" t="str">
        <f aca="false">Report!E962</f>
        <v>CRBS S/A</v>
      </c>
      <c r="C734" s="16" t="n">
        <f aca="false">Report!U962</f>
        <v>661.73</v>
      </c>
      <c r="D734" s="1" t="str">
        <f aca="false">Report!X962</f>
        <v>NF 899238 ELLEN</v>
      </c>
    </row>
    <row r="735" customFormat="false" ht="12.75" hidden="false" customHeight="true" outlineLevel="0" collapsed="false">
      <c r="A735" s="15" t="n">
        <f aca="false">Report!C963</f>
        <v>46223</v>
      </c>
      <c r="B735" s="1" t="str">
        <f aca="false">Report!E963</f>
        <v>KAROLINY RODRIGUES SOUZA VENANCIO 915783</v>
      </c>
      <c r="C735" s="16" t="n">
        <f aca="false">Report!U963</f>
        <v>250</v>
      </c>
      <c r="D735" s="1" t="str">
        <f aca="false">Report!X963</f>
        <v>NF 1791 ELLEN</v>
      </c>
    </row>
    <row r="736" customFormat="false" ht="12.75" hidden="false" customHeight="true" outlineLevel="0" collapsed="false">
      <c r="A736" s="15" t="n">
        <f aca="false">Report!C965</f>
        <v>46223</v>
      </c>
      <c r="B736" s="1" t="str">
        <f aca="false">Report!E965</f>
        <v>T. M. L. DA SILVA LTDA</v>
      </c>
      <c r="C736" s="16" t="n">
        <f aca="false">Report!U965</f>
        <v>361.6</v>
      </c>
      <c r="D736" s="1" t="str">
        <f aca="false">Report!X965</f>
        <v>NF 15127 ELLEN</v>
      </c>
    </row>
    <row r="737" customFormat="false" ht="12.75" hidden="false" customHeight="true" outlineLevel="0" collapsed="false">
      <c r="A737" s="15" t="n">
        <f aca="false">Report!C967</f>
        <v>46223</v>
      </c>
      <c r="B737" s="1" t="str">
        <f aca="false">Report!E967</f>
        <v>E S O CONSULTORIA EIRELI</v>
      </c>
      <c r="C737" s="16" t="n">
        <f aca="false">Report!U967</f>
        <v>1596.41</v>
      </c>
      <c r="D737" s="1" t="str">
        <f aca="false">Report!X967</f>
        <v>SIMPLES MO2 ESO 06/26 - KEILA</v>
      </c>
    </row>
    <row r="738" customFormat="false" ht="12.75" hidden="false" customHeight="true" outlineLevel="0" collapsed="false">
      <c r="A738" s="15" t="n">
        <f aca="false">Report!C968</f>
        <v>46223</v>
      </c>
      <c r="B738" s="1" t="str">
        <f aca="false">Report!E968</f>
        <v>E S O CONSULTORIA EIRELI</v>
      </c>
      <c r="C738" s="16" t="n">
        <f aca="false">Report!U968</f>
        <v>1128.04</v>
      </c>
      <c r="D738" s="1" t="str">
        <f aca="false">Report!X968</f>
        <v>INSS MO2 ESO 06/26 - KEILA</v>
      </c>
    </row>
    <row r="739" customFormat="false" ht="12.75" hidden="false" customHeight="true" outlineLevel="0" collapsed="false">
      <c r="A739" s="15" t="n">
        <f aca="false">Report!C969</f>
        <v>46223</v>
      </c>
      <c r="B739" s="1" t="str">
        <f aca="false">Report!E969</f>
        <v>E S O CONSULTORIA EIRELI</v>
      </c>
      <c r="C739" s="16" t="n">
        <f aca="false">Report!U969</f>
        <v>2788.06</v>
      </c>
      <c r="D739" s="1" t="str">
        <f aca="false">Report!X969</f>
        <v>FGTS MO2 ESO 06/26 - KEILA</v>
      </c>
    </row>
    <row r="740" customFormat="false" ht="12.75" hidden="false" customHeight="true" outlineLevel="0" collapsed="false">
      <c r="A740" s="15" t="n">
        <f aca="false">Report!C970</f>
        <v>46223</v>
      </c>
      <c r="B740" s="1" t="str">
        <f aca="false">Report!E970</f>
        <v>J W N DOS SANTOS</v>
      </c>
      <c r="C740" s="16" t="n">
        <f aca="false">Report!U970</f>
        <v>228</v>
      </c>
      <c r="D740" s="1" t="str">
        <f aca="false">Report!X970</f>
        <v>NF 364 ELLEN</v>
      </c>
    </row>
    <row r="741" customFormat="false" ht="12.75" hidden="false" customHeight="true" outlineLevel="0" collapsed="false">
      <c r="A741" s="15" t="n">
        <f aca="false">Report!C971</f>
        <v>46223</v>
      </c>
      <c r="B741" s="1" t="str">
        <f aca="false">Report!E971</f>
        <v>NEYLIANE SILVA DE OLIVEIRA</v>
      </c>
      <c r="C741" s="16" t="n">
        <f aca="false">Report!U971</f>
        <v>620</v>
      </c>
      <c r="D741" s="1" t="str">
        <f aca="false">Report!X971</f>
        <v>PL NEILA -ANDREZA</v>
      </c>
    </row>
    <row r="742" customFormat="false" ht="12.75" hidden="false" customHeight="true" outlineLevel="0" collapsed="false">
      <c r="A742" s="15" t="n">
        <f aca="false">Report!C972</f>
        <v>46223</v>
      </c>
      <c r="B742" s="1" t="str">
        <f aca="false">Report!E972</f>
        <v>RENATO DE O AZEVEDO E CIA LTDA - EPP</v>
      </c>
      <c r="C742" s="16" t="n">
        <f aca="false">Report!U972</f>
        <v>138.43</v>
      </c>
      <c r="D742" s="1" t="str">
        <f aca="false">Report!X972</f>
        <v>MENSALIDADE INSTAGRAM PARTE MO2 - KEILA</v>
      </c>
    </row>
    <row r="743" customFormat="false" ht="12.75" hidden="false" customHeight="true" outlineLevel="0" collapsed="false">
      <c r="A743" s="15" t="n">
        <f aca="false">Report!C976</f>
        <v>46224</v>
      </c>
      <c r="B743" s="1" t="str">
        <f aca="false">Report!E976</f>
        <v>SEM FORNECEDOR</v>
      </c>
      <c r="C743" s="16" t="n">
        <f aca="false">Report!U976</f>
        <v>70</v>
      </c>
      <c r="D743" s="1" t="str">
        <f aca="false">Report!X976</f>
        <v>extra idelma</v>
      </c>
    </row>
    <row r="744" customFormat="false" ht="12.75" hidden="false" customHeight="true" outlineLevel="0" collapsed="false">
      <c r="A744" s="15" t="n">
        <f aca="false">Report!C977</f>
        <v>46224</v>
      </c>
      <c r="B744" s="1" t="str">
        <f aca="false">Report!E977</f>
        <v>SEM FORNECEDOR</v>
      </c>
      <c r="C744" s="16" t="n">
        <f aca="false">Report!U977</f>
        <v>210</v>
      </c>
      <c r="D744" s="1" t="str">
        <f aca="false">Report!X977</f>
        <v>Pag de título:  Forn: 48-NEYLIANE S DE OLIVEIRA &amp; CIA LTDA. Tit: 2556-01</v>
      </c>
    </row>
    <row r="745" customFormat="false" ht="12.75" hidden="false" customHeight="true" outlineLevel="0" collapsed="false">
      <c r="A745" s="15" t="n">
        <f aca="false">Report!C978</f>
        <v>46224</v>
      </c>
      <c r="B745" s="1" t="str">
        <f aca="false">Report!E978</f>
        <v>SEM FORNECEDOR</v>
      </c>
      <c r="C745" s="16" t="n">
        <f aca="false">Report!U978</f>
        <v>2300</v>
      </c>
      <c r="D745" s="1" t="str">
        <f aca="false">Report!X978</f>
        <v>Depósito ref. 21/07/2026</v>
      </c>
    </row>
    <row r="746" customFormat="false" ht="12.75" hidden="false" customHeight="true" outlineLevel="0" collapsed="false">
      <c r="A746" s="15" t="n">
        <f aca="false">Report!C979</f>
        <v>46224</v>
      </c>
      <c r="B746" s="1" t="str">
        <f aca="false">Report!E979</f>
        <v>DISTRIBUIDORA LOPES LTDA</v>
      </c>
      <c r="C746" s="16" t="n">
        <f aca="false">Report!U979</f>
        <v>724</v>
      </c>
      <c r="D746" s="1" t="str">
        <f aca="false">Report!X979</f>
        <v>NF 1678138 ELLEN</v>
      </c>
    </row>
    <row r="747" customFormat="false" ht="12.75" hidden="false" customHeight="true" outlineLevel="0" collapsed="false">
      <c r="A747" s="15" t="n">
        <f aca="false">Report!C980</f>
        <v>46224</v>
      </c>
      <c r="B747" s="1" t="str">
        <f aca="false">Report!E980</f>
        <v>MARTINS COM SERV DISTR SA</v>
      </c>
      <c r="C747" s="16" t="n">
        <f aca="false">Report!U980</f>
        <v>542.11</v>
      </c>
      <c r="D747" s="1" t="str">
        <f aca="false">Report!X980</f>
        <v>NF 1777487 ELLEN</v>
      </c>
    </row>
    <row r="748" customFormat="false" ht="12.75" hidden="false" customHeight="true" outlineLevel="0" collapsed="false">
      <c r="A748" s="15" t="n">
        <f aca="false">Report!C981</f>
        <v>46224</v>
      </c>
      <c r="B748" s="1" t="str">
        <f aca="false">Report!E981</f>
        <v>MARE DISTRIBUIDORA DE BEBIDAS E DE PRODUTOS ALIMENTICIOS LTDA</v>
      </c>
      <c r="C748" s="16" t="n">
        <f aca="false">Report!U981</f>
        <v>1209.4</v>
      </c>
      <c r="D748" s="1" t="str">
        <f aca="false">Report!X981</f>
        <v>NF 1385251 ELLEN</v>
      </c>
    </row>
    <row r="749" customFormat="false" ht="12.75" hidden="false" customHeight="true" outlineLevel="0" collapsed="false">
      <c r="A749" s="15" t="n">
        <f aca="false">Report!C982</f>
        <v>46224</v>
      </c>
      <c r="B749" s="1" t="str">
        <f aca="false">Report!E982</f>
        <v>BRASIL NORTE BEBIDAS S/A</v>
      </c>
      <c r="C749" s="16" t="n">
        <f aca="false">Report!U982</f>
        <v>205.13</v>
      </c>
      <c r="D749" s="1" t="str">
        <f aca="false">Report!X982</f>
        <v>NF 1917880 ELLEN</v>
      </c>
    </row>
    <row r="750" customFormat="false" ht="12.75" hidden="false" customHeight="true" outlineLevel="0" collapsed="false">
      <c r="A750" s="15" t="n">
        <f aca="false">Report!C983</f>
        <v>46224</v>
      </c>
      <c r="B750" s="1" t="str">
        <f aca="false">Report!E983</f>
        <v>BRASIL NORTE BEBIDAS S/A</v>
      </c>
      <c r="C750" s="16" t="n">
        <f aca="false">Report!U983</f>
        <v>63.37</v>
      </c>
      <c r="D750" s="1" t="str">
        <f aca="false">Report!X983</f>
        <v>NF 1187912 ELLEN</v>
      </c>
    </row>
    <row r="751" customFormat="false" ht="12.75" hidden="false" customHeight="true" outlineLevel="0" collapsed="false">
      <c r="A751" s="15" t="n">
        <f aca="false">Report!C984</f>
        <v>46224</v>
      </c>
      <c r="B751" s="1" t="str">
        <f aca="false">Report!E984</f>
        <v>BRASIL NORTE BEBIDAS S/A</v>
      </c>
      <c r="C751" s="16" t="n">
        <f aca="false">Report!U984</f>
        <v>767.32</v>
      </c>
      <c r="D751" s="1" t="str">
        <f aca="false">Report!X984</f>
        <v>NF 1187910 ELLEN</v>
      </c>
    </row>
    <row r="752" customFormat="false" ht="12.75" hidden="false" customHeight="true" outlineLevel="0" collapsed="false">
      <c r="A752" s="15" t="n">
        <f aca="false">Report!C985</f>
        <v>46224</v>
      </c>
      <c r="B752" s="1" t="str">
        <f aca="false">Report!E985</f>
        <v>BRASIL NORTE BEBIDAS S/A</v>
      </c>
      <c r="C752" s="16" t="n">
        <f aca="false">Report!U985</f>
        <v>3649.01</v>
      </c>
      <c r="D752" s="1" t="str">
        <f aca="false">Report!X985</f>
        <v>NF 1917854 ELLEN</v>
      </c>
    </row>
    <row r="753" customFormat="false" ht="12.75" hidden="false" customHeight="true" outlineLevel="0" collapsed="false">
      <c r="A753" s="15" t="n">
        <f aca="false">Report!C986</f>
        <v>46224</v>
      </c>
      <c r="B753" s="1" t="str">
        <f aca="false">Report!E986</f>
        <v>NSB COMERCIO ATACADISTA E VAREJISTA DE P</v>
      </c>
      <c r="C753" s="16" t="n">
        <f aca="false">Report!U986</f>
        <v>378.88</v>
      </c>
      <c r="D753" s="1" t="str">
        <f aca="false">Report!X986</f>
        <v>NF 7874 ELLEN</v>
      </c>
    </row>
    <row r="754" customFormat="false" ht="12.75" hidden="false" customHeight="true" outlineLevel="0" collapsed="false">
      <c r="A754" s="15" t="n">
        <f aca="false">Report!C987</f>
        <v>46224</v>
      </c>
      <c r="B754" s="1" t="str">
        <f aca="false">Report!E987</f>
        <v>BROTHERS  INDUSTRIA DE ALIMENTOS LTDA</v>
      </c>
      <c r="C754" s="16" t="n">
        <f aca="false">Report!U987</f>
        <v>261.92</v>
      </c>
      <c r="D754" s="1" t="str">
        <f aca="false">Report!X987</f>
        <v>NF 1031749 ELLEN</v>
      </c>
    </row>
    <row r="755" customFormat="false" ht="12.75" hidden="false" customHeight="true" outlineLevel="0" collapsed="false">
      <c r="A755" s="15" t="n">
        <f aca="false">Report!C988</f>
        <v>46224</v>
      </c>
      <c r="B755" s="1" t="str">
        <f aca="false">Report!E988</f>
        <v>NESTLÉ BRASIL LTDA.</v>
      </c>
      <c r="C755" s="16" t="n">
        <f aca="false">Report!U988</f>
        <v>712.57</v>
      </c>
      <c r="D755" s="1" t="str">
        <f aca="false">Report!X988</f>
        <v>NF 1427668 ELLEN</v>
      </c>
    </row>
    <row r="756" customFormat="false" ht="12.75" hidden="false" customHeight="true" outlineLevel="0" collapsed="false">
      <c r="A756" s="15" t="n">
        <f aca="false">Report!C989</f>
        <v>46224</v>
      </c>
      <c r="B756" s="1" t="str">
        <f aca="false">Report!E989</f>
        <v>PANIFICADORA E CONFEITARIA REAL MADRI LTDA</v>
      </c>
      <c r="C756" s="16" t="n">
        <f aca="false">Report!U989</f>
        <v>184.9</v>
      </c>
      <c r="D756" s="1" t="str">
        <f aca="false">Report!X989</f>
        <v>NF 719 ELLEN</v>
      </c>
    </row>
    <row r="757" customFormat="false" ht="12.75" hidden="false" customHeight="true" outlineLevel="0" collapsed="false">
      <c r="A757" s="15" t="n">
        <f aca="false">Report!C990</f>
        <v>46224</v>
      </c>
      <c r="B757" s="1" t="str">
        <f aca="false">Report!E990</f>
        <v>ADICSO FABIAN GONZALEZ MONTILLA 70302186</v>
      </c>
      <c r="C757" s="16" t="n">
        <f aca="false">Report!U990</f>
        <v>180</v>
      </c>
      <c r="D757" s="1" t="str">
        <f aca="false">Report!X990</f>
        <v>NF 535 ELLEN</v>
      </c>
    </row>
    <row r="758" customFormat="false" ht="12.75" hidden="false" customHeight="true" outlineLevel="0" collapsed="false">
      <c r="A758" s="15" t="n">
        <f aca="false">Report!C991</f>
        <v>46224</v>
      </c>
      <c r="B758" s="1" t="str">
        <f aca="false">Report!E991</f>
        <v>NEYLIANE S DE OLIVEIRA &amp; CIA LTDA</v>
      </c>
      <c r="C758" s="16" t="n">
        <f aca="false">Report!U991</f>
        <v>1446.94</v>
      </c>
      <c r="D758" s="1" t="str">
        <f aca="false">Report!X991</f>
        <v>FEIRA SR RENATO - PG P LJ 1 - ELLEN</v>
      </c>
    </row>
    <row r="759" customFormat="false" ht="12.75" hidden="false" customHeight="true" outlineLevel="0" collapsed="false">
      <c r="A759" s="15" t="n">
        <f aca="false">Report!C992</f>
        <v>46224</v>
      </c>
      <c r="B759" s="1" t="str">
        <f aca="false">Report!E992</f>
        <v>FEIRA</v>
      </c>
      <c r="C759" s="16" t="n">
        <f aca="false">Report!U992</f>
        <v>190</v>
      </c>
      <c r="D759" s="1" t="str">
        <f aca="false">Report!X992</f>
        <v>FEIRA SR RENATO - PG P LJ1 (MAÇA) SOMAR C NF2554-ELLEN</v>
      </c>
    </row>
    <row r="760" customFormat="false" ht="12.75" hidden="false" customHeight="true" outlineLevel="0" collapsed="false">
      <c r="A760" s="15" t="n">
        <f aca="false">Report!C993</f>
        <v>46224</v>
      </c>
      <c r="B760" s="1" t="str">
        <f aca="false">Report!E993</f>
        <v>NEYLIANE S DE OLIVEIRA &amp; CIA LTDA</v>
      </c>
      <c r="C760" s="16" t="n">
        <f aca="false">Report!U993</f>
        <v>55</v>
      </c>
      <c r="D760" s="1" t="str">
        <f aca="false">Report!X993</f>
        <v>FEIRA SR RENATO (1 SC LIMÃO) PG P LJ1 - ELLEN</v>
      </c>
    </row>
    <row r="761" customFormat="false" ht="12.75" hidden="false" customHeight="true" outlineLevel="0" collapsed="false">
      <c r="A761" s="15" t="n">
        <f aca="false">Report!C994</f>
        <v>46224</v>
      </c>
      <c r="B761" s="1" t="str">
        <f aca="false">Report!E994</f>
        <v>NEYLIANE S DE OLIVEIRA &amp; CIA LTDA</v>
      </c>
      <c r="C761" s="16" t="n">
        <f aca="false">Report!U994</f>
        <v>210</v>
      </c>
      <c r="D761" s="1" t="str">
        <f aca="false">Report!X994</f>
        <v>COMPRAS - 15L DE AÇAI - PG NO P 21/7/26 ELLEN</v>
      </c>
    </row>
    <row r="762" customFormat="false" ht="12.75" hidden="false" customHeight="true" outlineLevel="0" collapsed="false">
      <c r="A762" s="15" t="n">
        <f aca="false">Report!C995</f>
        <v>46224</v>
      </c>
      <c r="B762" s="1" t="str">
        <f aca="false">Report!E995</f>
        <v>DESPESA OPER LOJA</v>
      </c>
      <c r="C762" s="16" t="n">
        <f aca="false">Report!U995</f>
        <v>301.61</v>
      </c>
      <c r="D762" s="1" t="str">
        <f aca="false">Report!X995</f>
        <v>PAG CUSTAS CARTORIO PROTESTO MO2 - KEILA</v>
      </c>
    </row>
    <row r="763" customFormat="false" ht="12.75" hidden="false" customHeight="true" outlineLevel="0" collapsed="false">
      <c r="A763" s="15" t="n">
        <f aca="false">Report!C996</f>
        <v>46224</v>
      </c>
      <c r="B763" s="1" t="str">
        <f aca="false">Report!E996</f>
        <v>FEIRA</v>
      </c>
      <c r="C763" s="16" t="n">
        <f aca="false">Report!U996</f>
        <v>4888</v>
      </c>
      <c r="D763" s="1" t="str">
        <f aca="false">Report!X996</f>
        <v>FEIRA LOJA SR RENATO-ANDREZA</v>
      </c>
    </row>
    <row r="764" customFormat="false" ht="12.75" hidden="false" customHeight="true" outlineLevel="0" collapsed="false">
      <c r="A764" s="15" t="n">
        <f aca="false">Report!C997</f>
        <v>46225</v>
      </c>
      <c r="B764" s="1" t="str">
        <f aca="false">Report!E997</f>
        <v>SEM FORNECEDOR</v>
      </c>
      <c r="C764" s="16" t="n">
        <f aca="false">Report!U997</f>
        <v>210</v>
      </c>
      <c r="D764" s="1" t="str">
        <f aca="false">Report!X997</f>
        <v>Pag de título:  Forn: 48-NEYLIANE S DE OLIVEIRA &amp; CIA LTDA. Tit: 2557-01</v>
      </c>
    </row>
    <row r="765" customFormat="false" ht="12.75" hidden="false" customHeight="true" outlineLevel="0" collapsed="false">
      <c r="A765" s="15" t="n">
        <f aca="false">Report!C998</f>
        <v>46225</v>
      </c>
      <c r="B765" s="1" t="str">
        <f aca="false">Report!E998</f>
        <v>SEM FORNECEDOR</v>
      </c>
      <c r="C765" s="16" t="n">
        <f aca="false">Report!U998</f>
        <v>120</v>
      </c>
      <c r="D765" s="1" t="str">
        <f aca="false">Report!X998</f>
        <v>refeições funcionarios</v>
      </c>
    </row>
    <row r="766" customFormat="false" ht="12.75" hidden="false" customHeight="true" outlineLevel="0" collapsed="false">
      <c r="A766" s="15" t="n">
        <f aca="false">Report!C999</f>
        <v>46225</v>
      </c>
      <c r="B766" s="1" t="str">
        <f aca="false">Report!E999</f>
        <v>SEM FORNECEDOR</v>
      </c>
      <c r="C766" s="16" t="n">
        <f aca="false">Report!U999</f>
        <v>50</v>
      </c>
      <c r="D766" s="1" t="str">
        <f aca="false">Report!X999</f>
        <v>extra elilton</v>
      </c>
    </row>
    <row r="767" customFormat="false" ht="12.75" hidden="false" customHeight="true" outlineLevel="0" collapsed="false">
      <c r="A767" s="15" t="n">
        <f aca="false">Report!C1000</f>
        <v>46225</v>
      </c>
      <c r="B767" s="1" t="str">
        <f aca="false">Report!E1000</f>
        <v>SEM FORNECEDOR</v>
      </c>
      <c r="C767" s="16" t="n">
        <f aca="false">Report!U1000</f>
        <v>70</v>
      </c>
      <c r="D767" s="1" t="str">
        <f aca="false">Report!X1000</f>
        <v>extra helio</v>
      </c>
    </row>
    <row r="768" customFormat="false" ht="12.75" hidden="false" customHeight="true" outlineLevel="0" collapsed="false">
      <c r="A768" s="15" t="n">
        <f aca="false">Report!C1002</f>
        <v>46225</v>
      </c>
      <c r="B768" s="1" t="str">
        <f aca="false">Report!E1002</f>
        <v>SEM FORNECEDOR</v>
      </c>
      <c r="C768" s="16" t="n">
        <f aca="false">Report!U1002</f>
        <v>1500</v>
      </c>
      <c r="D768" s="1" t="str">
        <f aca="false">Report!X1002</f>
        <v>Depósito ref. 22/07/2026</v>
      </c>
    </row>
    <row r="769" customFormat="false" ht="12.75" hidden="false" customHeight="true" outlineLevel="0" collapsed="false">
      <c r="A769" s="15" t="n">
        <f aca="false">Report!C1003</f>
        <v>46225</v>
      </c>
      <c r="B769" s="1" t="str">
        <f aca="false">Report!E1003</f>
        <v>PRIME PET DISTRIBUIDORA LTDA</v>
      </c>
      <c r="C769" s="16" t="n">
        <f aca="false">Report!U1003</f>
        <v>1361.81</v>
      </c>
      <c r="D769" s="1" t="str">
        <f aca="false">Report!X1003</f>
        <v>NF 10860 ELLEN</v>
      </c>
    </row>
    <row r="770" customFormat="false" ht="12.75" hidden="false" customHeight="true" outlineLevel="0" collapsed="false">
      <c r="A770" s="15" t="n">
        <f aca="false">Report!C1012</f>
        <v>46226</v>
      </c>
      <c r="B770" s="1" t="str">
        <f aca="false">Report!E1012</f>
        <v>SEM FORNECEDOR</v>
      </c>
      <c r="C770" s="16" t="n">
        <f aca="false">Report!U1012</f>
        <v>50</v>
      </c>
      <c r="D770" s="1" t="str">
        <f aca="false">Report!X1012</f>
        <v>extra elilton</v>
      </c>
    </row>
    <row r="771" customFormat="false" ht="12.75" hidden="false" customHeight="true" outlineLevel="0" collapsed="false">
      <c r="A771" s="15" t="n">
        <f aca="false">Report!C1014</f>
        <v>46226</v>
      </c>
      <c r="B771" s="1" t="str">
        <f aca="false">Report!E1014</f>
        <v>SEM FORNECEDOR</v>
      </c>
      <c r="C771" s="16" t="n">
        <f aca="false">Report!U1014</f>
        <v>2600</v>
      </c>
      <c r="D771" s="1" t="str">
        <f aca="false">Report!X1014</f>
        <v>Depósito ref. 23/07/2026</v>
      </c>
    </row>
    <row r="772" customFormat="false" ht="12.75" hidden="false" customHeight="true" outlineLevel="0" collapsed="false">
      <c r="A772" s="15" t="n">
        <f aca="false">Report!C1015</f>
        <v>46226</v>
      </c>
      <c r="B772" s="1" t="str">
        <f aca="false">Report!E1015</f>
        <v>EMOPS CONTROLE AMBIENTAL EIRELI</v>
      </c>
      <c r="C772" s="16" t="n">
        <f aca="false">Report!U1015</f>
        <v>396.64</v>
      </c>
      <c r="D772" s="1" t="str">
        <f aca="false">Report!X1015</f>
        <v>MENSALIDADE DEDETIZACAO MO2 - KEILA</v>
      </c>
    </row>
    <row r="773" customFormat="false" ht="12.75" hidden="false" customHeight="true" outlineLevel="0" collapsed="false">
      <c r="A773" s="15" t="n">
        <f aca="false">Report!C1016</f>
        <v>46226</v>
      </c>
      <c r="B773" s="1" t="str">
        <f aca="false">Report!E1016</f>
        <v>RISADINHA LTDA</v>
      </c>
      <c r="C773" s="16" t="n">
        <f aca="false">Report!U1016</f>
        <v>550.4</v>
      </c>
      <c r="D773" s="1" t="str">
        <f aca="false">Report!X1016</f>
        <v>NF 658429 ELLEN</v>
      </c>
    </row>
    <row r="774" customFormat="false" ht="12.75" hidden="false" customHeight="true" outlineLevel="0" collapsed="false">
      <c r="A774" s="15" t="n">
        <f aca="false">Report!C1017</f>
        <v>46226</v>
      </c>
      <c r="B774" s="1" t="str">
        <f aca="false">Report!E1017</f>
        <v>SB COMERCIO LTDA</v>
      </c>
      <c r="C774" s="16" t="n">
        <f aca="false">Report!U1017</f>
        <v>653.86</v>
      </c>
      <c r="D774" s="1" t="str">
        <f aca="false">Report!X1017</f>
        <v>NF 1959276 ELLEN</v>
      </c>
    </row>
    <row r="775" customFormat="false" ht="12.75" hidden="false" customHeight="true" outlineLevel="0" collapsed="false">
      <c r="A775" s="15" t="n">
        <f aca="false">Report!C1018</f>
        <v>46226</v>
      </c>
      <c r="B775" s="1" t="str">
        <f aca="false">Report!E1018</f>
        <v>DISTRIBUIDORA LOPES LTDA</v>
      </c>
      <c r="C775" s="16" t="n">
        <f aca="false">Report!U1018</f>
        <v>1383</v>
      </c>
      <c r="D775" s="1" t="str">
        <f aca="false">Report!X1018</f>
        <v>NF 1680694 ELLEN</v>
      </c>
    </row>
    <row r="776" customFormat="false" ht="12.75" hidden="false" customHeight="true" outlineLevel="0" collapsed="false">
      <c r="A776" s="15" t="n">
        <f aca="false">Report!C1019</f>
        <v>46226</v>
      </c>
      <c r="B776" s="1" t="str">
        <f aca="false">Report!E1019</f>
        <v>J G COMERCIO DE PRODUTOS ALIMENTICIOS LTDA</v>
      </c>
      <c r="C776" s="16" t="n">
        <f aca="false">Report!U1019</f>
        <v>2005.44</v>
      </c>
      <c r="D776" s="1" t="str">
        <f aca="false">Report!X1019</f>
        <v>NF 390211 ELLEN</v>
      </c>
    </row>
    <row r="777" customFormat="false" ht="12.75" hidden="false" customHeight="true" outlineLevel="0" collapsed="false">
      <c r="A777" s="15" t="n">
        <f aca="false">Report!C1020</f>
        <v>46226</v>
      </c>
      <c r="B777" s="1" t="str">
        <f aca="false">Report!E1020</f>
        <v>BRASIL NORTE BEBIDAS S/A</v>
      </c>
      <c r="C777" s="16" t="n">
        <f aca="false">Report!U1020</f>
        <v>636.39</v>
      </c>
      <c r="D777" s="1" t="str">
        <f aca="false">Report!X1020</f>
        <v>NF 1193391 ELLEN</v>
      </c>
    </row>
    <row r="778" customFormat="false" ht="12.75" hidden="false" customHeight="true" outlineLevel="0" collapsed="false">
      <c r="A778" s="15" t="n">
        <f aca="false">Report!C1021</f>
        <v>46226</v>
      </c>
      <c r="B778" s="1" t="str">
        <f aca="false">Report!E1021</f>
        <v>BRASIL NORTE BEBIDAS S/A</v>
      </c>
      <c r="C778" s="16" t="n">
        <f aca="false">Report!U1021</f>
        <v>636.39</v>
      </c>
      <c r="D778" s="1" t="str">
        <f aca="false">Report!X1021</f>
        <v>NF 1193333 ELLEN</v>
      </c>
    </row>
    <row r="779" customFormat="false" ht="12.75" hidden="false" customHeight="true" outlineLevel="0" collapsed="false">
      <c r="A779" s="15" t="n">
        <f aca="false">Report!C1022</f>
        <v>46226</v>
      </c>
      <c r="B779" s="1" t="str">
        <f aca="false">Report!E1022</f>
        <v>BRASIL NORTE BEBIDAS S/A</v>
      </c>
      <c r="C779" s="16" t="n">
        <f aca="false">Report!U1022</f>
        <v>76.19</v>
      </c>
      <c r="D779" s="1" t="str">
        <f aca="false">Report!X1022</f>
        <v>NF 1923967 ELLEN</v>
      </c>
    </row>
    <row r="780" customFormat="false" ht="12.75" hidden="false" customHeight="true" outlineLevel="0" collapsed="false">
      <c r="A780" s="15" t="n">
        <f aca="false">Report!C1023</f>
        <v>46226</v>
      </c>
      <c r="B780" s="1" t="str">
        <f aca="false">Report!E1023</f>
        <v>BRASIL NORTE BEBIDAS S/A</v>
      </c>
      <c r="C780" s="16" t="n">
        <f aca="false">Report!U1023</f>
        <v>225.5</v>
      </c>
      <c r="D780" s="1" t="str">
        <f aca="false">Report!X1023</f>
        <v>NF 1923963 ELLEN</v>
      </c>
    </row>
    <row r="781" customFormat="false" ht="12.75" hidden="false" customHeight="true" outlineLevel="0" collapsed="false">
      <c r="A781" s="15" t="n">
        <f aca="false">Report!C1024</f>
        <v>46226</v>
      </c>
      <c r="B781" s="1" t="str">
        <f aca="false">Report!E1024</f>
        <v>BRASIL NORTE BEBIDAS S/A</v>
      </c>
      <c r="C781" s="16" t="n">
        <f aca="false">Report!U1024</f>
        <v>221</v>
      </c>
      <c r="D781" s="1" t="str">
        <f aca="false">Report!X1024</f>
        <v>NF 1923964 ELLEN</v>
      </c>
    </row>
    <row r="782" customFormat="false" ht="12.75" hidden="false" customHeight="true" outlineLevel="0" collapsed="false">
      <c r="A782" s="15" t="n">
        <f aca="false">Report!C1025</f>
        <v>46226</v>
      </c>
      <c r="B782" s="1" t="str">
        <f aca="false">Report!E1025</f>
        <v>BRASIL NORTE BEBIDAS S/A</v>
      </c>
      <c r="C782" s="16" t="n">
        <f aca="false">Report!U1025</f>
        <v>104.51</v>
      </c>
      <c r="D782" s="1" t="str">
        <f aca="false">Report!X1025</f>
        <v>NF 1193336 ELLEN</v>
      </c>
    </row>
    <row r="783" customFormat="false" ht="12.75" hidden="false" customHeight="true" outlineLevel="0" collapsed="false">
      <c r="A783" s="15" t="n">
        <f aca="false">Report!C1027</f>
        <v>46226</v>
      </c>
      <c r="B783" s="1" t="str">
        <f aca="false">Report!E1027</f>
        <v>EMPRESA BRASILEIRA DE DISTRIBUICAO LTDA</v>
      </c>
      <c r="C783" s="16" t="n">
        <f aca="false">Report!U1027</f>
        <v>658.61</v>
      </c>
      <c r="D783" s="1" t="str">
        <f aca="false">Report!X1027</f>
        <v>NF 2299705 ELLEN</v>
      </c>
    </row>
    <row r="784" customFormat="false" ht="12.75" hidden="false" customHeight="true" outlineLevel="0" collapsed="false">
      <c r="A784" s="15" t="n">
        <f aca="false">Report!C1028</f>
        <v>46226</v>
      </c>
      <c r="B784" s="1" t="str">
        <f aca="false">Report!E1028</f>
        <v>EMPRESA BRASILEIRA DE DISTRIBUICAO LTDA</v>
      </c>
      <c r="C784" s="16" t="n">
        <f aca="false">Report!U1028</f>
        <v>377.45</v>
      </c>
      <c r="D784" s="1" t="str">
        <f aca="false">Report!X1028</f>
        <v>NF 2299703 ELLEN</v>
      </c>
    </row>
    <row r="785" customFormat="false" ht="12.75" hidden="false" customHeight="true" outlineLevel="0" collapsed="false">
      <c r="A785" s="15" t="n">
        <f aca="false">Report!C1029</f>
        <v>46226</v>
      </c>
      <c r="B785" s="1" t="str">
        <f aca="false">Report!E1029</f>
        <v>OCIDENTAL COMERCIO DE FRIOS LTDA</v>
      </c>
      <c r="C785" s="16" t="n">
        <f aca="false">Report!U1029</f>
        <v>335.35</v>
      </c>
      <c r="D785" s="1" t="str">
        <f aca="false">Report!X1029</f>
        <v>NF 1245696 ELLEN</v>
      </c>
    </row>
    <row r="786" customFormat="false" ht="12.75" hidden="false" customHeight="true" outlineLevel="0" collapsed="false">
      <c r="A786" s="15" t="n">
        <f aca="false">Report!C1048</f>
        <v>46227</v>
      </c>
      <c r="B786" s="1" t="str">
        <f aca="false">Report!E1048</f>
        <v>SOUZA CRUZ LTDA.</v>
      </c>
      <c r="C786" s="16" t="n">
        <f aca="false">Report!U1048</f>
        <v>4572.86</v>
      </c>
      <c r="D786" s="1" t="str">
        <f aca="false">Report!X1048</f>
        <v>NF 566541 ELLEN</v>
      </c>
    </row>
    <row r="787" customFormat="false" ht="12.75" hidden="false" customHeight="true" outlineLevel="0" collapsed="false">
      <c r="A787" s="15" t="n">
        <f aca="false">Report!C1049</f>
        <v>46227</v>
      </c>
      <c r="B787" s="1" t="str">
        <f aca="false">Report!E1049</f>
        <v>MARQUES &amp; MELO LTDA - FILIAL</v>
      </c>
      <c r="C787" s="16" t="n">
        <f aca="false">Report!U1049</f>
        <v>2113</v>
      </c>
      <c r="D787" s="1" t="str">
        <f aca="false">Report!X1049</f>
        <v>NF 501201 ELLEN</v>
      </c>
    </row>
    <row r="788" customFormat="false" ht="12.75" hidden="false" customHeight="true" outlineLevel="0" collapsed="false">
      <c r="A788" s="15" t="n">
        <f aca="false">Report!C1050</f>
        <v>46227</v>
      </c>
      <c r="B788" s="1" t="str">
        <f aca="false">Report!E1050</f>
        <v>MARTINS COM SERV DISTR SA</v>
      </c>
      <c r="C788" s="16" t="n">
        <f aca="false">Report!U1050</f>
        <v>278.28</v>
      </c>
      <c r="D788" s="1" t="str">
        <f aca="false">Report!X1050</f>
        <v>NF'S 1781169/1781170 - ELLEN</v>
      </c>
    </row>
    <row r="789" customFormat="false" ht="12.75" hidden="false" customHeight="true" outlineLevel="0" collapsed="false">
      <c r="A789" s="15" t="n">
        <f aca="false">Report!C1051</f>
        <v>46227</v>
      </c>
      <c r="B789" s="1" t="str">
        <f aca="false">Report!E1051</f>
        <v>BROTHERS  INDUSTRIA DE ALIMENTOS LTDA</v>
      </c>
      <c r="C789" s="16" t="n">
        <f aca="false">Report!U1051</f>
        <v>254.6</v>
      </c>
      <c r="D789" s="1" t="str">
        <f aca="false">Report!X1051</f>
        <v>NF 1032250 ELLEN</v>
      </c>
    </row>
    <row r="790" customFormat="false" ht="12.75" hidden="false" customHeight="true" outlineLevel="0" collapsed="false">
      <c r="A790" s="15" t="n">
        <f aca="false">Report!C1052</f>
        <v>46227</v>
      </c>
      <c r="B790" s="1" t="str">
        <f aca="false">Report!E1052</f>
        <v>REAL BEBIDAS DA AMAZONIA LTDA</v>
      </c>
      <c r="C790" s="16" t="n">
        <f aca="false">Report!U1052</f>
        <v>189</v>
      </c>
      <c r="D790" s="1" t="str">
        <f aca="false">Report!X1052</f>
        <v>NF 605020 ELLEN</v>
      </c>
    </row>
    <row r="791" customFormat="false" ht="12.75" hidden="false" customHeight="true" outlineLevel="0" collapsed="false">
      <c r="A791" s="15" t="n">
        <f aca="false">Report!C1053</f>
        <v>46227</v>
      </c>
      <c r="B791" s="1" t="str">
        <f aca="false">Report!E1053</f>
        <v>PANIFICADORA E CONFEITARIA REAL MADRI LTDA</v>
      </c>
      <c r="C791" s="16" t="n">
        <f aca="false">Report!U1053</f>
        <v>182.36</v>
      </c>
      <c r="D791" s="1" t="str">
        <f aca="false">Report!X1053</f>
        <v>NF 724 ELLEN</v>
      </c>
    </row>
    <row r="792" customFormat="false" ht="12.75" hidden="false" customHeight="true" outlineLevel="0" collapsed="false">
      <c r="A792" s="15" t="n">
        <f aca="false">Report!C1054</f>
        <v>46227</v>
      </c>
      <c r="B792" s="1" t="str">
        <f aca="false">Report!E1054</f>
        <v>NEYLIANE S DE OLIVEIRA &amp; CIA LTDA</v>
      </c>
      <c r="C792" s="16" t="n">
        <f aca="false">Report!U1054</f>
        <v>1919.18</v>
      </c>
      <c r="D792" s="1" t="str">
        <f aca="false">Report!X1054</f>
        <v>FEIRA SR RENATO - PG P LJ1 - ELLEN</v>
      </c>
    </row>
    <row r="793" customFormat="false" ht="12.75" hidden="false" customHeight="true" outlineLevel="0" collapsed="false">
      <c r="A793" s="15" t="n">
        <f aca="false">Report!C1055</f>
        <v>46227</v>
      </c>
      <c r="B793" s="1" t="str">
        <f aca="false">Report!E1055</f>
        <v>FEIRA</v>
      </c>
      <c r="C793" s="16" t="n">
        <f aca="false">Report!U1055</f>
        <v>325</v>
      </c>
      <c r="D793" s="1" t="str">
        <f aca="false">Report!X1055</f>
        <v>FEIRA SR RENATO-PG P LJ1 (ALHO/PERA) SOMAR C NF2560-ELLEN</v>
      </c>
    </row>
    <row r="794" customFormat="false" ht="12.75" hidden="false" customHeight="true" outlineLevel="0" collapsed="false">
      <c r="A794" s="15" t="n">
        <f aca="false">Report!C1056</f>
        <v>46227</v>
      </c>
      <c r="B794" s="1" t="str">
        <f aca="false">Report!E1056</f>
        <v>NEYLIANE S DE OLIVEIRA &amp; CIA LTDA</v>
      </c>
      <c r="C794" s="16" t="n">
        <f aca="false">Report!U1056</f>
        <v>280</v>
      </c>
      <c r="D794" s="1" t="str">
        <f aca="false">Report!X1056</f>
        <v>COMPRAS-20L DE AÇAI-PG NO P 24/7 ELLEN</v>
      </c>
    </row>
    <row r="795" customFormat="false" ht="12.75" hidden="false" customHeight="true" outlineLevel="0" collapsed="false">
      <c r="A795" s="15" t="n">
        <f aca="false">Report!C1057</f>
        <v>46227</v>
      </c>
      <c r="B795" s="1" t="str">
        <f aca="false">Report!E1057</f>
        <v>ITAU SA</v>
      </c>
      <c r="C795" s="16" t="n">
        <f aca="false">Report!U1057</f>
        <v>5343.28</v>
      </c>
      <c r="D795" s="1" t="str">
        <f aca="false">Report!X1057</f>
        <v>JUROS CONTA 46843-6 ITAU 2-ANDREZA</v>
      </c>
    </row>
    <row r="796" customFormat="false" ht="12.75" hidden="false" customHeight="true" outlineLevel="0" collapsed="false">
      <c r="A796" s="15" t="n">
        <f aca="false">Report!C1058</f>
        <v>46228</v>
      </c>
      <c r="B796" s="1" t="str">
        <f aca="false">Report!E1058</f>
        <v>SEM FORNECEDOR</v>
      </c>
      <c r="C796" s="16" t="n">
        <f aca="false">Report!U1058</f>
        <v>50</v>
      </c>
      <c r="D796" s="1" t="str">
        <f aca="false">Report!X1058</f>
        <v>extra elilton</v>
      </c>
    </row>
    <row r="797" customFormat="false" ht="12.75" hidden="false" customHeight="true" outlineLevel="0" collapsed="false">
      <c r="A797" s="15" t="n">
        <f aca="false">Report!C1059</f>
        <v>46228</v>
      </c>
      <c r="B797" s="1" t="str">
        <f aca="false">Report!E1059</f>
        <v>SEM FORNECEDOR</v>
      </c>
      <c r="C797" s="16" t="n">
        <f aca="false">Report!U1059</f>
        <v>200</v>
      </c>
      <c r="D797" s="1" t="str">
        <f aca="false">Report!X1059</f>
        <v>recibo-compras-trufas/angelo</v>
      </c>
    </row>
    <row r="798" customFormat="false" ht="12.75" hidden="false" customHeight="true" outlineLevel="0" collapsed="false">
      <c r="A798" s="15" t="n">
        <f aca="false">Report!C1060</f>
        <v>46228</v>
      </c>
      <c r="B798" s="1" t="str">
        <f aca="false">Report!E1060</f>
        <v>SEM FORNECEDOR</v>
      </c>
      <c r="C798" s="16" t="n">
        <f aca="false">Report!U1060</f>
        <v>50</v>
      </c>
      <c r="D798" s="1" t="str">
        <f aca="false">Report!X1060</f>
        <v>extra helio</v>
      </c>
    </row>
    <row r="799" customFormat="false" ht="12.75" hidden="false" customHeight="true" outlineLevel="0" collapsed="false">
      <c r="A799" s="15" t="n">
        <f aca="false">Report!C1061</f>
        <v>46228</v>
      </c>
      <c r="B799" s="1" t="str">
        <f aca="false">Report!E1061</f>
        <v>SEM FORNECEDOR</v>
      </c>
      <c r="C799" s="16" t="n">
        <f aca="false">Report!U1061</f>
        <v>200</v>
      </c>
      <c r="D799" s="1" t="str">
        <f aca="false">Report!X1061</f>
        <v>Pag de título:  Forn: 48-NEYLIANE S DE OLIVEIRA &amp; CIA LTDA. Tit: 2562-01</v>
      </c>
    </row>
    <row r="800" customFormat="false" ht="12.75" hidden="false" customHeight="true" outlineLevel="0" collapsed="false">
      <c r="A800" s="15" t="n">
        <f aca="false">Report!C1062</f>
        <v>46228</v>
      </c>
      <c r="B800" s="1" t="str">
        <f aca="false">Report!E1062</f>
        <v>NEYLIANE SILVA DE OLIVEIRA</v>
      </c>
      <c r="C800" s="16" t="n">
        <f aca="false">Report!U1062</f>
        <v>84.03</v>
      </c>
      <c r="D800" s="1" t="str">
        <f aca="false">Report!X1062</f>
        <v>PL NEILA CARTAO MO2 </v>
      </c>
    </row>
    <row r="801" customFormat="false" ht="12.75" hidden="false" customHeight="true" outlineLevel="0" collapsed="false">
      <c r="A801" s="15" t="n">
        <f aca="false">Report!C1063</f>
        <v>46228</v>
      </c>
      <c r="B801" s="1" t="str">
        <f aca="false">Report!E1063</f>
        <v>NEYLIANE SILVA DE OLIVEIRA</v>
      </c>
      <c r="C801" s="16" t="n">
        <f aca="false">Report!U1063</f>
        <v>362.14</v>
      </c>
      <c r="D801" s="1" t="str">
        <f aca="false">Report!X1063</f>
        <v>PL NEILA </v>
      </c>
    </row>
    <row r="802" customFormat="false" ht="12.75" hidden="false" customHeight="true" outlineLevel="0" collapsed="false">
      <c r="A802" s="15" t="n">
        <f aca="false">Report!C1064</f>
        <v>46228</v>
      </c>
      <c r="B802" s="1" t="str">
        <f aca="false">Report!E1064</f>
        <v>H L M PADARIA E CONFEITARIA LTDA</v>
      </c>
      <c r="C802" s="16" t="n">
        <f aca="false">Report!U1064</f>
        <v>140</v>
      </c>
      <c r="D802" s="1" t="str">
        <f aca="false">Report!X1064</f>
        <v>NF 81 COMPRAS-BOLO PG NO P 25/7 ELLEN</v>
      </c>
    </row>
    <row r="803" customFormat="false" ht="12.75" hidden="false" customHeight="true" outlineLevel="0" collapsed="false">
      <c r="A803" s="15" t="n">
        <f aca="false">Report!C1065</f>
        <v>46228</v>
      </c>
      <c r="B803" s="1" t="str">
        <f aca="false">Report!E1065</f>
        <v>THIAGO DA SILVA CRUZ</v>
      </c>
      <c r="C803" s="16" t="n">
        <f aca="false">Report!U1065</f>
        <v>200</v>
      </c>
      <c r="D803" s="1" t="str">
        <f aca="false">Report!X1065</f>
        <v>ADIANTAMENTO JULHO/2026</v>
      </c>
    </row>
    <row r="804" customFormat="false" ht="12.75" hidden="false" customHeight="true" outlineLevel="0" collapsed="false">
      <c r="A804" s="15" t="n">
        <f aca="false">Report!C1066</f>
        <v>46228</v>
      </c>
      <c r="B804" s="1" t="str">
        <f aca="false">Report!E1066</f>
        <v>MAXFRI DISTRIUIDORA LTDA</v>
      </c>
      <c r="C804" s="16" t="n">
        <f aca="false">Report!U1066</f>
        <v>3804</v>
      </c>
      <c r="D804" s="1" t="str">
        <f aca="false">Report!X1066</f>
        <v>NF 14751 ELLEN</v>
      </c>
    </row>
    <row r="805" customFormat="false" ht="12.75" hidden="false" customHeight="true" outlineLevel="0" collapsed="false">
      <c r="A805" s="15" t="n">
        <f aca="false">Report!C1068</f>
        <v>46229</v>
      </c>
      <c r="B805" s="1" t="str">
        <f aca="false">Report!E1068</f>
        <v>SEM FORNECEDOR</v>
      </c>
      <c r="C805" s="16" t="n">
        <f aca="false">Report!U1068</f>
        <v>74</v>
      </c>
      <c r="D805" s="1" t="str">
        <f aca="false">Report!X1068</f>
        <v>almoço funcionarios/regina</v>
      </c>
    </row>
    <row r="806" customFormat="false" ht="12.75" hidden="false" customHeight="true" outlineLevel="0" collapsed="false">
      <c r="A806" s="15" t="n">
        <f aca="false">Report!C1069</f>
        <v>46229</v>
      </c>
      <c r="B806" s="1" t="str">
        <f aca="false">Report!E1069</f>
        <v>SEM FORNECEDOR</v>
      </c>
      <c r="C806" s="16" t="n">
        <f aca="false">Report!U1069</f>
        <v>50</v>
      </c>
      <c r="D806" s="1" t="str">
        <f aca="false">Report!X1069</f>
        <v>REF. ADTO. FUNCIONARIO  THIAGO DA SILVA CRUZ</v>
      </c>
    </row>
    <row r="807" customFormat="false" ht="12.75" hidden="false" customHeight="true" outlineLevel="0" collapsed="false">
      <c r="A807" s="15" t="n">
        <f aca="false">Report!C1070</f>
        <v>46229</v>
      </c>
      <c r="B807" s="1" t="str">
        <f aca="false">Report!E1070</f>
        <v>FE COMERCIO DE MATERIAIS DE CONSTRUCAO</v>
      </c>
      <c r="C807" s="16" t="n">
        <f aca="false">Report!U1070</f>
        <v>819.53</v>
      </c>
      <c r="D807" s="1" t="str">
        <f aca="false">Report!X1070</f>
        <v>NF 4467 ELLEN</v>
      </c>
    </row>
    <row r="808" customFormat="false" ht="12.75" hidden="false" customHeight="true" outlineLevel="0" collapsed="false">
      <c r="A808" s="15" t="n">
        <f aca="false">Report!C1071</f>
        <v>46229</v>
      </c>
      <c r="B808" s="1" t="str">
        <f aca="false">Report!E1071</f>
        <v>THIAGO DA SILVA CRUZ</v>
      </c>
      <c r="C808" s="16" t="n">
        <f aca="false">Report!U1071</f>
        <v>50</v>
      </c>
      <c r="D808" s="1" t="str">
        <f aca="false">Report!X1071</f>
        <v>VALE THIAGO</v>
      </c>
    </row>
    <row r="809" customFormat="false" ht="12.75" hidden="false" customHeight="true" outlineLevel="0" collapsed="false">
      <c r="A809" s="15" t="n">
        <f aca="false">Report!C1073</f>
        <v>46230</v>
      </c>
      <c r="B809" s="1" t="str">
        <f aca="false">Report!E1073</f>
        <v>SEM FORNECEDOR</v>
      </c>
      <c r="C809" s="16" t="n">
        <f aca="false">Report!U1073</f>
        <v>70</v>
      </c>
      <c r="D809" s="1" t="str">
        <f aca="false">Report!X1073</f>
        <v>extra - idelma</v>
      </c>
    </row>
    <row r="810" customFormat="false" ht="12.75" hidden="false" customHeight="true" outlineLevel="0" collapsed="false">
      <c r="A810" s="15" t="n">
        <f aca="false">Report!C1074</f>
        <v>46230</v>
      </c>
      <c r="B810" s="1" t="str">
        <f aca="false">Report!E1074</f>
        <v>ITAU SA</v>
      </c>
      <c r="C810" s="16" t="n">
        <f aca="false">Report!U1074</f>
        <v>4168.41</v>
      </c>
      <c r="D810" s="1" t="str">
        <f aca="false">Report!X1074</f>
        <v>EMPRESTIMO PARC 32/42 INICIO 26.12.23 A 26.05.27</v>
      </c>
    </row>
    <row r="811" customFormat="false" ht="12.75" hidden="false" customHeight="true" outlineLevel="0" collapsed="false">
      <c r="A811" s="15" t="n">
        <f aca="false">Report!C1075</f>
        <v>46230</v>
      </c>
      <c r="B811" s="1" t="str">
        <f aca="false">Report!E1075</f>
        <v>NEYLIANE S DE OLIVEIRA &amp; CIA LTDA</v>
      </c>
      <c r="C811" s="16" t="n">
        <f aca="false">Report!U1075</f>
        <v>210</v>
      </c>
      <c r="D811" s="1" t="str">
        <f aca="false">Report!X1075</f>
        <v>COMPRAS - 15L DE AÇAI - PG NO P 27/7/26-ELLEN</v>
      </c>
    </row>
    <row r="812" customFormat="false" ht="12.75" hidden="false" customHeight="true" outlineLevel="0" collapsed="false">
      <c r="A812" s="15" t="n">
        <f aca="false">Report!C1076</f>
        <v>46230</v>
      </c>
      <c r="B812" s="1" t="str">
        <f aca="false">Report!E1076</f>
        <v>FENNIX BRASIL DISTRIBUIDORA DE PRODUTOS</v>
      </c>
      <c r="C812" s="16" t="n">
        <f aca="false">Report!U1076</f>
        <v>368.06</v>
      </c>
      <c r="D812" s="1" t="str">
        <f aca="false">Report!X1076</f>
        <v>NF 312916 ELLEN</v>
      </c>
    </row>
    <row r="813" customFormat="false" ht="12.75" hidden="false" customHeight="true" outlineLevel="0" collapsed="false">
      <c r="A813" s="15" t="n">
        <f aca="false">Report!C1077</f>
        <v>46230</v>
      </c>
      <c r="B813" s="1" t="str">
        <f aca="false">Report!E1077</f>
        <v>DUNORTE DISTRIBUIDORA DE PRODUTOS DE CONSUMO LTDA</v>
      </c>
      <c r="C813" s="16" t="n">
        <f aca="false">Report!U1077</f>
        <v>1313.59</v>
      </c>
      <c r="D813" s="1" t="n">
        <f aca="false">Report!X1077</f>
        <v>0</v>
      </c>
    </row>
    <row r="814" customFormat="false" ht="12.75" hidden="false" customHeight="true" outlineLevel="0" collapsed="false">
      <c r="A814" s="15" t="n">
        <f aca="false">Report!C1078</f>
        <v>46230</v>
      </c>
      <c r="B814" s="1" t="str">
        <f aca="false">Report!E1078</f>
        <v>DUNORTE DISTRIBUIDORA DE PRODUTOS DE CONSUMO LTDA</v>
      </c>
      <c r="C814" s="16" t="n">
        <f aca="false">Report!U1078</f>
        <v>1385.14</v>
      </c>
      <c r="D814" s="1" t="str">
        <f aca="false">Report!X1078</f>
        <v>NF 3218198 ELLEN</v>
      </c>
    </row>
    <row r="815" customFormat="false" ht="12.75" hidden="false" customHeight="true" outlineLevel="0" collapsed="false">
      <c r="A815" s="15" t="n">
        <f aca="false">Report!C1079</f>
        <v>46230</v>
      </c>
      <c r="B815" s="1" t="str">
        <f aca="false">Report!E1079</f>
        <v>DUNORTE DISTRIBUIDORA DE PRODUTOS DE CONSUMO LTDA</v>
      </c>
      <c r="C815" s="16" t="n">
        <f aca="false">Report!U1079</f>
        <v>918.23</v>
      </c>
      <c r="D815" s="1" t="str">
        <f aca="false">Report!X1079</f>
        <v>NF 3218197 ELLEN</v>
      </c>
    </row>
    <row r="816" customFormat="false" ht="12.75" hidden="false" customHeight="true" outlineLevel="0" collapsed="false">
      <c r="A816" s="15" t="n">
        <f aca="false">Report!C1080</f>
        <v>46230</v>
      </c>
      <c r="B816" s="1" t="str">
        <f aca="false">Report!E1080</f>
        <v>NEYLIANE S DE OLIVEIRA &amp; CIA LTDA</v>
      </c>
      <c r="C816" s="16" t="n">
        <f aca="false">Report!U1080</f>
        <v>949</v>
      </c>
      <c r="D816" s="1" t="str">
        <f aca="false">Report!X1080</f>
        <v>COMPRAS - FARINHA CRUZEIRO - ELLEN</v>
      </c>
    </row>
    <row r="817" customFormat="false" ht="12.75" hidden="false" customHeight="true" outlineLevel="0" collapsed="false">
      <c r="A817" s="15" t="n">
        <f aca="false">Report!C1081</f>
        <v>46230</v>
      </c>
      <c r="B817" s="1" t="str">
        <f aca="false">Report!E1081</f>
        <v>LIMA E BARANDA COMERCIO DE PRODUTOS REGI</v>
      </c>
      <c r="C817" s="16" t="n">
        <f aca="false">Report!U1081</f>
        <v>199</v>
      </c>
      <c r="D817" s="1" t="str">
        <f aca="false">Report!X1081</f>
        <v>NF 31515 ELLEN</v>
      </c>
    </row>
    <row r="818" customFormat="false" ht="12.75" hidden="false" customHeight="true" outlineLevel="0" collapsed="false">
      <c r="A818" s="15" t="n">
        <f aca="false">Report!C1082</f>
        <v>46230</v>
      </c>
      <c r="B818" s="1" t="str">
        <f aca="false">Report!E1082</f>
        <v>JAB COMERCIO DE PRODUTOS ALIMENTICIOS LT</v>
      </c>
      <c r="C818" s="16" t="n">
        <f aca="false">Report!U1082</f>
        <v>179</v>
      </c>
      <c r="D818" s="1" t="str">
        <f aca="false">Report!X1082</f>
        <v>NF 3579 ELLEN</v>
      </c>
    </row>
    <row r="819" customFormat="false" ht="12.75" hidden="false" customHeight="true" outlineLevel="0" collapsed="false">
      <c r="A819" s="15" t="n">
        <f aca="false">Report!C1083</f>
        <v>46230</v>
      </c>
      <c r="B819" s="1" t="str">
        <f aca="false">Report!E1083</f>
        <v>NOVA FRIOS COMERCIO ATACADISTA DE LATICINIOS LTDA</v>
      </c>
      <c r="C819" s="16" t="n">
        <f aca="false">Report!U1083</f>
        <v>232.05</v>
      </c>
      <c r="D819" s="1" t="str">
        <f aca="false">Report!X1083</f>
        <v>NF 4132 ELLEN</v>
      </c>
    </row>
    <row r="820" customFormat="false" ht="12.75" hidden="false" customHeight="true" outlineLevel="0" collapsed="false">
      <c r="A820" s="15" t="n">
        <f aca="false">Report!C1090</f>
        <v>46231</v>
      </c>
      <c r="B820" s="1" t="str">
        <f aca="false">Report!E1090</f>
        <v>SEM FORNECEDOR</v>
      </c>
      <c r="C820" s="16" t="n">
        <f aca="false">Report!U1090</f>
        <v>48.32</v>
      </c>
      <c r="D820" s="1" t="str">
        <f aca="false">Report!X1090</f>
        <v>recibo-compra roda da lixeira frente da loja-despesa-Ellen</v>
      </c>
    </row>
    <row r="821" customFormat="false" ht="12.75" hidden="false" customHeight="true" outlineLevel="0" collapsed="false">
      <c r="A821" s="15" t="n">
        <f aca="false">Report!C1092</f>
        <v>46231</v>
      </c>
      <c r="B821" s="1" t="str">
        <f aca="false">Report!E1092</f>
        <v>SEM FORNECEDOR</v>
      </c>
      <c r="C821" s="16" t="n">
        <f aca="false">Report!U1092</f>
        <v>108.34</v>
      </c>
      <c r="D821" s="1" t="str">
        <f aca="false">Report!X1092</f>
        <v>recibo-compra-conserto lixeira-açougue-despesa-Ellen</v>
      </c>
    </row>
    <row r="822" customFormat="false" ht="12.75" hidden="false" customHeight="true" outlineLevel="0" collapsed="false">
      <c r="A822" s="15" t="n">
        <f aca="false">Report!C1093</f>
        <v>46231</v>
      </c>
      <c r="B822" s="1" t="str">
        <f aca="false">Report!E1093</f>
        <v>SEM FORNECEDOR</v>
      </c>
      <c r="C822" s="16" t="n">
        <f aca="false">Report!U1093</f>
        <v>70</v>
      </c>
      <c r="D822" s="1" t="str">
        <f aca="false">Report!X1093</f>
        <v>extra idelma</v>
      </c>
    </row>
    <row r="823" customFormat="false" ht="12.75" hidden="false" customHeight="true" outlineLevel="0" collapsed="false">
      <c r="A823" s="15" t="n">
        <f aca="false">Report!C1094</f>
        <v>46231</v>
      </c>
      <c r="B823" s="1" t="str">
        <f aca="false">Report!E1094</f>
        <v>SEM FORNECEDOR</v>
      </c>
      <c r="C823" s="16" t="n">
        <f aca="false">Report!U1094</f>
        <v>120</v>
      </c>
      <c r="D823" s="1" t="str">
        <f aca="false">Report!X1094</f>
        <v>recibo-compras-pipoca caramelizada-iracelio-Ellen</v>
      </c>
    </row>
    <row r="824" customFormat="false" ht="12.75" hidden="false" customHeight="true" outlineLevel="0" collapsed="false">
      <c r="A824" s="15" t="n">
        <f aca="false">Report!C1095</f>
        <v>46231</v>
      </c>
      <c r="B824" s="1" t="str">
        <f aca="false">Report!E1095</f>
        <v>CAIXA ECONOMICA TRIBUNAL JUSTICA AMAZONA</v>
      </c>
      <c r="C824" s="16" t="n">
        <f aca="false">Report!U1095</f>
        <v>302.22</v>
      </c>
      <c r="D824" s="1" t="str">
        <f aca="false">Report!X1095</f>
        <v>CUSTAS DO PROCESSO MO2  - KEILA</v>
      </c>
    </row>
    <row r="825" customFormat="false" ht="12.75" hidden="false" customHeight="true" outlineLevel="0" collapsed="false">
      <c r="A825" s="15" t="n">
        <f aca="false">Report!C1096</f>
        <v>46231</v>
      </c>
      <c r="B825" s="1" t="str">
        <f aca="false">Report!E1096</f>
        <v>FUNNY PET DISTRIBUIDORA DE ALIMENTOS PAR</v>
      </c>
      <c r="C825" s="16" t="n">
        <f aca="false">Report!U1096</f>
        <v>1589.28</v>
      </c>
      <c r="D825" s="1" t="str">
        <f aca="false">Report!X1096</f>
        <v>NF 20499 ELLEN</v>
      </c>
    </row>
    <row r="826" customFormat="false" ht="12.75" hidden="false" customHeight="true" outlineLevel="0" collapsed="false">
      <c r="A826" s="15" t="n">
        <f aca="false">Report!C1097</f>
        <v>46231</v>
      </c>
      <c r="B826" s="1" t="str">
        <f aca="false">Report!E1097</f>
        <v>MARTINS COM SERV DISTR SA</v>
      </c>
      <c r="C826" s="16" t="n">
        <f aca="false">Report!U1097</f>
        <v>542.11</v>
      </c>
      <c r="D826" s="1" t="str">
        <f aca="false">Report!X1097</f>
        <v>NF 1777487 ELLEN</v>
      </c>
    </row>
    <row r="827" customFormat="false" ht="12.75" hidden="false" customHeight="true" outlineLevel="0" collapsed="false">
      <c r="A827" s="15" t="n">
        <f aca="false">Report!C1098</f>
        <v>46231</v>
      </c>
      <c r="B827" s="1" t="str">
        <f aca="false">Report!E1098</f>
        <v>RENATO DE O AZEVEDO E CIA LTDA</v>
      </c>
      <c r="C827" s="16" t="n">
        <f aca="false">Report!U1098</f>
        <v>261.72</v>
      </c>
      <c r="D827" s="1" t="str">
        <f aca="false">Report!X1098</f>
        <v>CONVENO MO2 DROGARIA 05/26 - KEILA</v>
      </c>
    </row>
    <row r="828" customFormat="false" ht="12.75" hidden="false" customHeight="true" outlineLevel="0" collapsed="false">
      <c r="A828" s="15" t="n">
        <f aca="false">Report!C1099</f>
        <v>46231</v>
      </c>
      <c r="B828" s="1" t="str">
        <f aca="false">Report!E1099</f>
        <v>RENATO DE O AZEVEDO E CIA LTDA</v>
      </c>
      <c r="C828" s="16" t="n">
        <f aca="false">Report!U1099</f>
        <v>267.87</v>
      </c>
      <c r="D828" s="1" t="str">
        <f aca="false">Report!X1099</f>
        <v>CONVENIO MO2 DROGARIA 06/26 - KEILA</v>
      </c>
    </row>
    <row r="829" customFormat="false" ht="12.75" hidden="false" customHeight="true" outlineLevel="0" collapsed="false">
      <c r="A829" s="15" t="n">
        <f aca="false">Report!C1100</f>
        <v>46231</v>
      </c>
      <c r="B829" s="1" t="str">
        <f aca="false">Report!E1100</f>
        <v>NSB COMERCIO ATACADISTA E VAREJISTA DE P</v>
      </c>
      <c r="C829" s="16" t="n">
        <f aca="false">Report!U1100</f>
        <v>378.88</v>
      </c>
      <c r="D829" s="1" t="str">
        <f aca="false">Report!X1100</f>
        <v>NF 7874 ELLEN</v>
      </c>
    </row>
    <row r="830" customFormat="false" ht="12.75" hidden="false" customHeight="true" outlineLevel="0" collapsed="false">
      <c r="A830" s="15" t="n">
        <f aca="false">Report!C1102</f>
        <v>46231</v>
      </c>
      <c r="B830" s="1" t="str">
        <f aca="false">Report!E1102</f>
        <v>BRASIL NORTE BEBIDAS S/A</v>
      </c>
      <c r="C830" s="16" t="n">
        <f aca="false">Report!U1102</f>
        <v>203.41</v>
      </c>
      <c r="D830" s="1" t="str">
        <f aca="false">Report!X1102</f>
        <v>NF 1199257 ELLEN</v>
      </c>
    </row>
    <row r="831" customFormat="false" ht="12.75" hidden="false" customHeight="true" outlineLevel="0" collapsed="false">
      <c r="A831" s="15" t="n">
        <f aca="false">Report!C1103</f>
        <v>46231</v>
      </c>
      <c r="B831" s="1" t="str">
        <f aca="false">Report!E1103</f>
        <v>BRASIL NORTE BEBIDAS S/A</v>
      </c>
      <c r="C831" s="16" t="n">
        <f aca="false">Report!U1103</f>
        <v>106.21</v>
      </c>
      <c r="D831" s="1" t="str">
        <f aca="false">Report!X1103</f>
        <v>NF 1199243 ELLEN</v>
      </c>
    </row>
    <row r="832" customFormat="false" ht="12.75" hidden="false" customHeight="true" outlineLevel="0" collapsed="false">
      <c r="A832" s="15" t="n">
        <f aca="false">Report!C1104</f>
        <v>46231</v>
      </c>
      <c r="B832" s="1" t="str">
        <f aca="false">Report!E1104</f>
        <v>TALIAN COMERCIO DE COSMETICOS LTDA</v>
      </c>
      <c r="C832" s="16" t="n">
        <f aca="false">Report!U1104</f>
        <v>406.11</v>
      </c>
      <c r="D832" s="1" t="str">
        <f aca="false">Report!X1104</f>
        <v>NF 30429 ELLEN</v>
      </c>
    </row>
    <row r="833" customFormat="false" ht="12.75" hidden="false" customHeight="true" outlineLevel="0" collapsed="false">
      <c r="A833" s="15" t="n">
        <f aca="false">Report!C1105</f>
        <v>46231</v>
      </c>
      <c r="B833" s="1" t="str">
        <f aca="false">Report!E1105</f>
        <v>ORIENTE COM. ATACADISTA E REPRES. LTDA</v>
      </c>
      <c r="C833" s="16" t="n">
        <f aca="false">Report!U1105</f>
        <v>1501.2</v>
      </c>
      <c r="D833" s="1" t="str">
        <f aca="false">Report!X1105</f>
        <v>NF 2624 ELLEN</v>
      </c>
    </row>
    <row r="834" customFormat="false" ht="12.75" hidden="false" customHeight="true" outlineLevel="0" collapsed="false">
      <c r="A834" s="15" t="n">
        <f aca="false">Report!C1106</f>
        <v>46231</v>
      </c>
      <c r="B834" s="1" t="str">
        <f aca="false">Report!E1106</f>
        <v>NESTLÉ BRASIL LTDA.</v>
      </c>
      <c r="C834" s="16" t="n">
        <f aca="false">Report!U1106</f>
        <v>691.61</v>
      </c>
      <c r="D834" s="1" t="str">
        <f aca="false">Report!X1106</f>
        <v>NF 1427668 ELLEN</v>
      </c>
    </row>
    <row r="835" customFormat="false" ht="12.75" hidden="false" customHeight="true" outlineLevel="0" collapsed="false">
      <c r="A835" s="15" t="n">
        <f aca="false">Report!C1107</f>
        <v>46231</v>
      </c>
      <c r="B835" s="1" t="str">
        <f aca="false">Report!E1107</f>
        <v>SL DISTRIBUIDORA COM. DE PROD. ALIMENTIC</v>
      </c>
      <c r="C835" s="16" t="n">
        <f aca="false">Report!U1107</f>
        <v>505.57</v>
      </c>
      <c r="D835" s="1" t="str">
        <f aca="false">Report!X1107</f>
        <v>NF 10807 ELLEN</v>
      </c>
    </row>
    <row r="836" customFormat="false" ht="12.75" hidden="false" customHeight="true" outlineLevel="0" collapsed="false">
      <c r="A836" s="15" t="n">
        <f aca="false">Report!C1108</f>
        <v>46231</v>
      </c>
      <c r="B836" s="1" t="str">
        <f aca="false">Report!E1108</f>
        <v>ADICSO FABIAN GONZALEZ MONTILLA 70302186</v>
      </c>
      <c r="C836" s="16" t="n">
        <f aca="false">Report!U1108</f>
        <v>168</v>
      </c>
      <c r="D836" s="1" t="str">
        <f aca="false">Report!X1108</f>
        <v>NF 544 ELLEN</v>
      </c>
    </row>
    <row r="837" customFormat="false" ht="12.75" hidden="false" customHeight="true" outlineLevel="0" collapsed="false">
      <c r="A837" s="15" t="n">
        <f aca="false">Report!C1109</f>
        <v>46231</v>
      </c>
      <c r="B837" s="1" t="str">
        <f aca="false">Report!E1109</f>
        <v>PANIFICADORA E CONFEITARIA REAL MADRI LTDA</v>
      </c>
      <c r="C837" s="16" t="n">
        <f aca="false">Report!U1109</f>
        <v>239.7</v>
      </c>
      <c r="D837" s="1" t="str">
        <f aca="false">Report!X1109</f>
        <v>NF 731 ELLEN</v>
      </c>
    </row>
    <row r="838" customFormat="false" ht="12.75" hidden="false" customHeight="true" outlineLevel="0" collapsed="false">
      <c r="A838" s="15" t="n">
        <f aca="false">Report!C1110</f>
        <v>46231</v>
      </c>
      <c r="B838" s="1" t="str">
        <f aca="false">Report!E1110</f>
        <v>NEYLIANE S DE OLIVEIRA &amp; CIA LTDA</v>
      </c>
      <c r="C838" s="16" t="n">
        <f aca="false">Report!U1110</f>
        <v>1389.41</v>
      </c>
      <c r="D838" s="1" t="str">
        <f aca="false">Report!X1110</f>
        <v>FEIRA SR RENATO - PG P LJ1 - ELLEN</v>
      </c>
    </row>
    <row r="839" customFormat="false" ht="12.75" hidden="false" customHeight="true" outlineLevel="0" collapsed="false">
      <c r="A839" s="15" t="n">
        <f aca="false">Report!C1111</f>
        <v>46231</v>
      </c>
      <c r="B839" s="1" t="str">
        <f aca="false">Report!E1111</f>
        <v>FEIRA</v>
      </c>
      <c r="C839" s="16" t="n">
        <f aca="false">Report!U1111</f>
        <v>140</v>
      </c>
      <c r="D839" s="1" t="str">
        <f aca="false">Report!X1111</f>
        <v>FEIRA SR RENATO - PG P LJ1 (MACA) SOMAR C NF 2568-ELLEN</v>
      </c>
    </row>
    <row r="840" customFormat="false" ht="12.75" hidden="false" customHeight="true" outlineLevel="0" collapsed="false">
      <c r="A840" s="15" t="n">
        <f aca="false">Report!C1113</f>
        <v>46232</v>
      </c>
      <c r="B840" s="1" t="str">
        <f aca="false">Report!E1113</f>
        <v>SEM FORNECEDOR</v>
      </c>
      <c r="C840" s="16" t="n">
        <f aca="false">Report!U1113</f>
        <v>139</v>
      </c>
      <c r="D840" s="1" t="str">
        <f aca="false">Report!X1113</f>
        <v>Pag de título:  Forn: 1721-LAYS MORETTI DA SILVA 01310766207. Tit: 198997-01</v>
      </c>
    </row>
    <row r="841" customFormat="false" ht="12.75" hidden="false" customHeight="true" outlineLevel="0" collapsed="false">
      <c r="A841" s="15" t="n">
        <f aca="false">Report!C1115</f>
        <v>46232</v>
      </c>
      <c r="B841" s="1" t="str">
        <f aca="false">Report!E1115</f>
        <v>SEM FORNECEDOR</v>
      </c>
      <c r="C841" s="16" t="n">
        <f aca="false">Report!U1115</f>
        <v>70</v>
      </c>
      <c r="D841" s="1" t="str">
        <f aca="false">Report!X1115</f>
        <v>extra idelma</v>
      </c>
    </row>
    <row r="842" customFormat="false" ht="12.75" hidden="false" customHeight="true" outlineLevel="0" collapsed="false">
      <c r="A842" s="15" t="n">
        <f aca="false">Report!C1116</f>
        <v>46232</v>
      </c>
      <c r="B842" s="1" t="str">
        <f aca="false">Report!E1116</f>
        <v>RENATO DE O AZEVEDO E CIA LTDA</v>
      </c>
      <c r="C842" s="16" t="n">
        <f aca="false">Report!U1116</f>
        <v>207.18</v>
      </c>
      <c r="D842" s="1" t="str">
        <f aca="false">Report!X1116</f>
        <v>CONVENIO DROGARIA MO2 03/26 - KEILA</v>
      </c>
    </row>
    <row r="843" customFormat="false" ht="12.75" hidden="false" customHeight="true" outlineLevel="0" collapsed="false">
      <c r="A843" s="15" t="n">
        <f aca="false">Report!C1117</f>
        <v>46232</v>
      </c>
      <c r="B843" s="1" t="str">
        <f aca="false">Report!E1117</f>
        <v>BF COMERCIO DE ALIMENTOS REPRESENTACAO L</v>
      </c>
      <c r="C843" s="16" t="n">
        <f aca="false">Report!U1117</f>
        <v>1213.69</v>
      </c>
      <c r="D843" s="1" t="str">
        <f aca="false">Report!X1117</f>
        <v>NF 21032 ELLEN</v>
      </c>
    </row>
    <row r="844" customFormat="false" ht="12.75" hidden="false" customHeight="true" outlineLevel="0" collapsed="false">
      <c r="A844" s="15" t="n">
        <f aca="false">Report!C1119</f>
        <v>46232</v>
      </c>
      <c r="B844" s="1" t="str">
        <f aca="false">Report!E1119</f>
        <v>SB COMERCIO LTDA</v>
      </c>
      <c r="C844" s="16" t="n">
        <f aca="false">Report!U1119</f>
        <v>1504.05</v>
      </c>
      <c r="D844" s="1" t="str">
        <f aca="false">Report!X1119</f>
        <v>NF 1962669 ELLEN</v>
      </c>
    </row>
    <row r="845" customFormat="false" ht="12.75" hidden="false" customHeight="true" outlineLevel="0" collapsed="false">
      <c r="A845" s="15" t="n">
        <f aca="false">Report!C1121</f>
        <v>46232</v>
      </c>
      <c r="B845" s="1" t="str">
        <f aca="false">Report!E1121</f>
        <v>J G COMERCIO DE PRODUTOS ALIMENTICIOS LTDA</v>
      </c>
      <c r="C845" s="16" t="n">
        <f aca="false">Report!U1121</f>
        <v>2806.49</v>
      </c>
      <c r="D845" s="1" t="str">
        <f aca="false">Report!X1121</f>
        <v>NF 392537 ELLEN</v>
      </c>
    </row>
    <row r="846" customFormat="false" ht="12.75" hidden="false" customHeight="true" outlineLevel="0" collapsed="false">
      <c r="A846" s="15" t="n">
        <f aca="false">Report!C1122</f>
        <v>46232</v>
      </c>
      <c r="B846" s="1" t="str">
        <f aca="false">Report!E1122</f>
        <v>FENNIX BRASIL DISTRIBUIDORA DE PRODUTOS</v>
      </c>
      <c r="C846" s="16" t="n">
        <f aca="false">Report!U1122</f>
        <v>560.56</v>
      </c>
      <c r="D846" s="1" t="str">
        <f aca="false">Report!X1122</f>
        <v>NF 396500 ELLEN</v>
      </c>
    </row>
    <row r="847" customFormat="false" ht="12.75" hidden="false" customHeight="true" outlineLevel="0" collapsed="false">
      <c r="A847" s="15" t="n">
        <f aca="false">Report!C1123</f>
        <v>46232</v>
      </c>
      <c r="B847" s="1" t="str">
        <f aca="false">Report!E1123</f>
        <v>DURAES DISTRIBUIDORA DE ESTIVAS LTDA</v>
      </c>
      <c r="C847" s="16" t="n">
        <f aca="false">Report!U1123</f>
        <v>607.57</v>
      </c>
      <c r="D847" s="1" t="str">
        <f aca="false">Report!X1123</f>
        <v>NF 650221 ELLEN</v>
      </c>
    </row>
    <row r="848" customFormat="false" ht="12.75" hidden="false" customHeight="true" outlineLevel="0" collapsed="false">
      <c r="A848" s="15" t="n">
        <f aca="false">Report!C1124</f>
        <v>46232</v>
      </c>
      <c r="B848" s="1" t="str">
        <f aca="false">Report!E1124</f>
        <v>L S M COMERCIO DE ALIMENTOS E NAVEGACAO</v>
      </c>
      <c r="C848" s="16" t="n">
        <f aca="false">Report!U1124</f>
        <v>1021.83</v>
      </c>
      <c r="D848" s="1" t="str">
        <f aca="false">Report!X1124</f>
        <v>NF 307804 ELLEN</v>
      </c>
    </row>
    <row r="849" customFormat="false" ht="12.75" hidden="false" customHeight="true" outlineLevel="0" collapsed="false">
      <c r="A849" s="15" t="n">
        <f aca="false">Report!C1125</f>
        <v>46232</v>
      </c>
      <c r="B849" s="1" t="str">
        <f aca="false">Report!E1125</f>
        <v>BRF S A</v>
      </c>
      <c r="C849" s="16" t="n">
        <f aca="false">Report!U1125</f>
        <v>512.49</v>
      </c>
      <c r="D849" s="1" t="str">
        <f aca="false">Report!X1125</f>
        <v>NF 1608670 ELLEN</v>
      </c>
    </row>
    <row r="850" customFormat="false" ht="12.75" hidden="false" customHeight="true" outlineLevel="0" collapsed="false">
      <c r="A850" s="15" t="n">
        <f aca="false">Report!C1126</f>
        <v>46232</v>
      </c>
      <c r="B850" s="1" t="str">
        <f aca="false">Report!E1126</f>
        <v>H. L. DO NASCIMENTO</v>
      </c>
      <c r="C850" s="16" t="n">
        <f aca="false">Report!U1126</f>
        <v>409.65</v>
      </c>
      <c r="D850" s="1" t="str">
        <f aca="false">Report!X1126</f>
        <v>NF 5844 ELLEN</v>
      </c>
    </row>
    <row r="851" customFormat="false" ht="12.75" hidden="false" customHeight="true" outlineLevel="0" collapsed="false">
      <c r="A851" s="15" t="n">
        <f aca="false">Report!C1127</f>
        <v>46232</v>
      </c>
      <c r="B851" s="1" t="str">
        <f aca="false">Report!E1127</f>
        <v>J G COMERCIO DE PRODUTOS ALIMENTICIOS LTDA</v>
      </c>
      <c r="C851" s="16" t="n">
        <f aca="false">Report!U1127</f>
        <v>1164.4</v>
      </c>
      <c r="D851" s="1" t="str">
        <f aca="false">Report!X1127</f>
        <v>NF 393890 ELLEN</v>
      </c>
    </row>
    <row r="852" customFormat="false" ht="12.75" hidden="false" customHeight="true" outlineLevel="0" collapsed="false">
      <c r="A852" s="15" t="n">
        <f aca="false">Report!C1128</f>
        <v>46232</v>
      </c>
      <c r="B852" s="1" t="str">
        <f aca="false">Report!E1128</f>
        <v>LAYS MORETTI DA SILVA 01310766207</v>
      </c>
      <c r="C852" s="16" t="n">
        <f aca="false">Report!U1128</f>
        <v>139</v>
      </c>
      <c r="D852" s="1" t="str">
        <f aca="false">Report!X1128</f>
        <v>NF 1295 - CARVAO BRIQUETE - ELLEN</v>
      </c>
    </row>
    <row r="853" customFormat="false" ht="12.75" hidden="false" customHeight="true" outlineLevel="0" collapsed="false">
      <c r="A853" s="15" t="n">
        <f aca="false">Report!C1129</f>
        <v>46233</v>
      </c>
      <c r="B853" s="1" t="str">
        <f aca="false">Report!E1129</f>
        <v>SEM FORNECEDOR</v>
      </c>
      <c r="C853" s="16" t="n">
        <f aca="false">Report!U1129</f>
        <v>160.32</v>
      </c>
      <c r="D853" s="1" t="str">
        <f aca="false">Report!X1129</f>
        <v>Pag de título:  Forn: 1783-LOURIVAL ALMEIDA DA SILVA 17128784845. Tit: 199796-01</v>
      </c>
    </row>
    <row r="854" customFormat="false" ht="12.75" hidden="false" customHeight="true" outlineLevel="0" collapsed="false">
      <c r="A854" s="15" t="n">
        <f aca="false">Report!C1130</f>
        <v>46233</v>
      </c>
      <c r="B854" s="1" t="str">
        <f aca="false">Report!E1130</f>
        <v>SEM FORNECEDOR</v>
      </c>
      <c r="C854" s="16" t="n">
        <f aca="false">Report!U1130</f>
        <v>210</v>
      </c>
      <c r="D854" s="1" t="str">
        <f aca="false">Report!X1130</f>
        <v>Pag de título:  Forn: 48-NEYLIANE S DE OLIVEIRA &amp; CIA LTDA. Tit: 2572-01</v>
      </c>
    </row>
    <row r="855" customFormat="false" ht="12.75" hidden="false" customHeight="true" outlineLevel="0" collapsed="false">
      <c r="A855" s="15" t="n">
        <f aca="false">Report!C1131</f>
        <v>46233</v>
      </c>
      <c r="B855" s="1" t="str">
        <f aca="false">Report!E1131</f>
        <v>SEM FORNECEDOR</v>
      </c>
      <c r="C855" s="16" t="n">
        <f aca="false">Report!U1131</f>
        <v>70</v>
      </c>
      <c r="D855" s="1" t="str">
        <f aca="false">Report!X1131</f>
        <v>extra idelma</v>
      </c>
    </row>
    <row r="856" customFormat="false" ht="12.75" hidden="false" customHeight="true" outlineLevel="0" collapsed="false">
      <c r="A856" s="15" t="n">
        <f aca="false">Report!C1132</f>
        <v>46233</v>
      </c>
      <c r="B856" s="1" t="str">
        <f aca="false">Report!E1132</f>
        <v>SEM FORNECEDOR</v>
      </c>
      <c r="C856" s="16" t="n">
        <f aca="false">Report!U1132</f>
        <v>20.9</v>
      </c>
      <c r="D856" s="1" t="str">
        <f aca="false">Report!X1132</f>
        <v>Recibo-dobradiça-porta do escritório-Ellen</v>
      </c>
    </row>
    <row r="857" customFormat="false" ht="12.75" hidden="false" customHeight="true" outlineLevel="0" collapsed="false">
      <c r="A857" s="15" t="n">
        <f aca="false">Report!C1133</f>
        <v>46233</v>
      </c>
      <c r="B857" s="1" t="str">
        <f aca="false">Report!E1133</f>
        <v>SEM FORNECEDOR</v>
      </c>
      <c r="C857" s="16" t="n">
        <f aca="false">Report!U1133</f>
        <v>400</v>
      </c>
      <c r="D857" s="1" t="str">
        <f aca="false">Report!X1133</f>
        <v>serviço metalurgico-irmão - Ellen</v>
      </c>
    </row>
    <row r="858" customFormat="false" ht="12.75" hidden="false" customHeight="true" outlineLevel="0" collapsed="false">
      <c r="A858" s="15" t="n">
        <f aca="false">Report!C1134</f>
        <v>46233</v>
      </c>
      <c r="B858" s="1" t="str">
        <f aca="false">Report!E1134</f>
        <v>SEFAZ DAR</v>
      </c>
      <c r="C858" s="16" t="n">
        <f aca="false">Report!U1134</f>
        <v>1575</v>
      </c>
      <c r="D858" s="1" t="str">
        <f aca="false">Report!X1134</f>
        <v>IMPSOTO IRPJ MO2 06/26 - KEILA</v>
      </c>
    </row>
    <row r="859" customFormat="false" ht="12.75" hidden="false" customHeight="true" outlineLevel="0" collapsed="false">
      <c r="A859" s="15" t="n">
        <f aca="false">Report!C1135</f>
        <v>46233</v>
      </c>
      <c r="B859" s="1" t="str">
        <f aca="false">Report!E1135</f>
        <v>E. D. SENA &amp; CIA LTDA</v>
      </c>
      <c r="C859" s="16" t="n">
        <f aca="false">Report!U1135</f>
        <v>531.18</v>
      </c>
      <c r="D859" s="1" t="str">
        <f aca="false">Report!X1135</f>
        <v>NF 9495 ELLEN</v>
      </c>
    </row>
    <row r="860" customFormat="false" ht="12.75" hidden="false" customHeight="true" outlineLevel="0" collapsed="false">
      <c r="A860" s="15" t="n">
        <f aca="false">Report!C1136</f>
        <v>46233</v>
      </c>
      <c r="B860" s="1" t="str">
        <f aca="false">Report!E1136</f>
        <v>SEFAZ DAR</v>
      </c>
      <c r="C860" s="16" t="n">
        <f aca="false">Report!U1136</f>
        <v>945</v>
      </c>
      <c r="D860" s="1" t="str">
        <f aca="false">Report!X1136</f>
        <v>IMPOSTO CSLL MO2 06/26 - KEILA</v>
      </c>
    </row>
    <row r="861" customFormat="false" ht="12.75" hidden="false" customHeight="true" outlineLevel="0" collapsed="false">
      <c r="A861" s="15" t="n">
        <f aca="false">Report!C1137</f>
        <v>46233</v>
      </c>
      <c r="B861" s="1" t="str">
        <f aca="false">Report!E1137</f>
        <v>RENATO DE O AZEVEDO E CIA LTDA</v>
      </c>
      <c r="C861" s="16" t="n">
        <f aca="false">Report!U1137</f>
        <v>260.64</v>
      </c>
      <c r="D861" s="1" t="str">
        <f aca="false">Report!X1137</f>
        <v>CONVENIO DROGARIA 04/26 MO2 - KEILA</v>
      </c>
    </row>
    <row r="862" customFormat="false" ht="12.75" hidden="false" customHeight="true" outlineLevel="0" collapsed="false">
      <c r="A862" s="15" t="n">
        <f aca="false">Report!C1138</f>
        <v>46233</v>
      </c>
      <c r="B862" s="1" t="str">
        <f aca="false">Report!E1138</f>
        <v>EMPRESA BRASILEIRA DE DISTRIBUICAO LTDA</v>
      </c>
      <c r="C862" s="16" t="n">
        <f aca="false">Report!U1138</f>
        <v>658.6</v>
      </c>
      <c r="D862" s="1" t="str">
        <f aca="false">Report!X1138</f>
        <v>NF 2299705 ELLEN</v>
      </c>
    </row>
    <row r="863" customFormat="false" ht="12.75" hidden="false" customHeight="true" outlineLevel="0" collapsed="false">
      <c r="A863" s="15" t="n">
        <f aca="false">Report!C1140</f>
        <v>46233</v>
      </c>
      <c r="B863" s="1" t="str">
        <f aca="false">Report!E1140</f>
        <v>FENNIX BRASIL DISTRIBUIDORA DE PRODUTOS</v>
      </c>
      <c r="C863" s="16" t="n">
        <f aca="false">Report!U1140</f>
        <v>321.77</v>
      </c>
      <c r="D863" s="1" t="str">
        <f aca="false">Report!X1140</f>
        <v>NF 396261 ELLEN</v>
      </c>
    </row>
    <row r="864" customFormat="false" ht="12.75" hidden="false" customHeight="true" outlineLevel="0" collapsed="false">
      <c r="A864" s="15" t="n">
        <f aca="false">Report!C1141</f>
        <v>46233</v>
      </c>
      <c r="B864" s="1" t="str">
        <f aca="false">Report!E1141</f>
        <v>OESA COMERCIO E REPRESENTACOES S/A</v>
      </c>
      <c r="C864" s="16" t="n">
        <f aca="false">Report!U1141</f>
        <v>682.63</v>
      </c>
      <c r="D864" s="1" t="str">
        <f aca="false">Report!X1141</f>
        <v>NF 426652 ELLEN</v>
      </c>
    </row>
    <row r="865" customFormat="false" ht="12.75" hidden="false" customHeight="true" outlineLevel="0" collapsed="false">
      <c r="A865" s="15" t="n">
        <f aca="false">Report!C1142</f>
        <v>46233</v>
      </c>
      <c r="B865" s="1" t="str">
        <f aca="false">Report!E1142</f>
        <v>INCORE SERVICOS DE MANUTENCAO DE EQUIPAM</v>
      </c>
      <c r="C865" s="16" t="n">
        <f aca="false">Report!U1142</f>
        <v>215</v>
      </c>
      <c r="D865" s="1" t="str">
        <f aca="false">Report!X1142</f>
        <v>NF 7646 DESPESAS-TACO PEAD/FACA COZINHA/AÇOUGUE-ELLEN</v>
      </c>
    </row>
    <row r="866" customFormat="false" ht="12.75" hidden="false" customHeight="true" outlineLevel="0" collapsed="false">
      <c r="A866" s="15" t="n">
        <f aca="false">Report!C1143</f>
        <v>46233</v>
      </c>
      <c r="B866" s="1" t="str">
        <f aca="false">Report!E1143</f>
        <v>BRASIL NORTE BEBIDAS S/A</v>
      </c>
      <c r="C866" s="16" t="n">
        <f aca="false">Report!U1143</f>
        <v>2028.67</v>
      </c>
      <c r="D866" s="1" t="str">
        <f aca="false">Report!X1143</f>
        <v>NF 1936058 ELLEN</v>
      </c>
    </row>
    <row r="867" customFormat="false" ht="12.75" hidden="false" customHeight="true" outlineLevel="0" collapsed="false">
      <c r="A867" s="15" t="n">
        <f aca="false">Report!C1144</f>
        <v>46233</v>
      </c>
      <c r="B867" s="1" t="str">
        <f aca="false">Report!E1144</f>
        <v>BRASIL NORTE BEBIDAS S/A</v>
      </c>
      <c r="C867" s="16" t="n">
        <f aca="false">Report!U1144</f>
        <v>1194.17</v>
      </c>
      <c r="D867" s="1" t="str">
        <f aca="false">Report!X1144</f>
        <v>NF 1936058 ELLEN</v>
      </c>
    </row>
    <row r="868" customFormat="false" ht="12.75" hidden="false" customHeight="true" outlineLevel="0" collapsed="false">
      <c r="A868" s="15" t="n">
        <f aca="false">Report!C1145</f>
        <v>46233</v>
      </c>
      <c r="B868" s="1" t="str">
        <f aca="false">Report!E1145</f>
        <v>DISTRIBUIDORA FARIAS LTDA.</v>
      </c>
      <c r="C868" s="16" t="n">
        <f aca="false">Report!U1145</f>
        <v>580.89</v>
      </c>
      <c r="D868" s="1" t="str">
        <f aca="false">Report!X1145</f>
        <v>NF 682520 ELLEN</v>
      </c>
    </row>
    <row r="869" customFormat="false" ht="12.75" hidden="false" customHeight="true" outlineLevel="0" collapsed="false">
      <c r="A869" s="15" t="n">
        <f aca="false">Report!C1146</f>
        <v>46233</v>
      </c>
      <c r="B869" s="1" t="str">
        <f aca="false">Report!E1146</f>
        <v>REAL BEBIDAS DA AMAZONIA LTDA</v>
      </c>
      <c r="C869" s="16" t="n">
        <f aca="false">Report!U1146</f>
        <v>305</v>
      </c>
      <c r="D869" s="1" t="str">
        <f aca="false">Report!X1146</f>
        <v>NF 608657 ELLEN</v>
      </c>
    </row>
    <row r="870" customFormat="false" ht="12.75" hidden="false" customHeight="true" outlineLevel="0" collapsed="false">
      <c r="A870" s="15" t="n">
        <f aca="false">Report!C1147</f>
        <v>46233</v>
      </c>
      <c r="B870" s="1" t="str">
        <f aca="false">Report!E1147</f>
        <v>NEYLIANE S DE OLIVEIRA &amp; CIA LTDA</v>
      </c>
      <c r="C870" s="16" t="n">
        <f aca="false">Report!U1147</f>
        <v>196</v>
      </c>
      <c r="D870" s="1" t="str">
        <f aca="false">Report!X1147</f>
        <v>COMPRAS - 14L AÇAI - PG NO P 29/7/26 - ELLEN</v>
      </c>
    </row>
    <row r="871" customFormat="false" ht="12.75" hidden="false" customHeight="true" outlineLevel="0" collapsed="false">
      <c r="A871" s="15" t="n">
        <f aca="false">Report!C1148</f>
        <v>46233</v>
      </c>
      <c r="B871" s="1" t="str">
        <f aca="false">Report!E1148</f>
        <v>NEYLIANE S DE OLIVEIRA &amp; CIA LTDA</v>
      </c>
      <c r="C871" s="16" t="n">
        <f aca="false">Report!U1148</f>
        <v>210</v>
      </c>
      <c r="D871" s="1" t="str">
        <f aca="false">Report!X1148</f>
        <v>COMPRAS - 15L DE AÇAI - PG NO P 30/7/26-ELLEN</v>
      </c>
    </row>
    <row r="872" customFormat="false" ht="12.75" hidden="false" customHeight="true" outlineLevel="0" collapsed="false">
      <c r="A872" s="15" t="n">
        <f aca="false">Report!C1149</f>
        <v>46233</v>
      </c>
      <c r="B872" s="1" t="str">
        <f aca="false">Report!E1149</f>
        <v>LOURIVAL ALMEIDA DA SILVA 17128784845</v>
      </c>
      <c r="C872" s="16" t="n">
        <f aca="false">Report!U1149</f>
        <v>160.32</v>
      </c>
      <c r="D872" s="1" t="str">
        <f aca="false">Report!X1149</f>
        <v>NF 523 COMPRAS-MARSHMALOW - ELLEN</v>
      </c>
    </row>
    <row r="873" customFormat="false" ht="12.75" hidden="false" customHeight="true" outlineLevel="0" collapsed="false">
      <c r="A873" s="15" t="n">
        <f aca="false">Report!C1150</f>
        <v>46233</v>
      </c>
      <c r="B873" s="1" t="str">
        <f aca="false">Report!E1150</f>
        <v>FRANCISCO HELIO SERAFIM DE AZEVEDO</v>
      </c>
      <c r="C873" s="16" t="n">
        <f aca="false">Report!U1150</f>
        <v>600</v>
      </c>
      <c r="D873" s="1" t="str">
        <f aca="false">Report!X1150</f>
        <v>VALE ANTECIPADO 31/7/26</v>
      </c>
    </row>
    <row r="874" customFormat="false" ht="12.75" hidden="false" customHeight="true" outlineLevel="0" collapsed="false">
      <c r="A874" s="15" t="n">
        <f aca="false">Report!C1151</f>
        <v>46234</v>
      </c>
      <c r="B874" s="1" t="str">
        <f aca="false">Report!E1151</f>
        <v>SEM FORNECEDOR</v>
      </c>
      <c r="C874" s="16" t="n">
        <f aca="false">Report!U1151</f>
        <v>50</v>
      </c>
      <c r="D874" s="1" t="str">
        <f aca="false">Report!X1151</f>
        <v>extra elilton</v>
      </c>
    </row>
    <row r="875" customFormat="false" ht="12.75" hidden="false" customHeight="true" outlineLevel="0" collapsed="false">
      <c r="A875" s="15" t="n">
        <f aca="false">Report!C1152</f>
        <v>46234</v>
      </c>
      <c r="B875" s="1" t="str">
        <f aca="false">Report!E1152</f>
        <v>SEM FORNECEDOR</v>
      </c>
      <c r="C875" s="16" t="n">
        <f aca="false">Report!U1152</f>
        <v>108</v>
      </c>
      <c r="D875" s="1" t="str">
        <f aca="false">Report!X1152</f>
        <v>6 cartelas de brigadeiro/jose</v>
      </c>
    </row>
    <row r="876" customFormat="false" ht="12.75" hidden="false" customHeight="true" outlineLevel="0" collapsed="false">
      <c r="A876" s="15" t="n">
        <f aca="false">Report!C1153</f>
        <v>46234</v>
      </c>
      <c r="B876" s="1" t="str">
        <f aca="false">Report!E1153</f>
        <v>SEM FORNECEDOR</v>
      </c>
      <c r="C876" s="16" t="n">
        <f aca="false">Report!U1153</f>
        <v>70</v>
      </c>
      <c r="D876" s="1" t="str">
        <f aca="false">Report!X1153</f>
        <v>extra idelma</v>
      </c>
    </row>
    <row r="877" customFormat="false" ht="12.75" hidden="false" customHeight="true" outlineLevel="0" collapsed="false">
      <c r="A877" s="15" t="n">
        <f aca="false">Report!C1154</f>
        <v>46234</v>
      </c>
      <c r="B877" s="1" t="str">
        <f aca="false">Report!E1154</f>
        <v>SEM FORNECEDOR</v>
      </c>
      <c r="C877" s="16" t="n">
        <f aca="false">Report!U1154</f>
        <v>140</v>
      </c>
      <c r="D877" s="1" t="str">
        <f aca="false">Report!X1154</f>
        <v>Pag de título:  Forn: 10096-H L M PADARIA E CONFEITARIA LTDA. Tit: 201194-01</v>
      </c>
    </row>
    <row r="878" customFormat="false" ht="12.75" hidden="false" customHeight="true" outlineLevel="0" collapsed="false">
      <c r="A878" s="15" t="n">
        <f aca="false">Report!C1155</f>
        <v>46234</v>
      </c>
      <c r="B878" s="1" t="str">
        <f aca="false">Report!E1155</f>
        <v>DISTRIBUIDORA FARIAS LTDA.</v>
      </c>
      <c r="C878" s="16" t="n">
        <f aca="false">Report!U1155</f>
        <v>509.25</v>
      </c>
      <c r="D878" s="1" t="str">
        <f aca="false">Report!X1155</f>
        <v>NF 681127 ELLEN</v>
      </c>
    </row>
    <row r="879" customFormat="false" ht="12.75" hidden="false" customHeight="true" outlineLevel="0" collapsed="false">
      <c r="A879" s="15" t="n">
        <f aca="false">Report!C1156</f>
        <v>46234</v>
      </c>
      <c r="B879" s="1" t="str">
        <f aca="false">Report!E1156</f>
        <v>SUPER CANCUN COMERCIO DE PRODUTOS ALIMEN</v>
      </c>
      <c r="C879" s="16" t="n">
        <f aca="false">Report!U1156</f>
        <v>1123.86</v>
      </c>
      <c r="D879" s="1" t="str">
        <f aca="false">Report!X1156</f>
        <v>NF 262932 ELLEN</v>
      </c>
    </row>
    <row r="880" customFormat="false" ht="12.75" hidden="false" customHeight="true" outlineLevel="0" collapsed="false">
      <c r="A880" s="15" t="n">
        <f aca="false">Report!C1157</f>
        <v>46234</v>
      </c>
      <c r="B880" s="1" t="str">
        <f aca="false">Report!E1157</f>
        <v>MARQUES &amp; MELO LTDA - FILIAL</v>
      </c>
      <c r="C880" s="16" t="n">
        <f aca="false">Report!U1157</f>
        <v>2112.99</v>
      </c>
      <c r="D880" s="1" t="str">
        <f aca="false">Report!X1157</f>
        <v>NF 501201 ELLEN</v>
      </c>
    </row>
    <row r="881" customFormat="false" ht="12.75" hidden="false" customHeight="true" outlineLevel="0" collapsed="false">
      <c r="A881" s="15" t="n">
        <f aca="false">Report!C1164</f>
        <v>46234</v>
      </c>
      <c r="B881" s="1" t="str">
        <f aca="false">Report!E1164</f>
        <v>EDSON AGUIAR DE SOUZA</v>
      </c>
      <c r="C881" s="16" t="n">
        <f aca="false">Report!U1164</f>
        <v>151</v>
      </c>
      <c r="D881" s="1" t="str">
        <f aca="false">Report!X1164</f>
        <v>NF 1649880 CHEIRO-VERDE - ELLEN</v>
      </c>
    </row>
    <row r="882" customFormat="false" ht="12.75" hidden="false" customHeight="true" outlineLevel="0" collapsed="false">
      <c r="A882" s="15" t="n">
        <f aca="false">Report!C1166</f>
        <v>46234</v>
      </c>
      <c r="B882" s="1" t="str">
        <f aca="false">Report!E1166</f>
        <v>BROTHERS  INDUSTRIA DE ALIMENTOS LTDA</v>
      </c>
      <c r="C882" s="16" t="n">
        <f aca="false">Report!U1166</f>
        <v>254</v>
      </c>
      <c r="D882" s="1" t="str">
        <f aca="false">Report!X1166</f>
        <v>NF 1033458 ELLEN</v>
      </c>
    </row>
    <row r="883" customFormat="false" ht="12.75" hidden="false" customHeight="true" outlineLevel="0" collapsed="false">
      <c r="A883" s="15" t="n">
        <f aca="false">Report!C1167</f>
        <v>46234</v>
      </c>
      <c r="B883" s="1" t="str">
        <f aca="false">Report!E1167</f>
        <v>DISTRIBUIDORA LOPES LTDA</v>
      </c>
      <c r="C883" s="16" t="n">
        <f aca="false">Report!U1167</f>
        <v>590.09</v>
      </c>
      <c r="D883" s="1" t="str">
        <f aca="false">Report!X1167</f>
        <v>NF 1698937 ELLEN</v>
      </c>
    </row>
    <row r="884" customFormat="false" ht="12.75" hidden="false" customHeight="true" outlineLevel="0" collapsed="false">
      <c r="A884" s="15" t="n">
        <f aca="false">Report!C1168</f>
        <v>46234</v>
      </c>
      <c r="B884" s="1" t="str">
        <f aca="false">Report!E1168</f>
        <v>SOUZA CRUZ LTDA.</v>
      </c>
      <c r="C884" s="16" t="n">
        <f aca="false">Report!U1168</f>
        <v>6361.07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46234</v>
      </c>
      <c r="B885" s="1" t="str">
        <f aca="false">Report!E1169</f>
        <v>EDSON AGUIAR DE SOUZA</v>
      </c>
      <c r="C885" s="16" t="n">
        <f aca="false">Report!U1169</f>
        <v>71.5</v>
      </c>
      <c r="D885" s="1" t="str">
        <f aca="false">Report!X1169</f>
        <v>COMPRAS - CHEIRO-VERDE - ELLEN</v>
      </c>
    </row>
    <row r="886" customFormat="false" ht="12.75" hidden="false" customHeight="true" outlineLevel="0" collapsed="false">
      <c r="A886" s="15" t="n">
        <f aca="false">Report!C1170</f>
        <v>46234</v>
      </c>
      <c r="B886" s="1" t="str">
        <f aca="false">Report!E1170</f>
        <v>IDELMA MONTEIRO DA SILVA</v>
      </c>
      <c r="C886" s="16" t="n">
        <f aca="false">Report!U1170</f>
        <v>2355.82</v>
      </c>
      <c r="D886" s="1" t="str">
        <f aca="false">Report!X1170</f>
        <v>FERIAS IDELMA 2025/2025  - KEILA</v>
      </c>
    </row>
    <row r="887" customFormat="false" ht="12.75" hidden="false" customHeight="true" outlineLevel="0" collapsed="false">
      <c r="A887" s="15" t="n">
        <f aca="false">Report!C1171</f>
        <v>46234</v>
      </c>
      <c r="B887" s="1" t="str">
        <f aca="false">Report!E1171</f>
        <v>EDSON AGUIAR DE SOUZA</v>
      </c>
      <c r="C887" s="16" t="n">
        <f aca="false">Report!U1171</f>
        <v>158</v>
      </c>
      <c r="D887" s="1" t="str">
        <f aca="false">Report!X1171</f>
        <v>COMPRAS - CHEIRO-VERDE - ELLEN</v>
      </c>
    </row>
    <row r="888" customFormat="false" ht="12.75" hidden="false" customHeight="true" outlineLevel="0" collapsed="false">
      <c r="A888" s="15" t="n">
        <f aca="false">Report!C1172</f>
        <v>46234</v>
      </c>
      <c r="B888" s="1" t="str">
        <f aca="false">Report!E1172</f>
        <v>EDSON AGUIAR DE SOUZA</v>
      </c>
      <c r="C888" s="16" t="n">
        <f aca="false">Report!U1172</f>
        <v>54</v>
      </c>
      <c r="D888" s="1" t="str">
        <f aca="false">Report!X1172</f>
        <v>COMPRAS - CHEIRO-VERDE - ELLEN</v>
      </c>
    </row>
    <row r="889" customFormat="false" ht="12.75" hidden="false" customHeight="true" outlineLevel="0" collapsed="false">
      <c r="A889" s="15" t="n">
        <f aca="false">Report!C1173</f>
        <v>46234</v>
      </c>
      <c r="B889" s="1" t="str">
        <f aca="false">Report!E1173</f>
        <v>EDSON AGUIAR DE SOUZA</v>
      </c>
      <c r="C889" s="16" t="n">
        <f aca="false">Report!U1173</f>
        <v>129.5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46234</v>
      </c>
      <c r="B890" s="1" t="str">
        <f aca="false">Report!E1174</f>
        <v>JUROS A FORNECEDOR</v>
      </c>
      <c r="C890" s="16" t="n">
        <f aca="false">Report!U1174</f>
        <v>2.94</v>
      </c>
      <c r="D890" s="1" t="str">
        <f aca="false">Report!X1174</f>
        <v>PAG JUROS NF 103272-1 BOLETO BROTHERS - KEILA</v>
      </c>
    </row>
    <row r="891" customFormat="false" ht="12.75" hidden="false" customHeight="true" outlineLevel="0" collapsed="false">
      <c r="A891" s="15" t="n">
        <f aca="false">Report!C1175</f>
        <v>46234</v>
      </c>
      <c r="B891" s="1" t="str">
        <f aca="false">Report!E1175</f>
        <v>BROTHERS  INDUSTRIA DE ALIMENTOS LTDA</v>
      </c>
      <c r="C891" s="16" t="n">
        <f aca="false">Report!U1175</f>
        <v>296.49</v>
      </c>
      <c r="D891" s="1" t="str">
        <f aca="false">Report!X1175</f>
        <v>NF 1032720 - BOLETO PAGO FORA DA DATA DE VENCIMENTO - ELLEN</v>
      </c>
    </row>
    <row r="892" customFormat="false" ht="12.75" hidden="false" customHeight="true" outlineLevel="0" collapsed="false">
      <c r="A892" s="15" t="n">
        <f aca="false">Report!C1176</f>
        <v>46234</v>
      </c>
      <c r="B892" s="1" t="str">
        <f aca="false">Report!E1176</f>
        <v>EDSON AGUIAR DE SOUZA</v>
      </c>
      <c r="C892" s="16" t="n">
        <f aca="false">Report!U1176</f>
        <v>125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46234</v>
      </c>
      <c r="B893" s="1" t="str">
        <f aca="false">Report!E1177</f>
        <v>NEYLIANE S DE OLIVEIRA &amp; CIA LTDA</v>
      </c>
      <c r="C893" s="16" t="n">
        <f aca="false">Report!U1177</f>
        <v>1612.25</v>
      </c>
      <c r="D893" s="1" t="str">
        <f aca="false">Report!X1177</f>
        <v>FEIRA SR RENATO - PG P LJ1 - ELLEN</v>
      </c>
    </row>
    <row r="894" customFormat="false" ht="12.75" hidden="false" customHeight="true" outlineLevel="0" collapsed="false">
      <c r="A894" s="15" t="n">
        <f aca="false">Report!C1178</f>
        <v>46234</v>
      </c>
      <c r="B894" s="1" t="str">
        <f aca="false">Report!E1178</f>
        <v>FEIRA</v>
      </c>
      <c r="C894" s="16" t="n">
        <f aca="false">Report!U1178</f>
        <v>370</v>
      </c>
      <c r="D894" s="1" t="str">
        <f aca="false">Report!X1178</f>
        <v>FEIRA SR RENATO - PG P LJ1 (UVA) SOMAR C NF2578 -ELLEN</v>
      </c>
    </row>
    <row r="895" customFormat="false" ht="12.75" hidden="false" customHeight="true" outlineLevel="0" collapsed="false">
      <c r="A895" s="15" t="n">
        <f aca="false">Report!C1179</f>
        <v>46234</v>
      </c>
      <c r="B895" s="1" t="str">
        <f aca="false">Report!E1179</f>
        <v>H L M PADARIA E CONFEITARIA LTDA</v>
      </c>
      <c r="C895" s="16" t="n">
        <f aca="false">Report!U1179</f>
        <v>140</v>
      </c>
      <c r="D895" s="1" t="str">
        <f aca="false">Report!X1179</f>
        <v>NF 102 COMPRAS-BOLO PG NO P 31/7 ELLEN</v>
      </c>
    </row>
    <row r="896" customFormat="false" ht="12.75" hidden="false" customHeight="true" outlineLevel="0" collapsed="false">
      <c r="A896" s="15" t="n">
        <f aca="false">Report!C1180</f>
        <v>46235</v>
      </c>
      <c r="B896" s="1" t="str">
        <f aca="false">Report!E1180</f>
        <v>SEM FORNECEDOR</v>
      </c>
      <c r="C896" s="16" t="n">
        <f aca="false">Report!U1180</f>
        <v>50</v>
      </c>
      <c r="D896" s="1" t="str">
        <f aca="false">Report!X1180</f>
        <v>extra elilton</v>
      </c>
    </row>
    <row r="897" customFormat="false" ht="12.75" hidden="false" customHeight="true" outlineLevel="0" collapsed="false">
      <c r="A897" s="15" t="n">
        <f aca="false">Report!C1181</f>
        <v>46235</v>
      </c>
      <c r="B897" s="1" t="str">
        <f aca="false">Report!E1181</f>
        <v>PANAMERICAN ELETRIC DO BRASIL LTDA</v>
      </c>
      <c r="C897" s="16" t="n">
        <f aca="false">Report!U1181</f>
        <v>1898</v>
      </c>
      <c r="D897" s="1" t="str">
        <f aca="false">Report!X1181</f>
        <v>NF 17382 DESPESA-AR CONDICIONADOS-CT DIA 1 PARC9/10-ELLEN</v>
      </c>
    </row>
    <row r="898" customFormat="false" ht="12.75" hidden="false" customHeight="true" outlineLevel="0" collapsed="false">
      <c r="A898" s="15" t="n">
        <f aca="false">Report!C1182</f>
        <v>46235</v>
      </c>
      <c r="B898" s="1" t="str">
        <f aca="false">Report!E1182</f>
        <v>MAXFRI DISTRIUIDORA LTDA</v>
      </c>
      <c r="C898" s="16" t="n">
        <f aca="false">Report!U1182</f>
        <v>4958.1</v>
      </c>
      <c r="D898" s="1" t="str">
        <f aca="false">Report!X1182</f>
        <v>NF 14816 ELLEN</v>
      </c>
    </row>
    <row r="899" customFormat="false" ht="12.75" hidden="false" customHeight="true" outlineLevel="0" collapsed="false">
      <c r="A899" s="15" t="n">
        <f aca="false">Report!C1183</f>
        <v>46235</v>
      </c>
      <c r="B899" s="1" t="str">
        <f aca="false">Report!E1183</f>
        <v>L S C DA SILVA PRADO LTDA</v>
      </c>
      <c r="C899" s="16" t="n">
        <f aca="false">Report!U1183</f>
        <v>378.82</v>
      </c>
      <c r="D899" s="1" t="str">
        <f aca="false">Report!X1183</f>
        <v>NF 258 DESPESAS - CT DIA 1 - PARC 6/12 - ELLEN</v>
      </c>
    </row>
    <row r="900" customFormat="false" ht="12.75" hidden="false" customHeight="true" outlineLevel="0" collapsed="false">
      <c r="A900" s="15" t="n">
        <f aca="false">Report!C1184</f>
        <v>46235</v>
      </c>
      <c r="B900" s="1" t="str">
        <f aca="false">Report!E1184</f>
        <v>A. CORREA JUNIOR</v>
      </c>
      <c r="C900" s="16" t="n">
        <f aca="false">Report!U1184</f>
        <v>1290.17</v>
      </c>
      <c r="D900" s="1" t="str">
        <f aca="false">Report!X1184</f>
        <v>NF 1829 CARTÃO DIA 1 PARC 2/3 - ELLEN</v>
      </c>
    </row>
    <row r="901" customFormat="false" ht="12.75" hidden="false" customHeight="true" outlineLevel="0" collapsed="false">
      <c r="A901" s="15" t="n">
        <f aca="false">Report!C1185</f>
        <v>46235</v>
      </c>
      <c r="B901" s="1" t="str">
        <f aca="false">Report!E1185</f>
        <v>XF 10 LOJA DE VARIEDADES LTDA</v>
      </c>
      <c r="C901" s="16" t="n">
        <f aca="false">Report!U1185</f>
        <v>683.06</v>
      </c>
      <c r="D901" s="1" t="str">
        <f aca="false">Report!X1185</f>
        <v>NF 1006 CARTÃO DIA 1 PARC 2/2 - ELLEN</v>
      </c>
    </row>
    <row r="902" customFormat="false" ht="12.75" hidden="false" customHeight="true" outlineLevel="0" collapsed="false">
      <c r="A902" s="15" t="n">
        <f aca="false">Report!C1186</f>
        <v>46235</v>
      </c>
      <c r="B902" s="1" t="str">
        <f aca="false">Report!E1186</f>
        <v>LUIS HENRIQUE FROTA MAGALHAES</v>
      </c>
      <c r="C902" s="16" t="n">
        <f aca="false">Report!U1186</f>
        <v>351.53</v>
      </c>
      <c r="D902" s="1" t="str">
        <f aca="false">Report!X1186</f>
        <v>NF 1948 CARTÃO DIA 1 - PARC 2/2 - ELLEN</v>
      </c>
    </row>
    <row r="903" customFormat="false" ht="12.75" hidden="false" customHeight="true" outlineLevel="0" collapsed="false">
      <c r="A903" s="15" t="n">
        <f aca="false">Report!C1187</f>
        <v>46235</v>
      </c>
      <c r="B903" s="1" t="str">
        <f aca="false">Report!E1187</f>
        <v>PRIME PET DISTRIBUIDORA LTDA</v>
      </c>
      <c r="C903" s="16" t="n">
        <f aca="false">Report!U1187</f>
        <v>1361.81</v>
      </c>
      <c r="D903" s="1" t="str">
        <f aca="false">Report!X1187</f>
        <v>NF 10860 ELLEN</v>
      </c>
    </row>
    <row r="904" customFormat="false" ht="12.75" hidden="false" customHeight="true" outlineLevel="0" collapsed="false">
      <c r="A904" s="15" t="n">
        <f aca="false">Report!C1188</f>
        <v>46235</v>
      </c>
      <c r="B904" s="1" t="str">
        <f aca="false">Report!E1188</f>
        <v>COMERCIO DE FRIOS MANAUS LTDA</v>
      </c>
      <c r="C904" s="16" t="n">
        <f aca="false">Report!U1188</f>
        <v>3811.4</v>
      </c>
      <c r="D904" s="1" t="str">
        <f aca="false">Report!X1188</f>
        <v>NF 173594 ELLEN</v>
      </c>
    </row>
    <row r="905" customFormat="false" ht="12.75" hidden="false" customHeight="true" outlineLevel="0" collapsed="false">
      <c r="A905" s="15" t="n">
        <f aca="false">Report!C1189</f>
        <v>46235</v>
      </c>
      <c r="B905" s="1" t="str">
        <f aca="false">Report!E1189</f>
        <v>SILVA E SANTOS FRIGORIFICO LTDA</v>
      </c>
      <c r="C905" s="16" t="n">
        <f aca="false">Report!U1189</f>
        <v>528</v>
      </c>
      <c r="D905" s="1" t="str">
        <f aca="false">Report!X1189</f>
        <v>NF 32052 ELLEN</v>
      </c>
    </row>
    <row r="906" customFormat="false" ht="12.75" hidden="false" customHeight="true" outlineLevel="0" collapsed="false">
      <c r="A906" s="15" t="n">
        <f aca="false">Report!C1192</f>
        <v>46235</v>
      </c>
      <c r="B906" s="1" t="str">
        <f aca="false">Report!E1192</f>
        <v>THIAGO DA SILVA CRUZ</v>
      </c>
      <c r="C906" s="16" t="n">
        <f aca="false">Report!U1192</f>
        <v>260</v>
      </c>
      <c r="D906" s="1" t="str">
        <f aca="false">Report!X1192</f>
        <v>VT AGOSTO</v>
      </c>
    </row>
    <row r="907" customFormat="false" ht="12.75" hidden="false" customHeight="true" outlineLevel="0" collapsed="false">
      <c r="A907" s="15" t="n">
        <f aca="false">Report!C1193</f>
        <v>46236</v>
      </c>
      <c r="B907" s="1" t="str">
        <f aca="false">Report!E1193</f>
        <v>SEM FORNECEDOR</v>
      </c>
      <c r="C907" s="16" t="n">
        <f aca="false">Report!U1193</f>
        <v>70</v>
      </c>
      <c r="D907" s="1" t="str">
        <f aca="false">Report!X1193</f>
        <v>extra elilton</v>
      </c>
    </row>
    <row r="908" customFormat="false" ht="12.75" hidden="false" customHeight="true" outlineLevel="0" collapsed="false">
      <c r="A908" s="15" t="n">
        <f aca="false">Report!C1194</f>
        <v>46236</v>
      </c>
      <c r="B908" s="1" t="str">
        <f aca="false">Report!E1194</f>
        <v>SEM FORNECEDOR</v>
      </c>
      <c r="C908" s="16" t="n">
        <f aca="false">Report!U1194</f>
        <v>112</v>
      </c>
      <c r="D908" s="1" t="str">
        <f aca="false">Report!X1194</f>
        <v>ref 6 almoços/regina - Ellen</v>
      </c>
    </row>
    <row r="909" customFormat="false" ht="12.75" hidden="false" customHeight="true" outlineLevel="0" collapsed="false">
      <c r="A909" s="15" t="n">
        <f aca="false">Report!C1195</f>
        <v>46237</v>
      </c>
      <c r="B909" s="1" t="str">
        <f aca="false">Report!E1195</f>
        <v>SEM FORNECEDOR</v>
      </c>
      <c r="C909" s="16" t="n">
        <f aca="false">Report!U1195</f>
        <v>210</v>
      </c>
      <c r="D909" s="1" t="str">
        <f aca="false">Report!X1195</f>
        <v>Pag de título:  Forn: 48-NEYLIANE S DE OLIVEIRA &amp; CIA LTDA. Tit: 2582-01</v>
      </c>
    </row>
    <row r="910" customFormat="false" ht="12.75" hidden="false" customHeight="true" outlineLevel="0" collapsed="false">
      <c r="A910" s="15" t="n">
        <f aca="false">Report!C1196</f>
        <v>46237</v>
      </c>
      <c r="B910" s="1" t="str">
        <f aca="false">Report!E1196</f>
        <v>SEM FORNECEDOR</v>
      </c>
      <c r="C910" s="16" t="n">
        <f aca="false">Report!U1196</f>
        <v>70</v>
      </c>
      <c r="D910" s="1" t="str">
        <f aca="false">Report!X1196</f>
        <v>extra felipe silva</v>
      </c>
    </row>
    <row r="911" customFormat="false" ht="12.75" hidden="false" customHeight="true" outlineLevel="0" collapsed="false">
      <c r="A911" s="15" t="n">
        <f aca="false">Report!C1197</f>
        <v>46237</v>
      </c>
      <c r="B911" s="1" t="str">
        <f aca="false">Report!E1197</f>
        <v>SEM FORNECEDOR</v>
      </c>
      <c r="C911" s="16" t="n">
        <f aca="false">Report!U1197</f>
        <v>70</v>
      </c>
      <c r="D911" s="1" t="str">
        <f aca="false">Report!X1197</f>
        <v>extra helio</v>
      </c>
    </row>
    <row r="912" customFormat="false" ht="12.75" hidden="false" customHeight="true" outlineLevel="0" collapsed="false">
      <c r="A912" s="15" t="n">
        <f aca="false">Report!C1198</f>
        <v>46237</v>
      </c>
      <c r="B912" s="1" t="str">
        <f aca="false">Report!E1198</f>
        <v>T. M. L. DA SILVA LTDA</v>
      </c>
      <c r="C912" s="16" t="n">
        <f aca="false">Report!U1198</f>
        <v>272.52</v>
      </c>
      <c r="D912" s="1" t="str">
        <f aca="false">Report!X1198</f>
        <v>NF 15180 ELLEN</v>
      </c>
    </row>
    <row r="913" customFormat="false" ht="12.75" hidden="false" customHeight="true" outlineLevel="0" collapsed="false">
      <c r="A913" s="15" t="n">
        <f aca="false">Report!C1199</f>
        <v>46237</v>
      </c>
      <c r="B913" s="1" t="str">
        <f aca="false">Report!E1199</f>
        <v>JAB COMERCIO DE PRODUTOS ALIMENTICIOS LT</v>
      </c>
      <c r="C913" s="16" t="n">
        <f aca="false">Report!U1199</f>
        <v>125</v>
      </c>
      <c r="D913" s="1" t="str">
        <f aca="false">Report!X1199</f>
        <v>NF 3618 ELLEN</v>
      </c>
    </row>
    <row r="914" customFormat="false" ht="12.75" hidden="false" customHeight="true" outlineLevel="0" collapsed="false">
      <c r="A914" s="15" t="n">
        <f aca="false">Report!C1200</f>
        <v>46237</v>
      </c>
      <c r="B914" s="1" t="str">
        <f aca="false">Report!E1200</f>
        <v>FENNIX BRASIL DISTRIBUIDORA DE PRODUTOS</v>
      </c>
      <c r="C914" s="16" t="n">
        <f aca="false">Report!U1200</f>
        <v>368.06</v>
      </c>
      <c r="D914" s="1" t="str">
        <f aca="false">Report!X1200</f>
        <v>NF 312916 ELLEN</v>
      </c>
    </row>
    <row r="915" customFormat="false" ht="12.75" hidden="false" customHeight="true" outlineLevel="0" collapsed="false">
      <c r="A915" s="15" t="n">
        <f aca="false">Report!C1201</f>
        <v>46237</v>
      </c>
      <c r="B915" s="1" t="str">
        <f aca="false">Report!E1201</f>
        <v>EMPRESA BRASILEIRA DE DISTRIBUICAO LTDA</v>
      </c>
      <c r="C915" s="16" t="n">
        <f aca="false">Report!U1201</f>
        <v>550.37</v>
      </c>
      <c r="D915" s="1" t="str">
        <f aca="false">Report!X1201</f>
        <v>NF 2300746 ELLEN</v>
      </c>
    </row>
    <row r="916" customFormat="false" ht="12.75" hidden="false" customHeight="true" outlineLevel="0" collapsed="false">
      <c r="A916" s="15" t="n">
        <f aca="false">Report!C1202</f>
        <v>46237</v>
      </c>
      <c r="B916" s="1" t="str">
        <f aca="false">Report!E1202</f>
        <v>DUNORTE DISTRIBUIDORA DE PRODUTOS DE CONSUMO LTDA</v>
      </c>
      <c r="C916" s="16" t="n">
        <f aca="false">Report!U1202</f>
        <v>1315.48</v>
      </c>
      <c r="D916" s="1" t="str">
        <f aca="false">Report!X1202</f>
        <v>NF 3218196 ELLEN</v>
      </c>
    </row>
    <row r="917" customFormat="false" ht="12.75" hidden="false" customHeight="true" outlineLevel="0" collapsed="false">
      <c r="A917" s="15" t="n">
        <f aca="false">Report!C1203</f>
        <v>46237</v>
      </c>
      <c r="B917" s="1" t="str">
        <f aca="false">Report!E1203</f>
        <v>DUNORTE DISTRIBUIDORA DE PRODUTOS DE CONSUMO LTDA</v>
      </c>
      <c r="C917" s="16" t="n">
        <f aca="false">Report!U1203</f>
        <v>1387.05</v>
      </c>
      <c r="D917" s="1" t="str">
        <f aca="false">Report!X1203</f>
        <v>NF 3218198 ELLEN</v>
      </c>
    </row>
    <row r="918" customFormat="false" ht="12.75" hidden="false" customHeight="true" outlineLevel="0" collapsed="false">
      <c r="A918" s="15" t="n">
        <f aca="false">Report!C1204</f>
        <v>46237</v>
      </c>
      <c r="B918" s="1" t="str">
        <f aca="false">Report!E1204</f>
        <v>DUNORTE DISTRIBUIDORA DE PRODUTOS DE CONSUMO LTDA</v>
      </c>
      <c r="C918" s="16" t="n">
        <f aca="false">Report!U1204</f>
        <v>920.12</v>
      </c>
      <c r="D918" s="1" t="str">
        <f aca="false">Report!X1204</f>
        <v>NF 3218197 ELLEN</v>
      </c>
    </row>
    <row r="919" customFormat="false" ht="12.75" hidden="false" customHeight="true" outlineLevel="0" collapsed="false">
      <c r="A919" s="15" t="n">
        <f aca="false">Report!C1205</f>
        <v>46237</v>
      </c>
      <c r="B919" s="1" t="str">
        <f aca="false">Report!E1205</f>
        <v>CB COMERCIO E DISTRIBUIDORA DE ALIMENTOS</v>
      </c>
      <c r="C919" s="16" t="n">
        <f aca="false">Report!U1205</f>
        <v>676.97</v>
      </c>
      <c r="D919" s="1" t="str">
        <f aca="false">Report!X1205</f>
        <v>NF 854967 ELLEN</v>
      </c>
    </row>
    <row r="920" customFormat="false" ht="12.75" hidden="false" customHeight="true" outlineLevel="0" collapsed="false">
      <c r="A920" s="15" t="n">
        <f aca="false">Report!C1206</f>
        <v>46237</v>
      </c>
      <c r="B920" s="1" t="str">
        <f aca="false">Report!E1206</f>
        <v>DINÂMICA SOLUÇÕES EM SUPRIMENTOS E GESTÃ</v>
      </c>
      <c r="C920" s="16" t="n">
        <f aca="false">Report!U1206</f>
        <v>778</v>
      </c>
      <c r="D920" s="1" t="str">
        <f aca="false">Report!X1206</f>
        <v>NF 749 ELLEN</v>
      </c>
    </row>
    <row r="921" customFormat="false" ht="12.75" hidden="false" customHeight="true" outlineLevel="0" collapsed="false">
      <c r="A921" s="15" t="n">
        <f aca="false">Report!C1207</f>
        <v>46237</v>
      </c>
      <c r="B921" s="1" t="str">
        <f aca="false">Report!E1207</f>
        <v>SAO JOSE COMERCIO DE LATICINIOS E FRIOS</v>
      </c>
      <c r="C921" s="16" t="n">
        <f aca="false">Report!U1207</f>
        <v>505.5</v>
      </c>
      <c r="D921" s="1" t="str">
        <f aca="false">Report!X1207</f>
        <v>NF 3718 ELLEN</v>
      </c>
    </row>
    <row r="922" customFormat="false" ht="12.75" hidden="false" customHeight="true" outlineLevel="0" collapsed="false">
      <c r="A922" s="15" t="n">
        <f aca="false">Report!C1208</f>
        <v>46237</v>
      </c>
      <c r="B922" s="1" t="str">
        <f aca="false">Report!E1208</f>
        <v>NOVA FRIOS COMERCIO ATACADISTA DE LATICINIOS LTDA</v>
      </c>
      <c r="C922" s="16" t="n">
        <f aca="false">Report!U1208</f>
        <v>244</v>
      </c>
      <c r="D922" s="1" t="str">
        <f aca="false">Report!X1208</f>
        <v>NF 4207 ELLEN</v>
      </c>
    </row>
    <row r="923" customFormat="false" ht="12.75" hidden="false" customHeight="true" outlineLevel="0" collapsed="false">
      <c r="A923" s="15" t="n">
        <f aca="false">Report!C1209</f>
        <v>46237</v>
      </c>
      <c r="B923" s="1" t="str">
        <f aca="false">Report!E1209</f>
        <v>ADICSO FABIAN GONZALEZ MONTILLA 70302186</v>
      </c>
      <c r="C923" s="16" t="n">
        <f aca="false">Report!U1209</f>
        <v>180</v>
      </c>
      <c r="D923" s="1" t="str">
        <f aca="false">Report!X1209</f>
        <v>NF 562 ELLEN</v>
      </c>
    </row>
    <row r="924" customFormat="false" ht="12.75" hidden="false" customHeight="true" outlineLevel="0" collapsed="false">
      <c r="A924" s="15" t="n">
        <f aca="false">Report!C1210</f>
        <v>46237</v>
      </c>
      <c r="B924" s="1" t="str">
        <f aca="false">Report!E1210</f>
        <v>PANIFICADORA E CONFEITARIA REAL MADRI LTDA</v>
      </c>
      <c r="C924" s="16" t="n">
        <f aca="false">Report!U1210</f>
        <v>284.7</v>
      </c>
      <c r="D924" s="1" t="str">
        <f aca="false">Report!X1210</f>
        <v>NF 737 ELLEN</v>
      </c>
    </row>
    <row r="925" customFormat="false" ht="12.75" hidden="false" customHeight="true" outlineLevel="0" collapsed="false">
      <c r="A925" s="15" t="n">
        <f aca="false">Report!C1211</f>
        <v>46237</v>
      </c>
      <c r="B925" s="1" t="str">
        <f aca="false">Report!E1211</f>
        <v>J W N DOS SANTOS</v>
      </c>
      <c r="C925" s="16" t="n">
        <f aca="false">Report!U1211</f>
        <v>228</v>
      </c>
      <c r="D925" s="1" t="str">
        <f aca="false">Report!X1211</f>
        <v>NF 389 COMPRAS-CARVÃO - ELLEN</v>
      </c>
    </row>
    <row r="926" customFormat="false" ht="12.75" hidden="false" customHeight="true" outlineLevel="0" collapsed="false">
      <c r="A926" s="15" t="n">
        <f aca="false">Report!C1212</f>
        <v>46237</v>
      </c>
      <c r="B926" s="1" t="str">
        <f aca="false">Report!E1212</f>
        <v>NEYLIANE S DE OLIVEIRA &amp; CIA LTDA</v>
      </c>
      <c r="C926" s="16" t="n">
        <f aca="false">Report!U1212</f>
        <v>280</v>
      </c>
      <c r="D926" s="1" t="str">
        <f aca="false">Report!X1212</f>
        <v>COMPRAS - 20L DE AÇAI - PG NO P 1/8/26-ELLEN</v>
      </c>
    </row>
    <row r="927" customFormat="false" ht="12.75" hidden="false" customHeight="true" outlineLevel="0" collapsed="false">
      <c r="A927" s="15" t="n">
        <f aca="false">Report!C1213</f>
        <v>46237</v>
      </c>
      <c r="B927" s="1" t="str">
        <f aca="false">Report!E1213</f>
        <v>NEYLIANE S DE OLIVEIRA &amp; CIA LTDA</v>
      </c>
      <c r="C927" s="16" t="n">
        <f aca="false">Report!U1213</f>
        <v>210</v>
      </c>
      <c r="D927" s="1" t="str">
        <f aca="false">Report!X1213</f>
        <v>COMPRAS-15L DE AÇAI-PG NO P 3/8/26-ELLEN</v>
      </c>
    </row>
    <row r="928" customFormat="false" ht="12.75" hidden="false" customHeight="true" outlineLevel="0" collapsed="false">
      <c r="A928" s="15" t="n">
        <f aca="false">Report!C1214</f>
        <v>46238</v>
      </c>
      <c r="B928" s="1" t="str">
        <f aca="false">Report!E1214</f>
        <v>SEM FORNECEDOR</v>
      </c>
      <c r="C928" s="16" t="n">
        <f aca="false">Report!U1214</f>
        <v>60</v>
      </c>
      <c r="D928" s="1" t="str">
        <f aca="false">Report!X1214</f>
        <v>Banner - Marcio</v>
      </c>
    </row>
    <row r="929" customFormat="false" ht="12.75" hidden="false" customHeight="true" outlineLevel="0" collapsed="false">
      <c r="A929" s="15" t="n">
        <f aca="false">Report!C1215</f>
        <v>46238</v>
      </c>
      <c r="B929" s="1" t="str">
        <f aca="false">Report!E1215</f>
        <v>SEM FORNECEDOR</v>
      </c>
      <c r="C929" s="16" t="n">
        <f aca="false">Report!U1215</f>
        <v>19</v>
      </c>
      <c r="D929" s="1" t="str">
        <f aca="false">Report!X1215</f>
        <v>Ref 4 cxs de clipes - Selma</v>
      </c>
    </row>
    <row r="930" customFormat="false" ht="12.75" hidden="false" customHeight="true" outlineLevel="0" collapsed="false">
      <c r="A930" s="15" t="n">
        <f aca="false">Report!C1216</f>
        <v>46238</v>
      </c>
      <c r="B930" s="1" t="str">
        <f aca="false">Report!E1216</f>
        <v>NSB COMERCIO ATACADISTA E VAREJISTA DE P</v>
      </c>
      <c r="C930" s="16" t="n">
        <f aca="false">Report!U1216</f>
        <v>378.88</v>
      </c>
      <c r="D930" s="1" t="str">
        <f aca="false">Report!X1216</f>
        <v>NF 7874 ELLEN</v>
      </c>
    </row>
    <row r="931" customFormat="false" ht="12.75" hidden="false" customHeight="true" outlineLevel="0" collapsed="false">
      <c r="A931" s="15" t="n">
        <f aca="false">Report!C1217</f>
        <v>46238</v>
      </c>
      <c r="B931" s="1" t="str">
        <f aca="false">Report!E1217</f>
        <v>ATACADAO S.A.</v>
      </c>
      <c r="C931" s="16" t="n">
        <f aca="false">Report!U1217</f>
        <v>479.64</v>
      </c>
      <c r="D931" s="1" t="str">
        <f aca="false">Report!X1217</f>
        <v>NF 1905831 ELLEN</v>
      </c>
    </row>
    <row r="932" customFormat="false" ht="12.75" hidden="false" customHeight="true" outlineLevel="0" collapsed="false">
      <c r="A932" s="15" t="n">
        <f aca="false">Report!C1218</f>
        <v>46238</v>
      </c>
      <c r="B932" s="1" t="str">
        <f aca="false">Report!E1218</f>
        <v>NESTLÉ BRASIL LTDA.</v>
      </c>
      <c r="C932" s="16" t="n">
        <f aca="false">Report!U1218</f>
        <v>691.62</v>
      </c>
      <c r="D932" s="1" t="str">
        <f aca="false">Report!X1218</f>
        <v>NF 1427668 ELLEN</v>
      </c>
    </row>
    <row r="933" customFormat="false" ht="12.75" hidden="false" customHeight="true" outlineLevel="0" collapsed="false">
      <c r="A933" s="15" t="n">
        <f aca="false">Report!C1219</f>
        <v>46238</v>
      </c>
      <c r="B933" s="1" t="str">
        <f aca="false">Report!E1219</f>
        <v>SL DISTRIBUIDORA COM. DE PROD. ALIMENTIC</v>
      </c>
      <c r="C933" s="16" t="n">
        <f aca="false">Report!U1219</f>
        <v>505.58</v>
      </c>
      <c r="D933" s="1" t="str">
        <f aca="false">Report!X1219</f>
        <v>NF 10807 ELLEN</v>
      </c>
    </row>
    <row r="934" customFormat="false" ht="12.75" hidden="false" customHeight="true" outlineLevel="0" collapsed="false">
      <c r="A934" s="15" t="n">
        <f aca="false">Report!C1220</f>
        <v>46238</v>
      </c>
      <c r="B934" s="1" t="str">
        <f aca="false">Report!E1220</f>
        <v>BRASIL NORTE BEBIDAS S/A</v>
      </c>
      <c r="C934" s="16" t="n">
        <f aca="false">Report!U1220</f>
        <v>53.95</v>
      </c>
      <c r="D934" s="1" t="str">
        <f aca="false">Report!X1220</f>
        <v>NF 1210020 ELLEN</v>
      </c>
    </row>
    <row r="935" customFormat="false" ht="12.75" hidden="false" customHeight="true" outlineLevel="0" collapsed="false">
      <c r="A935" s="15" t="n">
        <f aca="false">Report!C1222</f>
        <v>46238</v>
      </c>
      <c r="B935" s="1" t="str">
        <f aca="false">Report!E1222</f>
        <v>DISTRIBUIDORA LOPES LTDA</v>
      </c>
      <c r="C935" s="16" t="n">
        <f aca="false">Report!U1222</f>
        <v>554.4</v>
      </c>
      <c r="D935" s="1" t="str">
        <f aca="false">Report!X1222</f>
        <v>NF 1695862 ELLEN</v>
      </c>
    </row>
    <row r="936" customFormat="false" ht="12.75" hidden="false" customHeight="true" outlineLevel="0" collapsed="false">
      <c r="A936" s="15" t="n">
        <f aca="false">Report!C1224</f>
        <v>46238</v>
      </c>
      <c r="B936" s="1" t="str">
        <f aca="false">Report!E1224</f>
        <v>ADICSO FABIAN GONZALEZ MONTILLA 70302186</v>
      </c>
      <c r="C936" s="16" t="n">
        <f aca="false">Report!U1224</f>
        <v>180</v>
      </c>
      <c r="D936" s="1" t="str">
        <f aca="false">Report!X1224</f>
        <v>NF 569 ELLEN</v>
      </c>
    </row>
    <row r="937" customFormat="false" ht="12.75" hidden="false" customHeight="true" outlineLevel="0" collapsed="false">
      <c r="A937" s="15" t="n">
        <f aca="false">Report!C1225</f>
        <v>46238</v>
      </c>
      <c r="B937" s="1" t="str">
        <f aca="false">Report!E1225</f>
        <v>ACL REPARACAO E TECNOLOGIA DA INFORMACAO LTDA</v>
      </c>
      <c r="C937" s="16" t="n">
        <f aca="false">Report!U1225</f>
        <v>270.9</v>
      </c>
      <c r="D937" s="1" t="str">
        <f aca="false">Report!X1225</f>
        <v>MENSALIDADE  DO TI MO2 - KEILA</v>
      </c>
    </row>
    <row r="938" customFormat="false" ht="12.75" hidden="false" customHeight="true" outlineLevel="0" collapsed="false">
      <c r="A938" s="15" t="n">
        <f aca="false">Report!C1226</f>
        <v>46238</v>
      </c>
      <c r="B938" s="1" t="str">
        <f aca="false">Report!E1226</f>
        <v>NEYLIANE S DE OLIVEIRA &amp; CIA LTDA</v>
      </c>
      <c r="C938" s="16" t="n">
        <f aca="false">Report!U1226</f>
        <v>1910</v>
      </c>
      <c r="D938" s="1" t="str">
        <f aca="false">Report!X1226</f>
        <v>FEIRA - TRANSF P/ C6BANK-RENATO-ELLEN</v>
      </c>
    </row>
    <row r="939" customFormat="false" ht="12.75" hidden="false" customHeight="true" outlineLevel="0" collapsed="false">
      <c r="A939" s="15" t="n">
        <f aca="false">Report!C1227</f>
        <v>46238</v>
      </c>
      <c r="B939" s="1" t="str">
        <f aca="false">Report!E1227</f>
        <v>FEIRA</v>
      </c>
      <c r="C939" s="16" t="n">
        <f aca="false">Report!U1227</f>
        <v>380</v>
      </c>
      <c r="D939" s="1" t="str">
        <f aca="false">Report!X1227</f>
        <v>FEIRA -TRANS C6BANK-RENATO(ALHO/MACA) SOMAR C NF 2585-ELLEN</v>
      </c>
    </row>
    <row r="940" customFormat="false" ht="12.75" hidden="false" customHeight="true" outlineLevel="0" collapsed="false">
      <c r="A940" s="15" t="n">
        <f aca="false">Report!C1228</f>
        <v>46238</v>
      </c>
      <c r="B940" s="1" t="str">
        <f aca="false">Report!E1228</f>
        <v>ALMOCO </v>
      </c>
      <c r="C940" s="16" t="n">
        <f aca="false">Report!U1228</f>
        <v>100</v>
      </c>
      <c r="D940" s="1" t="str">
        <f aca="false">Report!X1228</f>
        <v>ALMOCO MO2 04/08 - KEILA</v>
      </c>
    </row>
    <row r="941" customFormat="false" ht="12.75" hidden="false" customHeight="true" outlineLevel="0" collapsed="false">
      <c r="A941" s="15" t="n">
        <f aca="false">Report!C1229</f>
        <v>46238</v>
      </c>
      <c r="B941" s="1" t="str">
        <f aca="false">Report!E1229</f>
        <v>NEYLIANE S DE OLIVEIRA &amp; CIA LTDA</v>
      </c>
      <c r="C941" s="16" t="n">
        <f aca="false">Report!U1229</f>
        <v>2290</v>
      </c>
      <c r="D941" s="1" t="str">
        <f aca="false">Report!X1229</f>
        <v>PAG FEIRA RENATO C6 MO2Agrupamento de títulos Ref. títulos:  203659-01 (380,00), 2585-01 (1910,00), </v>
      </c>
    </row>
    <row r="942" customFormat="false" ht="12.75" hidden="false" customHeight="true" outlineLevel="0" collapsed="false">
      <c r="A942" s="15" t="n">
        <f aca="false">Report!C1230</f>
        <v>46238</v>
      </c>
      <c r="B942" s="1" t="str">
        <f aca="false">Report!E1230</f>
        <v>ITAU SA</v>
      </c>
      <c r="C942" s="16" t="n">
        <f aca="false">Report!U1230</f>
        <v>3.92</v>
      </c>
      <c r="D942" s="1" t="str">
        <f aca="false">Report!X1230</f>
        <v>TAR PIXQR LIQ MAQUININHA ITAU2-ANDREZA</v>
      </c>
    </row>
    <row r="943" customFormat="false" ht="12.75" hidden="false" customHeight="true" outlineLevel="0" collapsed="false">
      <c r="A943" s="15" t="n">
        <f aca="false">Report!C1231</f>
        <v>46238</v>
      </c>
      <c r="B943" s="1" t="str">
        <f aca="false">Report!E1231</f>
        <v>ITAU SA</v>
      </c>
      <c r="C943" s="16" t="n">
        <f aca="false">Report!U1231</f>
        <v>76.71</v>
      </c>
      <c r="D943" s="1" t="str">
        <f aca="false">Report!X1231</f>
        <v>TAR PIX PGTO TRANSF ITAU2-ANDREZA</v>
      </c>
    </row>
    <row r="944" customFormat="false" ht="12.75" hidden="false" customHeight="true" outlineLevel="0" collapsed="false">
      <c r="A944" s="15" t="n">
        <f aca="false">Report!C1232</f>
        <v>46238</v>
      </c>
      <c r="B944" s="1" t="str">
        <f aca="false">Report!E1232</f>
        <v>ITAU SA</v>
      </c>
      <c r="C944" s="16" t="n">
        <f aca="false">Report!U1232</f>
        <v>107.27</v>
      </c>
      <c r="D944" s="1" t="str">
        <f aca="false">Report!X1232</f>
        <v>IOF 6083.43968-4  C/C -ANDREZA</v>
      </c>
    </row>
    <row r="945" customFormat="false" ht="12.75" hidden="false" customHeight="true" outlineLevel="0" collapsed="false">
      <c r="A945" s="15" t="n">
        <f aca="false">Report!C1233</f>
        <v>46238</v>
      </c>
      <c r="B945" s="1" t="str">
        <f aca="false">Report!E1233</f>
        <v>ITAU SA</v>
      </c>
      <c r="C945" s="16" t="n">
        <f aca="false">Report!U1233</f>
        <v>327.4</v>
      </c>
      <c r="D945" s="1" t="str">
        <f aca="false">Report!X1233</f>
        <v>IOF 6083.46843-6 C/C ITAU 2-ANDREZA</v>
      </c>
    </row>
    <row r="946" customFormat="false" ht="12.75" hidden="false" customHeight="true" outlineLevel="0" collapsed="false">
      <c r="A946" s="15" t="n">
        <f aca="false">Report!C1234</f>
        <v>46238</v>
      </c>
      <c r="B946" s="1" t="str">
        <f aca="false">Report!E1234</f>
        <v>ITAU SA</v>
      </c>
      <c r="C946" s="16" t="n">
        <f aca="false">Report!U1234</f>
        <v>421.04</v>
      </c>
      <c r="D946" s="1" t="str">
        <f aca="false">Report!X1234</f>
        <v>IOF ITAU 2-ANDREZA</v>
      </c>
    </row>
    <row r="947" customFormat="false" ht="12.75" hidden="false" customHeight="true" outlineLevel="0" collapsed="false">
      <c r="A947" s="15" t="n">
        <f aca="false">Report!C1235</f>
        <v>46238</v>
      </c>
      <c r="B947" s="1" t="str">
        <f aca="false">Report!E1235</f>
        <v>ITAU SA</v>
      </c>
      <c r="C947" s="16" t="n">
        <f aca="false">Report!U1235</f>
        <v>527.9</v>
      </c>
      <c r="D947" s="1" t="str">
        <f aca="false">Report!X1235</f>
        <v>TAR PIX QR CODE LIQUIDA ITAU 2-ANDREZA</v>
      </c>
    </row>
    <row r="948" customFormat="false" ht="12.75" hidden="false" customHeight="true" outlineLevel="0" collapsed="false">
      <c r="A948" s="15" t="n">
        <f aca="false">Report!C1237</f>
        <v>46239</v>
      </c>
      <c r="B948" s="1" t="str">
        <f aca="false">Report!E1237</f>
        <v>SEM FORNECEDOR</v>
      </c>
      <c r="C948" s="16" t="n">
        <f aca="false">Report!U1237</f>
        <v>200</v>
      </c>
      <c r="D948" s="1" t="str">
        <f aca="false">Report!X1237</f>
        <v>Pag de título:  Forn: 10096-H L M PADARIA E CONFEITARIA LTDA. Tit: 204882-01</v>
      </c>
    </row>
    <row r="949" customFormat="false" ht="12.75" hidden="false" customHeight="true" outlineLevel="0" collapsed="false">
      <c r="A949" s="15" t="n">
        <f aca="false">Report!C1238</f>
        <v>46239</v>
      </c>
      <c r="B949" s="1" t="str">
        <f aca="false">Report!E1238</f>
        <v>SEM FORNECEDOR</v>
      </c>
      <c r="C949" s="16" t="n">
        <f aca="false">Report!U1238</f>
        <v>70</v>
      </c>
      <c r="D949" s="1" t="str">
        <f aca="false">Report!X1238</f>
        <v>diaria elilton</v>
      </c>
    </row>
    <row r="950" customFormat="false" ht="12.75" hidden="false" customHeight="true" outlineLevel="0" collapsed="false">
      <c r="A950" s="15" t="n">
        <f aca="false">Report!C1239</f>
        <v>46239</v>
      </c>
      <c r="B950" s="1" t="str">
        <f aca="false">Report!E1239</f>
        <v>FE COMERCIO DE MATERIAIS DE CONSTRUCAO</v>
      </c>
      <c r="C950" s="16" t="n">
        <f aca="false">Report!U1239</f>
        <v>819.53</v>
      </c>
      <c r="D950" s="1" t="str">
        <f aca="false">Report!X1239</f>
        <v>NF 4467 ELLEN</v>
      </c>
    </row>
    <row r="951" customFormat="false" ht="12.75" hidden="false" customHeight="true" outlineLevel="0" collapsed="false">
      <c r="A951" s="15" t="n">
        <f aca="false">Report!C1242</f>
        <v>46239</v>
      </c>
      <c r="B951" s="1" t="str">
        <f aca="false">Report!E1242</f>
        <v>VIA CERTA IMPORTACAO E DISTRIBUICAO DE A</v>
      </c>
      <c r="C951" s="16" t="n">
        <f aca="false">Report!U1242</f>
        <v>665.28</v>
      </c>
      <c r="D951" s="1" t="str">
        <f aca="false">Report!X1242</f>
        <v>NF 51899 ELLEN</v>
      </c>
    </row>
    <row r="952" customFormat="false" ht="12.75" hidden="false" customHeight="true" outlineLevel="0" collapsed="false">
      <c r="A952" s="15" t="n">
        <f aca="false">Report!C1243</f>
        <v>46239</v>
      </c>
      <c r="B952" s="1" t="str">
        <f aca="false">Report!E1243</f>
        <v>VIA CERTA INDUSTRIA E COMERCIO DE SANEANTES LTDA</v>
      </c>
      <c r="C952" s="16" t="n">
        <f aca="false">Report!U1243</f>
        <v>306.48</v>
      </c>
      <c r="D952" s="1" t="str">
        <f aca="false">Report!X1243</f>
        <v>NF 42898 ELLEN</v>
      </c>
    </row>
    <row r="953" customFormat="false" ht="12.75" hidden="false" customHeight="true" outlineLevel="0" collapsed="false">
      <c r="A953" s="15" t="n">
        <f aca="false">Report!C1245</f>
        <v>46239</v>
      </c>
      <c r="B953" s="1" t="str">
        <f aca="false">Report!E1245</f>
        <v>J G COMERCIO DE PRODUTOS ALIMENTICIOS LTDA</v>
      </c>
      <c r="C953" s="16" t="n">
        <f aca="false">Report!U1245</f>
        <v>2806.5</v>
      </c>
      <c r="D953" s="1" t="str">
        <f aca="false">Report!X1245</f>
        <v>NF 392537 ELLEN</v>
      </c>
    </row>
    <row r="954" customFormat="false" ht="12.75" hidden="false" customHeight="true" outlineLevel="0" collapsed="false">
      <c r="A954" s="15" t="n">
        <f aca="false">Report!C1251</f>
        <v>46239</v>
      </c>
      <c r="B954" s="1" t="str">
        <f aca="false">Report!E1251</f>
        <v>BRF S A</v>
      </c>
      <c r="C954" s="16" t="n">
        <f aca="false">Report!U1251</f>
        <v>395.62</v>
      </c>
      <c r="D954" s="1" t="str">
        <f aca="false">Report!X1251</f>
        <v>NF 1611346 ELLEN</v>
      </c>
    </row>
    <row r="955" customFormat="false" ht="12.75" hidden="false" customHeight="true" outlineLevel="0" collapsed="false">
      <c r="A955" s="15" t="n">
        <f aca="false">Report!C1252</f>
        <v>46239</v>
      </c>
      <c r="B955" s="1" t="str">
        <f aca="false">Report!E1252</f>
        <v>MAXFRI DISTRIUIDORA LTDA</v>
      </c>
      <c r="C955" s="16" t="n">
        <f aca="false">Report!U1252</f>
        <v>3840</v>
      </c>
      <c r="D955" s="1" t="str">
        <f aca="false">Report!X1252</f>
        <v>NF 14864 ELLEN</v>
      </c>
    </row>
    <row r="956" customFormat="false" ht="12.75" hidden="false" customHeight="true" outlineLevel="0" collapsed="false">
      <c r="A956" s="15" t="n">
        <f aca="false">Report!C1253</f>
        <v>46239</v>
      </c>
      <c r="B956" s="1" t="str">
        <f aca="false">Report!E1253</f>
        <v>MANAUS AMBIENTAL S/A </v>
      </c>
      <c r="C956" s="16" t="n">
        <f aca="false">Report!U1253</f>
        <v>620.88</v>
      </c>
      <c r="D956" s="1" t="str">
        <f aca="false">Report!X1253</f>
        <v>CONTA AGUA - MO2</v>
      </c>
    </row>
    <row r="957" customFormat="false" ht="12.75" hidden="false" customHeight="true" outlineLevel="0" collapsed="false">
      <c r="A957" s="15" t="n">
        <f aca="false">Report!C1254</f>
        <v>46239</v>
      </c>
      <c r="B957" s="1" t="str">
        <f aca="false">Report!E1254</f>
        <v>LIMA E BARANDA COMERCIO DE PRODUTOS REGI</v>
      </c>
      <c r="C957" s="16" t="n">
        <f aca="false">Report!U1254</f>
        <v>266</v>
      </c>
      <c r="D957" s="1" t="str">
        <f aca="false">Report!X1254</f>
        <v>NF 31668 ELLEN</v>
      </c>
    </row>
    <row r="958" customFormat="false" ht="12.75" hidden="false" customHeight="true" outlineLevel="0" collapsed="false">
      <c r="A958" s="15" t="n">
        <f aca="false">Report!C1255</f>
        <v>46239</v>
      </c>
      <c r="B958" s="1" t="str">
        <f aca="false">Report!E1255</f>
        <v>NEYLIANE S DE OLIVEIRA &amp; CIA LTDA</v>
      </c>
      <c r="C958" s="16" t="n">
        <f aca="false">Report!U1255</f>
        <v>210</v>
      </c>
      <c r="D958" s="1" t="str">
        <f aca="false">Report!X1255</f>
        <v>COMPRAS - 15L DE AÇAI - PG NO P 4/8/26-ELLEN</v>
      </c>
    </row>
    <row r="959" customFormat="false" ht="12.75" hidden="false" customHeight="true" outlineLevel="0" collapsed="false">
      <c r="A959" s="15" t="n">
        <f aca="false">Report!C1256</f>
        <v>46239</v>
      </c>
      <c r="B959" s="1" t="str">
        <f aca="false">Report!E1256</f>
        <v>H L M PADARIA E CONFEITARIA LTDA</v>
      </c>
      <c r="C959" s="16" t="n">
        <f aca="false">Report!U1256</f>
        <v>200</v>
      </c>
      <c r="D959" s="1" t="str">
        <f aca="false">Report!X1256</f>
        <v>NF 123 COMPRAS-BOLO PG NO P 5/8/26 - ELLEN</v>
      </c>
    </row>
    <row r="960" customFormat="false" ht="12.75" hidden="false" customHeight="true" outlineLevel="0" collapsed="false">
      <c r="A960" s="15" t="n">
        <f aca="false">Report!C1257</f>
        <v>46239</v>
      </c>
      <c r="B960" s="1" t="str">
        <f aca="false">Report!E1257</f>
        <v>ANDREZA OLIVEIRA DA SILVA</v>
      </c>
      <c r="C960" s="16" t="n">
        <f aca="false">Report!U1257</f>
        <v>488.26</v>
      </c>
      <c r="D960" s="1" t="str">
        <f aca="false">Report!X1257</f>
        <v>SALDO SALARIO JULHO/2026</v>
      </c>
    </row>
    <row r="961" customFormat="false" ht="12.75" hidden="false" customHeight="true" outlineLevel="0" collapsed="false">
      <c r="A961" s="15" t="n">
        <f aca="false">Report!C1258</f>
        <v>46239</v>
      </c>
      <c r="B961" s="1" t="str">
        <f aca="false">Report!E1258</f>
        <v>ANDREZA OLIVEIRA DA SILVA</v>
      </c>
      <c r="C961" s="16" t="n">
        <f aca="false">Report!U1258</f>
        <v>487.61</v>
      </c>
      <c r="D961" s="1" t="str">
        <f aca="false">Report!X1258</f>
        <v>COMPRAS FUNC JULHO</v>
      </c>
    </row>
    <row r="962" customFormat="false" ht="12.75" hidden="false" customHeight="true" outlineLevel="0" collapsed="false">
      <c r="A962" s="15" t="n">
        <f aca="false">Report!C1259</f>
        <v>46239</v>
      </c>
      <c r="B962" s="1" t="str">
        <f aca="false">Report!E1259</f>
        <v>DAVI LIRA DE OLIVEIRA (MO2)</v>
      </c>
      <c r="C962" s="16" t="n">
        <f aca="false">Report!U1259</f>
        <v>1400.04</v>
      </c>
      <c r="D962" s="1" t="str">
        <f aca="false">Report!X1259</f>
        <v>SALDO SALARIO JULHO/2026</v>
      </c>
    </row>
    <row r="963" customFormat="false" ht="12.75" hidden="false" customHeight="true" outlineLevel="0" collapsed="false">
      <c r="A963" s="15" t="n">
        <f aca="false">Report!C1260</f>
        <v>46239</v>
      </c>
      <c r="B963" s="1" t="str">
        <f aca="false">Report!E1260</f>
        <v>DAVI LIRA DE OLIVEIRA (MO2)</v>
      </c>
      <c r="C963" s="16" t="n">
        <f aca="false">Report!U1260</f>
        <v>92</v>
      </c>
      <c r="D963" s="1" t="str">
        <f aca="false">Report!X1260</f>
        <v>COMPRAS FUNC</v>
      </c>
    </row>
    <row r="964" customFormat="false" ht="12.75" hidden="false" customHeight="true" outlineLevel="0" collapsed="false">
      <c r="A964" s="15" t="n">
        <f aca="false">Report!C1261</f>
        <v>46239</v>
      </c>
      <c r="B964" s="1" t="str">
        <f aca="false">Report!E1261</f>
        <v>ELILTON NUNES BRITO</v>
      </c>
      <c r="C964" s="16" t="n">
        <f aca="false">Report!U1261</f>
        <v>675.8</v>
      </c>
      <c r="D964" s="1" t="str">
        <f aca="false">Report!X1261</f>
        <v>COMPRAS FUNC</v>
      </c>
    </row>
    <row r="965" customFormat="false" ht="12.75" hidden="false" customHeight="true" outlineLevel="0" collapsed="false">
      <c r="A965" s="15" t="n">
        <f aca="false">Report!C1262</f>
        <v>46239</v>
      </c>
      <c r="B965" s="1" t="str">
        <f aca="false">Report!E1262</f>
        <v>ELLEN SILVIA FERREIRA</v>
      </c>
      <c r="C965" s="16" t="n">
        <f aca="false">Report!U1262</f>
        <v>1499.7</v>
      </c>
      <c r="D965" s="1" t="str">
        <f aca="false">Report!X1262</f>
        <v>SALDO SALARIO JULHO/2026</v>
      </c>
    </row>
    <row r="966" customFormat="false" ht="12.75" hidden="false" customHeight="true" outlineLevel="0" collapsed="false">
      <c r="A966" s="15" t="n">
        <f aca="false">Report!C1263</f>
        <v>46239</v>
      </c>
      <c r="B966" s="1" t="str">
        <f aca="false">Report!E1263</f>
        <v>ELLEN SILVIA FERREIRA</v>
      </c>
      <c r="C966" s="16" t="n">
        <f aca="false">Report!U1263</f>
        <v>71.69</v>
      </c>
      <c r="D966" s="1" t="str">
        <f aca="false">Report!X1263</f>
        <v>COMPRAS FUNC</v>
      </c>
    </row>
    <row r="967" customFormat="false" ht="12.75" hidden="false" customHeight="true" outlineLevel="0" collapsed="false">
      <c r="A967" s="15" t="n">
        <f aca="false">Report!C1264</f>
        <v>46239</v>
      </c>
      <c r="B967" s="1" t="str">
        <f aca="false">Report!E1264</f>
        <v>FRANCISCO HELIO SERAFIM DE AZEVEDO</v>
      </c>
      <c r="C967" s="16" t="n">
        <f aca="false">Report!U1264</f>
        <v>328.62</v>
      </c>
      <c r="D967" s="1" t="str">
        <f aca="false">Report!X1264</f>
        <v>SALDO SALARIO JULHO/2026</v>
      </c>
    </row>
    <row r="968" customFormat="false" ht="12.75" hidden="false" customHeight="true" outlineLevel="0" collapsed="false">
      <c r="A968" s="15" t="n">
        <f aca="false">Report!C1266</f>
        <v>46239</v>
      </c>
      <c r="B968" s="1" t="str">
        <f aca="false">Report!E1266</f>
        <v>IDELMA MONTEIRO DA SILVA</v>
      </c>
      <c r="C968" s="16" t="n">
        <f aca="false">Report!U1266</f>
        <v>1681.03</v>
      </c>
      <c r="D968" s="1" t="str">
        <f aca="false">Report!X1266</f>
        <v>SALDO SALARIO JULHO/2026</v>
      </c>
    </row>
    <row r="969" customFormat="false" ht="12.75" hidden="false" customHeight="true" outlineLevel="0" collapsed="false">
      <c r="A969" s="15" t="n">
        <f aca="false">Report!C1267</f>
        <v>46239</v>
      </c>
      <c r="B969" s="1" t="str">
        <f aca="false">Report!E1267</f>
        <v>LUCIRLANDIA DE OLIVEIRA AMARAL</v>
      </c>
      <c r="C969" s="16" t="n">
        <f aca="false">Report!U1267</f>
        <v>1021.2</v>
      </c>
      <c r="D969" s="1" t="str">
        <f aca="false">Report!X1267</f>
        <v>SALDO SALARIO JULHO/2026</v>
      </c>
    </row>
    <row r="970" customFormat="false" ht="12.75" hidden="false" customHeight="true" outlineLevel="0" collapsed="false">
      <c r="A970" s="15" t="n">
        <f aca="false">Report!C1268</f>
        <v>46239</v>
      </c>
      <c r="B970" s="1" t="str">
        <f aca="false">Report!E1268</f>
        <v>LUCIRLANDIA DE OLIVEIRA AMARAL</v>
      </c>
      <c r="C970" s="16" t="n">
        <f aca="false">Report!U1268</f>
        <v>214.98</v>
      </c>
      <c r="D970" s="1" t="str">
        <f aca="false">Report!X1268</f>
        <v>COMPRAS FUNC</v>
      </c>
    </row>
    <row r="971" customFormat="false" ht="12.75" hidden="false" customHeight="true" outlineLevel="0" collapsed="false">
      <c r="A971" s="15" t="n">
        <f aca="false">Report!C1269</f>
        <v>46239</v>
      </c>
      <c r="B971" s="1" t="str">
        <f aca="false">Report!E1269</f>
        <v>SANDRO HELIO OLIVEIRA COSTA</v>
      </c>
      <c r="C971" s="16" t="n">
        <f aca="false">Report!U1269</f>
        <v>442.76</v>
      </c>
      <c r="D971" s="1" t="str">
        <f aca="false">Report!X1269</f>
        <v>SALDO SALARIO JULHO/2026</v>
      </c>
    </row>
    <row r="972" customFormat="false" ht="12.75" hidden="false" customHeight="true" outlineLevel="0" collapsed="false">
      <c r="A972" s="15" t="n">
        <f aca="false">Report!C1270</f>
        <v>46239</v>
      </c>
      <c r="B972" s="1" t="str">
        <f aca="false">Report!E1270</f>
        <v>SANDRO HELIO OLIVEIRA COSTA</v>
      </c>
      <c r="C972" s="16" t="n">
        <f aca="false">Report!U1270</f>
        <v>299.87</v>
      </c>
      <c r="D972" s="1" t="str">
        <f aca="false">Report!X1270</f>
        <v>COMPRAS FUNC</v>
      </c>
    </row>
    <row r="973" customFormat="false" ht="12.75" hidden="false" customHeight="true" outlineLevel="0" collapsed="false">
      <c r="A973" s="15" t="n">
        <f aca="false">Report!C1271</f>
        <v>46239</v>
      </c>
      <c r="B973" s="1" t="str">
        <f aca="false">Report!E1271</f>
        <v>THIAGO DA SILVA CRUZ</v>
      </c>
      <c r="C973" s="16" t="n">
        <f aca="false">Report!U1271</f>
        <v>467.17</v>
      </c>
      <c r="D973" s="1" t="str">
        <f aca="false">Report!X1271</f>
        <v>COMPRAS FUNC</v>
      </c>
    </row>
    <row r="974" customFormat="false" ht="12.75" hidden="false" customHeight="true" outlineLevel="0" collapsed="false">
      <c r="A974" s="15" t="n">
        <f aca="false">Report!C1272</f>
        <v>46239</v>
      </c>
      <c r="B974" s="1" t="str">
        <f aca="false">Report!E1272</f>
        <v>RENATO DE OLIVEIRA AZEVEDO</v>
      </c>
      <c r="C974" s="16" t="n">
        <f aca="false">Report!U1272</f>
        <v>208.61</v>
      </c>
      <c r="D974" s="1" t="str">
        <f aca="false">Report!X1272</f>
        <v>COMPRAS FUNC</v>
      </c>
    </row>
    <row r="975" customFormat="false" ht="12.75" hidden="false" customHeight="true" outlineLevel="0" collapsed="false">
      <c r="A975" s="15" t="n">
        <f aca="false">Report!C1273</f>
        <v>46239</v>
      </c>
      <c r="B975" s="1" t="str">
        <f aca="false">Report!E1273</f>
        <v>ITAU SA</v>
      </c>
      <c r="C975" s="16" t="n">
        <f aca="false">Report!U1273</f>
        <v>2356.13</v>
      </c>
      <c r="D975" s="1" t="str">
        <f aca="false">Report!X1273</f>
        <v>JUROS LIMITE DA CONTA ITAU2-ANDREZA</v>
      </c>
    </row>
    <row r="976" customFormat="false" ht="12.75" hidden="false" customHeight="true" outlineLevel="0" collapsed="false">
      <c r="A976" s="15" t="n">
        <f aca="false">Report!C1274</f>
        <v>46239</v>
      </c>
      <c r="B976" s="1" t="str">
        <f aca="false">Report!E1274</f>
        <v>RENATO DE OLIVEIRA AZEVEDO</v>
      </c>
      <c r="C976" s="16" t="n">
        <f aca="false">Report!U1274</f>
        <v>500</v>
      </c>
      <c r="D976" s="1" t="str">
        <f aca="false">Report!X1274</f>
        <v>SALARIO 07/26</v>
      </c>
    </row>
    <row r="977" customFormat="false" ht="12.75" hidden="false" customHeight="true" outlineLevel="0" collapsed="false">
      <c r="A977" s="15" t="n">
        <f aca="false">Report!C1275</f>
        <v>46240</v>
      </c>
      <c r="B977" s="1" t="str">
        <f aca="false">Report!E1275</f>
        <v>SEM FORNECEDOR</v>
      </c>
      <c r="C977" s="16" t="n">
        <f aca="false">Report!U1275</f>
        <v>300</v>
      </c>
      <c r="D977" s="1" t="str">
        <f aca="false">Report!X1275</f>
        <v>Pag de título:  Forn: 48-NEYLIANE S DE OLIVEIRA &amp; CIA LTDA. Tit: 2589-01</v>
      </c>
    </row>
    <row r="978" customFormat="false" ht="12.75" hidden="false" customHeight="true" outlineLevel="0" collapsed="false">
      <c r="A978" s="15" t="n">
        <f aca="false">Report!C1276</f>
        <v>46240</v>
      </c>
      <c r="B978" s="1" t="str">
        <f aca="false">Report!E1276</f>
        <v>SEM FORNECEDOR</v>
      </c>
      <c r="C978" s="16" t="n">
        <f aca="false">Report!U1276</f>
        <v>136.5</v>
      </c>
      <c r="D978" s="1" t="str">
        <f aca="false">Report!X1276</f>
        <v>Pag de título:  Forn: 10092-L. DOS SANTOS PIMENTEL LTDA. Tit: 204907-01</v>
      </c>
    </row>
    <row r="979" customFormat="false" ht="12.75" hidden="false" customHeight="true" outlineLevel="0" collapsed="false">
      <c r="A979" s="15" t="n">
        <f aca="false">Report!C1277</f>
        <v>46240</v>
      </c>
      <c r="B979" s="1" t="str">
        <f aca="false">Report!E1277</f>
        <v>SEM FORNECEDOR</v>
      </c>
      <c r="C979" s="16" t="n">
        <f aca="false">Report!U1277</f>
        <v>50</v>
      </c>
      <c r="D979" s="1" t="str">
        <f aca="false">Report!X1277</f>
        <v>extra elilton</v>
      </c>
    </row>
    <row r="980" customFormat="false" ht="12.75" hidden="false" customHeight="true" outlineLevel="0" collapsed="false">
      <c r="A980" s="15" t="n">
        <f aca="false">Report!C1278</f>
        <v>46240</v>
      </c>
      <c r="B980" s="1" t="str">
        <f aca="false">Report!E1278</f>
        <v>CRBS S/A</v>
      </c>
      <c r="C980" s="16" t="n">
        <f aca="false">Report!U1278</f>
        <v>305.98</v>
      </c>
      <c r="D980" s="1" t="str">
        <f aca="false">Report!X1278</f>
        <v>NF 924535 ELLEN</v>
      </c>
    </row>
    <row r="981" customFormat="false" ht="12.75" hidden="false" customHeight="true" outlineLevel="0" collapsed="false">
      <c r="A981" s="15" t="n">
        <f aca="false">Report!C1279</f>
        <v>46240</v>
      </c>
      <c r="B981" s="1" t="str">
        <f aca="false">Report!E1279</f>
        <v>EMPRESA BRASILEIRA DE DISTRIBUICAO LTDA</v>
      </c>
      <c r="C981" s="16" t="n">
        <f aca="false">Report!U1279</f>
        <v>658.6</v>
      </c>
      <c r="D981" s="1" t="str">
        <f aca="false">Report!X1279</f>
        <v>NF 2299705 ELLEN</v>
      </c>
    </row>
    <row r="982" customFormat="false" ht="12.75" hidden="false" customHeight="true" outlineLevel="0" collapsed="false">
      <c r="A982" s="15" t="n">
        <f aca="false">Report!C1280</f>
        <v>46240</v>
      </c>
      <c r="B982" s="1" t="str">
        <f aca="false">Report!E1280</f>
        <v>EMPRESA BRASILEIRA DE DISTRIBUICAO LTDA</v>
      </c>
      <c r="C982" s="16" t="n">
        <f aca="false">Report!U1280</f>
        <v>377.46</v>
      </c>
      <c r="D982" s="1" t="str">
        <f aca="false">Report!X1280</f>
        <v>NF 2299703 ELLEN</v>
      </c>
    </row>
    <row r="983" customFormat="false" ht="12.75" hidden="false" customHeight="true" outlineLevel="0" collapsed="false">
      <c r="A983" s="15" t="n">
        <f aca="false">Report!C1283</f>
        <v>46240</v>
      </c>
      <c r="B983" s="1" t="str">
        <f aca="false">Report!E1283</f>
        <v>RISADINHA LTDA</v>
      </c>
      <c r="C983" s="16" t="n">
        <f aca="false">Report!U1283</f>
        <v>381</v>
      </c>
      <c r="D983" s="1" t="str">
        <f aca="false">Report!X1283</f>
        <v>NF 664184 ELLEN</v>
      </c>
    </row>
    <row r="984" customFormat="false" ht="12.75" hidden="false" customHeight="true" outlineLevel="0" collapsed="false">
      <c r="A984" s="15" t="n">
        <f aca="false">Report!C1284</f>
        <v>46240</v>
      </c>
      <c r="B984" s="1" t="str">
        <f aca="false">Report!E1284</f>
        <v>D DE J SANTOS LTDA</v>
      </c>
      <c r="C984" s="16" t="n">
        <f aca="false">Report!U1284</f>
        <v>1040</v>
      </c>
      <c r="D984" s="1" t="str">
        <f aca="false">Report!X1284</f>
        <v>NF 261 ELLEN</v>
      </c>
    </row>
    <row r="985" customFormat="false" ht="12.75" hidden="false" customHeight="true" outlineLevel="0" collapsed="false">
      <c r="A985" s="15" t="n">
        <f aca="false">Report!C1285</f>
        <v>46240</v>
      </c>
      <c r="B985" s="1" t="str">
        <f aca="false">Report!E1285</f>
        <v>BRASIL NORTE BEBIDAS S/A</v>
      </c>
      <c r="C985" s="16" t="n">
        <f aca="false">Report!U1285</f>
        <v>1717.19</v>
      </c>
      <c r="D985" s="1" t="str">
        <f aca="false">Report!X1285</f>
        <v>NF 1949480 ELLEN</v>
      </c>
    </row>
    <row r="986" customFormat="false" ht="12.75" hidden="false" customHeight="true" outlineLevel="0" collapsed="false">
      <c r="A986" s="15" t="n">
        <f aca="false">Report!C1286</f>
        <v>46240</v>
      </c>
      <c r="B986" s="1" t="str">
        <f aca="false">Report!E1286</f>
        <v>BRASIL NORTE BEBIDAS S/A</v>
      </c>
      <c r="C986" s="16" t="n">
        <f aca="false">Report!U1286</f>
        <v>203.42</v>
      </c>
      <c r="D986" s="1" t="str">
        <f aca="false">Report!X1286</f>
        <v>NF 1215300 ELLEN</v>
      </c>
    </row>
    <row r="987" customFormat="false" ht="12.75" hidden="false" customHeight="true" outlineLevel="0" collapsed="false">
      <c r="A987" s="15" t="n">
        <f aca="false">Report!C1287</f>
        <v>46240</v>
      </c>
      <c r="B987" s="1" t="str">
        <f aca="false">Report!E1287</f>
        <v>SABIA COMERCIO DE COSMETICOS LTDA</v>
      </c>
      <c r="C987" s="16" t="n">
        <f aca="false">Report!U1287</f>
        <v>306.18</v>
      </c>
      <c r="D987" s="1" t="str">
        <f aca="false">Report!X1287</f>
        <v>NF 253576 ELLEN</v>
      </c>
    </row>
    <row r="988" customFormat="false" ht="12.75" hidden="false" customHeight="true" outlineLevel="0" collapsed="false">
      <c r="A988" s="15" t="n">
        <f aca="false">Report!C1288</f>
        <v>46240</v>
      </c>
      <c r="B988" s="1" t="str">
        <f aca="false">Report!E1288</f>
        <v>H. L. DO NASCIMENTO</v>
      </c>
      <c r="C988" s="16" t="n">
        <f aca="false">Report!U1288</f>
        <v>524.65</v>
      </c>
      <c r="D988" s="1" t="str">
        <f aca="false">Report!X1288</f>
        <v>NF 5889 ELLEN</v>
      </c>
    </row>
    <row r="989" customFormat="false" ht="12.75" hidden="false" customHeight="true" outlineLevel="0" collapsed="false">
      <c r="A989" s="15" t="n">
        <f aca="false">Report!C1291</f>
        <v>46240</v>
      </c>
      <c r="B989" s="1" t="str">
        <f aca="false">Report!E1291</f>
        <v>ADICSO FABIAN GONZALEZ MONTILLA 70302186</v>
      </c>
      <c r="C989" s="16" t="n">
        <f aca="false">Report!U1291</f>
        <v>180</v>
      </c>
      <c r="D989" s="1" t="str">
        <f aca="false">Report!X1291</f>
        <v>NF 577 ELLEN</v>
      </c>
    </row>
    <row r="990" customFormat="false" ht="12.75" hidden="false" customHeight="true" outlineLevel="0" collapsed="false">
      <c r="A990" s="15" t="n">
        <f aca="false">Report!C1294</f>
        <v>46241</v>
      </c>
      <c r="B990" s="1" t="str">
        <f aca="false">Report!E1294</f>
        <v>SEM FORNECEDOR</v>
      </c>
      <c r="C990" s="16" t="n">
        <f aca="false">Report!U1294</f>
        <v>300</v>
      </c>
      <c r="D990" s="1" t="str">
        <f aca="false">Report!X1294</f>
        <v>Pag de título:  Forn: 48-NEYLIANE S DE OLIVEIRA &amp; CIA LTDA. Tit: 2590-01</v>
      </c>
    </row>
    <row r="991" customFormat="false" ht="12.75" hidden="false" customHeight="true" outlineLevel="0" collapsed="false">
      <c r="A991" s="15" t="n">
        <f aca="false">Report!C1297</f>
        <v>46241</v>
      </c>
      <c r="B991" s="1" t="str">
        <f aca="false">Report!E1297</f>
        <v>COMERCIO DE FRIOS MANAUS LTDA</v>
      </c>
      <c r="C991" s="16" t="n">
        <f aca="false">Report!U1297</f>
        <v>1262.8</v>
      </c>
      <c r="D991" s="1" t="str">
        <f aca="false">Report!X1297</f>
        <v>NF 173885 ELLEN</v>
      </c>
    </row>
    <row r="992" customFormat="false" ht="12.75" hidden="false" customHeight="true" outlineLevel="0" collapsed="false">
      <c r="A992" s="15" t="n">
        <f aca="false">Report!C1298</f>
        <v>46241</v>
      </c>
      <c r="B992" s="1" t="str">
        <f aca="false">Report!E1298</f>
        <v>DISTRIBUIDORA FARIAS LTDA.</v>
      </c>
      <c r="C992" s="16" t="n">
        <f aca="false">Report!U1298</f>
        <v>509.25</v>
      </c>
      <c r="D992" s="1" t="str">
        <f aca="false">Report!X1298</f>
        <v>NF 681127 ELLEN</v>
      </c>
    </row>
    <row r="993" customFormat="false" ht="12.75" hidden="false" customHeight="true" outlineLevel="0" collapsed="false">
      <c r="A993" s="15" t="n">
        <f aca="false">Report!C1299</f>
        <v>46241</v>
      </c>
      <c r="B993" s="1" t="str">
        <f aca="false">Report!E1299</f>
        <v>MARTINS COM SERV DISTR SA</v>
      </c>
      <c r="C993" s="16" t="n">
        <f aca="false">Report!U1299</f>
        <v>278.28</v>
      </c>
      <c r="D993" s="1" t="str">
        <f aca="false">Report!X1299</f>
        <v>NF'S 1781169/1781170 ELLEN</v>
      </c>
    </row>
    <row r="994" customFormat="false" ht="12.75" hidden="false" customHeight="true" outlineLevel="0" collapsed="false">
      <c r="A994" s="15" t="n">
        <f aca="false">Report!C1300</f>
        <v>46241</v>
      </c>
      <c r="B994" s="1" t="str">
        <f aca="false">Report!E1300</f>
        <v>TRIPLASTIK COMERCIAL</v>
      </c>
      <c r="C994" s="16" t="n">
        <f aca="false">Report!U1300</f>
        <v>1109.15</v>
      </c>
      <c r="D994" s="1" t="str">
        <f aca="false">Report!X1300</f>
        <v>NF 3855 DESPESAS-SACOLAS - ELLEN</v>
      </c>
    </row>
    <row r="995" customFormat="false" ht="12.75" hidden="false" customHeight="true" outlineLevel="0" collapsed="false">
      <c r="A995" s="15" t="n">
        <f aca="false">Report!C1302</f>
        <v>46241</v>
      </c>
      <c r="B995" s="1" t="str">
        <f aca="false">Report!E1302</f>
        <v>MIKITOS IND.COM.DE GEN. ALIM. DO AM. LTD</v>
      </c>
      <c r="C995" s="16" t="n">
        <f aca="false">Report!U1302</f>
        <v>690</v>
      </c>
      <c r="D995" s="1" t="str">
        <f aca="false">Report!X1302</f>
        <v>NF 294640 ELLEN</v>
      </c>
    </row>
    <row r="996" customFormat="false" ht="12.75" hidden="false" customHeight="true" outlineLevel="0" collapsed="false">
      <c r="A996" s="15" t="n">
        <f aca="false">Report!C1303</f>
        <v>46241</v>
      </c>
      <c r="B996" s="1" t="str">
        <f aca="false">Report!E1303</f>
        <v>T A DE MATTOS COMIM EIRELI</v>
      </c>
      <c r="C996" s="16" t="n">
        <f aca="false">Report!U1303</f>
        <v>228</v>
      </c>
      <c r="D996" s="1" t="str">
        <f aca="false">Report!X1303</f>
        <v>NF 10760 ELLEN</v>
      </c>
    </row>
    <row r="997" customFormat="false" ht="12.75" hidden="false" customHeight="true" outlineLevel="0" collapsed="false">
      <c r="A997" s="15" t="n">
        <f aca="false">Report!C1306</f>
        <v>46241</v>
      </c>
      <c r="B997" s="1" t="str">
        <f aca="false">Report!E1306</f>
        <v>OI S.A</v>
      </c>
      <c r="C997" s="16" t="n">
        <f aca="false">Report!U1306</f>
        <v>119.97</v>
      </c>
      <c r="D997" s="1" t="str">
        <f aca="false">Report!X1306</f>
        <v>MENS INTERNET OI MO2 - KEILA</v>
      </c>
    </row>
    <row r="998" customFormat="false" ht="12.75" hidden="false" customHeight="true" outlineLevel="0" collapsed="false">
      <c r="A998" s="15" t="n">
        <f aca="false">Report!C1307</f>
        <v>46241</v>
      </c>
      <c r="B998" s="1" t="str">
        <f aca="false">Report!E1307</f>
        <v>DISTRIBUIDORA LOPES LTDA</v>
      </c>
      <c r="C998" s="16" t="n">
        <f aca="false">Report!U1307</f>
        <v>328.14</v>
      </c>
      <c r="D998" s="1" t="str">
        <f aca="false">Report!X1307</f>
        <v>NF 1702357 ELLEN</v>
      </c>
    </row>
    <row r="999" customFormat="false" ht="12.75" hidden="false" customHeight="true" outlineLevel="0" collapsed="false">
      <c r="A999" s="15" t="n">
        <f aca="false">Report!C1308</f>
        <v>46241</v>
      </c>
      <c r="B999" s="1" t="str">
        <f aca="false">Report!E1308</f>
        <v>NEYLIANE S DE OLIVEIRA &amp; CIA LTDA</v>
      </c>
      <c r="C999" s="16" t="n">
        <f aca="false">Report!U1308</f>
        <v>175</v>
      </c>
      <c r="D999" s="1" t="str">
        <f aca="false">Report!X1308</f>
        <v>FEIRA - PACOVA/LIMAO-PIX P CNPJ 67.144.863/0001-03- ELLEN</v>
      </c>
    </row>
    <row r="1000" customFormat="false" ht="12.75" hidden="false" customHeight="true" outlineLevel="0" collapsed="false">
      <c r="A1000" s="15" t="n">
        <f aca="false">Report!C1309</f>
        <v>46241</v>
      </c>
      <c r="B1000" s="1" t="str">
        <f aca="false">Report!E1309</f>
        <v>NEYLIANE S DE OLIVEIRA &amp; CIA LTDA</v>
      </c>
      <c r="C1000" s="16" t="n">
        <f aca="false">Report!U1309</f>
        <v>1848.86</v>
      </c>
      <c r="D1000" s="1" t="str">
        <f aca="false">Report!X1309</f>
        <v>FEIRA - TRANF P/ C6-BANK-RENATO- ELLEN</v>
      </c>
    </row>
    <row r="1001" customFormat="false" ht="12.75" hidden="false" customHeight="true" outlineLevel="0" collapsed="false">
      <c r="A1001" s="15" t="n">
        <f aca="false">Report!C1310</f>
        <v>46241</v>
      </c>
      <c r="B1001" s="1" t="str">
        <f aca="false">Report!E1310</f>
        <v>FEIRA</v>
      </c>
      <c r="C1001" s="16" t="n">
        <f aca="false">Report!U1310</f>
        <v>320</v>
      </c>
      <c r="D1001" s="1" t="str">
        <f aca="false">Report!X1310</f>
        <v>FEIRA - TRANF P/ C6-BANK-RENATO (MAÇA/PERA) ELLEN</v>
      </c>
    </row>
    <row r="1002" customFormat="false" ht="12.75" hidden="false" customHeight="true" outlineLevel="0" collapsed="false">
      <c r="A1002" s="15" t="n">
        <f aca="false">Report!C1311</f>
        <v>46242</v>
      </c>
      <c r="B1002" s="1" t="str">
        <f aca="false">Report!E1311</f>
        <v>SEM FORNECEDOR</v>
      </c>
      <c r="C1002" s="16" t="n">
        <f aca="false">Report!U1311</f>
        <v>200</v>
      </c>
      <c r="D1002" s="1" t="str">
        <f aca="false">Report!X1311</f>
        <v>Pag de título:  Forn: 10096-H L M PADARIA E CONFEITARIA LTDA. Tit: 207868-01</v>
      </c>
    </row>
    <row r="1003" customFormat="false" ht="12.75" hidden="false" customHeight="true" outlineLevel="0" collapsed="false">
      <c r="A1003" s="15" t="n">
        <f aca="false">Report!C1312</f>
        <v>46242</v>
      </c>
      <c r="B1003" s="1" t="str">
        <f aca="false">Report!E1312</f>
        <v>SEM FORNECEDOR</v>
      </c>
      <c r="C1003" s="16" t="n">
        <f aca="false">Report!U1312</f>
        <v>50</v>
      </c>
      <c r="D1003" s="1" t="str">
        <f aca="false">Report!X1312</f>
        <v>extra elilton</v>
      </c>
    </row>
    <row r="1004" customFormat="false" ht="12.75" hidden="false" customHeight="true" outlineLevel="0" collapsed="false">
      <c r="A1004" s="15" t="n">
        <f aca="false">Report!C1313</f>
        <v>46242</v>
      </c>
      <c r="B1004" s="1" t="str">
        <f aca="false">Report!E1313</f>
        <v>MARE DISTRIBUIDORA DE BEBIDAS E DE PRODUTOS ALIMENTICIOS LTDA</v>
      </c>
      <c r="C1004" s="16" t="n">
        <f aca="false">Report!U1313</f>
        <v>1821.1</v>
      </c>
      <c r="D1004" s="1" t="str">
        <f aca="false">Report!X1313</f>
        <v>NF 1401844 ELLEN</v>
      </c>
    </row>
    <row r="1005" customFormat="false" ht="12.75" hidden="false" customHeight="true" outlineLevel="0" collapsed="false">
      <c r="A1005" s="15" t="n">
        <f aca="false">Report!C1314</f>
        <v>46242</v>
      </c>
      <c r="B1005" s="1" t="str">
        <f aca="false">Report!E1314</f>
        <v>ADRIANA DISTRIBUIDORA DE PRODUTOS ALIMEN</v>
      </c>
      <c r="C1005" s="16" t="n">
        <f aca="false">Report!U1314</f>
        <v>1006.04</v>
      </c>
      <c r="D1005" s="1" t="str">
        <f aca="false">Report!X1314</f>
        <v>NF 886799 ELLEN</v>
      </c>
    </row>
    <row r="1006" customFormat="false" ht="12.75" hidden="false" customHeight="true" outlineLevel="0" collapsed="false">
      <c r="A1006" s="15" t="n">
        <f aca="false">Report!C1315</f>
        <v>46242</v>
      </c>
      <c r="B1006" s="1" t="str">
        <f aca="false">Report!E1315</f>
        <v>J G COMERCIO DE PRODUTOS ALIMENTICIOS LTDA</v>
      </c>
      <c r="C1006" s="16" t="n">
        <f aca="false">Report!U1315</f>
        <v>439.5</v>
      </c>
      <c r="D1006" s="1" t="str">
        <f aca="false">Report!X1315</f>
        <v>NF 395656 ELLEN</v>
      </c>
    </row>
    <row r="1007" customFormat="false" ht="12.75" hidden="false" customHeight="true" outlineLevel="0" collapsed="false">
      <c r="A1007" s="15" t="n">
        <f aca="false">Report!C1316</f>
        <v>46242</v>
      </c>
      <c r="B1007" s="1" t="str">
        <f aca="false">Report!E1316</f>
        <v>BRAGA TABACARIA EIRELI ME</v>
      </c>
      <c r="C1007" s="16" t="n">
        <f aca="false">Report!U1316</f>
        <v>1563.41</v>
      </c>
      <c r="D1007" s="1" t="str">
        <f aca="false">Report!X1316</f>
        <v>NF 19579 ELLEN</v>
      </c>
    </row>
    <row r="1008" customFormat="false" ht="12.75" hidden="false" customHeight="true" outlineLevel="0" collapsed="false">
      <c r="A1008" s="15" t="n">
        <f aca="false">Report!C1318</f>
        <v>46242</v>
      </c>
      <c r="B1008" s="1" t="str">
        <f aca="false">Report!E1318</f>
        <v>H L M PADARIA E CONFEITARIA LTDA</v>
      </c>
      <c r="C1008" s="16" t="n">
        <f aca="false">Report!U1318</f>
        <v>200</v>
      </c>
      <c r="D1008" s="1" t="str">
        <f aca="false">Report!X1318</f>
        <v>NF 138 COMPRAS - BOLO PG NO P 8/8/26 ELLEN</v>
      </c>
    </row>
    <row r="1009" customFormat="false" ht="12.75" hidden="false" customHeight="true" outlineLevel="0" collapsed="false">
      <c r="A1009" s="15" t="n">
        <f aca="false">Report!C1319</f>
        <v>46243</v>
      </c>
      <c r="B1009" s="1" t="str">
        <f aca="false">Report!E1319</f>
        <v>SEM FORNECEDOR</v>
      </c>
      <c r="C1009" s="16" t="n">
        <f aca="false">Report!U1319</f>
        <v>92</v>
      </c>
      <c r="D1009" s="1" t="str">
        <f aca="false">Report!X1319</f>
        <v>almoço regina</v>
      </c>
    </row>
    <row r="1010" customFormat="false" ht="12.75" hidden="false" customHeight="true" outlineLevel="0" collapsed="false">
      <c r="A1010" s="15" t="n">
        <f aca="false">Report!C1321</f>
        <v>46243</v>
      </c>
      <c r="B1010" s="1" t="str">
        <f aca="false">Report!E1321</f>
        <v>SEM FORNECEDOR</v>
      </c>
      <c r="C1010" s="16" t="n">
        <f aca="false">Report!U1321</f>
        <v>70</v>
      </c>
      <c r="D1010" s="1" t="str">
        <f aca="false">Report!X1321</f>
        <v>extra elilton</v>
      </c>
    </row>
    <row r="1011" customFormat="false" ht="12.75" hidden="false" customHeight="true" outlineLevel="0" collapsed="false">
      <c r="A1011" s="15" t="n">
        <f aca="false">Report!C1322</f>
        <v>46243</v>
      </c>
      <c r="B1011" s="1" t="str">
        <f aca="false">Report!E1322</f>
        <v>RUAN FERNANDES</v>
      </c>
      <c r="C1011" s="16" t="n">
        <f aca="false">Report!U1322</f>
        <v>415.26</v>
      </c>
      <c r="D1011" s="1" t="str">
        <f aca="false">Report!X1322</f>
        <v>MEMORIA PC SERVIDOR MO2 - KEILA</v>
      </c>
    </row>
    <row r="1012" customFormat="false" ht="12.75" hidden="false" customHeight="true" outlineLevel="0" collapsed="false">
      <c r="A1012" s="15" t="n">
        <f aca="false">Report!C1323</f>
        <v>46243</v>
      </c>
      <c r="B1012" s="1" t="str">
        <f aca="false">Report!E1323</f>
        <v>DUNORTE DISTRIBUIDORA DE PRODUTOS DE CONSUMO LTDA</v>
      </c>
      <c r="C1012" s="16" t="n">
        <f aca="false">Report!U1323</f>
        <v>292.39</v>
      </c>
      <c r="D1012" s="1" t="str">
        <f aca="false">Report!X1323</f>
        <v>NF 3217924 DESPESAS - SAB LIQ/PAP HIG E TOALHA - ELLEN</v>
      </c>
    </row>
    <row r="1013" customFormat="false" ht="12.75" hidden="false" customHeight="true" outlineLevel="0" collapsed="false">
      <c r="A1013" s="15" t="n">
        <f aca="false">Report!C1324</f>
        <v>46244</v>
      </c>
      <c r="B1013" s="1" t="str">
        <f aca="false">Report!E1324</f>
        <v>SEM FORNECEDOR</v>
      </c>
      <c r="C1013" s="16" t="n">
        <f aca="false">Report!U1324</f>
        <v>100</v>
      </c>
      <c r="D1013" s="1" t="str">
        <f aca="false">Report!X1324</f>
        <v>banner / bananeiro</v>
      </c>
    </row>
    <row r="1014" customFormat="false" ht="12.75" hidden="false" customHeight="true" outlineLevel="0" collapsed="false">
      <c r="A1014" s="15" t="n">
        <f aca="false">Report!C1325</f>
        <v>46244</v>
      </c>
      <c r="B1014" s="1" t="str">
        <f aca="false">Report!E1325</f>
        <v>CHARLES ELETRICISTA</v>
      </c>
      <c r="C1014" s="16" t="n">
        <f aca="false">Report!U1325</f>
        <v>283.66</v>
      </c>
      <c r="D1014" s="1" t="str">
        <f aca="false">Report!X1325</f>
        <v>S/NF - DESPESAS-CAMERAS/CABOS-CT DIA 10-PARC6/6-ELLEN</v>
      </c>
    </row>
    <row r="1015" customFormat="false" ht="12.75" hidden="false" customHeight="true" outlineLevel="0" collapsed="false">
      <c r="A1015" s="15" t="n">
        <f aca="false">Report!C1326</f>
        <v>46244</v>
      </c>
      <c r="B1015" s="1" t="str">
        <f aca="false">Report!E1326</f>
        <v>AFEAM</v>
      </c>
      <c r="C1015" s="16" t="n">
        <f aca="false">Report!U1326</f>
        <v>2340.56</v>
      </c>
      <c r="D1015" s="1" t="str">
        <f aca="false">Report!X1326</f>
        <v>PARC 15/30 EMPRESTIMO MO2 AFEAM - KEILA </v>
      </c>
    </row>
    <row r="1016" customFormat="false" ht="12.75" hidden="false" customHeight="true" outlineLevel="0" collapsed="false">
      <c r="A1016" s="15" t="n">
        <f aca="false">Report!C1327</f>
        <v>46244</v>
      </c>
      <c r="B1016" s="1" t="str">
        <f aca="false">Report!E1327</f>
        <v>BRYDSON PAIVA DE FREITAS LTDA</v>
      </c>
      <c r="C1016" s="16" t="n">
        <f aca="false">Report!U1327</f>
        <v>226.66</v>
      </c>
      <c r="D1016" s="1" t="str">
        <f aca="false">Report!X1327</f>
        <v>NF 8973 DESPESAS - SSD PARC 03/03 - ELLENAgrupamento de títulos Ref. títulos:  139909-01 (340,00), 139909-02 (340,00), </v>
      </c>
    </row>
    <row r="1017" customFormat="false" ht="12.75" hidden="false" customHeight="true" outlineLevel="0" collapsed="false">
      <c r="A1017" s="15" t="n">
        <f aca="false">Report!C1328</f>
        <v>46244</v>
      </c>
      <c r="B1017" s="1" t="str">
        <f aca="false">Report!E1328</f>
        <v>NET CLARO</v>
      </c>
      <c r="C1017" s="16" t="n">
        <f aca="false">Report!U1328</f>
        <v>160</v>
      </c>
      <c r="D1017" s="1" t="str">
        <f aca="false">Report!X1328</f>
        <v>INTERNET MO2 - KEILA</v>
      </c>
    </row>
    <row r="1018" customFormat="false" ht="12.75" hidden="false" customHeight="true" outlineLevel="0" collapsed="false">
      <c r="A1018" s="15" t="n">
        <f aca="false">Report!C1329</f>
        <v>46244</v>
      </c>
      <c r="B1018" s="1" t="str">
        <f aca="false">Report!E1329</f>
        <v>E. D. SENA &amp; CIA LTDA</v>
      </c>
      <c r="C1018" s="16" t="n">
        <f aca="false">Report!U1329</f>
        <v>531.18</v>
      </c>
      <c r="D1018" s="1" t="str">
        <f aca="false">Report!X1329</f>
        <v>NF 9495 ELLEN</v>
      </c>
    </row>
    <row r="1019" customFormat="false" ht="12.75" hidden="false" customHeight="true" outlineLevel="0" collapsed="false">
      <c r="A1019" s="15" t="n">
        <f aca="false">Report!C1330</f>
        <v>46244</v>
      </c>
      <c r="B1019" s="1" t="str">
        <f aca="false">Report!E1330</f>
        <v>RENATO DE O AZEVEDO E CIA LTDA - EPP</v>
      </c>
      <c r="C1019" s="16" t="n">
        <f aca="false">Report!U1330</f>
        <v>666.67</v>
      </c>
      <c r="D1019" s="1" t="str">
        <f aca="false">Report!X1330</f>
        <v>MENSALIDADE CONSULTORIA CISS PARTE MO2 - KELA</v>
      </c>
    </row>
    <row r="1020" customFormat="false" ht="12.75" hidden="false" customHeight="true" outlineLevel="0" collapsed="false">
      <c r="A1020" s="15" t="n">
        <f aca="false">Report!C1331</f>
        <v>46244</v>
      </c>
      <c r="B1020" s="1" t="str">
        <f aca="false">Report!E1331</f>
        <v>TAPAJOS COM DE PERFUMARIA COSMETICOS E G</v>
      </c>
      <c r="C1020" s="16" t="n">
        <f aca="false">Report!U1331</f>
        <v>823.61</v>
      </c>
      <c r="D1020" s="1" t="str">
        <f aca="false">Report!X1331</f>
        <v>NF 580865 ELLEN</v>
      </c>
    </row>
    <row r="1021" customFormat="false" ht="12.75" hidden="false" customHeight="true" outlineLevel="0" collapsed="false">
      <c r="A1021" s="15" t="n">
        <f aca="false">Report!C1332</f>
        <v>46244</v>
      </c>
      <c r="B1021" s="1" t="str">
        <f aca="false">Report!E1332</f>
        <v>DUNORTE DISTRIBUIDORA DE PRODUTOS DE CONSUMO LTDA</v>
      </c>
      <c r="C1021" s="16" t="n">
        <f aca="false">Report!U1332</f>
        <v>1315.48</v>
      </c>
      <c r="D1021" s="1" t="str">
        <f aca="false">Report!X1332</f>
        <v>NF 3218196 ELLEN</v>
      </c>
    </row>
    <row r="1022" customFormat="false" ht="12.75" hidden="false" customHeight="true" outlineLevel="0" collapsed="false">
      <c r="A1022" s="15" t="n">
        <f aca="false">Report!C1333</f>
        <v>46244</v>
      </c>
      <c r="B1022" s="1" t="str">
        <f aca="false">Report!E1333</f>
        <v>DUNORTE DISTRIBUIDORA DE PRODUTOS DE CONSUMO LTDA</v>
      </c>
      <c r="C1022" s="16" t="n">
        <f aca="false">Report!U1333</f>
        <v>1387.05</v>
      </c>
      <c r="D1022" s="1" t="str">
        <f aca="false">Report!X1333</f>
        <v>NF 3218198 ELLEN</v>
      </c>
    </row>
    <row r="1023" customFormat="false" ht="12.75" hidden="false" customHeight="true" outlineLevel="0" collapsed="false">
      <c r="A1023" s="15" t="n">
        <f aca="false">Report!C1334</f>
        <v>46244</v>
      </c>
      <c r="B1023" s="1" t="str">
        <f aca="false">Report!E1334</f>
        <v>DUNORTE DISTRIBUIDORA DE PRODUTOS DE CONSUMO LTDA</v>
      </c>
      <c r="C1023" s="16" t="n">
        <f aca="false">Report!U1334</f>
        <v>920.12</v>
      </c>
      <c r="D1023" s="1" t="str">
        <f aca="false">Report!X1334</f>
        <v>NF 3218197 ELLEN</v>
      </c>
    </row>
    <row r="1024" customFormat="false" ht="12.75" hidden="false" customHeight="true" outlineLevel="0" collapsed="false">
      <c r="A1024" s="15" t="n">
        <f aca="false">Report!C1335</f>
        <v>46244</v>
      </c>
      <c r="B1024" s="1" t="str">
        <f aca="false">Report!E1335</f>
        <v>TAPAJOS COM DE PERFUMARIA COSMETICOS E G</v>
      </c>
      <c r="C1024" s="16" t="n">
        <f aca="false">Report!U1335</f>
        <v>1472.09</v>
      </c>
      <c r="D1024" s="1" t="str">
        <f aca="false">Report!X1335</f>
        <v>NF 580864 ELLEN</v>
      </c>
    </row>
    <row r="1025" customFormat="false" ht="12.75" hidden="false" customHeight="true" outlineLevel="0" collapsed="false">
      <c r="A1025" s="15" t="n">
        <f aca="false">Report!C1336</f>
        <v>46244</v>
      </c>
      <c r="B1025" s="1" t="str">
        <f aca="false">Report!E1336</f>
        <v>TAPAJOS COM DE PERFUMARIA COSMETICOS E G</v>
      </c>
      <c r="C1025" s="16" t="n">
        <f aca="false">Report!U1336</f>
        <v>1413.72</v>
      </c>
      <c r="D1025" s="1" t="str">
        <f aca="false">Report!X1336</f>
        <v>NF 580863 ELLEN</v>
      </c>
    </row>
    <row r="1026" customFormat="false" ht="12.75" hidden="false" customHeight="true" outlineLevel="0" collapsed="false">
      <c r="A1026" s="15" t="n">
        <f aca="false">Report!C1337</f>
        <v>46244</v>
      </c>
      <c r="B1026" s="1" t="str">
        <f aca="false">Report!E1337</f>
        <v>TAPAJOS COM DE PERFUMARIA COSMETICOS E G</v>
      </c>
      <c r="C1026" s="16" t="n">
        <f aca="false">Report!U1337</f>
        <v>1142.36</v>
      </c>
      <c r="D1026" s="1" t="str">
        <f aca="false">Report!X1337</f>
        <v>NF 580861 ELLEN</v>
      </c>
    </row>
    <row r="1027" customFormat="false" ht="12.75" hidden="false" customHeight="true" outlineLevel="0" collapsed="false">
      <c r="A1027" s="15" t="n">
        <f aca="false">Report!C1338</f>
        <v>46244</v>
      </c>
      <c r="B1027" s="1" t="str">
        <f aca="false">Report!E1338</f>
        <v>CB COMERCIO E DISTRIBUIDORA DE ALIMENTOS</v>
      </c>
      <c r="C1027" s="16" t="n">
        <f aca="false">Report!U1338</f>
        <v>676.97</v>
      </c>
      <c r="D1027" s="1" t="str">
        <f aca="false">Report!X1338</f>
        <v>NF 854967 ELLEN</v>
      </c>
    </row>
    <row r="1028" customFormat="false" ht="12.75" hidden="false" customHeight="true" outlineLevel="0" collapsed="false">
      <c r="A1028" s="15" t="n">
        <f aca="false">Report!C1339</f>
        <v>46244</v>
      </c>
      <c r="B1028" s="1" t="str">
        <f aca="false">Report!E1339</f>
        <v>PRIME PET DISTRIBUIDORA LTDA</v>
      </c>
      <c r="C1028" s="16" t="n">
        <f aca="false">Report!U1339</f>
        <v>446.28</v>
      </c>
      <c r="D1028" s="1" t="str">
        <f aca="false">Report!X1339</f>
        <v>NF 11173 ELLEN</v>
      </c>
    </row>
    <row r="1029" customFormat="false" ht="12.75" hidden="false" customHeight="true" outlineLevel="0" collapsed="false">
      <c r="A1029" s="15" t="n">
        <f aca="false">Report!C1340</f>
        <v>46244</v>
      </c>
      <c r="B1029" s="1" t="str">
        <f aca="false">Report!E1340</f>
        <v>BRYDSON PAIVA DE FREITAS LTDA</v>
      </c>
      <c r="C1029" s="16" t="n">
        <f aca="false">Report!U1340</f>
        <v>266.68</v>
      </c>
      <c r="D1029" s="1" t="str">
        <f aca="false">Report!X1340</f>
        <v>NF 9481 DESPESAS-CT MEMORIA- CT DIA 10-PARC1/3-ELLEN</v>
      </c>
    </row>
    <row r="1030" customFormat="false" ht="12.75" hidden="false" customHeight="true" outlineLevel="0" collapsed="false">
      <c r="A1030" s="15" t="n">
        <f aca="false">Report!C1342</f>
        <v>46244</v>
      </c>
      <c r="B1030" s="1" t="str">
        <f aca="false">Report!E1342</f>
        <v>COMERCIO DE FRIOS MANAUS LTDA</v>
      </c>
      <c r="C1030" s="16" t="n">
        <f aca="false">Report!U1342</f>
        <v>1349.7</v>
      </c>
      <c r="D1030" s="1" t="str">
        <f aca="false">Report!X1342</f>
        <v>NF 174094 ELLEN</v>
      </c>
    </row>
    <row r="1031" customFormat="false" ht="12.75" hidden="false" customHeight="true" outlineLevel="0" collapsed="false">
      <c r="A1031" s="15" t="n">
        <f aca="false">Report!C1343</f>
        <v>46244</v>
      </c>
      <c r="B1031" s="1" t="str">
        <f aca="false">Report!E1343</f>
        <v>FENNIX BRASIL DISTRIBUIDORA DE PRODUTOS</v>
      </c>
      <c r="C1031" s="16" t="n">
        <f aca="false">Report!U1343</f>
        <v>416.64</v>
      </c>
      <c r="D1031" s="1" t="str">
        <f aca="false">Report!X1343</f>
        <v>NF 315892 ELLEN</v>
      </c>
    </row>
    <row r="1032" customFormat="false" ht="12.75" hidden="false" customHeight="true" outlineLevel="0" collapsed="false">
      <c r="A1032" s="15" t="n">
        <f aca="false">Report!C1344</f>
        <v>46244</v>
      </c>
      <c r="B1032" s="1" t="str">
        <f aca="false">Report!E1344</f>
        <v>NOVA FRIOS COMERCIO ATACADISTA DE LATICINIOS LTDA</v>
      </c>
      <c r="C1032" s="16" t="n">
        <f aca="false">Report!U1344</f>
        <v>219.3</v>
      </c>
      <c r="D1032" s="1" t="str">
        <f aca="false">Report!X1344</f>
        <v>NF 4280 ELLEN</v>
      </c>
    </row>
    <row r="1033" customFormat="false" ht="12.75" hidden="false" customHeight="true" outlineLevel="0" collapsed="false">
      <c r="A1033" s="15" t="n">
        <f aca="false">Report!C1345</f>
        <v>46244</v>
      </c>
      <c r="B1033" s="1" t="str">
        <f aca="false">Report!E1345</f>
        <v>PANIFICADORA E CONFEITARIA REAL MADRI LTDA</v>
      </c>
      <c r="C1033" s="16" t="n">
        <f aca="false">Report!U1345</f>
        <v>312.1</v>
      </c>
      <c r="D1033" s="1" t="str">
        <f aca="false">Report!X1345</f>
        <v>NF 747 ELLEN</v>
      </c>
    </row>
    <row r="1034" customFormat="false" ht="12.75" hidden="false" customHeight="true" outlineLevel="0" collapsed="false">
      <c r="A1034" s="15" t="n">
        <f aca="false">Report!C1346</f>
        <v>46244</v>
      </c>
      <c r="B1034" s="1" t="str">
        <f aca="false">Report!E1346</f>
        <v>BRAGA TABACARIA EIRELI ME</v>
      </c>
      <c r="C1034" s="16" t="n">
        <f aca="false">Report!U1346</f>
        <v>795.6</v>
      </c>
      <c r="D1034" s="1" t="str">
        <f aca="false">Report!X1346</f>
        <v>RECIBO 55379- COMPRAS-CIGARROS/COPO DESC- ELLEN</v>
      </c>
    </row>
    <row r="1035" customFormat="false" ht="12.75" hidden="false" customHeight="true" outlineLevel="0" collapsed="false">
      <c r="A1035" s="15" t="n">
        <f aca="false">Report!C1347</f>
        <v>46244</v>
      </c>
      <c r="B1035" s="1" t="str">
        <f aca="false">Report!E1347</f>
        <v>M. J. M. DE S. ALMEIDA LTDA</v>
      </c>
      <c r="C1035" s="16" t="n">
        <f aca="false">Report!U1347</f>
        <v>390</v>
      </c>
      <c r="D1035" s="1" t="str">
        <f aca="false">Report!X1347</f>
        <v>NF 367 BISCOITOS BOM GOSTO - ELLEN</v>
      </c>
    </row>
    <row r="1036" customFormat="false" ht="12.75" hidden="false" customHeight="true" outlineLevel="0" collapsed="false">
      <c r="A1036" s="15" t="n">
        <f aca="false">Report!C1348</f>
        <v>46244</v>
      </c>
      <c r="B1036" s="1" t="str">
        <f aca="false">Report!E1348</f>
        <v>J W N DOS SANTOS</v>
      </c>
      <c r="C1036" s="16" t="n">
        <f aca="false">Report!U1348</f>
        <v>183</v>
      </c>
      <c r="D1036" s="1" t="str">
        <f aca="false">Report!X1348</f>
        <v>NF 395 ELLEN</v>
      </c>
    </row>
    <row r="1037" customFormat="false" ht="12.75" hidden="false" customHeight="true" outlineLevel="0" collapsed="false">
      <c r="A1037" s="15" t="n">
        <f aca="false">Report!C1349</f>
        <v>46244</v>
      </c>
      <c r="B1037" s="1" t="str">
        <f aca="false">Report!E1349</f>
        <v>PANIFICADORA E CONFEITARIA REAL MADRI LTDA</v>
      </c>
      <c r="C1037" s="16" t="n">
        <f aca="false">Report!U1349</f>
        <v>374.7</v>
      </c>
      <c r="D1037" s="1" t="str">
        <f aca="false">Report!X1349</f>
        <v>NF 752 ELLEN</v>
      </c>
    </row>
    <row r="1038" customFormat="false" ht="12.75" hidden="false" customHeight="true" outlineLevel="0" collapsed="false">
      <c r="A1038" s="15" t="n">
        <f aca="false">Report!C1350</f>
        <v>46244</v>
      </c>
      <c r="B1038" s="1" t="str">
        <f aca="false">Report!E1350</f>
        <v>ADICSO FABIAN GONZALEZ MONTILLA 70302186</v>
      </c>
      <c r="C1038" s="16" t="n">
        <f aca="false">Report!U1350</f>
        <v>420</v>
      </c>
      <c r="D1038" s="1" t="str">
        <f aca="false">Report!X1350</f>
        <v>NF 579 ELLEN</v>
      </c>
    </row>
    <row r="1039" customFormat="false" ht="12.75" hidden="false" customHeight="true" outlineLevel="0" collapsed="false">
      <c r="A1039" s="15" t="n">
        <f aca="false">Report!C1352</f>
        <v>46244</v>
      </c>
      <c r="B1039" s="1" t="str">
        <f aca="false">Report!E1352</f>
        <v>NEYLIANE S DE OLIVEIRA &amp; CIA LTDA</v>
      </c>
      <c r="C1039" s="16" t="n">
        <f aca="false">Report!U1352</f>
        <v>375</v>
      </c>
      <c r="D1039" s="1" t="str">
        <f aca="false">Report!X1352</f>
        <v>COMPRAS-25L DE AÇAI- PG NO P 8/8/26-ELLEN</v>
      </c>
    </row>
    <row r="1040" customFormat="false" ht="12.75" hidden="false" customHeight="true" outlineLevel="0" collapsed="false">
      <c r="A1040" s="15" t="n">
        <f aca="false">Report!C1353</f>
        <v>46244</v>
      </c>
      <c r="B1040" s="1" t="str">
        <f aca="false">Report!E1353</f>
        <v>RENATO DE O AZEVEDO E CIA LTDA - EPP</v>
      </c>
      <c r="C1040" s="16" t="n">
        <f aca="false">Report!U1353</f>
        <v>666.66</v>
      </c>
      <c r="D1040" s="1" t="str">
        <f aca="false">Report!X1353</f>
        <v>MENSALIDADE COCILIACAO SISTEMA CISS</v>
      </c>
    </row>
    <row r="1041" customFormat="false" ht="12.75" hidden="false" customHeight="true" outlineLevel="0" collapsed="false">
      <c r="A1041" s="15" t="n">
        <f aca="false">Report!C1354</f>
        <v>46245</v>
      </c>
      <c r="B1041" s="1" t="str">
        <f aca="false">Report!E1354</f>
        <v>SEM FORNECEDOR</v>
      </c>
      <c r="C1041" s="16" t="n">
        <f aca="false">Report!U1354</f>
        <v>72</v>
      </c>
      <c r="D1041" s="1" t="str">
        <f aca="false">Report!X1354</f>
        <v>recibo - 4 cxs brigadeiros caseiro/jose - Ellen</v>
      </c>
    </row>
    <row r="1042" customFormat="false" ht="12.75" hidden="false" customHeight="true" outlineLevel="0" collapsed="false">
      <c r="A1042" s="15" t="n">
        <f aca="false">Report!C1355</f>
        <v>46245</v>
      </c>
      <c r="B1042" s="1" t="str">
        <f aca="false">Report!E1355</f>
        <v>SEM FORNECEDOR</v>
      </c>
      <c r="C1042" s="16" t="n">
        <f aca="false">Report!U1355</f>
        <v>200</v>
      </c>
      <c r="D1042" s="1" t="str">
        <f aca="false">Report!X1355</f>
        <v>recibo - trufas / genio - Ellen</v>
      </c>
    </row>
    <row r="1043" customFormat="false" ht="12.75" hidden="false" customHeight="true" outlineLevel="0" collapsed="false">
      <c r="A1043" s="15" t="n">
        <f aca="false">Report!C1356</f>
        <v>46245</v>
      </c>
      <c r="B1043" s="1" t="str">
        <f aca="false">Report!E1356</f>
        <v>SEM FORNECEDOR</v>
      </c>
      <c r="C1043" s="16" t="n">
        <f aca="false">Report!U1356</f>
        <v>50</v>
      </c>
      <c r="D1043" s="1" t="str">
        <f aca="false">Report!X1356</f>
        <v>diaria elilton</v>
      </c>
    </row>
    <row r="1044" customFormat="false" ht="12.75" hidden="false" customHeight="true" outlineLevel="0" collapsed="false">
      <c r="A1044" s="15" t="n">
        <f aca="false">Report!C1357</f>
        <v>46245</v>
      </c>
      <c r="B1044" s="1" t="str">
        <f aca="false">Report!E1357</f>
        <v>PRIME PET DISTRIBUIDORA LTDA</v>
      </c>
      <c r="C1044" s="16" t="n">
        <f aca="false">Report!U1357</f>
        <v>1361.81</v>
      </c>
      <c r="D1044" s="1" t="str">
        <f aca="false">Report!X1357</f>
        <v>NF 10860 ELLEN</v>
      </c>
    </row>
    <row r="1045" customFormat="false" ht="12.75" hidden="false" customHeight="true" outlineLevel="0" collapsed="false">
      <c r="A1045" s="15" t="n">
        <f aca="false">Report!C1358</f>
        <v>46245</v>
      </c>
      <c r="B1045" s="1" t="str">
        <f aca="false">Report!E1358</f>
        <v>BRASIL NORTE BEBIDAS S/A</v>
      </c>
      <c r="C1045" s="16" t="n">
        <f aca="false">Report!U1358</f>
        <v>868.27</v>
      </c>
      <c r="D1045" s="1" t="str">
        <f aca="false">Report!X1358</f>
        <v>NF 1955856 ELLEN</v>
      </c>
    </row>
    <row r="1046" customFormat="false" ht="12.75" hidden="false" customHeight="true" outlineLevel="0" collapsed="false">
      <c r="A1046" s="15" t="n">
        <f aca="false">Report!C1359</f>
        <v>46245</v>
      </c>
      <c r="B1046" s="1" t="str">
        <f aca="false">Report!E1359</f>
        <v>BRASIL NORTE BEBIDAS S/A</v>
      </c>
      <c r="C1046" s="16" t="n">
        <f aca="false">Report!U1359</f>
        <v>659.74</v>
      </c>
      <c r="D1046" s="1" t="str">
        <f aca="false">Report!X1359</f>
        <v>NF 1221623 ELLEN</v>
      </c>
    </row>
    <row r="1047" customFormat="false" ht="12.75" hidden="false" customHeight="true" outlineLevel="0" collapsed="false">
      <c r="A1047" s="15" t="n">
        <f aca="false">Report!C1360</f>
        <v>46245</v>
      </c>
      <c r="B1047" s="1" t="str">
        <f aca="false">Report!E1360</f>
        <v>RENATO DE O AZEVEDO E CIA LTDA - EPP</v>
      </c>
      <c r="C1047" s="16" t="n">
        <f aca="false">Report!U1360</f>
        <v>250.1</v>
      </c>
      <c r="D1047" s="1" t="str">
        <f aca="false">Report!X1360</f>
        <v>PAG SALARIO ELIANA PARTE MO2 - ANDREZAPREVIA</v>
      </c>
    </row>
    <row r="1048" customFormat="false" ht="12.75" hidden="false" customHeight="true" outlineLevel="0" collapsed="false">
      <c r="A1048" s="15" t="n">
        <f aca="false">Report!C1361</f>
        <v>46245</v>
      </c>
      <c r="B1048" s="1" t="str">
        <f aca="false">Report!E1361</f>
        <v>ATACADAO S.A.</v>
      </c>
      <c r="C1048" s="16" t="n">
        <f aca="false">Report!U1361</f>
        <v>639.52</v>
      </c>
      <c r="D1048" s="1" t="str">
        <f aca="false">Report!X1361</f>
        <v>NF 1905832 ELLEN</v>
      </c>
    </row>
    <row r="1049" customFormat="false" ht="12.75" hidden="false" customHeight="true" outlineLevel="0" collapsed="false">
      <c r="A1049" s="15" t="n">
        <f aca="false">Report!C1362</f>
        <v>46245</v>
      </c>
      <c r="B1049" s="1" t="str">
        <f aca="false">Report!E1362</f>
        <v>NATUREZA COMERCIO DE DESCARTAVEIS LTDA</v>
      </c>
      <c r="C1049" s="16" t="n">
        <f aca="false">Report!U1362</f>
        <v>391.26</v>
      </c>
      <c r="D1049" s="1" t="str">
        <f aca="false">Report!X1362</f>
        <v>NF 740921 DESPESA-BANDEJAS - ELLEN</v>
      </c>
    </row>
    <row r="1050" customFormat="false" ht="12.75" hidden="false" customHeight="true" outlineLevel="0" collapsed="false">
      <c r="A1050" s="15" t="n">
        <f aca="false">Report!C1363</f>
        <v>46245</v>
      </c>
      <c r="B1050" s="1" t="str">
        <f aca="false">Report!E1363</f>
        <v>MARCLEY MACHADO CHAVES</v>
      </c>
      <c r="C1050" s="16" t="n">
        <f aca="false">Report!U1363</f>
        <v>1009.92</v>
      </c>
      <c r="D1050" s="1" t="str">
        <f aca="false">Report!X1363</f>
        <v>NF 3551 ELLEN</v>
      </c>
    </row>
    <row r="1051" customFormat="false" ht="12.75" hidden="false" customHeight="true" outlineLevel="0" collapsed="false">
      <c r="A1051" s="15" t="n">
        <f aca="false">Report!C1364</f>
        <v>46245</v>
      </c>
      <c r="B1051" s="1" t="str">
        <f aca="false">Report!E1364</f>
        <v>BONNA VITTA INDUSTRIA E COMERCIO LTDA.</v>
      </c>
      <c r="C1051" s="16" t="n">
        <f aca="false">Report!U1364</f>
        <v>926.71</v>
      </c>
      <c r="D1051" s="1" t="str">
        <f aca="false">Report!X1364</f>
        <v>NF 2078 ELLEN</v>
      </c>
    </row>
    <row r="1052" customFormat="false" ht="12.75" hidden="false" customHeight="true" outlineLevel="0" collapsed="false">
      <c r="A1052" s="15" t="n">
        <f aca="false">Report!C1365</f>
        <v>46245</v>
      </c>
      <c r="B1052" s="1" t="str">
        <f aca="false">Report!E1365</f>
        <v>FRUTAL INDUSTRIA E COMERCIO LTDA</v>
      </c>
      <c r="C1052" s="16" t="n">
        <f aca="false">Report!U1365</f>
        <v>362.06</v>
      </c>
      <c r="D1052" s="1" t="str">
        <f aca="false">Report!X1365</f>
        <v>NF 227803 ELLEN</v>
      </c>
    </row>
    <row r="1053" customFormat="false" ht="12.75" hidden="false" customHeight="true" outlineLevel="0" collapsed="false">
      <c r="A1053" s="15" t="n">
        <f aca="false">Report!C1366</f>
        <v>46245</v>
      </c>
      <c r="B1053" s="1" t="str">
        <f aca="false">Report!E1366</f>
        <v>JAB COMERCIO DE PRODUTOS ALIMENTICIOS LT</v>
      </c>
      <c r="C1053" s="16" t="n">
        <f aca="false">Report!U1366</f>
        <v>166</v>
      </c>
      <c r="D1053" s="1" t="str">
        <f aca="false">Report!X1366</f>
        <v>NF 3674 ELLEN</v>
      </c>
    </row>
    <row r="1054" customFormat="false" ht="12.75" hidden="false" customHeight="true" outlineLevel="0" collapsed="false">
      <c r="A1054" s="15" t="n">
        <f aca="false">Report!C1369</f>
        <v>46245</v>
      </c>
      <c r="B1054" s="1" t="str">
        <f aca="false">Report!E1369</f>
        <v>NEYLIANE S DE OLIVEIRA &amp; CIA LTDA</v>
      </c>
      <c r="C1054" s="16" t="n">
        <f aca="false">Report!U1369</f>
        <v>1838.25</v>
      </c>
      <c r="D1054" s="1" t="str">
        <f aca="false">Report!X1369</f>
        <v>FEIRA - PG P/ C6-BANK/RENATO - ELLEN</v>
      </c>
    </row>
    <row r="1055" customFormat="false" ht="12.75" hidden="false" customHeight="true" outlineLevel="0" collapsed="false">
      <c r="A1055" s="15" t="n">
        <f aca="false">Report!C1370</f>
        <v>46245</v>
      </c>
      <c r="B1055" s="1" t="str">
        <f aca="false">Report!E1370</f>
        <v>FEIRA</v>
      </c>
      <c r="C1055" s="16" t="n">
        <f aca="false">Report!U1370</f>
        <v>550</v>
      </c>
      <c r="D1055" s="1" t="str">
        <f aca="false">Report!X1370</f>
        <v>FEIRA - PG P/ C6-BANK/RENATO (UVA/KIWI) SOMAR C NF 2600-ELLEN</v>
      </c>
    </row>
    <row r="1056" customFormat="false" ht="12.75" hidden="false" customHeight="true" outlineLevel="0" collapsed="false">
      <c r="A1056" s="15" t="n">
        <f aca="false">Report!C1371</f>
        <v>46246</v>
      </c>
      <c r="B1056" s="1" t="str">
        <f aca="false">Report!E1371</f>
        <v>SEM FORNECEDOR</v>
      </c>
      <c r="C1056" s="16" t="n">
        <f aca="false">Report!U1371</f>
        <v>140</v>
      </c>
      <c r="D1056" s="1" t="str">
        <f aca="false">Report!X1371</f>
        <v>Pag de título:  Forn: 10096-H L M PADARIA E CONFEITARIA LTDA. Tit: 210984-01</v>
      </c>
    </row>
    <row r="1057" customFormat="false" ht="12.75" hidden="false" customHeight="true" outlineLevel="0" collapsed="false">
      <c r="A1057" s="15" t="n">
        <f aca="false">Report!C1372</f>
        <v>46246</v>
      </c>
      <c r="B1057" s="1" t="str">
        <f aca="false">Report!E1372</f>
        <v>SEM FORNECEDOR</v>
      </c>
      <c r="C1057" s="16" t="n">
        <f aca="false">Report!U1372</f>
        <v>70</v>
      </c>
      <c r="D1057" s="1" t="str">
        <f aca="false">Report!X1372</f>
        <v>extra elilton</v>
      </c>
    </row>
    <row r="1058" customFormat="false" ht="12.75" hidden="false" customHeight="true" outlineLevel="0" collapsed="false">
      <c r="A1058" s="15" t="n">
        <f aca="false">Report!C1373</f>
        <v>46246</v>
      </c>
      <c r="B1058" s="1" t="str">
        <f aca="false">Report!E1373</f>
        <v>H L M PADARIA E CONFEITARIA LTDA</v>
      </c>
      <c r="C1058" s="16" t="n">
        <f aca="false">Report!U1373</f>
        <v>140</v>
      </c>
      <c r="D1058" s="1" t="str">
        <f aca="false">Report!X1373</f>
        <v>NF 153 COMPRAS-BOLO PG NO P 12/8/26 ELLEN</v>
      </c>
    </row>
    <row r="1059" customFormat="false" ht="12.75" hidden="false" customHeight="true" outlineLevel="0" collapsed="false">
      <c r="A1059" s="15" t="n">
        <f aca="false">Report!C1374</f>
        <v>46246</v>
      </c>
      <c r="B1059" s="1" t="str">
        <f aca="false">Report!E1374</f>
        <v>SB COMERCIO LTDA</v>
      </c>
      <c r="C1059" s="16" t="n">
        <f aca="false">Report!U1374</f>
        <v>1504.05</v>
      </c>
      <c r="D1059" s="1" t="str">
        <f aca="false">Report!X1374</f>
        <v>NF 1962669 ELLEN</v>
      </c>
    </row>
    <row r="1060" customFormat="false" ht="12.75" hidden="false" customHeight="true" outlineLevel="0" collapsed="false">
      <c r="A1060" s="15" t="n">
        <f aca="false">Report!C1375</f>
        <v>46246</v>
      </c>
      <c r="B1060" s="1" t="str">
        <f aca="false">Report!E1375</f>
        <v>DISTRIBUIDORA LOPES LTDA</v>
      </c>
      <c r="C1060" s="16" t="n">
        <f aca="false">Report!U1375</f>
        <v>1207.28</v>
      </c>
      <c r="D1060" s="1" t="str">
        <f aca="false">Report!X1375</f>
        <v>NF 1692730 ELLEN</v>
      </c>
    </row>
    <row r="1061" customFormat="false" ht="12.75" hidden="false" customHeight="true" outlineLevel="0" collapsed="false">
      <c r="A1061" s="15" t="n">
        <f aca="false">Report!C1379</f>
        <v>46246</v>
      </c>
      <c r="B1061" s="1" t="str">
        <f aca="false">Report!E1379</f>
        <v>FUNNY PET DISTRIBUIDORA DE ALIMENTOS PAR</v>
      </c>
      <c r="C1061" s="16" t="n">
        <f aca="false">Report!U1379</f>
        <v>1501.36</v>
      </c>
      <c r="D1061" s="1" t="str">
        <f aca="false">Report!X1379</f>
        <v>NF 21189 ELLEN</v>
      </c>
    </row>
    <row r="1062" customFormat="false" ht="12.75" hidden="false" customHeight="true" outlineLevel="0" collapsed="false">
      <c r="A1062" s="15" t="n">
        <f aca="false">Report!C1380</f>
        <v>46246</v>
      </c>
      <c r="B1062" s="1" t="str">
        <f aca="false">Report!E1380</f>
        <v>OPPORTUNITY ALIMENTOS PARA ANIMAIS LTDA</v>
      </c>
      <c r="C1062" s="16" t="n">
        <f aca="false">Report!U1380</f>
        <v>591.06</v>
      </c>
      <c r="D1062" s="1" t="str">
        <f aca="false">Report!X1380</f>
        <v>NF 34738 ELLEN</v>
      </c>
    </row>
    <row r="1063" customFormat="false" ht="12.75" hidden="false" customHeight="true" outlineLevel="0" collapsed="false">
      <c r="A1063" s="15" t="n">
        <f aca="false">Report!C1381</f>
        <v>46246</v>
      </c>
      <c r="B1063" s="1" t="str">
        <f aca="false">Report!E1381</f>
        <v>DISTRIBUIDORA LOPES LTDA</v>
      </c>
      <c r="C1063" s="16" t="n">
        <f aca="false">Report!U1381</f>
        <v>1188</v>
      </c>
      <c r="D1063" s="1" t="str">
        <f aca="false">Report!X1381</f>
        <v>NF 1697796 ELLEN</v>
      </c>
    </row>
    <row r="1064" customFormat="false" ht="12.75" hidden="false" customHeight="true" outlineLevel="0" collapsed="false">
      <c r="A1064" s="15" t="n">
        <f aca="false">Report!C1383</f>
        <v>46246</v>
      </c>
      <c r="B1064" s="1" t="str">
        <f aca="false">Report!E1383</f>
        <v>INCORE SERVICOS DE MANUTENCAO DE EQUIPAM</v>
      </c>
      <c r="C1064" s="16" t="n">
        <f aca="false">Report!U1383</f>
        <v>325</v>
      </c>
      <c r="D1064" s="1" t="str">
        <f aca="false">Report!X1383</f>
        <v>NF 7695 DESPESA-AVENTAL/TABUA CORTE - ELLEN</v>
      </c>
    </row>
    <row r="1065" customFormat="false" ht="12.75" hidden="false" customHeight="true" outlineLevel="0" collapsed="false">
      <c r="A1065" s="15" t="n">
        <f aca="false">Report!C1384</f>
        <v>46246</v>
      </c>
      <c r="B1065" s="1" t="str">
        <f aca="false">Report!E1384</f>
        <v>TOYA INDUSTRIA E COMERCIO LTDA.</v>
      </c>
      <c r="C1065" s="16" t="n">
        <f aca="false">Report!U1384</f>
        <v>894.16</v>
      </c>
      <c r="D1065" s="1" t="str">
        <f aca="false">Report!X1384</f>
        <v>NF 256582 ELLEN</v>
      </c>
    </row>
    <row r="1066" customFormat="false" ht="12.75" hidden="false" customHeight="true" outlineLevel="0" collapsed="false">
      <c r="A1066" s="15" t="n">
        <f aca="false">Report!C1385</f>
        <v>46246</v>
      </c>
      <c r="B1066" s="1" t="str">
        <f aca="false">Report!E1385</f>
        <v>BRF S A</v>
      </c>
      <c r="C1066" s="16" t="n">
        <f aca="false">Report!U1385</f>
        <v>1190.19</v>
      </c>
      <c r="D1066" s="1" t="str">
        <f aca="false">Report!X1385</f>
        <v>NF 1614426 ELLEN</v>
      </c>
    </row>
    <row r="1067" customFormat="false" ht="12.75" hidden="false" customHeight="true" outlineLevel="0" collapsed="false">
      <c r="A1067" s="15" t="n">
        <f aca="false">Report!C1386</f>
        <v>46246</v>
      </c>
      <c r="B1067" s="1" t="str">
        <f aca="false">Report!E1386</f>
        <v>NORTELAC DISTRIBUIDORA DE FRIOS LTDA</v>
      </c>
      <c r="C1067" s="16" t="n">
        <f aca="false">Report!U1386</f>
        <v>460</v>
      </c>
      <c r="D1067" s="1" t="str">
        <f aca="false">Report!X1386</f>
        <v>NF 45441 ELLEN</v>
      </c>
    </row>
    <row r="1068" customFormat="false" ht="12.75" hidden="false" customHeight="true" outlineLevel="0" collapsed="false">
      <c r="A1068" s="15" t="n">
        <f aca="false">Report!C1387</f>
        <v>46246</v>
      </c>
      <c r="B1068" s="1" t="str">
        <f aca="false">Report!E1387</f>
        <v>P. A. P. CAVALCANTE LTDA</v>
      </c>
      <c r="C1068" s="16" t="n">
        <f aca="false">Report!U1387</f>
        <v>370.49</v>
      </c>
      <c r="D1068" s="1" t="str">
        <f aca="false">Report!X1387</f>
        <v>NF 394 COMPRAS-LEITE DOBON/POMAROLA - ELLEN</v>
      </c>
    </row>
    <row r="1069" customFormat="false" ht="12.75" hidden="false" customHeight="true" outlineLevel="0" collapsed="false">
      <c r="A1069" s="15" t="n">
        <f aca="false">Report!C1388</f>
        <v>46246</v>
      </c>
      <c r="B1069" s="1" t="str">
        <f aca="false">Report!E1388</f>
        <v>P. A. P. CAVALCANTE LTDA</v>
      </c>
      <c r="C1069" s="16" t="n">
        <f aca="false">Report!U1388</f>
        <v>346</v>
      </c>
      <c r="D1069" s="1" t="str">
        <f aca="false">Report!X1388</f>
        <v>NF 399 COMPRAS-SKARLOF/FLOCAO - ELLEN</v>
      </c>
    </row>
    <row r="1070" customFormat="false" ht="12.75" hidden="false" customHeight="true" outlineLevel="0" collapsed="false">
      <c r="A1070" s="15" t="n">
        <f aca="false">Report!C1389</f>
        <v>46246</v>
      </c>
      <c r="B1070" s="1" t="str">
        <f aca="false">Report!E1389</f>
        <v>P. A. P. CAVALCANTE LTDA</v>
      </c>
      <c r="C1070" s="16" t="n">
        <f aca="false">Report!U1389</f>
        <v>710</v>
      </c>
      <c r="D1070" s="1" t="str">
        <f aca="false">Report!X1389</f>
        <v>RECIBO - COMPRAS - ITAIPAVA - ELLEN</v>
      </c>
    </row>
    <row r="1071" customFormat="false" ht="12.75" hidden="false" customHeight="true" outlineLevel="0" collapsed="false">
      <c r="A1071" s="15" t="n">
        <f aca="false">Report!C1390</f>
        <v>46247</v>
      </c>
      <c r="B1071" s="1" t="str">
        <f aca="false">Report!E1390</f>
        <v>SEM FORNECEDOR</v>
      </c>
      <c r="C1071" s="16" t="n">
        <f aca="false">Report!U1390</f>
        <v>50</v>
      </c>
      <c r="D1071" s="1" t="str">
        <f aca="false">Report!X1390</f>
        <v>extra elilton</v>
      </c>
    </row>
    <row r="1072" customFormat="false" ht="12.75" hidden="false" customHeight="true" outlineLevel="0" collapsed="false">
      <c r="A1072" s="15" t="n">
        <f aca="false">Report!C1392</f>
        <v>46247</v>
      </c>
      <c r="B1072" s="1" t="str">
        <f aca="false">Report!E1392</f>
        <v>SEM FORNECEDOR</v>
      </c>
      <c r="C1072" s="16" t="n">
        <f aca="false">Report!U1392</f>
        <v>70</v>
      </c>
      <c r="D1072" s="1" t="str">
        <f aca="false">Report!X1392</f>
        <v>extra helio</v>
      </c>
    </row>
    <row r="1073" customFormat="false" ht="12.75" hidden="false" customHeight="true" outlineLevel="0" collapsed="false">
      <c r="A1073" s="15" t="n">
        <f aca="false">Report!C1393</f>
        <v>46247</v>
      </c>
      <c r="B1073" s="1" t="str">
        <f aca="false">Report!E1393</f>
        <v>SEM FORNECEDOR</v>
      </c>
      <c r="C1073" s="16" t="n">
        <f aca="false">Report!U1393</f>
        <v>120</v>
      </c>
      <c r="D1073" s="1" t="str">
        <f aca="false">Report!X1393</f>
        <v>Pag de título:  Forn: 10096-H L M PADARIA E CONFEITARIA LTDA. Tit: 210995-01</v>
      </c>
    </row>
    <row r="1074" customFormat="false" ht="12.75" hidden="false" customHeight="true" outlineLevel="0" collapsed="false">
      <c r="A1074" s="15" t="n">
        <f aca="false">Report!C1394</f>
        <v>46247</v>
      </c>
      <c r="B1074" s="1" t="str">
        <f aca="false">Report!E1394</f>
        <v>DISTRIBUIDORA FARIAS LTDA.</v>
      </c>
      <c r="C1074" s="16" t="n">
        <f aca="false">Report!U1394</f>
        <v>580.9</v>
      </c>
      <c r="D1074" s="1" t="str">
        <f aca="false">Report!X1394</f>
        <v>NF 682520 ELLEN</v>
      </c>
    </row>
    <row r="1075" customFormat="false" ht="12.75" hidden="false" customHeight="true" outlineLevel="0" collapsed="false">
      <c r="A1075" s="15" t="n">
        <f aca="false">Report!C1395</f>
        <v>46247</v>
      </c>
      <c r="B1075" s="1" t="str">
        <f aca="false">Report!E1395</f>
        <v>RISADINHA LTDA</v>
      </c>
      <c r="C1075" s="16" t="n">
        <f aca="false">Report!U1395</f>
        <v>381</v>
      </c>
      <c r="D1075" s="1" t="str">
        <f aca="false">Report!X1395</f>
        <v>NF 664184 ELLEN</v>
      </c>
    </row>
    <row r="1076" customFormat="false" ht="12.75" hidden="false" customHeight="true" outlineLevel="0" collapsed="false">
      <c r="A1076" s="15" t="n">
        <f aca="false">Report!C1396</f>
        <v>46247</v>
      </c>
      <c r="B1076" s="1" t="str">
        <f aca="false">Report!E1396</f>
        <v>DURAES DISTRIBUIDORA DE ESTIVAS LTDA</v>
      </c>
      <c r="C1076" s="16" t="n">
        <f aca="false">Report!U1396</f>
        <v>727.23</v>
      </c>
      <c r="D1076" s="1" t="str">
        <f aca="false">Report!X1396</f>
        <v>NF 651350 ELLEN</v>
      </c>
    </row>
    <row r="1077" customFormat="false" ht="12.75" hidden="false" customHeight="true" outlineLevel="0" collapsed="false">
      <c r="A1077" s="15" t="n">
        <f aca="false">Report!C1397</f>
        <v>46247</v>
      </c>
      <c r="B1077" s="1" t="str">
        <f aca="false">Report!E1397</f>
        <v>DA FRUTA DISTRIBUIDORA LTDA</v>
      </c>
      <c r="C1077" s="16" t="n">
        <f aca="false">Report!U1397</f>
        <v>830.88</v>
      </c>
      <c r="D1077" s="1" t="str">
        <f aca="false">Report!X1397</f>
        <v>NF 197070 ELLEN</v>
      </c>
    </row>
    <row r="1078" customFormat="false" ht="12.75" hidden="false" customHeight="true" outlineLevel="0" collapsed="false">
      <c r="A1078" s="15" t="n">
        <f aca="false">Report!C1398</f>
        <v>46247</v>
      </c>
      <c r="B1078" s="1" t="str">
        <f aca="false">Report!E1398</f>
        <v>OCIDENTAL COMERCIO DE FRIOS LTDA</v>
      </c>
      <c r="C1078" s="16" t="n">
        <f aca="false">Report!U1398</f>
        <v>459.25</v>
      </c>
      <c r="D1078" s="1" t="str">
        <f aca="false">Report!X1398</f>
        <v>NF 1253268 ELLEN</v>
      </c>
    </row>
    <row r="1079" customFormat="false" ht="12.75" hidden="false" customHeight="true" outlineLevel="0" collapsed="false">
      <c r="A1079" s="15" t="n">
        <f aca="false">Report!C1399</f>
        <v>46247</v>
      </c>
      <c r="B1079" s="1" t="str">
        <f aca="false">Report!E1399</f>
        <v>H L M PADARIA E CONFEITARIA LTDA</v>
      </c>
      <c r="C1079" s="16" t="n">
        <f aca="false">Report!U1399</f>
        <v>120</v>
      </c>
      <c r="D1079" s="1" t="str">
        <f aca="false">Report!X1399</f>
        <v>NF 158 COMPRAS-BOLO PG NO P 13/8/26 ELLEN</v>
      </c>
    </row>
    <row r="1080" customFormat="false" ht="12.75" hidden="false" customHeight="true" outlineLevel="0" collapsed="false">
      <c r="A1080" s="15" t="n">
        <f aca="false">Report!C1400</f>
        <v>46247</v>
      </c>
      <c r="B1080" s="1" t="str">
        <f aca="false">Report!E1400</f>
        <v>J G COMERCIO DE PRODUTOS ALIMENTICIOS LTDA</v>
      </c>
      <c r="C1080" s="16" t="n">
        <f aca="false">Report!U1400</f>
        <v>628.2</v>
      </c>
      <c r="D1080" s="1" t="str">
        <f aca="false">Report!X1400</f>
        <v>NF 396443 ELLEN</v>
      </c>
    </row>
    <row r="1081" customFormat="false" ht="12.75" hidden="false" customHeight="true" outlineLevel="0" collapsed="false">
      <c r="A1081" s="15" t="n">
        <f aca="false">Report!C1401</f>
        <v>46247</v>
      </c>
      <c r="B1081" s="1" t="str">
        <f aca="false">Report!E1401</f>
        <v>SAO JOSE COMERCIO DE LATICINIOS E FRIOS</v>
      </c>
      <c r="C1081" s="16" t="n">
        <f aca="false">Report!U1401</f>
        <v>589.5</v>
      </c>
      <c r="D1081" s="1" t="str">
        <f aca="false">Report!X1401</f>
        <v>NF 3785 ELLEN</v>
      </c>
    </row>
    <row r="1082" customFormat="false" ht="12.75" hidden="false" customHeight="true" outlineLevel="0" collapsed="false">
      <c r="A1082" s="15" t="n">
        <f aca="false">Report!C1402</f>
        <v>46247</v>
      </c>
      <c r="B1082" s="1" t="str">
        <f aca="false">Report!E1402</f>
        <v>REAL BEBIDAS DA AMAZONIA LTDA</v>
      </c>
      <c r="C1082" s="16" t="n">
        <f aca="false">Report!U1402</f>
        <v>485</v>
      </c>
      <c r="D1082" s="1" t="str">
        <f aca="false">Report!X1402</f>
        <v>NF 616330 ELLEN</v>
      </c>
    </row>
    <row r="1083" customFormat="false" ht="12.75" hidden="false" customHeight="true" outlineLevel="0" collapsed="false">
      <c r="A1083" s="15" t="n">
        <f aca="false">Report!C1403</f>
        <v>46247</v>
      </c>
      <c r="B1083" s="1" t="str">
        <f aca="false">Report!E1403</f>
        <v>ADRIANO FEITOSA OLIVEIRA LTDA</v>
      </c>
      <c r="C1083" s="16" t="n">
        <f aca="false">Report!U1403</f>
        <v>899.5</v>
      </c>
      <c r="D1083" s="1" t="str">
        <f aca="false">Report!X1403</f>
        <v>NF 355 ELLEN</v>
      </c>
    </row>
    <row r="1084" customFormat="false" ht="12.75" hidden="false" customHeight="true" outlineLevel="0" collapsed="false">
      <c r="A1084" s="15" t="n">
        <f aca="false">Report!C1404</f>
        <v>46247</v>
      </c>
      <c r="B1084" s="1" t="str">
        <f aca="false">Report!E1404</f>
        <v>NEYLIANE S DE OLIVEIRA &amp; CIA LTDA</v>
      </c>
      <c r="C1084" s="16" t="n">
        <f aca="false">Report!U1404</f>
        <v>1900</v>
      </c>
      <c r="D1084" s="1" t="str">
        <f aca="false">Report!X1404</f>
        <v>COMPRAS - FARINHA - 3 IRMÃOS - ELLEN</v>
      </c>
    </row>
    <row r="1085" customFormat="false" ht="12.75" hidden="false" customHeight="true" outlineLevel="0" collapsed="false">
      <c r="A1085" s="15" t="n">
        <f aca="false">Report!C1405</f>
        <v>46247</v>
      </c>
      <c r="B1085" s="1" t="str">
        <f aca="false">Report!E1405</f>
        <v>MAXFRI DISTRIUIDORA LTDA</v>
      </c>
      <c r="C1085" s="16" t="n">
        <f aca="false">Report!U1405</f>
        <v>4131.7</v>
      </c>
      <c r="D1085" s="1" t="str">
        <f aca="false">Report!X1405</f>
        <v>NF 14956 ELLEN</v>
      </c>
    </row>
    <row r="1086" customFormat="false" ht="12.75" hidden="false" customHeight="true" outlineLevel="0" collapsed="false">
      <c r="A1086" s="15" t="n">
        <f aca="false">Report!C1406</f>
        <v>46247</v>
      </c>
      <c r="B1086" s="1" t="str">
        <f aca="false">Report!E1406</f>
        <v>ELLEN SILVIA FERREIRA</v>
      </c>
      <c r="C1086" s="16" t="n">
        <f aca="false">Report!U1406</f>
        <v>400</v>
      </c>
      <c r="D1086" s="1" t="str">
        <f aca="false">Report!X1406</f>
        <v>ADIANTAMENTO AGOSTO/2026</v>
      </c>
    </row>
    <row r="1087" customFormat="false" ht="12.75" hidden="false" customHeight="true" outlineLevel="0" collapsed="false">
      <c r="A1087" s="15" t="n">
        <f aca="false">Report!C1407</f>
        <v>46247</v>
      </c>
      <c r="B1087" s="1" t="str">
        <f aca="false">Report!E1407</f>
        <v>ANDREZA OLIVEIRA DA SILVA</v>
      </c>
      <c r="C1087" s="16" t="n">
        <f aca="false">Report!U1407</f>
        <v>200</v>
      </c>
      <c r="D1087" s="1" t="str">
        <f aca="false">Report!X1407</f>
        <v>ADIANTAMENTO AGOSTO/2026</v>
      </c>
    </row>
    <row r="1088" customFormat="false" ht="12.75" hidden="false" customHeight="true" outlineLevel="0" collapsed="false">
      <c r="A1088" s="15" t="n">
        <f aca="false">Report!C1409</f>
        <v>46247</v>
      </c>
      <c r="B1088" s="1" t="str">
        <f aca="false">Report!E1409</f>
        <v>THIAGO DA SILVA CRUZ</v>
      </c>
      <c r="C1088" s="16" t="n">
        <f aca="false">Report!U1409</f>
        <v>600</v>
      </c>
      <c r="D1088" s="1" t="str">
        <f aca="false">Report!X1409</f>
        <v>ADIANTAMENTO AGOSTO/2026</v>
      </c>
    </row>
    <row r="1089" customFormat="false" ht="12.75" hidden="false" customHeight="true" outlineLevel="0" collapsed="false">
      <c r="A1089" s="15" t="n">
        <f aca="false">Report!C1410</f>
        <v>46247</v>
      </c>
      <c r="B1089" s="1" t="str">
        <f aca="false">Report!E1410</f>
        <v>LUCIRLANDIA DE OLIVEIRA AMARAL</v>
      </c>
      <c r="C1089" s="16" t="n">
        <f aca="false">Report!U1410</f>
        <v>400</v>
      </c>
      <c r="D1089" s="1" t="str">
        <f aca="false">Report!X1410</f>
        <v>ADIANTAMENTO AGOSTO/2026</v>
      </c>
    </row>
    <row r="1090" customFormat="false" ht="12.75" hidden="false" customHeight="true" outlineLevel="0" collapsed="false">
      <c r="A1090" s="15" t="n">
        <f aca="false">Report!C1411</f>
        <v>46247</v>
      </c>
      <c r="B1090" s="1" t="str">
        <f aca="false">Report!E1411</f>
        <v>ELILTON NUNES BRITO</v>
      </c>
      <c r="C1090" s="16" t="n">
        <f aca="false">Report!U1411</f>
        <v>400</v>
      </c>
      <c r="D1090" s="1" t="str">
        <f aca="false">Report!X1411</f>
        <v>ADIANTAMENTO AGOSTO/2026</v>
      </c>
    </row>
    <row r="1091" customFormat="false" ht="12.75" hidden="false" customHeight="true" outlineLevel="0" collapsed="false">
      <c r="A1091" s="15" t="n">
        <f aca="false">Report!C1412</f>
        <v>46248</v>
      </c>
      <c r="B1091" s="1" t="str">
        <f aca="false">Report!E1412</f>
        <v>SEM FORNECEDOR</v>
      </c>
      <c r="C1091" s="16" t="n">
        <f aca="false">Report!U1412</f>
        <v>50</v>
      </c>
      <c r="D1091" s="1" t="str">
        <f aca="false">Report!X1412</f>
        <v>extra elilton</v>
      </c>
    </row>
    <row r="1092" customFormat="false" ht="12.75" hidden="false" customHeight="true" outlineLevel="0" collapsed="false">
      <c r="A1092" s="15" t="n">
        <f aca="false">Report!C1413</f>
        <v>46248</v>
      </c>
      <c r="B1092" s="1" t="str">
        <f aca="false">Report!E1413</f>
        <v>SEM FORNECEDOR</v>
      </c>
      <c r="C1092" s="16" t="n">
        <f aca="false">Report!U1413</f>
        <v>70</v>
      </c>
      <c r="D1092" s="1" t="str">
        <f aca="false">Report!X1413</f>
        <v>extra helio</v>
      </c>
    </row>
    <row r="1093" customFormat="false" ht="12.75" hidden="false" customHeight="true" outlineLevel="0" collapsed="false">
      <c r="A1093" s="15" t="n">
        <f aca="false">Report!C1414</f>
        <v>46248</v>
      </c>
      <c r="B1093" s="1" t="str">
        <f aca="false">Report!E1414</f>
        <v>RV TECNOLOGIA E SISTEMAS S.A</v>
      </c>
      <c r="C1093" s="16" t="n">
        <f aca="false">Report!U1414</f>
        <v>585</v>
      </c>
      <c r="D1093" s="1" t="str">
        <f aca="false">Report!X1414</f>
        <v>RECARGA CELULAR CHIP  MO2 - KEILA</v>
      </c>
    </row>
    <row r="1094" customFormat="false" ht="12.75" hidden="false" customHeight="true" outlineLevel="0" collapsed="false">
      <c r="A1094" s="15" t="n">
        <f aca="false">Report!C1415</f>
        <v>46248</v>
      </c>
      <c r="B1094" s="1" t="str">
        <f aca="false">Report!E1415</f>
        <v>NL SERVICOS MEDICOS LTDA</v>
      </c>
      <c r="C1094" s="16" t="n">
        <f aca="false">Report!U1415</f>
        <v>55</v>
      </c>
      <c r="D1094" s="1" t="str">
        <f aca="false">Report!X1415</f>
        <v>ASO FUNCIONARIO 05/26 MO2 -KEILA</v>
      </c>
    </row>
    <row r="1095" customFormat="false" ht="12.75" hidden="false" customHeight="true" outlineLevel="0" collapsed="false">
      <c r="A1095" s="15" t="n">
        <f aca="false">Report!C1416</f>
        <v>46248</v>
      </c>
      <c r="B1095" s="1" t="str">
        <f aca="false">Report!E1416</f>
        <v>SB COMERCIO LTDA</v>
      </c>
      <c r="C1095" s="16" t="n">
        <f aca="false">Report!U1416</f>
        <v>945.12</v>
      </c>
      <c r="D1095" s="1" t="str">
        <f aca="false">Report!X1416</f>
        <v>NF 1964289 ELLEN</v>
      </c>
    </row>
    <row r="1096" customFormat="false" ht="12.75" hidden="false" customHeight="true" outlineLevel="0" collapsed="false">
      <c r="A1096" s="15" t="n">
        <f aca="false">Report!C1417</f>
        <v>46248</v>
      </c>
      <c r="B1096" s="1" t="str">
        <f aca="false">Report!E1417</f>
        <v>BF COMERCIO DE ALIMENTOS REPRESENTACAO L</v>
      </c>
      <c r="C1096" s="16" t="n">
        <f aca="false">Report!U1417</f>
        <v>581.65</v>
      </c>
      <c r="D1096" s="1" t="str">
        <f aca="false">Report!X1417</f>
        <v>NF 21130 ELLEN</v>
      </c>
    </row>
    <row r="1097" customFormat="false" ht="12.75" hidden="false" customHeight="true" outlineLevel="0" collapsed="false">
      <c r="A1097" s="15" t="n">
        <f aca="false">Report!C1418</f>
        <v>46248</v>
      </c>
      <c r="B1097" s="1" t="str">
        <f aca="false">Report!E1418</f>
        <v>SOUZA CRUZ LTDA.</v>
      </c>
      <c r="C1097" s="16" t="n">
        <f aca="false">Report!U1418</f>
        <v>6409.6</v>
      </c>
      <c r="D1097" s="1" t="str">
        <f aca="false">Report!X1418</f>
        <v>NF 568309 ELLEN</v>
      </c>
    </row>
    <row r="1098" customFormat="false" ht="12.75" hidden="false" customHeight="true" outlineLevel="0" collapsed="false">
      <c r="A1098" s="15" t="n">
        <f aca="false">Report!C1419</f>
        <v>46248</v>
      </c>
      <c r="B1098" s="1" t="str">
        <f aca="false">Report!E1419</f>
        <v>DISTRIBUIDORA LOPES LTDA</v>
      </c>
      <c r="C1098" s="16" t="n">
        <f aca="false">Report!U1419</f>
        <v>1111.12</v>
      </c>
      <c r="D1098" s="1" t="str">
        <f aca="false">Report!X1419</f>
        <v>NF 1698151 ELLEN</v>
      </c>
    </row>
    <row r="1099" customFormat="false" ht="12.75" hidden="false" customHeight="true" outlineLevel="0" collapsed="false">
      <c r="A1099" s="15" t="n">
        <f aca="false">Report!C1420</f>
        <v>46248</v>
      </c>
      <c r="B1099" s="1" t="str">
        <f aca="false">Report!E1420</f>
        <v>MIKITOS IND.COM.DE GEN. ALIM. DO AM. LTD</v>
      </c>
      <c r="C1099" s="16" t="n">
        <f aca="false">Report!U1420</f>
        <v>690</v>
      </c>
      <c r="D1099" s="1" t="str">
        <f aca="false">Report!X1420</f>
        <v>NF 294640 ELLEN</v>
      </c>
    </row>
    <row r="1100" customFormat="false" ht="12.75" hidden="false" customHeight="true" outlineLevel="0" collapsed="false">
      <c r="A1100" s="15" t="n">
        <f aca="false">Report!C1421</f>
        <v>46248</v>
      </c>
      <c r="B1100" s="1" t="str">
        <f aca="false">Report!E1421</f>
        <v>BONNA VITTA INDUSTRIA E COMERCIO LTDA.</v>
      </c>
      <c r="C1100" s="16" t="n">
        <f aca="false">Report!U1421</f>
        <v>740.52</v>
      </c>
      <c r="D1100" s="1" t="str">
        <f aca="false">Report!X1421</f>
        <v>NF 1842 ELLEN</v>
      </c>
    </row>
    <row r="1101" customFormat="false" ht="12.75" hidden="false" customHeight="true" outlineLevel="0" collapsed="false">
      <c r="A1101" s="15" t="n">
        <f aca="false">Report!C1424</f>
        <v>46248</v>
      </c>
      <c r="B1101" s="1" t="str">
        <f aca="false">Report!E1424</f>
        <v>EDSON AGUIAR DE SOUZA</v>
      </c>
      <c r="C1101" s="16" t="n">
        <f aca="false">Report!U1424</f>
        <v>144.5</v>
      </c>
      <c r="D1101" s="1" t="str">
        <f aca="false">Report!X1424</f>
        <v>COMPRAS - CHEIRO-VERDE - ELLEN</v>
      </c>
    </row>
    <row r="1102" customFormat="false" ht="12.75" hidden="false" customHeight="true" outlineLevel="0" collapsed="false">
      <c r="A1102" s="15" t="n">
        <f aca="false">Report!C1425</f>
        <v>46248</v>
      </c>
      <c r="B1102" s="1" t="str">
        <f aca="false">Report!E1425</f>
        <v>COMERCIO DE FRIOS MANAUS LTDA</v>
      </c>
      <c r="C1102" s="16" t="n">
        <f aca="false">Report!U1425</f>
        <v>2347.2</v>
      </c>
      <c r="D1102" s="1" t="str">
        <f aca="false">Report!X1425</f>
        <v>NF 174275 ELLEN</v>
      </c>
    </row>
    <row r="1103" customFormat="false" ht="12.75" hidden="false" customHeight="true" outlineLevel="0" collapsed="false">
      <c r="A1103" s="15" t="n">
        <f aca="false">Report!C1426</f>
        <v>46248</v>
      </c>
      <c r="B1103" s="1" t="str">
        <f aca="false">Report!E1426</f>
        <v>EDSON AGUIAR DE SOUZA</v>
      </c>
      <c r="C1103" s="16" t="n">
        <f aca="false">Report!U1426</f>
        <v>184</v>
      </c>
      <c r="D1103" s="1" t="str">
        <f aca="false">Report!X1426</f>
        <v>COMPRAS - CHEIRO-VERDE - ELLEN</v>
      </c>
    </row>
    <row r="1104" customFormat="false" ht="12.75" hidden="false" customHeight="true" outlineLevel="0" collapsed="false">
      <c r="A1104" s="15" t="n">
        <f aca="false">Report!C1427</f>
        <v>46248</v>
      </c>
      <c r="B1104" s="1" t="str">
        <f aca="false">Report!E1427</f>
        <v>NEYLIANE S DE OLIVEIRA &amp; CIA LTDA</v>
      </c>
      <c r="C1104" s="16" t="n">
        <f aca="false">Report!U1427</f>
        <v>225</v>
      </c>
      <c r="D1104" s="1" t="str">
        <f aca="false">Report!X1427</f>
        <v>COMPRAS - 15L DE AÇAI - PG NO P 13/8/26 ELLEN</v>
      </c>
    </row>
    <row r="1105" customFormat="false" ht="12.75" hidden="false" customHeight="true" outlineLevel="0" collapsed="false">
      <c r="A1105" s="15" t="n">
        <f aca="false">Report!C1428</f>
        <v>46248</v>
      </c>
      <c r="B1105" s="1" t="str">
        <f aca="false">Report!E1428</f>
        <v>BROTHERS  INDUSTRIA DE ALIMENTOS LTDA</v>
      </c>
      <c r="C1105" s="16" t="n">
        <f aca="false">Report!U1428</f>
        <v>497.91</v>
      </c>
      <c r="D1105" s="1" t="str">
        <f aca="false">Report!X1428</f>
        <v>NF 1035731 ELLEN</v>
      </c>
    </row>
    <row r="1106" customFormat="false" ht="12.75" hidden="false" customHeight="true" outlineLevel="0" collapsed="false">
      <c r="A1106" s="15" t="n">
        <f aca="false">Report!C1429</f>
        <v>46248</v>
      </c>
      <c r="B1106" s="1" t="str">
        <f aca="false">Report!E1429</f>
        <v>KAROLINY RODRIGUES SOUZA VENANCIO 915783</v>
      </c>
      <c r="C1106" s="16" t="n">
        <f aca="false">Report!U1429</f>
        <v>250</v>
      </c>
      <c r="D1106" s="1" t="str">
        <f aca="false">Report!X1429</f>
        <v>NF 1978 ELLEN</v>
      </c>
    </row>
    <row r="1107" customFormat="false" ht="12.75" hidden="false" customHeight="true" outlineLevel="0" collapsed="false">
      <c r="A1107" s="15" t="n">
        <f aca="false">Report!C1430</f>
        <v>46248</v>
      </c>
      <c r="B1107" s="1" t="str">
        <f aca="false">Report!E1430</f>
        <v>FALCAO INDUSTRIA DE ALIMENTOS LTDA</v>
      </c>
      <c r="C1107" s="16" t="n">
        <f aca="false">Report!U1430</f>
        <v>1023.98</v>
      </c>
      <c r="D1107" s="1" t="str">
        <f aca="false">Report!X1430</f>
        <v>NF 32318 ELLEN</v>
      </c>
    </row>
    <row r="1108" customFormat="false" ht="12.75" hidden="false" customHeight="true" outlineLevel="0" collapsed="false">
      <c r="A1108" s="15" t="n">
        <f aca="false">Report!C1431</f>
        <v>46248</v>
      </c>
      <c r="B1108" s="1" t="str">
        <f aca="false">Report!E1431</f>
        <v>SOUZA CRUZ LTDA.</v>
      </c>
      <c r="C1108" s="16" t="n">
        <f aca="false">Report!U1431</f>
        <v>4470.03</v>
      </c>
      <c r="D1108" s="1" t="str">
        <f aca="false">Report!X1431</f>
        <v>NF 569335 ELLEN</v>
      </c>
    </row>
    <row r="1109" customFormat="false" ht="12.75" hidden="false" customHeight="true" outlineLevel="0" collapsed="false">
      <c r="A1109" s="15" t="n">
        <f aca="false">Report!C1433</f>
        <v>46248</v>
      </c>
      <c r="B1109" s="1" t="str">
        <f aca="false">Report!E1433</f>
        <v>EDSON AGUIAR DE SOUZA</v>
      </c>
      <c r="C1109" s="16" t="n">
        <f aca="false">Report!U1433</f>
        <v>136</v>
      </c>
      <c r="D1109" s="1" t="str">
        <f aca="false">Report!X1433</f>
        <v>COMPRAS - CHEIRO-VERDE - ELLEN</v>
      </c>
    </row>
    <row r="1110" customFormat="false" ht="12.75" hidden="false" customHeight="true" outlineLevel="0" collapsed="false">
      <c r="A1110" s="15" t="n">
        <f aca="false">Report!C1434</f>
        <v>46248</v>
      </c>
      <c r="B1110" s="1" t="str">
        <f aca="false">Report!E1434</f>
        <v>ADICSO FABIAN GONZALEZ MONTILLA 70302186</v>
      </c>
      <c r="C1110" s="16" t="n">
        <f aca="false">Report!U1434</f>
        <v>240</v>
      </c>
      <c r="D1110" s="1" t="str">
        <f aca="false">Report!X1434</f>
        <v>NF 598 ELLEN</v>
      </c>
    </row>
    <row r="1111" customFormat="false" ht="12.75" hidden="false" customHeight="true" outlineLevel="0" collapsed="false">
      <c r="A1111" s="15" t="n">
        <f aca="false">Report!C1436</f>
        <v>46248</v>
      </c>
      <c r="B1111" s="1" t="str">
        <f aca="false">Report!E1436</f>
        <v>NEYLIANE S DE OLIVEIRA &amp; CIA LTDA</v>
      </c>
      <c r="C1111" s="16" t="n">
        <f aca="false">Report!U1436</f>
        <v>1899.7</v>
      </c>
      <c r="D1111" s="1" t="str">
        <f aca="false">Report!X1436</f>
        <v>FEIRA - PIX P C6-BANK-RENATO - ELLEN</v>
      </c>
    </row>
    <row r="1112" customFormat="false" ht="12.75" hidden="false" customHeight="true" outlineLevel="0" collapsed="false">
      <c r="A1112" s="15" t="n">
        <f aca="false">Report!C1437</f>
        <v>46248</v>
      </c>
      <c r="B1112" s="1" t="str">
        <f aca="false">Report!E1437</f>
        <v>FEIRA</v>
      </c>
      <c r="C1112" s="16" t="n">
        <f aca="false">Report!U1437</f>
        <v>399</v>
      </c>
      <c r="D1112" s="1" t="str">
        <f aca="false">Report!X1437</f>
        <v>FEIRA - PIX P C6-BANK-RENATO (ALHO/UVA) ELLEN</v>
      </c>
    </row>
    <row r="1113" customFormat="false" ht="12.75" hidden="false" customHeight="true" outlineLevel="0" collapsed="false">
      <c r="A1113" s="15" t="n">
        <f aca="false">Report!C1439</f>
        <v>46248</v>
      </c>
      <c r="B1113" s="1" t="str">
        <f aca="false">Report!E1439</f>
        <v>EDSON AGUIAR DE SOUZA</v>
      </c>
      <c r="C1113" s="16" t="n">
        <f aca="false">Report!U1439</f>
        <v>79</v>
      </c>
      <c r="D1113" s="1" t="str">
        <f aca="false">Report!X1439</f>
        <v>COMPRAS - CHEIRO-VERDE - ELLEN</v>
      </c>
    </row>
    <row r="1114" customFormat="false" ht="12.75" hidden="false" customHeight="true" outlineLevel="0" collapsed="false">
      <c r="A1114" s="15" t="n">
        <f aca="false">Report!C1440</f>
        <v>46249</v>
      </c>
      <c r="B1114" s="1" t="str">
        <f aca="false">Report!E1440</f>
        <v>SEM FORNECEDOR</v>
      </c>
      <c r="C1114" s="16" t="n">
        <f aca="false">Report!U1440</f>
        <v>270</v>
      </c>
      <c r="D1114" s="1" t="str">
        <f aca="false">Report!X1440</f>
        <v>Pag de título:  Forn: 48-NEYLIANE S DE OLIVEIRA &amp; CIA LTDA. Tit: 2606-01</v>
      </c>
    </row>
    <row r="1115" customFormat="false" ht="12.75" hidden="false" customHeight="true" outlineLevel="0" collapsed="false">
      <c r="A1115" s="15" t="n">
        <f aca="false">Report!C1441</f>
        <v>46249</v>
      </c>
      <c r="B1115" s="1" t="str">
        <f aca="false">Report!E1441</f>
        <v>SEM FORNECEDOR</v>
      </c>
      <c r="C1115" s="16" t="n">
        <f aca="false">Report!U1441</f>
        <v>200</v>
      </c>
      <c r="D1115" s="1" t="str">
        <f aca="false">Report!X1441</f>
        <v>Pag de título:  Forn: 10096-H L M PADARIA E CONFEITARIA LTDA. Tit: 212909-01</v>
      </c>
    </row>
    <row r="1116" customFormat="false" ht="12.75" hidden="false" customHeight="true" outlineLevel="0" collapsed="false">
      <c r="A1116" s="15" t="n">
        <f aca="false">Report!C1442</f>
        <v>46249</v>
      </c>
      <c r="B1116" s="1" t="str">
        <f aca="false">Report!E1442</f>
        <v>SEM FORNECEDOR</v>
      </c>
      <c r="C1116" s="16" t="n">
        <f aca="false">Report!U1442</f>
        <v>70</v>
      </c>
      <c r="D1116" s="1" t="str">
        <f aca="false">Report!X1442</f>
        <v>extra helio</v>
      </c>
    </row>
    <row r="1117" customFormat="false" ht="12.75" hidden="false" customHeight="true" outlineLevel="0" collapsed="false">
      <c r="A1117" s="15" t="n">
        <f aca="false">Report!C1443</f>
        <v>46249</v>
      </c>
      <c r="B1117" s="1" t="str">
        <f aca="false">Report!E1443</f>
        <v>PREFEITURA MUNICIPAL DE MANAUS - IPTU</v>
      </c>
      <c r="C1117" s="16" t="n">
        <f aca="false">Report!U1443</f>
        <v>228.88</v>
      </c>
      <c r="D1117" s="1" t="str">
        <f aca="false">Report!X1443</f>
        <v>PARC 06/10 MATR 101674 IPTU MO2 - KEILA</v>
      </c>
    </row>
    <row r="1118" customFormat="false" ht="12.75" hidden="false" customHeight="true" outlineLevel="0" collapsed="false">
      <c r="A1118" s="15" t="n">
        <f aca="false">Report!C1444</f>
        <v>46249</v>
      </c>
      <c r="B1118" s="1" t="str">
        <f aca="false">Report!E1444</f>
        <v>SOLANGE MARIA DE QUEIROZ</v>
      </c>
      <c r="C1118" s="16" t="n">
        <f aca="false">Report!U1444</f>
        <v>5700</v>
      </c>
      <c r="D1118" s="1" t="str">
        <f aca="false">Report!X1444</f>
        <v>ALUGUEL MO2 - KEILA</v>
      </c>
    </row>
    <row r="1119" customFormat="false" ht="12.75" hidden="false" customHeight="true" outlineLevel="0" collapsed="false">
      <c r="A1119" s="15" t="n">
        <f aca="false">Report!C1445</f>
        <v>46249</v>
      </c>
      <c r="B1119" s="1" t="str">
        <f aca="false">Report!E1445</f>
        <v>FE COMERCIO DE MATERIAIS DE CONSTRUCAO</v>
      </c>
      <c r="C1119" s="16" t="n">
        <f aca="false">Report!U1445</f>
        <v>819.53</v>
      </c>
      <c r="D1119" s="1" t="str">
        <f aca="false">Report!X1445</f>
        <v>NF 4467 ELLEN</v>
      </c>
    </row>
    <row r="1120" customFormat="false" ht="12.75" hidden="false" customHeight="true" outlineLevel="0" collapsed="false">
      <c r="A1120" s="15" t="n">
        <f aca="false">Report!C1446</f>
        <v>46249</v>
      </c>
      <c r="B1120" s="1" t="str">
        <f aca="false">Report!E1446</f>
        <v>ADRIANA DISTRIBUIDORA DE PRODUTOS ALIMEN</v>
      </c>
      <c r="C1120" s="16" t="n">
        <f aca="false">Report!U1446</f>
        <v>1006.03</v>
      </c>
      <c r="D1120" s="1" t="str">
        <f aca="false">Report!X1446</f>
        <v>NF 886799 ELLEN</v>
      </c>
    </row>
    <row r="1121" customFormat="false" ht="12.75" hidden="false" customHeight="true" outlineLevel="0" collapsed="false">
      <c r="A1121" s="15" t="n">
        <f aca="false">Report!C1447</f>
        <v>46249</v>
      </c>
      <c r="B1121" s="1" t="str">
        <f aca="false">Report!E1447</f>
        <v>BRASIL NORTE BEBIDAS S/A</v>
      </c>
      <c r="C1121" s="16" t="n">
        <f aca="false">Report!U1447</f>
        <v>2636.73</v>
      </c>
      <c r="D1121" s="1" t="str">
        <f aca="false">Report!X1447</f>
        <v>NF 1964129 ELLEN</v>
      </c>
    </row>
    <row r="1122" customFormat="false" ht="12.75" hidden="false" customHeight="true" outlineLevel="0" collapsed="false">
      <c r="A1122" s="15" t="n">
        <f aca="false">Report!C1448</f>
        <v>46249</v>
      </c>
      <c r="B1122" s="1" t="str">
        <f aca="false">Report!E1448</f>
        <v>BRASIL NORTE BEBIDAS S/A</v>
      </c>
      <c r="C1122" s="16" t="n">
        <f aca="false">Report!U1448</f>
        <v>45.18</v>
      </c>
      <c r="D1122" s="1" t="str">
        <f aca="false">Report!X1448</f>
        <v>NF 1964130 ELLEN</v>
      </c>
    </row>
    <row r="1123" customFormat="false" ht="12.75" hidden="false" customHeight="true" outlineLevel="0" collapsed="false">
      <c r="A1123" s="15" t="n">
        <f aca="false">Report!C1449</f>
        <v>46249</v>
      </c>
      <c r="B1123" s="1" t="str">
        <f aca="false">Report!E1449</f>
        <v>BRASIL NORTE BEBIDAS S/A</v>
      </c>
      <c r="C1123" s="16" t="n">
        <f aca="false">Report!U1449</f>
        <v>327.46</v>
      </c>
      <c r="D1123" s="1" t="str">
        <f aca="false">Report!X1449</f>
        <v>NF 1228756 ELLEN</v>
      </c>
    </row>
    <row r="1124" customFormat="false" ht="12.75" hidden="false" customHeight="true" outlineLevel="0" collapsed="false">
      <c r="A1124" s="15" t="n">
        <f aca="false">Report!C1450</f>
        <v>46249</v>
      </c>
      <c r="B1124" s="1" t="str">
        <f aca="false">Report!E1450</f>
        <v>BRASIL NORTE BEBIDAS S/A</v>
      </c>
      <c r="C1124" s="16" t="n">
        <f aca="false">Report!U1450</f>
        <v>190.71</v>
      </c>
      <c r="D1124" s="1" t="str">
        <f aca="false">Report!X1450</f>
        <v>NF 1228757 ELLEN</v>
      </c>
    </row>
    <row r="1125" customFormat="false" ht="12.75" hidden="false" customHeight="true" outlineLevel="0" collapsed="false">
      <c r="A1125" s="15" t="n">
        <f aca="false">Report!C1451</f>
        <v>46249</v>
      </c>
      <c r="B1125" s="1" t="str">
        <f aca="false">Report!E1451</f>
        <v>BRASIL NORTE BEBIDAS S/A</v>
      </c>
      <c r="C1125" s="16" t="n">
        <f aca="false">Report!U1451</f>
        <v>538.46</v>
      </c>
      <c r="D1125" s="1" t="str">
        <f aca="false">Report!X1451</f>
        <v>NF 1964124 NOTA C/ BONIFICAÇÃO/DESCONTO - ELLEN</v>
      </c>
    </row>
    <row r="1126" customFormat="false" ht="12.75" hidden="false" customHeight="true" outlineLevel="0" collapsed="false">
      <c r="A1126" s="15" t="n">
        <f aca="false">Report!C1452</f>
        <v>46249</v>
      </c>
      <c r="B1126" s="1" t="str">
        <f aca="false">Report!E1452</f>
        <v>BRAGA TABACARIA EIRELI ME</v>
      </c>
      <c r="C1126" s="16" t="n">
        <f aca="false">Report!U1452</f>
        <v>1563.41</v>
      </c>
      <c r="D1126" s="1" t="str">
        <f aca="false">Report!X1452</f>
        <v>NF 19579 ELLEN</v>
      </c>
    </row>
    <row r="1127" customFormat="false" ht="12.75" hidden="false" customHeight="true" outlineLevel="0" collapsed="false">
      <c r="A1127" s="15" t="n">
        <f aca="false">Report!C1453</f>
        <v>46249</v>
      </c>
      <c r="B1127" s="1" t="str">
        <f aca="false">Report!E1453</f>
        <v>SILVA E SANTOS FRIGORIFICO LTDA</v>
      </c>
      <c r="C1127" s="16" t="n">
        <f aca="false">Report!U1453</f>
        <v>2918.55</v>
      </c>
      <c r="D1127" s="1" t="str">
        <f aca="false">Report!X1453</f>
        <v>NF 32337 ELLEN</v>
      </c>
    </row>
    <row r="1128" customFormat="false" ht="12.75" hidden="false" customHeight="true" outlineLevel="0" collapsed="false">
      <c r="A1128" s="15" t="n">
        <f aca="false">Report!C1454</f>
        <v>46249</v>
      </c>
      <c r="B1128" s="1" t="str">
        <f aca="false">Report!E1454</f>
        <v>MAXFRI DISTRIUIDORA LTDA</v>
      </c>
      <c r="C1128" s="16" t="n">
        <f aca="false">Report!U1454</f>
        <v>4599.9</v>
      </c>
      <c r="D1128" s="1" t="str">
        <f aca="false">Report!X1454</f>
        <v>NF 14993 ELLEN</v>
      </c>
    </row>
    <row r="1129" customFormat="false" ht="12.75" hidden="false" customHeight="true" outlineLevel="0" collapsed="false">
      <c r="A1129" s="15" t="n">
        <f aca="false">Report!C1455</f>
        <v>46249</v>
      </c>
      <c r="B1129" s="1" t="str">
        <f aca="false">Report!E1455</f>
        <v>NEYLIANE S DE OLIVEIRA &amp; CIA LTDA</v>
      </c>
      <c r="C1129" s="16" t="n">
        <f aca="false">Report!U1455</f>
        <v>270</v>
      </c>
      <c r="D1129" s="1" t="str">
        <f aca="false">Report!X1455</f>
        <v>COMPRAS - 18L DE ACAI - PG NO P 15/8/26 - ELLEN</v>
      </c>
    </row>
    <row r="1130" customFormat="false" ht="12.75" hidden="false" customHeight="true" outlineLevel="0" collapsed="false">
      <c r="A1130" s="15" t="n">
        <f aca="false">Report!C1456</f>
        <v>46249</v>
      </c>
      <c r="B1130" s="1" t="str">
        <f aca="false">Report!E1456</f>
        <v>H L M PADARIA E CONFEITARIA LTDA</v>
      </c>
      <c r="C1130" s="16" t="n">
        <f aca="false">Report!U1456</f>
        <v>200</v>
      </c>
      <c r="D1130" s="1" t="str">
        <f aca="false">Report!X1456</f>
        <v>NF 174 COMPRAS-BOLO PG NO P 15/8/26-ELLEN</v>
      </c>
    </row>
    <row r="1131" customFormat="false" ht="12.75" hidden="false" customHeight="true" outlineLevel="0" collapsed="false">
      <c r="A1131" s="15" t="n">
        <f aca="false">Report!C1457</f>
        <v>46249</v>
      </c>
      <c r="B1131" s="1" t="str">
        <f aca="false">Report!E1457</f>
        <v>BRAGA TABACARIA EIRELI ME</v>
      </c>
      <c r="C1131" s="16" t="n">
        <f aca="false">Report!U1457</f>
        <v>718.8</v>
      </c>
      <c r="D1131" s="1" t="str">
        <f aca="false">Report!X1457</f>
        <v>PAG COMPRAS NO DIA 15/08 RENATO P MO2 - KEILA</v>
      </c>
    </row>
    <row r="1132" customFormat="false" ht="12.75" hidden="false" customHeight="true" outlineLevel="0" collapsed="false">
      <c r="A1132" s="15" t="n">
        <f aca="false">Report!C1458</f>
        <v>46250</v>
      </c>
      <c r="B1132" s="1" t="str">
        <f aca="false">Report!E1458</f>
        <v>SEM FORNECEDOR</v>
      </c>
      <c r="C1132" s="16" t="n">
        <f aca="false">Report!U1458</f>
        <v>71</v>
      </c>
      <c r="D1132" s="1" t="str">
        <f aca="false">Report!X1458</f>
        <v>almoço regina</v>
      </c>
    </row>
    <row r="1133" customFormat="false" ht="12.75" hidden="false" customHeight="true" outlineLevel="0" collapsed="false">
      <c r="A1133" s="15" t="n">
        <f aca="false">Report!C1459</f>
        <v>46250</v>
      </c>
      <c r="B1133" s="1" t="str">
        <f aca="false">Report!E1459</f>
        <v>SEM FORNECEDOR</v>
      </c>
      <c r="C1133" s="16" t="n">
        <f aca="false">Report!U1459</f>
        <v>70</v>
      </c>
      <c r="D1133" s="1" t="str">
        <f aca="false">Report!X1459</f>
        <v>extra elilton</v>
      </c>
    </row>
    <row r="1134" customFormat="false" ht="12.75" hidden="false" customHeight="true" outlineLevel="0" collapsed="false">
      <c r="A1134" s="15" t="n">
        <f aca="false">Report!C1460</f>
        <v>46251</v>
      </c>
      <c r="B1134" s="1" t="str">
        <f aca="false">Report!E1460</f>
        <v>SEM FORNECEDOR</v>
      </c>
      <c r="C1134" s="16" t="n">
        <f aca="false">Report!U1460</f>
        <v>225</v>
      </c>
      <c r="D1134" s="1" t="str">
        <f aca="false">Report!X1460</f>
        <v>Pag de título:  Forn: 48-NEYLIANE S DE OLIVEIRA &amp; CIA LTDA. Tit: 2609-01</v>
      </c>
    </row>
    <row r="1135" customFormat="false" ht="12.75" hidden="false" customHeight="true" outlineLevel="0" collapsed="false">
      <c r="A1135" s="15" t="n">
        <f aca="false">Report!C1461</f>
        <v>46251</v>
      </c>
      <c r="B1135" s="1" t="str">
        <f aca="false">Report!E1461</f>
        <v>SEM FORNECEDOR</v>
      </c>
      <c r="C1135" s="16" t="n">
        <f aca="false">Report!U1461</f>
        <v>140</v>
      </c>
      <c r="D1135" s="1" t="str">
        <f aca="false">Report!X1461</f>
        <v>Pag de título:  Forn: 10096-H L M PADARIA E CONFEITARIA LTDA. Tit: 213850-01</v>
      </c>
    </row>
    <row r="1136" customFormat="false" ht="12.75" hidden="false" customHeight="true" outlineLevel="0" collapsed="false">
      <c r="A1136" s="15" t="n">
        <f aca="false">Report!C1462</f>
        <v>46251</v>
      </c>
      <c r="B1136" s="1" t="str">
        <f aca="false">Report!E1462</f>
        <v>SEM FORNECEDOR</v>
      </c>
      <c r="C1136" s="16" t="n">
        <f aca="false">Report!U1462</f>
        <v>70</v>
      </c>
      <c r="D1136" s="1" t="str">
        <f aca="false">Report!X1462</f>
        <v>extra davi</v>
      </c>
    </row>
    <row r="1137" customFormat="false" ht="12.75" hidden="false" customHeight="true" outlineLevel="0" collapsed="false">
      <c r="A1137" s="15" t="n">
        <f aca="false">Report!C1463</f>
        <v>46251</v>
      </c>
      <c r="B1137" s="1" t="str">
        <f aca="false">Report!E1463</f>
        <v>TAPAJOS COM DE PERFUMARIA COSMETICOS E G</v>
      </c>
      <c r="C1137" s="16" t="n">
        <f aca="false">Report!U1463</f>
        <v>1415.72</v>
      </c>
      <c r="D1137" s="1" t="str">
        <f aca="false">Report!X1463</f>
        <v>NF 580863 ELLEN</v>
      </c>
    </row>
    <row r="1138" customFormat="false" ht="12.75" hidden="false" customHeight="true" outlineLevel="0" collapsed="false">
      <c r="A1138" s="15" t="n">
        <f aca="false">Report!C1464</f>
        <v>46251</v>
      </c>
      <c r="B1138" s="1" t="str">
        <f aca="false">Report!E1464</f>
        <v>TAPAJOS COM DE PERFUMARIA COSMETICOS E G</v>
      </c>
      <c r="C1138" s="16" t="n">
        <f aca="false">Report!U1464</f>
        <v>1144.36</v>
      </c>
      <c r="D1138" s="1" t="str">
        <f aca="false">Report!X1464</f>
        <v>NF 580861 ELLEN</v>
      </c>
    </row>
    <row r="1139" customFormat="false" ht="12.75" hidden="false" customHeight="true" outlineLevel="0" collapsed="false">
      <c r="A1139" s="15" t="n">
        <f aca="false">Report!C1465</f>
        <v>46251</v>
      </c>
      <c r="B1139" s="1" t="str">
        <f aca="false">Report!E1465</f>
        <v>CB COMERCIO E DISTRIBUIDORA DE ALIMENTOS</v>
      </c>
      <c r="C1139" s="16" t="n">
        <f aca="false">Report!U1465</f>
        <v>676.98</v>
      </c>
      <c r="D1139" s="1" t="str">
        <f aca="false">Report!X1465</f>
        <v>NF 854967 ELLEN</v>
      </c>
    </row>
    <row r="1140" customFormat="false" ht="12.75" hidden="false" customHeight="true" outlineLevel="0" collapsed="false">
      <c r="A1140" s="15" t="n">
        <f aca="false">Report!C1466</f>
        <v>46251</v>
      </c>
      <c r="B1140" s="1" t="str">
        <f aca="false">Report!E1466</f>
        <v>BRASIL NORTE BEBIDAS S/A</v>
      </c>
      <c r="C1140" s="16" t="n">
        <f aca="false">Report!U1466</f>
        <v>114.61</v>
      </c>
      <c r="D1140" s="1" t="str">
        <f aca="false">Report!X1466</f>
        <v>NF 1210021 ELLEN</v>
      </c>
    </row>
    <row r="1141" customFormat="false" ht="12.75" hidden="false" customHeight="true" outlineLevel="0" collapsed="false">
      <c r="A1141" s="15" t="n">
        <f aca="false">Report!C1467</f>
        <v>46251</v>
      </c>
      <c r="B1141" s="1" t="str">
        <f aca="false">Report!E1467</f>
        <v>FENNIX BRASIL DISTRIBUIDORA DE PRODUTOS</v>
      </c>
      <c r="C1141" s="16" t="n">
        <f aca="false">Report!U1467</f>
        <v>416.64</v>
      </c>
      <c r="D1141" s="1" t="str">
        <f aca="false">Report!X1467</f>
        <v>NF 315892 ELLEN</v>
      </c>
    </row>
    <row r="1142" customFormat="false" ht="12.75" hidden="false" customHeight="true" outlineLevel="0" collapsed="false">
      <c r="A1142" s="15" t="n">
        <f aca="false">Report!C1468</f>
        <v>46251</v>
      </c>
      <c r="B1142" s="1" t="str">
        <f aca="false">Report!E1468</f>
        <v>CRBS S/A</v>
      </c>
      <c r="C1142" s="16" t="n">
        <f aca="false">Report!U1468</f>
        <v>2448.61</v>
      </c>
      <c r="D1142" s="1" t="str">
        <f aca="false">Report!X1468</f>
        <v>NF 940437 ELLEN</v>
      </c>
    </row>
    <row r="1143" customFormat="false" ht="12.75" hidden="false" customHeight="true" outlineLevel="0" collapsed="false">
      <c r="A1143" s="15" t="n">
        <f aca="false">Report!C1469</f>
        <v>46251</v>
      </c>
      <c r="B1143" s="1" t="str">
        <f aca="false">Report!E1469</f>
        <v>OCIDENTAL COMERCIO DE FRIOS LTDA</v>
      </c>
      <c r="C1143" s="16" t="n">
        <f aca="false">Report!U1469</f>
        <v>364.47</v>
      </c>
      <c r="D1143" s="1" t="str">
        <f aca="false">Report!X1469</f>
        <v>NF 1257279 ELLEN</v>
      </c>
    </row>
    <row r="1144" customFormat="false" ht="12.75" hidden="false" customHeight="true" outlineLevel="0" collapsed="false">
      <c r="A1144" s="15" t="n">
        <f aca="false">Report!C1470</f>
        <v>46251</v>
      </c>
      <c r="B1144" s="1" t="str">
        <f aca="false">Report!E1470</f>
        <v>T. M. L. DA SILVA LTDA</v>
      </c>
      <c r="C1144" s="16" t="n">
        <f aca="false">Report!U1470</f>
        <v>284.93</v>
      </c>
      <c r="D1144" s="1" t="str">
        <f aca="false">Report!X1470</f>
        <v>NF 15234 ELLEN</v>
      </c>
    </row>
    <row r="1145" customFormat="false" ht="12.75" hidden="false" customHeight="true" outlineLevel="0" collapsed="false">
      <c r="A1145" s="15" t="n">
        <f aca="false">Report!C1471</f>
        <v>46251</v>
      </c>
      <c r="B1145" s="1" t="str">
        <f aca="false">Report!E1471</f>
        <v>LIMA E BARANDA COMERCIO DE PRODUTOS REGI</v>
      </c>
      <c r="C1145" s="16" t="n">
        <f aca="false">Report!U1471</f>
        <v>138</v>
      </c>
      <c r="D1145" s="1" t="str">
        <f aca="false">Report!X1471</f>
        <v>NF 31847 ELLEN</v>
      </c>
    </row>
    <row r="1146" customFormat="false" ht="12.75" hidden="false" customHeight="true" outlineLevel="0" collapsed="false">
      <c r="A1146" s="15" t="n">
        <f aca="false">Report!C1475</f>
        <v>46251</v>
      </c>
      <c r="B1146" s="1" t="str">
        <f aca="false">Report!E1475</f>
        <v>PANIFICADORA E CONFEITARIA REAL MADRI LTDA</v>
      </c>
      <c r="C1146" s="16" t="n">
        <f aca="false">Report!U1475</f>
        <v>317.18</v>
      </c>
      <c r="D1146" s="1" t="str">
        <f aca="false">Report!X1475</f>
        <v>NF 760 ELLEN</v>
      </c>
    </row>
    <row r="1147" customFormat="false" ht="12.75" hidden="false" customHeight="true" outlineLevel="0" collapsed="false">
      <c r="A1147" s="15" t="n">
        <f aca="false">Report!C1476</f>
        <v>46251</v>
      </c>
      <c r="B1147" s="1" t="str">
        <f aca="false">Report!E1476</f>
        <v>J W N DOS SANTOS</v>
      </c>
      <c r="C1147" s="16" t="n">
        <f aca="false">Report!U1476</f>
        <v>183</v>
      </c>
      <c r="D1147" s="1" t="str">
        <f aca="false">Report!X1476</f>
        <v>NF 401 - ELLEN</v>
      </c>
    </row>
    <row r="1148" customFormat="false" ht="12.75" hidden="false" customHeight="true" outlineLevel="0" collapsed="false">
      <c r="A1148" s="15" t="n">
        <f aca="false">Report!C1477</f>
        <v>46251</v>
      </c>
      <c r="B1148" s="1" t="str">
        <f aca="false">Report!E1477</f>
        <v>NEYLIANE S DE OLIVEIRA &amp; CIA LTDA</v>
      </c>
      <c r="C1148" s="16" t="n">
        <f aca="false">Report!U1477</f>
        <v>225</v>
      </c>
      <c r="D1148" s="1" t="str">
        <f aca="false">Report!X1477</f>
        <v>COMPRAS - 15L DE ACAI - PG NO P 17/8/26 - ELLEN</v>
      </c>
    </row>
    <row r="1149" customFormat="false" ht="12.75" hidden="false" customHeight="true" outlineLevel="0" collapsed="false">
      <c r="A1149" s="15" t="n">
        <f aca="false">Report!C1478</f>
        <v>46251</v>
      </c>
      <c r="B1149" s="1" t="str">
        <f aca="false">Report!E1478</f>
        <v>H L M PADARIA E CONFEITARIA LTDA</v>
      </c>
      <c r="C1149" s="16" t="n">
        <f aca="false">Report!U1478</f>
        <v>140</v>
      </c>
      <c r="D1149" s="1" t="str">
        <f aca="false">Report!X1478</f>
        <v>NF 181 COMPRAS-BOLO PG NO P 17/8/26 ELLEN</v>
      </c>
    </row>
    <row r="1150" customFormat="false" ht="12.75" hidden="false" customHeight="true" outlineLevel="0" collapsed="false">
      <c r="A1150" s="15" t="n">
        <f aca="false">Report!C1479</f>
        <v>46252</v>
      </c>
      <c r="B1150" s="1" t="str">
        <f aca="false">Report!E1479</f>
        <v>SEM FORNECEDOR</v>
      </c>
      <c r="C1150" s="16" t="n">
        <f aca="false">Report!U1479</f>
        <v>70</v>
      </c>
      <c r="D1150" s="1" t="str">
        <f aca="false">Report!X1479</f>
        <v>extra helio</v>
      </c>
    </row>
    <row r="1151" customFormat="false" ht="12.75" hidden="false" customHeight="true" outlineLevel="0" collapsed="false">
      <c r="A1151" s="15" t="n">
        <f aca="false">Report!C1482</f>
        <v>46252</v>
      </c>
      <c r="B1151" s="1" t="str">
        <f aca="false">Report!E1482</f>
        <v>RENATO DE O AZEVEDO E CIA LTDA</v>
      </c>
      <c r="C1151" s="16" t="n">
        <f aca="false">Report!U1482</f>
        <v>102</v>
      </c>
      <c r="D1151" s="1" t="str">
        <f aca="false">Report!X1482</f>
        <v>CONVENIO MO2 DROGARIA 07/26 - KEILA</v>
      </c>
    </row>
    <row r="1152" customFormat="false" ht="12.75" hidden="false" customHeight="true" outlineLevel="0" collapsed="false">
      <c r="A1152" s="15" t="n">
        <f aca="false">Report!C1484</f>
        <v>46252</v>
      </c>
      <c r="B1152" s="1" t="str">
        <f aca="false">Report!E1484</f>
        <v>NEYLIANE S DE OLIVEIRA &amp; CIA LTDA</v>
      </c>
      <c r="C1152" s="16" t="n">
        <f aca="false">Report!U1484</f>
        <v>1404</v>
      </c>
      <c r="D1152" s="1" t="str">
        <f aca="false">Report!X1484</f>
        <v>FEIRA - PG P/ C6-BANK/RENATO - ELLEN</v>
      </c>
    </row>
    <row r="1153" customFormat="false" ht="12.75" hidden="false" customHeight="true" outlineLevel="0" collapsed="false">
      <c r="A1153" s="15" t="n">
        <f aca="false">Report!C1486</f>
        <v>46253</v>
      </c>
      <c r="B1153" s="1" t="str">
        <f aca="false">Report!E1486</f>
        <v>SEM FORNECEDOR</v>
      </c>
      <c r="C1153" s="16" t="n">
        <f aca="false">Report!U1486</f>
        <v>225</v>
      </c>
      <c r="D1153" s="1" t="str">
        <f aca="false">Report!X1486</f>
        <v>Pag de título:  Forn: 48-NEYLIANE S DE OLIVEIRA &amp; CIA LTDA. Tit: 2612-01</v>
      </c>
    </row>
    <row r="1154" customFormat="false" ht="12.75" hidden="false" customHeight="true" outlineLevel="0" collapsed="false">
      <c r="A1154" s="15" t="n">
        <f aca="false">Report!C1487</f>
        <v>46253</v>
      </c>
      <c r="B1154" s="1" t="str">
        <f aca="false">Report!E1487</f>
        <v>SEM FORNECEDOR</v>
      </c>
      <c r="C1154" s="16" t="n">
        <f aca="false">Report!U1487</f>
        <v>140</v>
      </c>
      <c r="D1154" s="1" t="str">
        <f aca="false">Report!X1487</f>
        <v>2 extra thiago</v>
      </c>
    </row>
    <row r="1155" customFormat="false" ht="12.75" hidden="false" customHeight="true" outlineLevel="0" collapsed="false">
      <c r="A1155" s="15" t="n">
        <f aca="false">Report!C1488</f>
        <v>46253</v>
      </c>
      <c r="B1155" s="1" t="str">
        <f aca="false">Report!E1488</f>
        <v>SEM FORNECEDOR</v>
      </c>
      <c r="C1155" s="16" t="n">
        <f aca="false">Report!U1488</f>
        <v>30</v>
      </c>
      <c r="D1155" s="1" t="str">
        <f aca="false">Report!X1488</f>
        <v>rest pg de sexta-feira ceara da verdura</v>
      </c>
    </row>
    <row r="1156" customFormat="false" ht="12.75" hidden="false" customHeight="true" outlineLevel="0" collapsed="false">
      <c r="A1156" s="15" t="n">
        <f aca="false">Report!C1489</f>
        <v>46253</v>
      </c>
      <c r="B1156" s="1" t="str">
        <f aca="false">Report!E1489</f>
        <v>SB COMERCIO LTDA</v>
      </c>
      <c r="C1156" s="16" t="n">
        <f aca="false">Report!U1489</f>
        <v>1504.06</v>
      </c>
      <c r="D1156" s="1" t="str">
        <f aca="false">Report!X1489</f>
        <v>NF 1962669 ELLEN</v>
      </c>
    </row>
    <row r="1157" customFormat="false" ht="12.75" hidden="false" customHeight="true" outlineLevel="0" collapsed="false">
      <c r="A1157" s="15" t="n">
        <f aca="false">Report!C1490</f>
        <v>46253</v>
      </c>
      <c r="B1157" s="1" t="str">
        <f aca="false">Report!E1490</f>
        <v>BONNA VITTA INDUSTRIA E COMERCIO LTDA.</v>
      </c>
      <c r="C1157" s="16" t="n">
        <f aca="false">Report!U1490</f>
        <v>109.51</v>
      </c>
      <c r="D1157" s="1" t="str">
        <f aca="false">Report!X1490</f>
        <v>NF 1625 ELLEN</v>
      </c>
    </row>
    <row r="1158" customFormat="false" ht="12.75" hidden="false" customHeight="true" outlineLevel="0" collapsed="false">
      <c r="A1158" s="15" t="n">
        <f aca="false">Report!C1491</f>
        <v>46253</v>
      </c>
      <c r="B1158" s="1" t="str">
        <f aca="false">Report!E1491</f>
        <v>BRF S A</v>
      </c>
      <c r="C1158" s="16" t="n">
        <f aca="false">Report!U1491</f>
        <v>1190.19</v>
      </c>
      <c r="D1158" s="1" t="str">
        <f aca="false">Report!X1491</f>
        <v>NF 1614426 ELLEN</v>
      </c>
    </row>
    <row r="1159" customFormat="false" ht="12.75" hidden="false" customHeight="true" outlineLevel="0" collapsed="false">
      <c r="A1159" s="15" t="n">
        <f aca="false">Report!C1492</f>
        <v>46253</v>
      </c>
      <c r="B1159" s="1" t="str">
        <f aca="false">Report!E1492</f>
        <v>BONNA VITTA INDUSTRIA E COMERCIO LTDA.</v>
      </c>
      <c r="C1159" s="16" t="n">
        <f aca="false">Report!U1492</f>
        <v>491.46</v>
      </c>
      <c r="D1159" s="1" t="str">
        <f aca="false">Report!X1492</f>
        <v>NF 2658 ELLEN</v>
      </c>
    </row>
    <row r="1160" customFormat="false" ht="12.75" hidden="false" customHeight="true" outlineLevel="0" collapsed="false">
      <c r="A1160" s="15" t="n">
        <f aca="false">Report!C1493</f>
        <v>46253</v>
      </c>
      <c r="B1160" s="1" t="str">
        <f aca="false">Report!E1493</f>
        <v>BRF S A</v>
      </c>
      <c r="C1160" s="16" t="n">
        <f aca="false">Report!U1493</f>
        <v>1275.54</v>
      </c>
      <c r="D1160" s="1" t="str">
        <f aca="false">Report!X1493</f>
        <v>NF 1616567 ELLEN</v>
      </c>
    </row>
    <row r="1161" customFormat="false" ht="12.75" hidden="false" customHeight="true" outlineLevel="0" collapsed="false">
      <c r="A1161" s="15" t="n">
        <f aca="false">Report!C1494</f>
        <v>46253</v>
      </c>
      <c r="B1161" s="1" t="str">
        <f aca="false">Report!E1494</f>
        <v>ADRIANA DISTRIBUIDORA DE PRODUTOS ALIMEN</v>
      </c>
      <c r="C1161" s="16" t="n">
        <f aca="false">Report!U1494</f>
        <v>349</v>
      </c>
      <c r="D1161" s="1" t="str">
        <f aca="false">Report!X1494</f>
        <v>NF 889827 ELLEN</v>
      </c>
    </row>
    <row r="1162" customFormat="false" ht="12.75" hidden="false" customHeight="true" outlineLevel="0" collapsed="false">
      <c r="A1162" s="15" t="n">
        <f aca="false">Report!C1495</f>
        <v>46253</v>
      </c>
      <c r="B1162" s="1" t="str">
        <f aca="false">Report!E1495</f>
        <v>ADRIANO FEITOSA OLIVEIRA LTDA</v>
      </c>
      <c r="C1162" s="16" t="n">
        <f aca="false">Report!U1495</f>
        <v>899.5</v>
      </c>
      <c r="D1162" s="1" t="str">
        <f aca="false">Report!X1495</f>
        <v>NF 360 ELLEN</v>
      </c>
    </row>
    <row r="1163" customFormat="false" ht="12.75" hidden="false" customHeight="true" outlineLevel="0" collapsed="false">
      <c r="A1163" s="15" t="n">
        <f aca="false">Report!C1496</f>
        <v>46253</v>
      </c>
      <c r="B1163" s="1" t="str">
        <f aca="false">Report!E1496</f>
        <v>NEYLIANE S DE OLIVEIRA &amp; CIA LTDA</v>
      </c>
      <c r="C1163" s="16" t="n">
        <f aca="false">Report!U1496</f>
        <v>225</v>
      </c>
      <c r="D1163" s="1" t="str">
        <f aca="false">Report!X1496</f>
        <v>COMPRAS - 15L DE AÇAI- PG NO P 19/8/26 - ELLEN</v>
      </c>
    </row>
    <row r="1164" customFormat="false" ht="12.75" hidden="false" customHeight="true" outlineLevel="0" collapsed="false">
      <c r="A1164" s="15" t="n">
        <f aca="false">Report!C1497</f>
        <v>46254</v>
      </c>
      <c r="B1164" s="1" t="str">
        <f aca="false">Report!E1497</f>
        <v>SEM FORNECEDOR</v>
      </c>
      <c r="C1164" s="16" t="n">
        <f aca="false">Report!U1497</f>
        <v>72</v>
      </c>
      <c r="D1164" s="1" t="str">
        <f aca="false">Report!X1497</f>
        <v>recibo-compras 4 cxs brigadeiro-jose castro</v>
      </c>
    </row>
    <row r="1165" customFormat="false" ht="12.75" hidden="false" customHeight="true" outlineLevel="0" collapsed="false">
      <c r="A1165" s="15" t="n">
        <f aca="false">Report!C1498</f>
        <v>46254</v>
      </c>
      <c r="B1165" s="1" t="str">
        <f aca="false">Report!E1498</f>
        <v>SEM FORNECEDOR</v>
      </c>
      <c r="C1165" s="16" t="n">
        <f aca="false">Report!U1498</f>
        <v>70</v>
      </c>
      <c r="D1165" s="1" t="str">
        <f aca="false">Report!X1498</f>
        <v>extra helio</v>
      </c>
    </row>
    <row r="1166" customFormat="false" ht="12.75" hidden="false" customHeight="true" outlineLevel="0" collapsed="false">
      <c r="A1166" s="15" t="n">
        <f aca="false">Report!C1499</f>
        <v>46254</v>
      </c>
      <c r="B1166" s="1" t="str">
        <f aca="false">Report!E1499</f>
        <v>RISADINHA LTDA</v>
      </c>
      <c r="C1166" s="16" t="n">
        <f aca="false">Report!U1499</f>
        <v>381</v>
      </c>
      <c r="D1166" s="1" t="str">
        <f aca="false">Report!X1499</f>
        <v>NF 664184 ELLEN</v>
      </c>
    </row>
    <row r="1167" customFormat="false" ht="12.75" hidden="false" customHeight="true" outlineLevel="0" collapsed="false">
      <c r="A1167" s="15" t="n">
        <f aca="false">Report!C1500</f>
        <v>46254</v>
      </c>
      <c r="B1167" s="1" t="str">
        <f aca="false">Report!E1500</f>
        <v>RENATO DE O AZEVEDO E CIA LTDA - EPP</v>
      </c>
      <c r="C1167" s="16" t="n">
        <f aca="false">Report!U1500</f>
        <v>154.85</v>
      </c>
      <c r="D1167" s="1" t="str">
        <f aca="false">Report!X1500</f>
        <v>MENSALIDADE INSTAGRAM PARTE MO2 - KEILA</v>
      </c>
    </row>
    <row r="1168" customFormat="false" ht="12.75" hidden="false" customHeight="true" outlineLevel="0" collapsed="false">
      <c r="A1168" s="15" t="n">
        <f aca="false">Report!C1504</f>
        <v>46254</v>
      </c>
      <c r="B1168" s="1" t="str">
        <f aca="false">Report!E1504</f>
        <v>EDMARA COMERCIO DE HIGIENE PESSOAL LTDA</v>
      </c>
      <c r="C1168" s="16" t="n">
        <f aca="false">Report!U1504</f>
        <v>520.47</v>
      </c>
      <c r="D1168" s="1" t="str">
        <f aca="false">Report!X1504</f>
        <v>NF 8583 - DESPESAS-SACOLAS/FILME - ELLEN</v>
      </c>
    </row>
    <row r="1169" customFormat="false" ht="12.75" hidden="false" customHeight="true" outlineLevel="0" collapsed="false">
      <c r="A1169" s="15" t="n">
        <f aca="false">Report!C1505</f>
        <v>46254</v>
      </c>
      <c r="B1169" s="1" t="str">
        <f aca="false">Report!E1505</f>
        <v>EYES NWHERE SISTEMAS INTELIGENTES DE IMAGEM SA</v>
      </c>
      <c r="C1169" s="16" t="n">
        <f aca="false">Report!U1505</f>
        <v>595.9</v>
      </c>
      <c r="D1169" s="1" t="str">
        <f aca="false">Report!X1505</f>
        <v>MENSALIDADE INTERNET MO2 - KEILA</v>
      </c>
    </row>
    <row r="1170" customFormat="false" ht="12.75" hidden="false" customHeight="true" outlineLevel="0" collapsed="false">
      <c r="A1170" s="15" t="n">
        <f aca="false">Report!C1506</f>
        <v>46254</v>
      </c>
      <c r="B1170" s="1" t="str">
        <f aca="false">Report!E1506</f>
        <v>REAL BEBIDAS DA AMAZONIA LTDA</v>
      </c>
      <c r="C1170" s="16" t="n">
        <f aca="false">Report!U1506</f>
        <v>149</v>
      </c>
      <c r="D1170" s="1" t="str">
        <f aca="false">Report!X1506</f>
        <v>NF 321794 ELLEN</v>
      </c>
    </row>
    <row r="1171" customFormat="false" ht="12.75" hidden="false" customHeight="true" outlineLevel="0" collapsed="false">
      <c r="A1171" s="15" t="n">
        <f aca="false">Report!C1507</f>
        <v>46254</v>
      </c>
      <c r="B1171" s="1" t="str">
        <f aca="false">Report!E1507</f>
        <v>H. L. DO NASCIMENTO</v>
      </c>
      <c r="C1171" s="16" t="n">
        <f aca="false">Report!U1507</f>
        <v>597.4</v>
      </c>
      <c r="D1171" s="1" t="str">
        <f aca="false">Report!X1507</f>
        <v>NF 5971 ELLEN</v>
      </c>
    </row>
    <row r="1172" customFormat="false" ht="12.75" hidden="false" customHeight="true" outlineLevel="0" collapsed="false">
      <c r="A1172" s="15" t="n">
        <f aca="false">Report!C1508</f>
        <v>46254</v>
      </c>
      <c r="B1172" s="1" t="str">
        <f aca="false">Report!E1508</f>
        <v>E S O CONSULTORIA EIRELI</v>
      </c>
      <c r="C1172" s="16" t="n">
        <f aca="false">Report!U1508</f>
        <v>1877.14</v>
      </c>
      <c r="D1172" s="1" t="str">
        <f aca="false">Report!X1508</f>
        <v>SIMPLES ESO MO2 PARTE 07/26 - KEILA</v>
      </c>
    </row>
    <row r="1173" customFormat="false" ht="12.75" hidden="false" customHeight="true" outlineLevel="0" collapsed="false">
      <c r="A1173" s="15" t="n">
        <f aca="false">Report!C1509</f>
        <v>46254</v>
      </c>
      <c r="B1173" s="1" t="str">
        <f aca="false">Report!E1509</f>
        <v>ADICSO FABIAN GONZALEZ MONTILLA 70302186</v>
      </c>
      <c r="C1173" s="16" t="n">
        <f aca="false">Report!U1509</f>
        <v>204</v>
      </c>
      <c r="D1173" s="1" t="str">
        <f aca="false">Report!X1509</f>
        <v>NF 605 ELLEN</v>
      </c>
    </row>
    <row r="1174" customFormat="false" ht="12.75" hidden="false" customHeight="true" outlineLevel="0" collapsed="false">
      <c r="A1174" s="15" t="n">
        <f aca="false">Report!C1510</f>
        <v>46254</v>
      </c>
      <c r="B1174" s="1" t="str">
        <f aca="false">Report!E1510</f>
        <v>NEYLIANE SILVA DE OLIVEIRA</v>
      </c>
      <c r="C1174" s="16" t="n">
        <f aca="false">Report!U1510</f>
        <v>620</v>
      </c>
      <c r="D1174" s="1" t="str">
        <f aca="false">Report!X1510</f>
        <v>PL NEILA INSS 07/26 - KEILA </v>
      </c>
    </row>
    <row r="1175" customFormat="false" ht="12.75" hidden="false" customHeight="true" outlineLevel="0" collapsed="false">
      <c r="A1175" s="15" t="n">
        <f aca="false">Report!C1511</f>
        <v>46254</v>
      </c>
      <c r="B1175" s="1" t="str">
        <f aca="false">Report!E1511</f>
        <v>E S O CONSULTORIA EIRELI</v>
      </c>
      <c r="C1175" s="16" t="n">
        <f aca="false">Report!U1511</f>
        <v>1097.42</v>
      </c>
      <c r="D1175" s="1" t="str">
        <f aca="false">Report!X1511</f>
        <v>INSS FUNC MO2 PARTE 07/26 - KEILA</v>
      </c>
    </row>
    <row r="1176" customFormat="false" ht="12.75" hidden="false" customHeight="true" outlineLevel="0" collapsed="false">
      <c r="A1176" s="15" t="n">
        <f aca="false">Report!C1512</f>
        <v>46254</v>
      </c>
      <c r="B1176" s="1" t="str">
        <f aca="false">Report!E1512</f>
        <v>E S O CONSULTORIA EIRELI</v>
      </c>
      <c r="C1176" s="16" t="n">
        <f aca="false">Report!U1512</f>
        <v>2846.45</v>
      </c>
      <c r="D1176" s="1" t="str">
        <f aca="false">Report!X1512</f>
        <v>FGTS FUNC MO2 PARTE 07/26 - KEILA</v>
      </c>
    </row>
    <row r="1177" customFormat="false" ht="12.75" hidden="false" customHeight="true" outlineLevel="0" collapsed="false">
      <c r="A1177" s="15" t="n">
        <f aca="false">Report!C1513</f>
        <v>46254</v>
      </c>
      <c r="B1177" s="1" t="str">
        <f aca="false">Report!E1513</f>
        <v>RENATO DE O AZEVEDO E CIA LTDA - EPP</v>
      </c>
      <c r="C1177" s="16" t="n">
        <f aca="false">Report!U1513</f>
        <v>56.51</v>
      </c>
      <c r="D1177" s="1" t="str">
        <f aca="false">Report!X1513</f>
        <v>MENS SEG TRABALHO MO2 PARTE - KEILA</v>
      </c>
    </row>
    <row r="1178" customFormat="false" ht="12.75" hidden="false" customHeight="true" outlineLevel="0" collapsed="false">
      <c r="A1178" s="15" t="n">
        <f aca="false">Report!C1514</f>
        <v>46254</v>
      </c>
      <c r="B1178" s="1" t="str">
        <f aca="false">Report!E1514</f>
        <v>FRANCISCO HELIO SERAFIM</v>
      </c>
      <c r="C1178" s="16" t="n">
        <f aca="false">Report!U1514</f>
        <v>1000</v>
      </c>
      <c r="D1178" s="1" t="str">
        <f aca="false">Report!X1514</f>
        <v>DINHEIRO TROCADO-ANDREZA</v>
      </c>
    </row>
    <row r="1179" customFormat="false" ht="12.75" hidden="false" customHeight="true" outlineLevel="0" collapsed="false">
      <c r="A1179" s="15" t="n">
        <f aca="false">Report!C1515</f>
        <v>46255</v>
      </c>
      <c r="B1179" s="1" t="str">
        <f aca="false">Report!E1515</f>
        <v>SEM FORNECEDOR</v>
      </c>
      <c r="C1179" s="16" t="n">
        <f aca="false">Report!U1515</f>
        <v>300</v>
      </c>
      <c r="D1179" s="1" t="str">
        <f aca="false">Report!X1515</f>
        <v>Pag de título:  Forn: 48-NEYLIANE S DE OLIVEIRA &amp; CIA LTDA. Tit: 2619-01</v>
      </c>
    </row>
    <row r="1180" customFormat="false" ht="12.75" hidden="false" customHeight="true" outlineLevel="0" collapsed="false">
      <c r="A1180" s="15" t="n">
        <f aca="false">Report!C1517</f>
        <v>46255</v>
      </c>
      <c r="B1180" s="1" t="str">
        <f aca="false">Report!E1517</f>
        <v>SEM FORNECEDOR</v>
      </c>
      <c r="C1180" s="16" t="n">
        <f aca="false">Report!U1517</f>
        <v>50</v>
      </c>
      <c r="D1180" s="1" t="str">
        <f aca="false">Report!X1517</f>
        <v>extra elilton</v>
      </c>
    </row>
    <row r="1181" customFormat="false" ht="12.75" hidden="false" customHeight="true" outlineLevel="0" collapsed="false">
      <c r="A1181" s="15" t="n">
        <f aca="false">Report!C1518</f>
        <v>46255</v>
      </c>
      <c r="B1181" s="1" t="str">
        <f aca="false">Report!E1518</f>
        <v>SEM FORNECEDOR</v>
      </c>
      <c r="C1181" s="16" t="n">
        <f aca="false">Report!U1518</f>
        <v>70</v>
      </c>
      <c r="D1181" s="1" t="str">
        <f aca="false">Report!X1518</f>
        <v>extra helio</v>
      </c>
    </row>
    <row r="1182" customFormat="false" ht="12.75" hidden="false" customHeight="true" outlineLevel="0" collapsed="false">
      <c r="A1182" s="15" t="n">
        <f aca="false">Report!C1519</f>
        <v>46255</v>
      </c>
      <c r="B1182" s="1" t="str">
        <f aca="false">Report!E1519</f>
        <v>PRIME PET DISTRIBUIDORA LTDA</v>
      </c>
      <c r="C1182" s="16" t="n">
        <f aca="false">Report!U1519</f>
        <v>1361.81</v>
      </c>
      <c r="D1182" s="1" t="str">
        <f aca="false">Report!X1519</f>
        <v>NF 10860 ELLEN</v>
      </c>
    </row>
    <row r="1183" customFormat="false" ht="12.75" hidden="false" customHeight="true" outlineLevel="0" collapsed="false">
      <c r="A1183" s="15" t="n">
        <f aca="false">Report!C1520</f>
        <v>46255</v>
      </c>
      <c r="B1183" s="1" t="str">
        <f aca="false">Report!E1520</f>
        <v>MIKITOS IND.COM.DE GEN. ALIM. DO AM. LTD</v>
      </c>
      <c r="C1183" s="16" t="n">
        <f aca="false">Report!U1520</f>
        <v>690</v>
      </c>
      <c r="D1183" s="1" t="str">
        <f aca="false">Report!X1520</f>
        <v>NF 294640 ELLEN</v>
      </c>
    </row>
    <row r="1184" customFormat="false" ht="12.75" hidden="false" customHeight="true" outlineLevel="0" collapsed="false">
      <c r="A1184" s="15" t="n">
        <f aca="false">Report!C1521</f>
        <v>46255</v>
      </c>
      <c r="B1184" s="1" t="str">
        <f aca="false">Report!E1521</f>
        <v>PANIFICADORA E CONFEITARIA REAL MADRI LTDA</v>
      </c>
      <c r="C1184" s="16" t="n">
        <f aca="false">Report!U1521</f>
        <v>237.74</v>
      </c>
      <c r="D1184" s="1" t="str">
        <f aca="false">Report!X1521</f>
        <v>NF 767 ELLEN</v>
      </c>
    </row>
    <row r="1185" customFormat="false" ht="12.75" hidden="false" customHeight="true" outlineLevel="0" collapsed="false">
      <c r="A1185" s="15" t="n">
        <f aca="false">Report!C1522</f>
        <v>46255</v>
      </c>
      <c r="B1185" s="1" t="str">
        <f aca="false">Report!E1522</f>
        <v>BRASIL NORTE BEBIDAS S/A</v>
      </c>
      <c r="C1185" s="16" t="n">
        <f aca="false">Report!U1522</f>
        <v>540.41</v>
      </c>
      <c r="D1185" s="1" t="str">
        <f aca="false">Report!X1522</f>
        <v>NF 1237147 ELLEN</v>
      </c>
    </row>
    <row r="1186" customFormat="false" ht="12.75" hidden="false" customHeight="true" outlineLevel="0" collapsed="false">
      <c r="A1186" s="15" t="n">
        <f aca="false">Report!C1523</f>
        <v>46255</v>
      </c>
      <c r="B1186" s="1" t="str">
        <f aca="false">Report!E1523</f>
        <v>BRASIL NORTE BEBIDAS S/A</v>
      </c>
      <c r="C1186" s="16" t="n">
        <f aca="false">Report!U1523</f>
        <v>3289.2</v>
      </c>
      <c r="D1186" s="1" t="str">
        <f aca="false">Report!X1523</f>
        <v>NF 1973888 ELLEN</v>
      </c>
    </row>
    <row r="1187" customFormat="false" ht="12.75" hidden="false" customHeight="true" outlineLevel="0" collapsed="false">
      <c r="A1187" s="15" t="n">
        <f aca="false">Report!C1524</f>
        <v>46255</v>
      </c>
      <c r="B1187" s="1" t="str">
        <f aca="false">Report!E1524</f>
        <v>BRASIL NORTE BEBIDAS S/A</v>
      </c>
      <c r="C1187" s="16" t="n">
        <f aca="false">Report!U1524</f>
        <v>201.65</v>
      </c>
      <c r="D1187" s="1" t="str">
        <f aca="false">Report!X1524</f>
        <v>NF 1236446 ELLEN</v>
      </c>
    </row>
    <row r="1188" customFormat="false" ht="12.75" hidden="false" customHeight="true" outlineLevel="0" collapsed="false">
      <c r="A1188" s="15" t="n">
        <f aca="false">Report!C1525</f>
        <v>46255</v>
      </c>
      <c r="B1188" s="1" t="str">
        <f aca="false">Report!E1525</f>
        <v>FALCAO INDUSTRIA DE ALIMENTOS LTDA</v>
      </c>
      <c r="C1188" s="16" t="n">
        <f aca="false">Report!U1525</f>
        <v>1023.97</v>
      </c>
      <c r="D1188" s="1" t="str">
        <f aca="false">Report!X1525</f>
        <v>NF 32318 ELLEN</v>
      </c>
    </row>
    <row r="1189" customFormat="false" ht="12.75" hidden="false" customHeight="true" outlineLevel="0" collapsed="false">
      <c r="A1189" s="15" t="n">
        <f aca="false">Report!C1527</f>
        <v>46255</v>
      </c>
      <c r="B1189" s="1" t="str">
        <f aca="false">Report!E1527</f>
        <v>LIMA E BARANDA COMERCIO DE PRODUTOS REGI</v>
      </c>
      <c r="C1189" s="16" t="n">
        <f aca="false">Report!U1527</f>
        <v>195</v>
      </c>
      <c r="D1189" s="1" t="str">
        <f aca="false">Report!X1527</f>
        <v>NF 31936 ELLEN</v>
      </c>
    </row>
    <row r="1190" customFormat="false" ht="12.75" hidden="false" customHeight="true" outlineLevel="0" collapsed="false">
      <c r="A1190" s="15" t="n">
        <f aca="false">Report!C1530</f>
        <v>46255</v>
      </c>
      <c r="B1190" s="1" t="str">
        <f aca="false">Report!E1530</f>
        <v>NORTELAC DISTRIBUIDORA DE FRIOS LTDA</v>
      </c>
      <c r="C1190" s="16" t="n">
        <f aca="false">Report!U1530</f>
        <v>460</v>
      </c>
      <c r="D1190" s="1" t="str">
        <f aca="false">Report!X1530</f>
        <v>NF 46106 ELLEN</v>
      </c>
    </row>
    <row r="1191" customFormat="false" ht="12.75" hidden="false" customHeight="true" outlineLevel="0" collapsed="false">
      <c r="A1191" s="15" t="n">
        <f aca="false">Report!C1531</f>
        <v>46255</v>
      </c>
      <c r="B1191" s="1" t="str">
        <f aca="false">Report!E1531</f>
        <v>FRUTAL INDUSTRIA E COMERCIO LTDA</v>
      </c>
      <c r="C1191" s="16" t="n">
        <f aca="false">Report!U1531</f>
        <v>571.73</v>
      </c>
      <c r="D1191" s="1" t="str">
        <f aca="false">Report!X1531</f>
        <v>NF 228832 ELLEN</v>
      </c>
    </row>
    <row r="1192" customFormat="false" ht="12.75" hidden="false" customHeight="true" outlineLevel="0" collapsed="false">
      <c r="A1192" s="15" t="n">
        <f aca="false">Report!C1532</f>
        <v>46255</v>
      </c>
      <c r="B1192" s="1" t="str">
        <f aca="false">Report!E1532</f>
        <v>JAB COMERCIO DE PRODUTOS ALIMENTICIOS LT</v>
      </c>
      <c r="C1192" s="16" t="n">
        <f aca="false">Report!U1532</f>
        <v>142</v>
      </c>
      <c r="D1192" s="1" t="str">
        <f aca="false">Report!X1532</f>
        <v>NF 3728 ELLEN</v>
      </c>
    </row>
    <row r="1193" customFormat="false" ht="12.75" hidden="false" customHeight="true" outlineLevel="0" collapsed="false">
      <c r="A1193" s="15" t="n">
        <f aca="false">Report!C1534</f>
        <v>46255</v>
      </c>
      <c r="B1193" s="1" t="str">
        <f aca="false">Report!E1534</f>
        <v>NEYLIANE S DE OLIVEIRA &amp; CIA LTDA</v>
      </c>
      <c r="C1193" s="16" t="n">
        <f aca="false">Report!U1534</f>
        <v>300</v>
      </c>
      <c r="D1193" s="1" t="str">
        <f aca="false">Report!X1534</f>
        <v>COMPRAS - 20L DE AÇAI - PG NO P 21/8/26- ELLEN</v>
      </c>
    </row>
    <row r="1194" customFormat="false" ht="12.75" hidden="false" customHeight="true" outlineLevel="0" collapsed="false">
      <c r="A1194" s="15" t="n">
        <f aca="false">Report!C1535</f>
        <v>46255</v>
      </c>
      <c r="B1194" s="1" t="str">
        <f aca="false">Report!E1535</f>
        <v>NEYLIANE S DE OLIVEIRA &amp; CIA LTDA</v>
      </c>
      <c r="C1194" s="16" t="n">
        <f aca="false">Report!U1535</f>
        <v>200</v>
      </c>
      <c r="D1194" s="1" t="str">
        <f aca="false">Report!X1535</f>
        <v>COMPRAS-PACOVA/LIMAO-PG P/ CNPJ:67144863/0001-03-ELLEN</v>
      </c>
    </row>
    <row r="1195" customFormat="false" ht="12.75" hidden="false" customHeight="true" outlineLevel="0" collapsed="false">
      <c r="A1195" s="15" t="n">
        <f aca="false">Report!C1536</f>
        <v>46255</v>
      </c>
      <c r="B1195" s="1" t="str">
        <f aca="false">Report!E1536</f>
        <v>H L M PADARIA E CONFEITARIA LTDA</v>
      </c>
      <c r="C1195" s="16" t="n">
        <f aca="false">Report!U1536</f>
        <v>200</v>
      </c>
      <c r="D1195" s="1" t="str">
        <f aca="false">Report!X1536</f>
        <v>NF 189 COMPRAS-BOLO PG NO P 21/8/26 ELLEN</v>
      </c>
    </row>
    <row r="1196" customFormat="false" ht="12.75" hidden="false" customHeight="true" outlineLevel="0" collapsed="false">
      <c r="A1196" s="15" t="n">
        <f aca="false">Report!C1537</f>
        <v>46256</v>
      </c>
      <c r="B1196" s="1" t="str">
        <f aca="false">Report!E1537</f>
        <v>SEM FORNECEDOR</v>
      </c>
      <c r="C1196" s="16" t="n">
        <f aca="false">Report!U1537</f>
        <v>100</v>
      </c>
      <c r="D1196" s="1" t="str">
        <f aca="false">Report!X1537</f>
        <v>extra sr Carlos-açougueiro</v>
      </c>
    </row>
    <row r="1197" customFormat="false" ht="12.75" hidden="false" customHeight="true" outlineLevel="0" collapsed="false">
      <c r="A1197" s="15" t="n">
        <f aca="false">Report!C1539</f>
        <v>46256</v>
      </c>
      <c r="B1197" s="1" t="str">
        <f aca="false">Report!E1539</f>
        <v>SEM FORNECEDOR</v>
      </c>
      <c r="C1197" s="16" t="n">
        <f aca="false">Report!U1539</f>
        <v>70</v>
      </c>
      <c r="D1197" s="1" t="str">
        <f aca="false">Report!X1539</f>
        <v>extra helio</v>
      </c>
    </row>
    <row r="1198" customFormat="false" ht="12.75" hidden="false" customHeight="true" outlineLevel="0" collapsed="false">
      <c r="A1198" s="15" t="n">
        <f aca="false">Report!C1540</f>
        <v>46256</v>
      </c>
      <c r="B1198" s="1" t="str">
        <f aca="false">Report!E1540</f>
        <v>FUNNY PET DISTRIBUIDORA DE ALIMENTOS PAR</v>
      </c>
      <c r="C1198" s="16" t="n">
        <f aca="false">Report!U1540</f>
        <v>1501.38</v>
      </c>
      <c r="D1198" s="1" t="str">
        <f aca="false">Report!X1540</f>
        <v>NF 21189 ELLEN</v>
      </c>
    </row>
    <row r="1199" customFormat="false" ht="12.75" hidden="false" customHeight="true" outlineLevel="0" collapsed="false">
      <c r="A1199" s="15" t="n">
        <f aca="false">Report!C1545</f>
        <v>46256</v>
      </c>
      <c r="B1199" s="1" t="str">
        <f aca="false">Report!E1545</f>
        <v>J G COMERCIO DE PRODUTOS ALIMENTICIOS LTDA</v>
      </c>
      <c r="C1199" s="16" t="n">
        <f aca="false">Report!U1545</f>
        <v>511.98</v>
      </c>
      <c r="D1199" s="1" t="str">
        <f aca="false">Report!X1545</f>
        <v>NF 398015 ELLEN</v>
      </c>
    </row>
    <row r="1200" customFormat="false" ht="12.75" hidden="false" customHeight="true" outlineLevel="0" collapsed="false">
      <c r="A1200" s="15" t="n">
        <f aca="false">Report!C1547</f>
        <v>46257</v>
      </c>
      <c r="B1200" s="1" t="str">
        <f aca="false">Report!E1547</f>
        <v>SEM FORNECEDOR</v>
      </c>
      <c r="C1200" s="16" t="n">
        <f aca="false">Report!U1547</f>
        <v>97</v>
      </c>
      <c r="D1200" s="1" t="str">
        <f aca="false">Report!X1547</f>
        <v>almoço / regina</v>
      </c>
    </row>
    <row r="1201" customFormat="false" ht="12.75" hidden="false" customHeight="true" outlineLevel="0" collapsed="false">
      <c r="A1201" s="15" t="n">
        <f aca="false">Report!C1549</f>
        <v>46257</v>
      </c>
      <c r="B1201" s="1" t="str">
        <f aca="false">Report!E1549</f>
        <v>SEM FORNECEDOR</v>
      </c>
      <c r="C1201" s="16" t="n">
        <f aca="false">Report!U1549</f>
        <v>70</v>
      </c>
      <c r="D1201" s="1" t="str">
        <f aca="false">Report!X1549</f>
        <v>extra helio</v>
      </c>
    </row>
    <row r="1202" customFormat="false" ht="12.75" hidden="false" customHeight="true" outlineLevel="0" collapsed="false">
      <c r="A1202" s="15" t="n">
        <f aca="false">Report!C1550</f>
        <v>46257</v>
      </c>
      <c r="B1202" s="1" t="str">
        <f aca="false">Report!E1550</f>
        <v>COMERCIO DE FRIOS MANAUS LTDA</v>
      </c>
      <c r="C1202" s="16" t="n">
        <f aca="false">Report!U1550</f>
        <v>3814.8</v>
      </c>
      <c r="D1202" s="1" t="str">
        <f aca="false">Report!X1550</f>
        <v>NF 174797 ELLEN</v>
      </c>
    </row>
    <row r="1203" customFormat="false" ht="12.75" hidden="false" customHeight="true" outlineLevel="0" collapsed="false">
      <c r="A1203" s="15" t="n">
        <f aca="false">Report!C1552</f>
        <v>46258</v>
      </c>
      <c r="B1203" s="1" t="str">
        <f aca="false">Report!E1552</f>
        <v>SEM FORNECEDOR</v>
      </c>
      <c r="C1203" s="16" t="n">
        <f aca="false">Report!U1552</f>
        <v>70</v>
      </c>
      <c r="D1203" s="1" t="str">
        <f aca="false">Report!X1552</f>
        <v>extra sabrina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1642</v>
      </c>
      <c r="B1" s="21" t="s">
        <v>1643</v>
      </c>
      <c r="C1" s="21" t="s">
        <v>1644</v>
      </c>
      <c r="D1" s="21" t="s">
        <v>1645</v>
      </c>
    </row>
    <row r="2" customFormat="false" ht="12.75" hidden="false" customHeight="true" outlineLevel="0" collapsed="false">
      <c r="A2" s="22" t="s">
        <v>1646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1647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1648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1649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1650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1651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1652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1653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283253.63</v>
      </c>
      <c r="D9" s="16" t="n">
        <f aca="false">B9+C9</f>
        <v>370923.93</v>
      </c>
    </row>
    <row r="10" customFormat="false" ht="12.75" hidden="false" customHeight="true" outlineLevel="0" collapsed="false">
      <c r="A10" s="22" t="s">
        <v>1654</v>
      </c>
      <c r="B10" s="16" t="n">
        <f aca="false">SUMIFS(Report!$U:$U,Report!$T:$T,"&lt;&gt;"&amp;"MERCADORIAS P/REVENDA",Report!$AA:$AA,"SIM",Report!$C:$C,"&gt;="&amp;DATE(2026,9,1),Report!$C:$C,"&lt;="&amp;DATE(2026,9,30))</f>
        <v>38789.8</v>
      </c>
      <c r="C10" s="16" t="n">
        <f aca="false">SUMIFS(Report!$U:$U,Report!$T:$T,"MERCADORIAS P/REVENDA",Report!$AA:$AA,"SIM",Report!$C:$C,"&gt;="&amp;DATE(2026,9,1),Report!$C:$C,"&lt;="&amp;DATE(2026,9,30))</f>
        <v>165355.81</v>
      </c>
      <c r="D10" s="16" t="n">
        <f aca="false">B10+C10</f>
        <v>204145.61</v>
      </c>
    </row>
    <row r="11" customFormat="false" ht="12.75" hidden="false" customHeight="true" outlineLevel="0" collapsed="false">
      <c r="A11" s="22" t="s">
        <v>1655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2" t="s">
        <v>1656</v>
      </c>
      <c r="B12" s="16" t="n">
        <f aca="false">SUMIFS(Report!$U:$U,Report!$T:$T,"&lt;&gt;"&amp;"MERCADORIAS P/REVENDA",Report!$AA:$AA,"SIM",Report!$C:$C,"&gt;="&amp;DATE(2026,11,1),Report!$C:$C,"&lt;="&amp;DATE(2026,11,30))</f>
        <v>11720.05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11720.05</v>
      </c>
    </row>
    <row r="13" customFormat="false" ht="12.75" hidden="false" customHeight="true" outlineLevel="0" collapsed="false">
      <c r="A13" s="22" t="s">
        <v>1657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1658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1659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1660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1661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1662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1663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1664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1665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1666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1667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1668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1669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1670</v>
      </c>
      <c r="B26" s="25" t="n">
        <f aca="false">SUM(B2:B25)</f>
        <v>502073.09</v>
      </c>
      <c r="C26" s="25" t="n">
        <f aca="false">SUM(C2:C25)</f>
        <v>1029651</v>
      </c>
      <c r="D26" s="25" t="n">
        <f aca="false">SUM(D2:D25)</f>
        <v>1531724.09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1671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1645</v>
      </c>
      <c r="AA2" s="27"/>
      <c r="AB2" s="28" t="s">
        <v>1672</v>
      </c>
      <c r="AC2" s="28" t="s">
        <v>1673</v>
      </c>
      <c r="AE2" s="28" t="s">
        <v>1674</v>
      </c>
    </row>
    <row r="3" customFormat="false" ht="12.75" hidden="false" customHeight="true" outlineLevel="0" collapsed="false">
      <c r="A3" s="29" t="s">
        <v>1675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370923.93</v>
      </c>
      <c r="J3" s="25" t="n">
        <f aca="false">SUMIFS(Report!$U:$U,Report!$AA:$AA,"SIM",Report!$C:$C,"&gt;="&amp;DATE(2026,9,1),Report!$C:$C,"&lt;="&amp;DATE(2026,9,30))</f>
        <v>204145.61</v>
      </c>
      <c r="K3" s="25" t="n">
        <f aca="false">SUMIFS(Report!$U:$U,Report!$AA:$AA,"SIM",Report!$C:$C,"&gt;="&amp;DATE(2026,10,1),Report!$C:$C,"&lt;="&amp;DATE(2026,10,31))</f>
        <v>15494.38</v>
      </c>
      <c r="L3" s="25" t="n">
        <f aca="false">SUMIFS(Report!$U:$U,Report!$AA:$AA,"SIM",Report!$C:$C,"&gt;="&amp;DATE(2026,11,1),Report!$C:$C,"&lt;="&amp;DATE(2026,11,30))</f>
        <v>11720.05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1531724.09</v>
      </c>
      <c r="AB3" s="1" t="s">
        <v>209</v>
      </c>
      <c r="AC3" s="1" t="s">
        <v>1676</v>
      </c>
      <c r="AE3" s="1" t="s">
        <v>1677</v>
      </c>
    </row>
    <row r="4" customFormat="false" ht="12.75" hidden="false" customHeight="true" outlineLevel="0" collapsed="false">
      <c r="A4" s="1" t="s">
        <v>1676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32585.72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7072.66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341678.91</v>
      </c>
      <c r="AB4" s="1" t="s">
        <v>150</v>
      </c>
      <c r="AC4" s="1" t="s">
        <v>1676</v>
      </c>
    </row>
    <row r="5" customFormat="false" ht="12.75" hidden="false" customHeight="true" outlineLevel="0" collapsed="false">
      <c r="A5" s="1" t="s">
        <v>1678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1676</v>
      </c>
    </row>
    <row r="6" customFormat="false" ht="12.75" hidden="false" customHeight="true" outlineLevel="0" collapsed="false">
      <c r="A6" s="1" t="s">
        <v>1679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1676</v>
      </c>
    </row>
    <row r="7" customFormat="false" ht="12.75" hidden="false" customHeight="true" outlineLevel="0" collapsed="false">
      <c r="A7" s="1" t="s">
        <v>1680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283253.63</v>
      </c>
      <c r="J7" s="16" t="n">
        <f aca="false">SUMIFS(Report!$U:$U,Report!$Z:$Z,"Mercadoria",Report!$AA:$AA,"SIM",Report!$C:$C,"&gt;="&amp;DATE(2026,9,1),Report!$C:$C,"&lt;="&amp;DATE(2026,9,30))</f>
        <v>165355.81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1029651</v>
      </c>
      <c r="AB7" s="1" t="s">
        <v>508</v>
      </c>
      <c r="AC7" s="1" t="s">
        <v>1681</v>
      </c>
    </row>
    <row r="8" customFormat="false" ht="12.75" hidden="false" customHeight="true" outlineLevel="0" collapsed="false">
      <c r="A8" s="1" t="s">
        <v>1682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1676</v>
      </c>
    </row>
    <row r="9" customFormat="false" ht="12.75" hidden="false" customHeight="true" outlineLevel="0" collapsed="false">
      <c r="A9" s="1" t="s">
        <v>1681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1676</v>
      </c>
    </row>
    <row r="10" customFormat="false" ht="12.75" hidden="false" customHeight="true" outlineLevel="0" collapsed="false">
      <c r="A10" s="29" t="s">
        <v>1683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1676</v>
      </c>
    </row>
    <row r="11" customFormat="false" ht="12.75" hidden="false" customHeight="true" outlineLevel="0" collapsed="false">
      <c r="A11" s="1" t="s">
        <v>1684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1676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1685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38789.8</v>
      </c>
      <c r="K13" s="16" t="n">
        <f aca="false">SUM(K4,K5,K6,K8,K9,K10)</f>
        <v>14855.63</v>
      </c>
      <c r="L13" s="16" t="n">
        <f aca="false">SUM(L4,L5,L6,L8,L9,L10)</f>
        <v>11720.05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502073.09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1676</v>
      </c>
    </row>
    <row r="16" customFormat="false" ht="12.75" hidden="false" customHeight="true" outlineLevel="0" collapsed="false">
      <c r="A16" s="1" t="s">
        <v>1686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1676</v>
      </c>
    </row>
    <row r="17" customFormat="false" ht="12.75" hidden="false" customHeight="true" outlineLevel="0" collapsed="false">
      <c r="A17" s="1" t="s">
        <v>1687</v>
      </c>
      <c r="AB17" s="1" t="s">
        <v>163</v>
      </c>
      <c r="AC17" s="1" t="s">
        <v>1676</v>
      </c>
    </row>
    <row r="18" customFormat="false" ht="12.75" hidden="false" customHeight="true" outlineLevel="0" collapsed="false">
      <c r="AB18" s="1" t="s">
        <v>77</v>
      </c>
      <c r="AC18" s="1" t="s">
        <v>1676</v>
      </c>
    </row>
    <row r="19" customFormat="false" ht="12.75" hidden="false" customHeight="true" outlineLevel="0" collapsed="false">
      <c r="AB19" s="1" t="s">
        <v>123</v>
      </c>
      <c r="AC19" s="1" t="s">
        <v>1681</v>
      </c>
    </row>
    <row r="20" customFormat="false" ht="12.75" hidden="false" customHeight="true" outlineLevel="0" collapsed="false">
      <c r="AB20" s="1" t="s">
        <v>334</v>
      </c>
      <c r="AC20" s="1" t="s">
        <v>1678</v>
      </c>
    </row>
    <row r="21" customFormat="false" ht="12.75" hidden="false" customHeight="true" outlineLevel="0" collapsed="false">
      <c r="AB21" s="1" t="s">
        <v>550</v>
      </c>
      <c r="AC21" s="1" t="s">
        <v>1676</v>
      </c>
    </row>
    <row r="22" customFormat="false" ht="12.75" hidden="false" customHeight="true" outlineLevel="0" collapsed="false">
      <c r="AB22" s="1" t="s">
        <v>847</v>
      </c>
      <c r="AC22" s="1" t="s">
        <v>1681</v>
      </c>
    </row>
    <row r="23" customFormat="false" ht="12.75" hidden="false" customHeight="true" outlineLevel="0" collapsed="false">
      <c r="AB23" s="1" t="s">
        <v>1112</v>
      </c>
      <c r="AC23" s="1" t="s">
        <v>1681</v>
      </c>
    </row>
    <row r="24" customFormat="false" ht="12.75" hidden="false" customHeight="true" outlineLevel="0" collapsed="false">
      <c r="AB24" s="1" t="s">
        <v>483</v>
      </c>
      <c r="AC24" s="1" t="s">
        <v>1679</v>
      </c>
    </row>
    <row r="25" customFormat="false" ht="12.75" hidden="false" customHeight="true" outlineLevel="0" collapsed="false">
      <c r="AB25" s="1" t="s">
        <v>48</v>
      </c>
      <c r="AC25" s="1" t="s">
        <v>1676</v>
      </c>
    </row>
    <row r="26" customFormat="false" ht="12.75" hidden="false" customHeight="true" outlineLevel="0" collapsed="false">
      <c r="AB26" s="1" t="s">
        <v>387</v>
      </c>
      <c r="AC26" s="1" t="s">
        <v>1676</v>
      </c>
    </row>
    <row r="27" customFormat="false" ht="12.75" hidden="false" customHeight="true" outlineLevel="0" collapsed="false">
      <c r="AB27" s="1" t="s">
        <v>750</v>
      </c>
      <c r="AC27" s="1" t="s">
        <v>1676</v>
      </c>
    </row>
    <row r="28" customFormat="false" ht="12.75" hidden="false" customHeight="true" outlineLevel="0" collapsed="false">
      <c r="AB28" s="1" t="s">
        <v>1688</v>
      </c>
      <c r="AC28" s="1" t="s">
        <v>1679</v>
      </c>
    </row>
    <row r="29" customFormat="false" ht="12.75" hidden="false" customHeight="true" outlineLevel="0" collapsed="false">
      <c r="AB29" s="1" t="s">
        <v>770</v>
      </c>
      <c r="AC29" s="1" t="s">
        <v>1676</v>
      </c>
    </row>
    <row r="30" customFormat="false" ht="12.75" hidden="false" customHeight="true" outlineLevel="0" collapsed="false">
      <c r="AB30" s="1" t="s">
        <v>481</v>
      </c>
      <c r="AC30" s="1" t="s">
        <v>1679</v>
      </c>
    </row>
    <row r="31" customFormat="false" ht="12.75" hidden="false" customHeight="true" outlineLevel="0" collapsed="false">
      <c r="AB31" s="1" t="s">
        <v>283</v>
      </c>
      <c r="AC31" s="1" t="s">
        <v>1676</v>
      </c>
    </row>
    <row r="32" customFormat="false" ht="12.75" hidden="false" customHeight="true" outlineLevel="0" collapsed="false">
      <c r="AB32" s="1" t="s">
        <v>159</v>
      </c>
      <c r="AC32" s="1" t="s">
        <v>1676</v>
      </c>
    </row>
    <row r="33" customFormat="false" ht="12.75" hidden="false" customHeight="true" outlineLevel="0" collapsed="false">
      <c r="AB33" s="1" t="s">
        <v>408</v>
      </c>
      <c r="AC33" s="1" t="s">
        <v>1679</v>
      </c>
    </row>
    <row r="34" customFormat="false" ht="12.75" hidden="false" customHeight="true" outlineLevel="0" collapsed="false">
      <c r="AB34" s="1" t="s">
        <v>1084</v>
      </c>
      <c r="AC34" s="1" t="s">
        <v>1676</v>
      </c>
    </row>
    <row r="35" customFormat="false" ht="12.75" hidden="false" customHeight="true" outlineLevel="0" collapsed="false">
      <c r="AB35" s="1" t="s">
        <v>266</v>
      </c>
      <c r="AC35" s="1" t="s">
        <v>1678</v>
      </c>
    </row>
    <row r="36" customFormat="false" ht="12.75" hidden="false" customHeight="true" outlineLevel="0" collapsed="false">
      <c r="AB36" s="1" t="s">
        <v>746</v>
      </c>
      <c r="AC36" s="1" t="s">
        <v>1676</v>
      </c>
    </row>
    <row r="37" customFormat="false" ht="12.75" hidden="false" customHeight="true" outlineLevel="0" collapsed="false">
      <c r="AB37" s="1" t="s">
        <v>324</v>
      </c>
      <c r="AC37" s="1" t="s">
        <v>1676</v>
      </c>
    </row>
    <row r="38" customFormat="false" ht="12.75" hidden="false" customHeight="true" outlineLevel="0" collapsed="false">
      <c r="AB38" s="1" t="s">
        <v>52</v>
      </c>
      <c r="AC38" s="1" t="s">
        <v>1676</v>
      </c>
    </row>
    <row r="39" customFormat="false" ht="12.75" hidden="false" customHeight="true" outlineLevel="0" collapsed="false">
      <c r="AB39" s="1" t="s">
        <v>71</v>
      </c>
      <c r="AC39" s="1" t="s">
        <v>1676</v>
      </c>
    </row>
    <row r="40" customFormat="false" ht="12.75" hidden="false" customHeight="true" outlineLevel="0" collapsed="false">
      <c r="AB40" s="1" t="s">
        <v>609</v>
      </c>
      <c r="AC40" s="1" t="s">
        <v>1676</v>
      </c>
    </row>
    <row r="41" customFormat="false" ht="12.75" hidden="false" customHeight="true" outlineLevel="0" collapsed="false">
      <c r="AB41" s="1" t="s">
        <v>203</v>
      </c>
      <c r="AC41" s="1" t="s">
        <v>1676</v>
      </c>
    </row>
    <row r="42" customFormat="false" ht="12.75" hidden="false" customHeight="true" outlineLevel="0" collapsed="false">
      <c r="AB42" s="1" t="s">
        <v>63</v>
      </c>
      <c r="AC42" s="1" t="s">
        <v>1680</v>
      </c>
    </row>
    <row r="43" customFormat="false" ht="12.75" hidden="false" customHeight="true" outlineLevel="0" collapsed="false">
      <c r="AB43" s="1" t="s">
        <v>488</v>
      </c>
      <c r="AC43" s="1" t="s">
        <v>1676</v>
      </c>
    </row>
    <row r="44" customFormat="false" ht="12.75" hidden="false" customHeight="true" outlineLevel="0" collapsed="false">
      <c r="AB44" s="1" t="s">
        <v>58</v>
      </c>
      <c r="AC44" s="1" t="s">
        <v>1682</v>
      </c>
    </row>
    <row r="45" customFormat="false" ht="12.75" hidden="false" customHeight="true" outlineLevel="0" collapsed="false">
      <c r="AB45" s="1" t="s">
        <v>1086</v>
      </c>
      <c r="AC45" s="1" t="s">
        <v>1676</v>
      </c>
    </row>
    <row r="46" customFormat="false" ht="12.75" hidden="false" customHeight="true" outlineLevel="0" collapsed="false">
      <c r="AB46" s="1" t="s">
        <v>456</v>
      </c>
      <c r="AC46" s="1" t="s">
        <v>1681</v>
      </c>
    </row>
    <row r="47" customFormat="false" ht="12.75" hidden="false" customHeight="true" outlineLevel="0" collapsed="false">
      <c r="AB47" s="1" t="s">
        <v>497</v>
      </c>
      <c r="AC47" s="1" t="s">
        <v>1676</v>
      </c>
    </row>
    <row r="48" customFormat="false" ht="12.75" hidden="false" customHeight="true" outlineLevel="0" collapsed="false">
      <c r="AB48" s="1" t="s">
        <v>248</v>
      </c>
      <c r="AC48" s="1" t="s">
        <v>1681</v>
      </c>
    </row>
    <row r="49" customFormat="false" ht="12.75" hidden="false" customHeight="true" outlineLevel="0" collapsed="false">
      <c r="AB49" s="1" t="s">
        <v>253</v>
      </c>
      <c r="AC49" s="1" t="s">
        <v>1681</v>
      </c>
    </row>
    <row r="50" customFormat="false" ht="12.75" hidden="false" customHeight="true" outlineLevel="0" collapsed="false">
      <c r="AB50" s="1" t="s">
        <v>513</v>
      </c>
      <c r="AC50" s="1" t="s">
        <v>1679</v>
      </c>
    </row>
    <row r="51" customFormat="false" ht="12.75" hidden="false" customHeight="true" outlineLevel="0" collapsed="false">
      <c r="AB51" s="1" t="s">
        <v>121</v>
      </c>
      <c r="AC51" s="1" t="s">
        <v>1676</v>
      </c>
    </row>
    <row r="52" customFormat="false" ht="12.75" hidden="false" customHeight="true" outlineLevel="0" collapsed="false">
      <c r="AB52" s="1" t="s">
        <v>1220</v>
      </c>
      <c r="AC52" s="1" t="s">
        <v>1676</v>
      </c>
    </row>
    <row r="53" customFormat="false" ht="12.75" hidden="false" customHeight="true" outlineLevel="0" collapsed="false">
      <c r="AB53" s="1" t="s">
        <v>113</v>
      </c>
      <c r="AC53" s="1" t="s">
        <v>1681</v>
      </c>
    </row>
    <row r="54" customFormat="false" ht="12.75" hidden="false" customHeight="true" outlineLevel="0" collapsed="false">
      <c r="AB54" s="1" t="s">
        <v>1367</v>
      </c>
      <c r="AC54" s="1" t="s">
        <v>1676</v>
      </c>
    </row>
    <row r="55" customFormat="false" ht="12.75" hidden="false" customHeight="true" outlineLevel="0" collapsed="false">
      <c r="AB55" s="1" t="s">
        <v>40</v>
      </c>
      <c r="AC55" s="1" t="s">
        <v>1676</v>
      </c>
    </row>
    <row r="56" customFormat="false" ht="12.75" hidden="false" customHeight="true" outlineLevel="0" collapsed="false">
      <c r="AB56" s="1" t="s">
        <v>543</v>
      </c>
      <c r="AC56" s="1" t="s">
        <v>1681</v>
      </c>
    </row>
    <row r="57" customFormat="false" ht="12.75" hidden="false" customHeight="true" outlineLevel="0" collapsed="false">
      <c r="AB57" s="1" t="s">
        <v>44</v>
      </c>
      <c r="AC57" s="1" t="s">
        <v>1676</v>
      </c>
    </row>
    <row r="58" customFormat="false" ht="12.75" hidden="false" customHeight="true" outlineLevel="0" collapsed="false">
      <c r="AB58" s="1" t="s">
        <v>55</v>
      </c>
      <c r="AC58" s="1" t="s">
        <v>1683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1689</v>
      </c>
      <c r="B1" s="20" t="s">
        <v>1671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1645</v>
      </c>
    </row>
    <row r="2" customFormat="false" ht="12.75" hidden="false" customHeight="true" outlineLevel="0" collapsed="false">
      <c r="A2" s="1" t="s">
        <v>209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1585</v>
      </c>
      <c r="I3" s="16" t="n">
        <f aca="false">SUMIFS(Report!$U:$U,Report!$T:$T,$A3,Report!$C:$C,"&gt;="&amp;DATE(2026,7,1),Report!$C:$C,"&lt;="&amp;DATE(2026,7,31))</f>
        <v>443</v>
      </c>
      <c r="J3" s="16" t="n">
        <f aca="false">SUMIFS(Report!$U:$U,Report!$T:$T,$A3,Report!$C:$C,"&gt;="&amp;DATE(2026,8,1),Report!$C:$C,"&lt;="&amp;DATE(2026,8,31))</f>
        <v>1058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3086</v>
      </c>
    </row>
    <row r="4" customFormat="false" ht="12.75" hidden="false" customHeight="true" outlineLevel="0" collapsed="false">
      <c r="A4" s="1" t="s">
        <v>412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5700</v>
      </c>
      <c r="N4" s="16" t="n">
        <f aca="false">SUMIFS(Report!$U:$U,Report!$T:$T,$A4,Report!$C:$C,"&gt;="&amp;DATE(2026,12,1),Report!$C:$C,"&lt;="&amp;DATE(2026,12,31))</f>
        <v>5700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39900</v>
      </c>
    </row>
    <row r="5" customFormat="false" ht="12.75" hidden="false" customHeight="true" outlineLevel="0" collapsed="false">
      <c r="A5" s="1" t="s">
        <v>525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508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975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606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687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502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127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1090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163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951.53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17383.4</v>
      </c>
    </row>
    <row r="14" customFormat="false" ht="12.75" hidden="false" customHeight="true" outlineLevel="0" collapsed="false">
      <c r="A14" s="1" t="s">
        <v>77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4792.27</v>
      </c>
      <c r="I14" s="16" t="n">
        <f aca="false">SUMIFS(Report!$U:$U,Report!$T:$T,$A14,Report!$C:$C,"&gt;="&amp;DATE(2026,7,1),Report!$C:$C,"&lt;="&amp;DATE(2026,7,31))</f>
        <v>6125.56</v>
      </c>
      <c r="J14" s="16" t="n">
        <f aca="false">SUMIFS(Report!$U:$U,Report!$T:$T,$A14,Report!$C:$C,"&gt;="&amp;DATE(2026,8,1),Report!$C:$C,"&lt;="&amp;DATE(2026,8,31))</f>
        <v>4682.35</v>
      </c>
      <c r="K14" s="16" t="n">
        <f aca="false">SUMIFS(Report!$U:$U,Report!$T:$T,$A14,Report!$C:$C,"&gt;="&amp;DATE(2026,9,1),Report!$C:$C,"&lt;="&amp;DATE(2026,9,30))</f>
        <v>1462.12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378.82</v>
      </c>
      <c r="N14" s="16" t="n">
        <f aca="false">SUMIFS(Report!$U:$U,Report!$T:$T,$A14,Report!$C:$C,"&gt;="&amp;DATE(2026,12,1),Report!$C:$C,"&lt;="&amp;DATE(2026,12,31))</f>
        <v>378.82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18642.25</v>
      </c>
    </row>
    <row r="15" customFormat="false" ht="12.75" hidden="false" customHeight="true" outlineLevel="0" collapsed="false">
      <c r="A15" s="1" t="s">
        <v>123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3460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3460</v>
      </c>
    </row>
    <row r="16" customFormat="false" ht="12.75" hidden="false" customHeight="true" outlineLevel="0" collapsed="false">
      <c r="A16" s="1" t="s">
        <v>334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4168.41</v>
      </c>
      <c r="N16" s="16" t="n">
        <f aca="false">SUMIFS(Report!$U:$U,Report!$T:$T,$A16,Report!$C:$C,"&gt;="&amp;DATE(2026,12,1),Report!$C:$C,"&lt;="&amp;DATE(2026,12,31))</f>
        <v>4168.41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36187.98</v>
      </c>
    </row>
    <row r="17" customFormat="false" ht="12.75" hidden="false" customHeight="true" outlineLevel="0" collapsed="false">
      <c r="A17" s="1" t="s">
        <v>550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847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1112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483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48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2903.99</v>
      </c>
      <c r="I21" s="16" t="n">
        <f aca="false">SUMIFS(Report!$U:$U,Report!$T:$T,$A21,Report!$C:$C,"&gt;="&amp;DATE(2026,7,1),Report!$C:$C,"&lt;="&amp;DATE(2026,7,31))</f>
        <v>3453.49</v>
      </c>
      <c r="J21" s="16" t="n">
        <f aca="false">SUMIFS(Report!$U:$U,Report!$T:$T,$A21,Report!$C:$C,"&gt;="&amp;DATE(2026,8,1),Report!$C:$C,"&lt;="&amp;DATE(2026,8,31))</f>
        <v>5621.66</v>
      </c>
      <c r="K21" s="16" t="n">
        <f aca="false">SUMIFS(Report!$U:$U,Report!$T:$T,$A21,Report!$C:$C,"&gt;="&amp;DATE(2026,9,1),Report!$C:$C,"&lt;="&amp;DATE(2026,9,30))</f>
        <v>300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12279.14</v>
      </c>
    </row>
    <row r="22" customFormat="false" ht="12.75" hidden="false" customHeight="true" outlineLevel="0" collapsed="false">
      <c r="A22" s="1" t="s">
        <v>387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750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247.27</v>
      </c>
      <c r="N23" s="16" t="n">
        <f aca="false">SUMIFS(Report!$U:$U,Report!$T:$T,$A23,Report!$C:$C,"&gt;="&amp;DATE(2026,12,1),Report!$C:$C,"&lt;="&amp;DATE(2026,12,31))</f>
        <v>247.27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2225.43</v>
      </c>
    </row>
    <row r="24" customFormat="false" ht="12.75" hidden="false" customHeight="true" outlineLevel="0" collapsed="false">
      <c r="A24" s="1" t="s">
        <v>1688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770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481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283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595.9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4219.35</v>
      </c>
    </row>
    <row r="28" customFormat="false" ht="12.75" hidden="false" customHeight="true" outlineLevel="0" collapsed="false">
      <c r="A28" s="1" t="s">
        <v>159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715.79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2467.55</v>
      </c>
    </row>
    <row r="29" customFormat="false" ht="12.75" hidden="false" customHeight="true" outlineLevel="0" collapsed="false">
      <c r="A29" s="1" t="s">
        <v>408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228.88</v>
      </c>
      <c r="N29" s="16" t="n">
        <f aca="false">SUMIFS(Report!$U:$U,Report!$T:$T,$A29,Report!$C:$C,"&gt;="&amp;DATE(2026,12,1),Report!$C:$C,"&lt;="&amp;DATE(2026,12,31))</f>
        <v>228.88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1602.16</v>
      </c>
    </row>
    <row r="30" customFormat="false" ht="12.75" hidden="false" customHeight="true" outlineLevel="0" collapsed="false">
      <c r="A30" s="1" t="s">
        <v>1084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266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746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324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79.9</v>
      </c>
      <c r="N33" s="16" t="n">
        <f aca="false">SUMIFS(Report!$U:$U,Report!$T:$T,$A33,Report!$C:$C,"&gt;="&amp;DATE(2026,12,1),Report!$C:$C,"&lt;="&amp;DATE(2026,12,31))</f>
        <v>79.9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4131.38</v>
      </c>
    </row>
    <row r="34" customFormat="false" ht="12.75" hidden="false" customHeight="true" outlineLevel="0" collapsed="false">
      <c r="A34" s="1" t="s">
        <v>52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71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609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203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63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278853.68</v>
      </c>
      <c r="I38" s="16" t="n">
        <f aca="false">SUMIFS(Report!$U:$U,Report!$T:$T,$A38,Report!$C:$C,"&gt;="&amp;DATE(2026,7,1),Report!$C:$C,"&lt;="&amp;DATE(2026,7,31))</f>
        <v>301549.13</v>
      </c>
      <c r="J38" s="16" t="n">
        <f aca="false">SUMIFS(Report!$U:$U,Report!$T:$T,$A38,Report!$C:$C,"&gt;="&amp;DATE(2026,8,1),Report!$C:$C,"&lt;="&amp;DATE(2026,8,31))</f>
        <v>283253.63</v>
      </c>
      <c r="K38" s="16" t="n">
        <f aca="false">SUMIFS(Report!$U:$U,Report!$T:$T,$A38,Report!$C:$C,"&gt;="&amp;DATE(2026,9,1),Report!$C:$C,"&lt;="&amp;DATE(2026,9,30))</f>
        <v>165355.81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1029651</v>
      </c>
    </row>
    <row r="39" customFormat="false" ht="12.75" hidden="false" customHeight="true" outlineLevel="0" collapsed="false">
      <c r="A39" s="1" t="s">
        <v>488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58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698.69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28060.81</v>
      </c>
    </row>
    <row r="41" customFormat="false" ht="12.75" hidden="false" customHeight="true" outlineLevel="0" collapsed="false">
      <c r="A41" s="1" t="s">
        <v>1086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456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497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7" t="s">
        <v>248</v>
      </c>
      <c r="B44" s="27" t="str">
        <f aca="false">IFERROR(INDEX('Resumo Grupos'!$AC$3:$AC$200,MATCH($A44,'Resumo Grupos'!$AB$3:$AB$200,0)),"n/d")</f>
        <v>Salários</v>
      </c>
      <c r="C44" s="30" t="n">
        <f aca="false">SUMIFS(Report!$U:$U,Report!$T:$T,$A44,Report!$C:$C,"&gt;="&amp;DATE(2026,1,1),Report!$C:$C,"&lt;="&amp;DATE(2026,1,31))</f>
        <v>0</v>
      </c>
      <c r="D44" s="30" t="n">
        <f aca="false">SUMIFS(Report!$U:$U,Report!$T:$T,$A44,Report!$C:$C,"&gt;="&amp;DATE(2026,2,1),Report!$C:$C,"&lt;="&amp;DATE(2026,2,28))</f>
        <v>0</v>
      </c>
      <c r="E44" s="30" t="n">
        <f aca="false">SUMIFS(Report!$U:$U,Report!$T:$T,$A44,Report!$C:$C,"&gt;="&amp;DATE(2026,3,1),Report!$C:$C,"&lt;="&amp;DATE(2026,3,31))</f>
        <v>0</v>
      </c>
      <c r="F44" s="30" t="n">
        <f aca="false">SUMIFS(Report!$U:$U,Report!$T:$T,$A44,Report!$C:$C,"&gt;="&amp;DATE(2026,4,1),Report!$C:$C,"&lt;="&amp;DATE(2026,4,30))</f>
        <v>0</v>
      </c>
      <c r="G44" s="30" t="n">
        <f aca="false">SUMIFS(Report!$U:$U,Report!$T:$T,$A44,Report!$C:$C,"&gt;="&amp;DATE(2026,5,1),Report!$C:$C,"&lt;="&amp;DATE(2026,5,31))</f>
        <v>0</v>
      </c>
      <c r="H44" s="30" t="n">
        <f aca="false">SUMIFS(Report!$U:$U,Report!$T:$T,$A44,Report!$C:$C,"&gt;="&amp;DATE(2026,6,1),Report!$C:$C,"&lt;="&amp;DATE(2026,6,30))</f>
        <v>2147.05</v>
      </c>
      <c r="I44" s="30" t="n">
        <f aca="false">SUMIFS(Report!$U:$U,Report!$T:$T,$A44,Report!$C:$C,"&gt;="&amp;DATE(2026,7,1),Report!$C:$C,"&lt;="&amp;DATE(2026,7,31))</f>
        <v>0</v>
      </c>
      <c r="J44" s="30" t="n">
        <f aca="false">SUMIFS(Report!$U:$U,Report!$T:$T,$A44,Report!$C:$C,"&gt;="&amp;DATE(2026,8,1),Report!$C:$C,"&lt;="&amp;DATE(2026,8,31))</f>
        <v>0</v>
      </c>
      <c r="K44" s="30" t="n">
        <f aca="false">SUMIFS(Report!$U:$U,Report!$T:$T,$A44,Report!$C:$C,"&gt;="&amp;DATE(2026,9,1),Report!$C:$C,"&lt;="&amp;DATE(2026,9,30))</f>
        <v>0</v>
      </c>
      <c r="L44" s="30" t="n">
        <f aca="false">SUMIFS(Report!$U:$U,Report!$T:$T,$A44,Report!$C:$C,"&gt;="&amp;DATE(2026,10,1),Report!$C:$C,"&lt;="&amp;DATE(2026,10,31))</f>
        <v>0</v>
      </c>
      <c r="M44" s="30" t="n">
        <f aca="false">SUMIFS(Report!$U:$U,Report!$T:$T,$A44,Report!$C:$C,"&gt;="&amp;DATE(2026,11,1),Report!$C:$C,"&lt;="&amp;DATE(2026,11,30))</f>
        <v>0</v>
      </c>
      <c r="N44" s="30" t="n">
        <f aca="false">SUMIFS(Report!$U:$U,Report!$T:$T,$A44,Report!$C:$C,"&gt;="&amp;DATE(2026,12,1),Report!$C:$C,"&lt;="&amp;DATE(2026,12,31))</f>
        <v>0</v>
      </c>
      <c r="O44" s="30" t="n">
        <f aca="false">SUMIFS(Report!$U:$U,Report!$T:$T,$A44,Report!$C:$C,"&gt;="&amp;DATE(2027,1,1),Report!$C:$C,"&lt;="&amp;DATE(2027,1,31))</f>
        <v>0</v>
      </c>
      <c r="P44" s="30" t="n">
        <f aca="false">SUMIFS(Report!$U:$U,Report!$T:$T,$A44,Report!$C:$C,"&gt;="&amp;DATE(2027,2,1),Report!$C:$C,"&lt;="&amp;DATE(2027,2,28))</f>
        <v>0</v>
      </c>
      <c r="Q44" s="30" t="n">
        <f aca="false">SUMIFS(Report!$U:$U,Report!$T:$T,$A44,Report!$C:$C,"&gt;="&amp;DATE(2027,3,1),Report!$C:$C,"&lt;="&amp;DATE(2027,3,31))</f>
        <v>0</v>
      </c>
      <c r="R44" s="30" t="n">
        <f aca="false">SUMIFS(Report!$U:$U,Report!$T:$T,$A44,Report!$C:$C,"&gt;="&amp;DATE(2027,4,1),Report!$C:$C,"&lt;="&amp;DATE(2027,4,30))</f>
        <v>0</v>
      </c>
      <c r="S44" s="30" t="n">
        <f aca="false">SUMIFS(Report!$U:$U,Report!$T:$T,$A44,Report!$C:$C,"&gt;="&amp;DATE(2027,5,1),Report!$C:$C,"&lt;="&amp;DATE(2027,5,31))</f>
        <v>0</v>
      </c>
      <c r="T44" s="30" t="n">
        <f aca="false">SUMIFS(Report!$U:$U,Report!$T:$T,$A44,Report!$C:$C,"&gt;="&amp;DATE(2027,6,1),Report!$C:$C,"&lt;="&amp;DATE(2027,6,30))</f>
        <v>0</v>
      </c>
      <c r="U44" s="30" t="n">
        <f aca="false">SUMIFS(Report!$U:$U,Report!$T:$T,$A44,Report!$C:$C,"&gt;="&amp;DATE(2027,7,1),Report!$C:$C,"&lt;="&amp;DATE(2027,7,31))</f>
        <v>0</v>
      </c>
      <c r="V44" s="30" t="n">
        <f aca="false">SUMIFS(Report!$U:$U,Report!$T:$T,$A44,Report!$C:$C,"&gt;="&amp;DATE(2027,8,1),Report!$C:$C,"&lt;="&amp;DATE(2027,8,31))</f>
        <v>0</v>
      </c>
      <c r="W44" s="30" t="n">
        <f aca="false">SUMIFS(Report!$U:$U,Report!$T:$T,$A44,Report!$C:$C,"&gt;="&amp;DATE(2027,9,1),Report!$C:$C,"&lt;="&amp;DATE(2027,9,30))</f>
        <v>0</v>
      </c>
      <c r="X44" s="30" t="n">
        <f aca="false">SUMIFS(Report!$U:$U,Report!$T:$T,$A44,Report!$C:$C,"&gt;="&amp;DATE(2027,10,1),Report!$C:$C,"&lt;="&amp;DATE(2027,10,31))</f>
        <v>0</v>
      </c>
      <c r="Y44" s="30" t="n">
        <f aca="false">SUMIFS(Report!$U:$U,Report!$T:$T,$A44,Report!$C:$C,"&gt;="&amp;DATE(2027,11,1),Report!$C:$C,"&lt;="&amp;DATE(2027,11,30))</f>
        <v>0</v>
      </c>
      <c r="Z44" s="30" t="n">
        <f aca="false">SUMIFS(Report!$U:$U,Report!$T:$T,$A44,Report!$C:$C,"&gt;="&amp;DATE(2027,12,1),Report!$C:$C,"&lt;="&amp;DATE(2027,12,31))</f>
        <v>0</v>
      </c>
      <c r="AA44" s="30" t="n">
        <f aca="false">SUM(C44:Z44)</f>
        <v>2147.05</v>
      </c>
    </row>
    <row r="45" customFormat="false" ht="12.75" hidden="false" customHeight="true" outlineLevel="0" collapsed="false">
      <c r="A45" s="1" t="s">
        <v>253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14233.41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250.1</v>
      </c>
      <c r="N45" s="16" t="n">
        <f aca="false">SUMIFS(Report!$U:$U,Report!$T:$T,$A45,Report!$C:$C,"&gt;="&amp;DATE(2026,12,1),Report!$C:$C,"&lt;="&amp;DATE(2026,12,31))</f>
        <v>250.1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50295.23</v>
      </c>
    </row>
    <row r="46" customFormat="false" ht="12.75" hidden="false" customHeight="true" outlineLevel="0" collapsed="false">
      <c r="A46" s="1" t="s">
        <v>513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121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1220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666.67</v>
      </c>
      <c r="N48" s="16" t="n">
        <f aca="false">SUMIFS(Report!$U:$U,Report!$T:$T,$A48,Report!$C:$C,"&gt;="&amp;DATE(2026,12,1),Report!$C:$C,"&lt;="&amp;DATE(2026,12,31))</f>
        <v>666.67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3855.85</v>
      </c>
    </row>
    <row r="49" customFormat="false" ht="12.75" hidden="false" customHeight="true" outlineLevel="0" collapsed="false">
      <c r="A49" s="1" t="s">
        <v>113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800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3160</v>
      </c>
    </row>
    <row r="50" customFormat="false" ht="13.5" hidden="false" customHeight="true" outlineLevel="0" collapsed="false">
      <c r="A50" s="1" t="s">
        <v>1367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40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2120</v>
      </c>
      <c r="I51" s="16" t="n">
        <f aca="false">SUMIFS(Report!$U:$U,Report!$T:$T,$A51,Report!$C:$C,"&gt;="&amp;DATE(2026,7,1),Report!$C:$C,"&lt;="&amp;DATE(2026,7,31))</f>
        <v>3250</v>
      </c>
      <c r="J51" s="16" t="n">
        <f aca="false">SUMIFS(Report!$U:$U,Report!$T:$T,$A51,Report!$C:$C,"&gt;="&amp;DATE(2026,8,1),Report!$C:$C,"&lt;="&amp;DATE(2026,8,31))</f>
        <v>3660</v>
      </c>
      <c r="K51" s="16" t="n">
        <f aca="false">SUMIFS(Report!$U:$U,Report!$T:$T,$A51,Report!$C:$C,"&gt;="&amp;DATE(2026,9,1),Report!$C:$C,"&lt;="&amp;DATE(2026,9,30))</f>
        <v>170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9200</v>
      </c>
    </row>
    <row r="52" customFormat="false" ht="13.5" hidden="false" customHeight="true" outlineLevel="0" collapsed="false">
      <c r="A52" s="29" t="s">
        <v>543</v>
      </c>
      <c r="B52" s="29" t="str">
        <f aca="false">IFERROR(INDEX('Resumo Grupos'!$AC$3:$AC$200,MATCH($A52,'Resumo Grupos'!$AB$3:$AB$200,0)),"n/d")</f>
        <v>Salários</v>
      </c>
      <c r="C52" s="25" t="n">
        <f aca="false">SUMIFS(Report!$U:$U,Report!$T:$T,$A52,Report!$C:$C,"&gt;="&amp;DATE(2026,1,1),Report!$C:$C,"&lt;="&amp;DATE(2026,1,31))</f>
        <v>0</v>
      </c>
      <c r="D52" s="25" t="n">
        <f aca="false">SUMIFS(Report!$U:$U,Report!$T:$T,$A52,Report!$C:$C,"&gt;="&amp;DATE(2026,2,1),Report!$C:$C,"&lt;="&amp;DATE(2026,2,28))</f>
        <v>0</v>
      </c>
      <c r="E52" s="25" t="n">
        <f aca="false">SUMIFS(Report!$U:$U,Report!$T:$T,$A52,Report!$C:$C,"&gt;="&amp;DATE(2026,3,1),Report!$C:$C,"&lt;="&amp;DATE(2026,3,31))</f>
        <v>0</v>
      </c>
      <c r="F52" s="25" t="n">
        <f aca="false">SUMIFS(Report!$U:$U,Report!$T:$T,$A52,Report!$C:$C,"&gt;="&amp;DATE(2026,4,1),Report!$C:$C,"&lt;="&amp;DATE(2026,4,30))</f>
        <v>0</v>
      </c>
      <c r="G52" s="25" t="n">
        <f aca="false">SUMIFS(Report!$U:$U,Report!$T:$T,$A52,Report!$C:$C,"&gt;="&amp;DATE(2026,5,1),Report!$C:$C,"&lt;="&amp;DATE(2026,5,31))</f>
        <v>0</v>
      </c>
      <c r="H52" s="25" t="n">
        <f aca="false">SUMIFS(Report!$U:$U,Report!$T:$T,$A52,Report!$C:$C,"&gt;="&amp;DATE(2026,6,1),Report!$C:$C,"&lt;="&amp;DATE(2026,6,30))</f>
        <v>50</v>
      </c>
      <c r="I52" s="25" t="n">
        <f aca="false">SUMIFS(Report!$U:$U,Report!$T:$T,$A52,Report!$C:$C,"&gt;="&amp;DATE(2026,7,1),Report!$C:$C,"&lt;="&amp;DATE(2026,7,31))</f>
        <v>50</v>
      </c>
      <c r="J52" s="25" t="n">
        <f aca="false">SUMIFS(Report!$U:$U,Report!$T:$T,$A52,Report!$C:$C,"&gt;="&amp;DATE(2026,8,1),Report!$C:$C,"&lt;="&amp;DATE(2026,8,31))</f>
        <v>100</v>
      </c>
      <c r="K52" s="25" t="n">
        <f aca="false">SUMIFS(Report!$U:$U,Report!$T:$T,$A52,Report!$C:$C,"&gt;="&amp;DATE(2026,9,1),Report!$C:$C,"&lt;="&amp;DATE(2026,9,30))</f>
        <v>0</v>
      </c>
      <c r="L52" s="25" t="n">
        <f aca="false">SUMIFS(Report!$U:$U,Report!$T:$T,$A52,Report!$C:$C,"&gt;="&amp;DATE(2026,10,1),Report!$C:$C,"&lt;="&amp;DATE(2026,10,31))</f>
        <v>0</v>
      </c>
      <c r="M52" s="25" t="n">
        <f aca="false">SUMIFS(Report!$U:$U,Report!$T:$T,$A52,Report!$C:$C,"&gt;="&amp;DATE(2026,11,1),Report!$C:$C,"&lt;="&amp;DATE(2026,11,30))</f>
        <v>0</v>
      </c>
      <c r="N52" s="25" t="n">
        <f aca="false">SUMIFS(Report!$U:$U,Report!$T:$T,$A52,Report!$C:$C,"&gt;="&amp;DATE(2026,12,1),Report!$C:$C,"&lt;="&amp;DATE(2026,12,31))</f>
        <v>0</v>
      </c>
      <c r="O52" s="25" t="n">
        <f aca="false">SUMIFS(Report!$U:$U,Report!$T:$T,$A52,Report!$C:$C,"&gt;="&amp;DATE(2027,1,1),Report!$C:$C,"&lt;="&amp;DATE(2027,1,31))</f>
        <v>0</v>
      </c>
      <c r="P52" s="25" t="n">
        <f aca="false">SUMIFS(Report!$U:$U,Report!$T:$T,$A52,Report!$C:$C,"&gt;="&amp;DATE(2027,2,1),Report!$C:$C,"&lt;="&amp;DATE(2027,2,28))</f>
        <v>0</v>
      </c>
      <c r="Q52" s="25" t="n">
        <f aca="false">SUMIFS(Report!$U:$U,Report!$T:$T,$A52,Report!$C:$C,"&gt;="&amp;DATE(2027,3,1),Report!$C:$C,"&lt;="&amp;DATE(2027,3,31))</f>
        <v>0</v>
      </c>
      <c r="R52" s="25" t="n">
        <f aca="false">SUMIFS(Report!$U:$U,Report!$T:$T,$A52,Report!$C:$C,"&gt;="&amp;DATE(2027,4,1),Report!$C:$C,"&lt;="&amp;DATE(2027,4,30))</f>
        <v>0</v>
      </c>
      <c r="S52" s="25" t="n">
        <f aca="false">SUMIFS(Report!$U:$U,Report!$T:$T,$A52,Report!$C:$C,"&gt;="&amp;DATE(2027,5,1),Report!$C:$C,"&lt;="&amp;DATE(2027,5,31))</f>
        <v>0</v>
      </c>
      <c r="T52" s="25" t="n">
        <f aca="false">SUMIFS(Report!$U:$U,Report!$T:$T,$A52,Report!$C:$C,"&gt;="&amp;DATE(2027,6,1),Report!$C:$C,"&lt;="&amp;DATE(2027,6,30))</f>
        <v>0</v>
      </c>
      <c r="U52" s="25" t="n">
        <f aca="false">SUMIFS(Report!$U:$U,Report!$T:$T,$A52,Report!$C:$C,"&gt;="&amp;DATE(2027,7,1),Report!$C:$C,"&lt;="&amp;DATE(2027,7,31))</f>
        <v>0</v>
      </c>
      <c r="V52" s="25" t="n">
        <f aca="false">SUMIFS(Report!$U:$U,Report!$T:$T,$A52,Report!$C:$C,"&gt;="&amp;DATE(2027,8,1),Report!$C:$C,"&lt;="&amp;DATE(2027,8,31))</f>
        <v>0</v>
      </c>
      <c r="W52" s="25" t="n">
        <f aca="false">SUMIFS(Report!$U:$U,Report!$T:$T,$A52,Report!$C:$C,"&gt;="&amp;DATE(2027,9,1),Report!$C:$C,"&lt;="&amp;DATE(2027,9,30))</f>
        <v>0</v>
      </c>
      <c r="X52" s="25" t="n">
        <f aca="false">SUMIFS(Report!$U:$U,Report!$T:$T,$A52,Report!$C:$C,"&gt;="&amp;DATE(2027,10,1),Report!$C:$C,"&lt;="&amp;DATE(2027,10,31))</f>
        <v>0</v>
      </c>
      <c r="Y52" s="25" t="n">
        <f aca="false">SUMIFS(Report!$U:$U,Report!$T:$T,$A52,Report!$C:$C,"&gt;="&amp;DATE(2027,11,1),Report!$C:$C,"&lt;="&amp;DATE(2027,11,30))</f>
        <v>0</v>
      </c>
      <c r="Z52" s="25" t="n">
        <f aca="false">SUMIFS(Report!$U:$U,Report!$T:$T,$A52,Report!$C:$C,"&gt;="&amp;DATE(2027,12,1),Report!$C:$C,"&lt;="&amp;DATE(2027,12,31))</f>
        <v>0</v>
      </c>
      <c r="AA52" s="25" t="n">
        <f aca="false">SUM(C52:Z52)</f>
        <v>200</v>
      </c>
    </row>
    <row r="53" customFormat="false" ht="12.75" hidden="false" customHeight="true" outlineLevel="0" collapsed="false">
      <c r="A53" s="1" t="s">
        <v>44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65330</v>
      </c>
      <c r="I53" s="16" t="n">
        <f aca="false">SUMIFS(Report!$U:$U,Report!$T:$T,$A53,Report!$C:$C,"&gt;="&amp;DATE(2026,7,1),Report!$C:$C,"&lt;="&amp;DATE(2026,7,31))</f>
        <v>52179.32</v>
      </c>
      <c r="J53" s="16" t="n">
        <f aca="false">SUMIFS(Report!$U:$U,Report!$T:$T,$A53,Report!$C:$C,"&gt;="&amp;DATE(2026,8,1),Report!$C:$C,"&lt;="&amp;DATE(2026,8,31))</f>
        <v>0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117509.32</v>
      </c>
    </row>
    <row r="54" customFormat="false" ht="12.75" hidden="false" customHeight="true" outlineLevel="0" collapsed="false">
      <c r="A54" s="1" t="s">
        <v>55</v>
      </c>
      <c r="B54" s="1" t="str">
        <f aca="false">IFERROR(INDEX('Resumo Grupos'!$AC$3:$AC$200,MATCH($A54,'Resumo Grupos'!$AB$3:$AB$200,0)),"n/d")</f>
        <v>Cobertura de conta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0</v>
      </c>
      <c r="I54" s="16" t="n">
        <f aca="false">SUMIFS(Report!$U:$U,Report!$T:$T,$A54,Report!$C:$C,"&gt;="&amp;DATE(2026,7,1),Report!$C:$C,"&lt;="&amp;DATE(2026,7,31))</f>
        <v>0</v>
      </c>
      <c r="J54" s="16" t="n">
        <f aca="false">SUMIFS(Report!$U:$U,Report!$T:$T,$A54,Report!$C:$C,"&gt;="&amp;DATE(2026,8,1),Report!$C:$C,"&lt;="&amp;DATE(2026,8,31))</f>
        <v>1776.82</v>
      </c>
      <c r="K54" s="16" t="n">
        <f aca="false">SUMIFS(Report!$U:$U,Report!$T:$T,$A54,Report!$C:$C,"&gt;="&amp;DATE(2026,9,1),Report!$C:$C,"&lt;="&amp;DATE(2026,9,30))</f>
        <v>0</v>
      </c>
      <c r="L54" s="16" t="n">
        <f aca="false">SUMIFS(Report!$U:$U,Report!$T:$T,$A54,Report!$C:$C,"&gt;="&amp;DATE(2026,10,1),Report!$C:$C,"&lt;="&amp;DATE(2026,10,31))</f>
        <v>0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1776.82</v>
      </c>
    </row>
    <row r="55" customFormat="false" ht="12.75" hidden="false" customHeight="true" outlineLevel="0" collapsed="false">
      <c r="A55" s="1" t="s">
        <v>1670</v>
      </c>
      <c r="AA55" s="16" t="n">
        <f aca="false">SUM(AA2:AA54)</f>
        <v>1531724.09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1690</v>
      </c>
      <c r="B1" s="32" t="n">
        <f aca="false">SUMIFS(Report!$U:$U,Report!$T:$T,"&lt;&gt;"&amp;"MERCADORIAS P/REVENDA",Report!$AA:$AA,"SIM",Report!$C:$C,"&gt;="&amp;DATE(2026,1,1),Report!$C:$C,"&lt;="&amp;DATE(2027,12,31))</f>
        <v>502073.09</v>
      </c>
      <c r="C1" s="32" t="n">
        <f aca="false">SUMIFS(Report!$U:$U,Report!$T:$T,"MERCADORIAS P/REVENDA",Report!$AA:$AA,"SIM",Report!$C:$C,"&gt;="&amp;DATE(2026,1,1),Report!$C:$C,"&lt;="&amp;DATE(2027,12,31))</f>
        <v>1029651</v>
      </c>
      <c r="D1" s="33" t="s">
        <v>1691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1531724.09</v>
      </c>
      <c r="H1" s="1"/>
      <c r="I1" s="16"/>
    </row>
    <row r="2" customFormat="false" ht="12.75" hidden="false" customHeight="true" outlineLevel="0" collapsed="false">
      <c r="A2" s="19" t="s">
        <v>1692</v>
      </c>
      <c r="B2" s="21" t="s">
        <v>1643</v>
      </c>
      <c r="C2" s="21" t="s">
        <v>1644</v>
      </c>
      <c r="D2" s="33" t="s">
        <v>1693</v>
      </c>
      <c r="E2" s="32" t="n">
        <f aca="false">F1+E1</f>
        <v>1531724.09</v>
      </c>
      <c r="F2" s="21" t="s">
        <v>1694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9177.25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58240.6</v>
      </c>
      <c r="D280" s="29"/>
      <c r="E280" s="29"/>
      <c r="F280" s="25" t="n">
        <f aca="false">B280+C280</f>
        <v>74624.24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4362.97</v>
      </c>
      <c r="C281" s="16" t="n">
        <f aca="false">SUMIFS(Report!$U:$U,Report!$T:$T,"MERCADORIAS P/REVENDA",Report!$AA:$AA,"SIM",Report!$C:$C,A281)</f>
        <v>20569.82</v>
      </c>
      <c r="F281" s="16" t="n">
        <f aca="false">B281+C281</f>
        <v>24932.79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12499.02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10777.1</v>
      </c>
      <c r="C288" s="25" t="n">
        <f aca="false">SUM(C281:C287)</f>
        <v>64873.41</v>
      </c>
      <c r="D288" s="29"/>
      <c r="E288" s="29"/>
      <c r="F288" s="25" t="n">
        <f aca="false">B288+C288</f>
        <v>75650.51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19772.7</v>
      </c>
      <c r="F289" s="16" t="n">
        <f aca="false">B289+C289</f>
        <v>19772.7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10666.63</v>
      </c>
      <c r="F291" s="16" t="n">
        <f aca="false">B291+C291</f>
        <v>12320.4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2986.32</v>
      </c>
      <c r="C296" s="25" t="n">
        <f aca="false">SUM(C289:C295)</f>
        <v>59776.82</v>
      </c>
      <c r="D296" s="29"/>
      <c r="E296" s="29"/>
      <c r="F296" s="25" t="n">
        <f aca="false">B296+C296</f>
        <v>62763.14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6656.15</v>
      </c>
      <c r="F297" s="16" t="n">
        <f aca="false">B297+C297</f>
        <v>12585.03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6687.53</v>
      </c>
      <c r="F298" s="16" t="n">
        <f aca="false">B298+C298</f>
        <v>6745.53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26398.39</v>
      </c>
      <c r="D304" s="29"/>
      <c r="E304" s="29"/>
      <c r="F304" s="25" t="n">
        <f aca="false">B304+C304</f>
        <v>34699.29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13085.95</v>
      </c>
      <c r="D312" s="29"/>
      <c r="E312" s="29"/>
      <c r="F312" s="25" t="n">
        <f aca="false">B312+C312</f>
        <v>29811.43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2232.37</v>
      </c>
      <c r="C320" s="25" t="n">
        <f aca="false">SUM(C313:C319)</f>
        <v>1859.99</v>
      </c>
      <c r="D320" s="29"/>
      <c r="E320" s="29"/>
      <c r="F320" s="25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378.82</v>
      </c>
      <c r="C352" s="25" t="n">
        <f aca="false">SUM(C345:C351)</f>
        <v>0</v>
      </c>
      <c r="D352" s="29"/>
      <c r="E352" s="29"/>
      <c r="F352" s="25" t="n">
        <f aca="false">B352+C352</f>
        <v>378.82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4248.31</v>
      </c>
      <c r="C384" s="25" t="n">
        <f aca="false">SUM(C377:C383)</f>
        <v>0</v>
      </c>
      <c r="D384" s="29"/>
      <c r="E384" s="29"/>
      <c r="F384" s="25" t="n">
        <f aca="false">B384+C384</f>
        <v>4248.31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1695</v>
      </c>
      <c r="B1" s="38"/>
      <c r="C1" s="38"/>
      <c r="D1" s="38"/>
    </row>
    <row r="2" customFormat="false" ht="12.75" hidden="false" customHeight="true" outlineLevel="0" collapsed="false">
      <c r="A2" s="39" t="s">
        <v>1696</v>
      </c>
      <c r="B2" s="39"/>
      <c r="C2" s="39"/>
      <c r="D2" s="39"/>
    </row>
    <row r="4" customFormat="false" ht="24.75" hidden="false" customHeight="true" outlineLevel="0" collapsed="false">
      <c r="A4" s="40" t="s">
        <v>1642</v>
      </c>
      <c r="B4" s="40" t="s">
        <v>1697</v>
      </c>
      <c r="C4" s="40" t="s">
        <v>1698</v>
      </c>
    </row>
    <row r="5" customFormat="false" ht="12.75" hidden="false" customHeight="true" outlineLevel="0" collapsed="false">
      <c r="A5" s="41" t="s">
        <v>1646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1647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1648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1649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1650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1651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1652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1653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1654</v>
      </c>
      <c r="B13" s="41" t="n">
        <v>2026</v>
      </c>
      <c r="C13" s="43" t="n">
        <v>45245.94</v>
      </c>
    </row>
    <row r="14" customFormat="false" ht="13.5" hidden="false" customHeight="true" outlineLevel="0" collapsed="false">
      <c r="A14" s="41" t="s">
        <v>1655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1656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1657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1699</v>
      </c>
      <c r="B18" s="44"/>
      <c r="C18" s="45" t="n">
        <v>46269.4313541667</v>
      </c>
    </row>
    <row r="19" customFormat="false" ht="12.75" hidden="false" customHeight="true" outlineLevel="0" collapsed="false">
      <c r="A19" s="1" t="s">
        <v>1700</v>
      </c>
      <c r="C19" s="46" t="n">
        <f aca="false">IF(ISNUMBER(INDEX($C$5:$C$16,MONTH($C$18))),(INDEX($C$5:$C$16,MONTH($C$18))/DAY($C$18))*DAY(EOMONTH($C$18,0)),"")</f>
        <v>339344.55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1701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0" width="14"/>
    <col collapsed="false" customWidth="true" hidden="false" outlineLevel="0" max="13" min="13" style="0" width="18"/>
  </cols>
  <sheetData>
    <row r="1" customFormat="false" ht="17.25" hidden="false" customHeight="true" outlineLevel="0" collapsed="false">
      <c r="A1" s="49" t="s">
        <v>1702</v>
      </c>
    </row>
    <row r="3" customFormat="false" ht="12.75" hidden="false" customHeight="true" outlineLevel="0" collapsed="false">
      <c r="A3" s="22" t="s">
        <v>1703</v>
      </c>
      <c r="E3" s="50" t="n">
        <v>0.7</v>
      </c>
      <c r="F3" s="51" t="s">
        <v>1704</v>
      </c>
      <c r="G3" s="51" t="s">
        <v>1705</v>
      </c>
      <c r="H3" s="51" t="s">
        <v>1706</v>
      </c>
      <c r="I3" s="51" t="s">
        <v>1707</v>
      </c>
      <c r="J3" s="51" t="s">
        <v>1708</v>
      </c>
      <c r="K3" s="51" t="s">
        <v>1709</v>
      </c>
      <c r="L3" s="51" t="s">
        <v>1710</v>
      </c>
      <c r="M3" s="51" t="s">
        <v>1711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1642</v>
      </c>
      <c r="B6" s="27" t="s">
        <v>1712</v>
      </c>
      <c r="C6" s="27" t="s">
        <v>1713</v>
      </c>
      <c r="D6" s="27" t="s">
        <v>1714</v>
      </c>
      <c r="E6" s="27" t="s">
        <v>1715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2" t="s">
        <v>1646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" t="n">
        <f aca="false">IFERROR(B7-D7-L7,"")</f>
        <v>306569.53</v>
      </c>
    </row>
    <row r="8" customFormat="false" ht="12.75" hidden="false" customHeight="true" outlineLevel="0" collapsed="false">
      <c r="A8" s="22" t="s">
        <v>1647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" t="n">
        <f aca="false">IFERROR(B8-D8-L8,"")</f>
        <v>298653.71</v>
      </c>
    </row>
    <row r="9" customFormat="false" ht="12.75" hidden="false" customHeight="true" outlineLevel="0" collapsed="false">
      <c r="A9" s="22" t="s">
        <v>1648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" t="n">
        <f aca="false">IFERROR(B9-D9-L9,"")</f>
        <v>344581.2</v>
      </c>
    </row>
    <row r="10" customFormat="false" ht="12.75" hidden="false" customHeight="true" outlineLevel="0" collapsed="false">
      <c r="A10" s="22" t="s">
        <v>1649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" t="n">
        <f aca="false">IFERROR(B10-D10-L10,"")</f>
        <v>333926.29</v>
      </c>
    </row>
    <row r="11" customFormat="false" ht="12.75" hidden="false" customHeight="true" outlineLevel="0" collapsed="false">
      <c r="A11" s="22" t="s">
        <v>1650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" t="n">
        <f aca="false">IFERROR(B11-D11-L11,"")</f>
        <v>363676.33</v>
      </c>
    </row>
    <row r="12" customFormat="false" ht="12.75" hidden="false" customHeight="true" outlineLevel="0" collapsed="false">
      <c r="A12" s="22" t="s">
        <v>1651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" t="n">
        <f aca="false">IFERROR(B12-D12-L12,"")</f>
        <v>-112991.04</v>
      </c>
    </row>
    <row r="13" customFormat="false" ht="12.75" hidden="false" customHeight="true" outlineLevel="0" collapsed="false">
      <c r="A13" s="22" t="s">
        <v>1652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" t="n">
        <f aca="false">IFERROR(B13-D13-L13,"")</f>
        <v>-60621.61</v>
      </c>
    </row>
    <row r="14" customFormat="false" ht="12.75" hidden="false" customHeight="true" outlineLevel="0" collapsed="false">
      <c r="A14" s="22" t="s">
        <v>1653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283253.63</v>
      </c>
      <c r="E14" s="16" t="n">
        <f aca="false">IF(AND(ISNUMBER(C14),D14&gt;0),D14-C14,"")</f>
        <v>9589.967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21.5391211329947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178143.99</v>
      </c>
      <c r="K14" s="1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" t="n">
        <f aca="false">IFERROR(B14-D14-L14,"")</f>
        <v>23595.83</v>
      </c>
    </row>
    <row r="15" customFormat="false" ht="12.75" hidden="false" customHeight="true" outlineLevel="0" collapsed="false">
      <c r="A15" s="22" t="s">
        <v>1654</v>
      </c>
      <c r="B15" s="16" t="n">
        <f aca="false">IFERROR(INDEX('Venda Anual (Base)'!$C$5:$C$16,MATCH($A15,'Venda Anual (Base)'!$A$5:$A$16,0)),"")</f>
        <v>45245.94</v>
      </c>
      <c r="C15" s="16" t="n">
        <f aca="false">(B14*$E$3)</f>
        <v>276163.832</v>
      </c>
      <c r="D15" s="16" t="n">
        <f aca="false">IFERROR(INDEX('Resumo Mensal'!$C$2:$C$25,MATCH($A15,'Resumo Mensal'!$A$2:$A$25,0)),0)</f>
        <v>165355.81</v>
      </c>
      <c r="E15" s="16" t="n">
        <f aca="false">IF(AND(ISNUMBER(C15),D15&gt;0),D15-C15,"")</f>
        <v>-110808.022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109.637998459088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0</v>
      </c>
      <c r="K15" s="1" t="n">
        <f aca="false">IF($A15=INDEX('Venda Anual (Base)'!$A$5:$A$16,MONTH('Venda Anual (Base)'!$C$18)),IFERROR(B15/DAY('Venda Anual (Base)'!$C$18)*DAY(EOMONTH('Venda Anual (Base)'!$C$18,0)),""),"")</f>
        <v>339344.55</v>
      </c>
      <c r="L15" s="16" t="n">
        <f aca="false">('Resumo Grupos'!J13)</f>
        <v>38789.8</v>
      </c>
      <c r="M15" s="1" t="n">
        <f aca="false">IFERROR(B15-D15-L15,"")</f>
        <v>-158899.67</v>
      </c>
    </row>
    <row r="16" customFormat="false" ht="12.75" hidden="false" customHeight="true" outlineLevel="0" collapsed="false">
      <c r="A16" s="22" t="s">
        <v>1655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31672.158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-31033.408</v>
      </c>
      <c r="F16" s="60" t="n">
        <f aca="false">IF(AND(ISNUMBER(B15),ISNUMBER(B14),B14&lt;&gt;0),B15/B14,"")</f>
        <v>0.114686118636998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3632.35686987775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14855.63</v>
      </c>
      <c r="M16" s="1" t="n">
        <f aca="false">IFERROR(B16-D16-L16,"")</f>
        <v>-15494.38</v>
      </c>
    </row>
    <row r="17" customFormat="false" ht="12.75" hidden="false" customHeight="true" outlineLevel="0" collapsed="false">
      <c r="A17" s="22" t="s">
        <v>1656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6" t="n">
        <f aca="false">IF(C17="","",IF(AND(F17&lt;&gt;"",F17&lt;1),C17*F17,C17))</f>
        <v>0</v>
      </c>
      <c r="J17" s="46" t="n">
        <f aca="false">SUMIFS('Notas Fiscais (Rel 19)'!$K:$K,'Notas Fiscais (Rel 19)'!$E:$E,"&gt;="&amp;DATE(2026,11,1),'Notas Fiscais (Rel 19)'!$E:$E,"&lt;="&amp;DATE(2026,11,30))</f>
        <v>0</v>
      </c>
      <c r="K17" s="1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11720.05</v>
      </c>
      <c r="M17" s="1" t="n">
        <f aca="false">IFERROR(B17-D17-L17,"")</f>
        <v>-11720.05</v>
      </c>
    </row>
    <row r="18" customFormat="false" ht="12.75" hidden="false" customHeight="true" outlineLevel="0" collapsed="false">
      <c r="A18" s="22" t="s">
        <v>1657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6" t="n">
        <f aca="false">IF(C18="","",IF(AND(F18&lt;&gt;"",F18&lt;1),C18*F18,C18))</f>
        <v>0</v>
      </c>
      <c r="J18" s="46" t="n">
        <f aca="false">SUMIFS('Notas Fiscais (Rel 19)'!$K:$K,'Notas Fiscais (Rel 19)'!$E:$E,"&gt;="&amp;DATE(2026,12,1),'Notas Fiscais (Rel 19)'!$E:$E,"&lt;="&amp;DATE(2026,12,31))</f>
        <v>0</v>
      </c>
      <c r="K18" s="1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" t="n">
        <f aca="false">IFERROR(B18-D18-L18,"")</f>
        <v>-12315.95</v>
      </c>
    </row>
    <row r="19" customFormat="false" ht="12.75" hidden="false" customHeight="true" outlineLevel="0" collapsed="false">
      <c r="A19" s="58" t="s">
        <v>1670</v>
      </c>
      <c r="B19" s="30" t="n">
        <f aca="false">SUM(B7:B18)</f>
        <v>2830684.28</v>
      </c>
      <c r="C19" s="30" t="n">
        <f aca="false">SUM(C7:C18)</f>
        <v>1981478.996</v>
      </c>
      <c r="D19" s="30" t="n">
        <f aca="false">SUM(D7:D18)</f>
        <v>1029651</v>
      </c>
      <c r="E19" s="30" t="n">
        <f aca="false">IF(COUNT(E7:E18)=0,"sem dados comparaveis ainda",SUM(E7:E18))</f>
        <v>-53216.485</v>
      </c>
      <c r="F19" s="65" t="n">
        <f aca="false">SUM(F7:F18)</f>
        <v>7.38826940126637</v>
      </c>
      <c r="G19" s="64"/>
      <c r="I19" s="46" t="n">
        <f aca="false">SUM(I7:I18)</f>
        <v>1933272.05746007</v>
      </c>
      <c r="J19" s="46" t="n">
        <f aca="false">SUM(J7:J18)</f>
        <v>794813.44</v>
      </c>
      <c r="K19" s="1" t="n">
        <f aca="false">SUM(K7:K18)</f>
        <v>339344.55</v>
      </c>
      <c r="L19" s="1" t="n">
        <f aca="false">SUM(L7:L18)</f>
        <v>502073.09</v>
      </c>
      <c r="M19" s="1" t="n">
        <f aca="false">SUM(M7:M18)</f>
        <v>1298960.19</v>
      </c>
    </row>
    <row r="21" customFormat="false" ht="12.75" hidden="false" customHeight="true" outlineLevel="0" collapsed="false">
      <c r="A21" s="22" t="s">
        <v>1716</v>
      </c>
    </row>
    <row r="23" customFormat="false" ht="12.75" hidden="false" customHeight="true" outlineLevel="0" collapsed="false">
      <c r="A23" s="22" t="s">
        <v>1717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1718</v>
      </c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1723</v>
      </c>
      <c r="G1" s="1" t="s">
        <v>1724</v>
      </c>
      <c r="H1" s="1" t="s">
        <v>1725</v>
      </c>
      <c r="I1" s="1" t="s">
        <v>1726</v>
      </c>
      <c r="J1" s="1" t="s">
        <v>1727</v>
      </c>
      <c r="K1" s="1" t="s">
        <v>1728</v>
      </c>
      <c r="N1" s="66" t="s">
        <v>1692</v>
      </c>
      <c r="O1" s="66" t="s">
        <v>1729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1730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1731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1732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1731</v>
      </c>
      <c r="K3" s="46" t="n">
        <v>305.12</v>
      </c>
      <c r="N3" s="15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1732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1731</v>
      </c>
      <c r="K4" s="46" t="n">
        <v>319.14</v>
      </c>
      <c r="N4" s="15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1732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1731</v>
      </c>
      <c r="K5" s="46" t="n">
        <v>225.8</v>
      </c>
      <c r="N5" s="15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1733</v>
      </c>
      <c r="D6" s="1" t="s">
        <v>1734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1731</v>
      </c>
      <c r="K6" s="46" t="n">
        <v>172</v>
      </c>
      <c r="N6" s="15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1735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1731</v>
      </c>
      <c r="K7" s="46" t="n">
        <v>3329</v>
      </c>
      <c r="N7" s="15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1736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1731</v>
      </c>
      <c r="K8" s="46" t="n">
        <v>334.6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1737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1731</v>
      </c>
      <c r="K9" s="46" t="n">
        <v>449.5</v>
      </c>
      <c r="N9" s="15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1738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1731</v>
      </c>
      <c r="K10" s="46" t="n">
        <v>374.01</v>
      </c>
      <c r="N10" s="15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1739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1731</v>
      </c>
      <c r="K11" s="46" t="n">
        <v>180</v>
      </c>
      <c r="N11" s="15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1740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1731</v>
      </c>
      <c r="K12" s="46" t="n">
        <v>570</v>
      </c>
      <c r="N12" s="15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1741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1731</v>
      </c>
      <c r="K13" s="46" t="n">
        <v>337.08</v>
      </c>
      <c r="N13" s="15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1742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1731</v>
      </c>
      <c r="K14" s="46" t="n">
        <v>342.59</v>
      </c>
      <c r="N14" s="15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1733</v>
      </c>
      <c r="D15" s="1" t="s">
        <v>1734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1731</v>
      </c>
      <c r="K15" s="46" t="n">
        <v>130.5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1743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1731</v>
      </c>
      <c r="K16" s="46" t="n">
        <v>140</v>
      </c>
      <c r="N16" s="15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1744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1731</v>
      </c>
      <c r="K17" s="46" t="n">
        <v>195</v>
      </c>
      <c r="N17" s="15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1744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1731</v>
      </c>
      <c r="K18" s="46" t="n">
        <v>1465.86</v>
      </c>
      <c r="N18" s="15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1744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1731</v>
      </c>
      <c r="K19" s="46" t="n">
        <v>195</v>
      </c>
      <c r="N19" s="15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1744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1731</v>
      </c>
      <c r="K20" s="46" t="n">
        <v>1465.86</v>
      </c>
      <c r="N20" s="15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1745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1731</v>
      </c>
      <c r="K21" s="46" t="n">
        <v>209.7</v>
      </c>
      <c r="N21" s="15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1746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1731</v>
      </c>
      <c r="K22" s="46" t="n">
        <v>431.22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1732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1731</v>
      </c>
      <c r="K23" s="46" t="n">
        <v>552.17</v>
      </c>
      <c r="N23" s="15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1732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1731</v>
      </c>
      <c r="K24" s="46" t="n">
        <v>182.54</v>
      </c>
      <c r="N24" s="15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1732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1731</v>
      </c>
      <c r="K25" s="46" t="n">
        <v>953.47</v>
      </c>
      <c r="N25" s="15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1747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1731</v>
      </c>
      <c r="K26" s="46" t="n">
        <v>2264.85</v>
      </c>
      <c r="N26" s="15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1748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1731</v>
      </c>
      <c r="K27" s="46" t="n">
        <v>199</v>
      </c>
      <c r="N27" s="15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1740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1731</v>
      </c>
      <c r="K28" s="46" t="n">
        <v>950</v>
      </c>
      <c r="N28" s="15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1749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1731</v>
      </c>
      <c r="K29" s="46" t="n">
        <v>1600.8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1750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1731</v>
      </c>
      <c r="K30" s="46" t="n">
        <v>618.56</v>
      </c>
      <c r="N30" s="15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1733</v>
      </c>
      <c r="D31" s="1" t="s">
        <v>1734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1731</v>
      </c>
      <c r="K31" s="46" t="n">
        <v>133.5</v>
      </c>
      <c r="N31" s="15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1733</v>
      </c>
      <c r="D32" s="1" t="s">
        <v>1734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1731</v>
      </c>
      <c r="K32" s="46" t="n">
        <v>90</v>
      </c>
      <c r="N32" s="15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1733</v>
      </c>
      <c r="D33" s="1" t="s">
        <v>1734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1731</v>
      </c>
      <c r="K33" s="46" t="n">
        <v>81.5</v>
      </c>
      <c r="N33" s="15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1751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1731</v>
      </c>
      <c r="K34" s="46" t="n">
        <v>1169.23</v>
      </c>
      <c r="N34" s="15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1752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1731</v>
      </c>
      <c r="K35" s="46" t="n">
        <v>161</v>
      </c>
      <c r="N35" s="15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1743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1731</v>
      </c>
      <c r="K36" s="46" t="n">
        <v>140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1744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1731</v>
      </c>
      <c r="K37" s="46" t="n">
        <v>1281.95</v>
      </c>
      <c r="N37" s="15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1744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1731</v>
      </c>
      <c r="K38" s="46" t="n">
        <v>247</v>
      </c>
      <c r="N38" s="15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1744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1731</v>
      </c>
      <c r="K39" s="46" t="n">
        <v>1281.95</v>
      </c>
      <c r="N39" s="15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1744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1731</v>
      </c>
      <c r="K40" s="46" t="n">
        <v>247</v>
      </c>
      <c r="N40" s="15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1745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1731</v>
      </c>
      <c r="K41" s="46" t="n">
        <v>126.04</v>
      </c>
      <c r="N41" s="15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1736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1731</v>
      </c>
      <c r="K42" s="46" t="n">
        <v>282.25</v>
      </c>
      <c r="N42" s="15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1739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1731</v>
      </c>
      <c r="K43" s="46" t="n">
        <v>180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1732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1731</v>
      </c>
      <c r="K44" s="46" t="n">
        <v>219.97</v>
      </c>
      <c r="N44" s="15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1732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1731</v>
      </c>
      <c r="K45" s="46" t="n">
        <v>1134.74</v>
      </c>
      <c r="N45" s="15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1747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1731</v>
      </c>
      <c r="K46" s="46" t="n">
        <v>1068</v>
      </c>
      <c r="N46" s="15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1742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1731</v>
      </c>
      <c r="K47" s="46" t="n">
        <v>333.54</v>
      </c>
      <c r="N47" s="15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1733</v>
      </c>
      <c r="D48" s="1" t="s">
        <v>1734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1731</v>
      </c>
      <c r="K48" s="46" t="n">
        <v>232</v>
      </c>
      <c r="N48" s="15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1733</v>
      </c>
      <c r="D49" s="1" t="s">
        <v>1734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1731</v>
      </c>
      <c r="K49" s="46" t="n">
        <v>72</v>
      </c>
      <c r="N49" s="15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1753</v>
      </c>
      <c r="E50" s="15" t="n">
        <v>46181</v>
      </c>
      <c r="F50" s="15" t="n">
        <v>46180</v>
      </c>
      <c r="G50" s="1" t="s">
        <v>1754</v>
      </c>
      <c r="H50" s="1" t="n">
        <v>1223267</v>
      </c>
      <c r="I50" s="1" t="n">
        <v>1</v>
      </c>
      <c r="J50" s="1" t="s">
        <v>1731</v>
      </c>
      <c r="K50" s="46" t="n">
        <v>688.3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1755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1731</v>
      </c>
      <c r="K51" s="46" t="n">
        <v>1049.39</v>
      </c>
      <c r="N51" s="15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1756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1731</v>
      </c>
      <c r="K52" s="46" t="n">
        <v>5728.5</v>
      </c>
      <c r="N52" s="15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1743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1731</v>
      </c>
      <c r="K53" s="46" t="n">
        <v>140</v>
      </c>
      <c r="N53" s="15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1744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1731</v>
      </c>
      <c r="K54" s="46" t="n">
        <v>180</v>
      </c>
      <c r="N54" s="15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1744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1731</v>
      </c>
      <c r="K55" s="46" t="n">
        <v>195</v>
      </c>
      <c r="N55" s="15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1744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1731</v>
      </c>
      <c r="K56" s="46" t="n">
        <v>180</v>
      </c>
      <c r="N56" s="15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1744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1731</v>
      </c>
      <c r="K57" s="46" t="n">
        <v>195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1736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1731</v>
      </c>
      <c r="K58" s="46" t="n">
        <v>307.2</v>
      </c>
      <c r="N58" s="15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1737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1731</v>
      </c>
      <c r="K59" s="46" t="n">
        <v>561.5</v>
      </c>
      <c r="N59" s="15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1749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1731</v>
      </c>
      <c r="K60" s="46" t="n">
        <v>3840</v>
      </c>
      <c r="N60" s="15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1739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1731</v>
      </c>
      <c r="K61" s="46" t="n">
        <v>180</v>
      </c>
      <c r="N61" s="15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1757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1731</v>
      </c>
      <c r="K62" s="46" t="n">
        <v>909.57</v>
      </c>
      <c r="N62" s="15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1758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1731</v>
      </c>
      <c r="K63" s="46" t="n">
        <v>796.16</v>
      </c>
      <c r="N63" s="15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1744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1731</v>
      </c>
      <c r="K64" s="46" t="n">
        <v>1926.18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1744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1731</v>
      </c>
      <c r="K65" s="46" t="n">
        <v>1926.18</v>
      </c>
      <c r="N65" s="15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1759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1731</v>
      </c>
      <c r="K66" s="46" t="n">
        <v>460</v>
      </c>
      <c r="N66" s="15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1745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1731</v>
      </c>
      <c r="K67" s="46" t="n">
        <v>186.94</v>
      </c>
      <c r="N67" s="15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1760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1731</v>
      </c>
      <c r="K68" s="46" t="n">
        <v>1377</v>
      </c>
      <c r="N68" s="15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1761</v>
      </c>
      <c r="E69" s="15" t="n">
        <v>46183</v>
      </c>
      <c r="F69" s="15" t="n">
        <v>46179</v>
      </c>
      <c r="G69" s="1" t="s">
        <v>1762</v>
      </c>
      <c r="H69" s="1" t="n">
        <v>1231085</v>
      </c>
      <c r="I69" s="1" t="n">
        <v>1</v>
      </c>
      <c r="J69" s="1" t="s">
        <v>1731</v>
      </c>
      <c r="K69" s="46" t="n">
        <v>190.5</v>
      </c>
      <c r="N69" s="15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1763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1731</v>
      </c>
      <c r="K70" s="46" t="n">
        <v>338</v>
      </c>
      <c r="N70" s="15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1746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1731</v>
      </c>
      <c r="K71" s="46" t="n">
        <v>1927.2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1764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1731</v>
      </c>
      <c r="K72" s="46" t="n">
        <v>715.2</v>
      </c>
      <c r="N72" s="15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1733</v>
      </c>
      <c r="D73" s="1" t="s">
        <v>1734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1731</v>
      </c>
      <c r="K73" s="46" t="n">
        <v>171.5</v>
      </c>
      <c r="N73" s="15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1765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1731</v>
      </c>
      <c r="K74" s="46" t="n">
        <v>1101.98</v>
      </c>
      <c r="N74" s="15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1639</v>
      </c>
      <c r="D75" s="1" t="s">
        <v>1765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1731</v>
      </c>
      <c r="K75" s="46" t="n">
        <v>1844.15</v>
      </c>
      <c r="N75" s="15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1755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1731</v>
      </c>
      <c r="K76" s="46" t="n">
        <v>1474.13</v>
      </c>
      <c r="N76" s="15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1766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1731</v>
      </c>
      <c r="K77" s="46" t="n">
        <v>250</v>
      </c>
      <c r="N77" s="15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1767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1731</v>
      </c>
      <c r="K78" s="46" t="n">
        <v>160.32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1743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1731</v>
      </c>
      <c r="K79" s="46" t="n">
        <v>200</v>
      </c>
      <c r="N79" s="15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1768</v>
      </c>
      <c r="E80" s="15" t="n">
        <v>46183</v>
      </c>
      <c r="F80" s="15" t="n">
        <v>46182</v>
      </c>
      <c r="G80" s="1" t="s">
        <v>1769</v>
      </c>
      <c r="H80" s="1" t="n">
        <v>1232476</v>
      </c>
      <c r="I80" s="1" t="n">
        <v>1</v>
      </c>
      <c r="J80" s="1" t="s">
        <v>1731</v>
      </c>
      <c r="K80" s="46" t="n">
        <v>1837.1</v>
      </c>
      <c r="N80" s="15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1735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1731</v>
      </c>
      <c r="K81" s="46" t="n">
        <v>4433</v>
      </c>
      <c r="N81" s="15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1744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1731</v>
      </c>
      <c r="K82" s="46" t="n">
        <v>1094</v>
      </c>
      <c r="N82" s="15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1744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1731</v>
      </c>
      <c r="K83" s="46" t="n">
        <v>600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1744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1731</v>
      </c>
      <c r="K84" s="46" t="n">
        <v>1800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1744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1731</v>
      </c>
      <c r="K85" s="46" t="n">
        <v>195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1744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1731</v>
      </c>
      <c r="K86" s="46" t="n">
        <v>1094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1744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1731</v>
      </c>
      <c r="K87" s="46" t="n">
        <v>195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1744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1731</v>
      </c>
      <c r="K88" s="46" t="n">
        <v>600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1744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1731</v>
      </c>
      <c r="K89" s="46" t="n">
        <v>1800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1770</v>
      </c>
      <c r="D90" s="1" t="s">
        <v>1771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1731</v>
      </c>
      <c r="K90" s="46" t="n">
        <v>18322.09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1772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1731</v>
      </c>
      <c r="K91" s="46" t="n">
        <v>3870.5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1773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1731</v>
      </c>
      <c r="K92" s="46" t="n">
        <v>2512.45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1774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1731</v>
      </c>
      <c r="K93" s="46" t="n">
        <v>433.35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1774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1731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1742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1731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1775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1731</v>
      </c>
      <c r="K96" s="46" t="n">
        <v>3312.16</v>
      </c>
      <c r="N96" s="28" t="s">
        <v>1776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1777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1731</v>
      </c>
      <c r="K97" s="46" t="n">
        <v>345.7</v>
      </c>
      <c r="N97" s="66" t="s">
        <v>1642</v>
      </c>
      <c r="O97" s="66" t="s">
        <v>1778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1779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1731</v>
      </c>
      <c r="K98" s="46" t="n">
        <v>278</v>
      </c>
      <c r="N98" s="1" t="s">
        <v>1651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1780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1731</v>
      </c>
      <c r="K99" s="46" t="n">
        <v>734.33</v>
      </c>
      <c r="N99" s="1" t="s">
        <v>1652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1781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1731</v>
      </c>
      <c r="K100" s="46" t="n">
        <v>1366.12</v>
      </c>
      <c r="N100" s="1" t="s">
        <v>1653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1732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1731</v>
      </c>
      <c r="K101" s="46" t="n">
        <v>192.43</v>
      </c>
      <c r="N101" s="67" t="s">
        <v>1670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1732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1731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1732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1731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1732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1731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1782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1731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1741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1731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1742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1731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1783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1731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1784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1731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1748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1731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1744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1731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1744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1731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1744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1731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1744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1731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1745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1731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1785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1731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1736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1731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1739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1731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1740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1731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1775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1731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1733</v>
      </c>
      <c r="D121" s="1" t="s">
        <v>1734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1731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1786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1731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1787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1731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1788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1731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1789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1731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1770</v>
      </c>
      <c r="D126" s="1" t="s">
        <v>1771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1731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1790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1731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1790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1731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1747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1731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1791</v>
      </c>
      <c r="D130" s="1" t="s">
        <v>1792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1731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1793</v>
      </c>
      <c r="E131" s="15" t="n">
        <v>46188</v>
      </c>
      <c r="F131" s="15" t="n">
        <v>46178</v>
      </c>
      <c r="G131" s="1" t="s">
        <v>1794</v>
      </c>
      <c r="H131" s="1" t="n">
        <v>1255758</v>
      </c>
      <c r="I131" s="1" t="n">
        <v>11</v>
      </c>
      <c r="J131" s="1" t="s">
        <v>1731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1733</v>
      </c>
      <c r="D132" s="1" t="s">
        <v>1734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1731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1733</v>
      </c>
      <c r="D133" s="1" t="s">
        <v>1734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1731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1795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1731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1796</v>
      </c>
      <c r="D135" s="1" t="s">
        <v>1797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1731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1787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1731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1787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1731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1787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1731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1787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1731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1787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1731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1744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1731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1744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1731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1732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1731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1732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1731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1732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1731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1732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1731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1798</v>
      </c>
      <c r="E147" s="15" t="n">
        <v>46189</v>
      </c>
      <c r="F147" s="15" t="n">
        <v>46136</v>
      </c>
      <c r="G147" s="1" t="s">
        <v>1799</v>
      </c>
      <c r="H147" s="1" t="n">
        <v>1261713</v>
      </c>
      <c r="I147" s="1" t="n">
        <v>11</v>
      </c>
      <c r="J147" s="1" t="s">
        <v>1731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1775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1731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1775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1731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1800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1731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1801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1731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1744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1731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1744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1731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1745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1731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1802</v>
      </c>
      <c r="E155" s="15" t="n">
        <v>46189</v>
      </c>
      <c r="F155" s="15" t="n">
        <v>46139</v>
      </c>
      <c r="G155" s="1" t="s">
        <v>1803</v>
      </c>
      <c r="H155" s="1" t="n">
        <v>1261588</v>
      </c>
      <c r="I155" s="1" t="n">
        <v>39</v>
      </c>
      <c r="J155" s="1" t="s">
        <v>1731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1804</v>
      </c>
      <c r="E156" s="15" t="n">
        <v>46189</v>
      </c>
      <c r="F156" s="15" t="n">
        <v>46142</v>
      </c>
      <c r="G156" s="1" t="s">
        <v>1805</v>
      </c>
      <c r="H156" s="1" t="n">
        <v>1261842</v>
      </c>
      <c r="I156" s="1" t="n">
        <v>39</v>
      </c>
      <c r="J156" s="1" t="s">
        <v>1731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1806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1731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1807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1731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1740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1731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1746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1731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1791</v>
      </c>
      <c r="D161" s="1" t="s">
        <v>1792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1731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1733</v>
      </c>
      <c r="D162" s="1" t="s">
        <v>1734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1731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1765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1731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1808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1731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1809</v>
      </c>
      <c r="D165" s="1" t="s">
        <v>1810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1731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1744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1731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1744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1731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1811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1731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1788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1731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1736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1731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1737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1731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1812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1731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1813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1731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1814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1731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1732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1731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1732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1731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1815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1731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1764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1731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1764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1731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1816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1731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1817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1731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1800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1731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1755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1731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1748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1731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1735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1731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1796</v>
      </c>
      <c r="D186" s="1" t="s">
        <v>1818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1731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1796</v>
      </c>
      <c r="D187" s="1" t="s">
        <v>1818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1731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1819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1731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1761</v>
      </c>
      <c r="E189" s="15" t="n">
        <v>46195</v>
      </c>
      <c r="F189" s="15" t="n">
        <v>46192</v>
      </c>
      <c r="G189" s="1" t="s">
        <v>1762</v>
      </c>
      <c r="H189" s="1" t="n">
        <v>1289205</v>
      </c>
      <c r="I189" s="1" t="n">
        <v>1</v>
      </c>
      <c r="J189" s="1" t="s">
        <v>1731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1739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1731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1740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1731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1820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1731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1821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1731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1822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1731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1773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1731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1732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1731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1732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1731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1732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1731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1732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1731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1732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1731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1732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1731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1782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1731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1741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1731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1742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1731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1742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1731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1742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1731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1751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1731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1753</v>
      </c>
      <c r="E208" s="15" t="n">
        <v>46195</v>
      </c>
      <c r="F208" s="15" t="n">
        <v>46192</v>
      </c>
      <c r="G208" s="1" t="s">
        <v>1754</v>
      </c>
      <c r="H208" s="1" t="n">
        <v>1289146</v>
      </c>
      <c r="I208" s="1" t="n">
        <v>1</v>
      </c>
      <c r="J208" s="1" t="s">
        <v>1731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1752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1731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1744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1731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1744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1731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1744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1731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1744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1731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1811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1731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1823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1731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1824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1731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1737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1731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1825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1731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1749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1731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1749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1731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1826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1731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1738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1731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1739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1731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1791</v>
      </c>
      <c r="D224" s="1" t="s">
        <v>1792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1731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1783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1731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1827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1731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1733</v>
      </c>
      <c r="D227" s="1" t="s">
        <v>1734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1731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1733</v>
      </c>
      <c r="D228" s="1" t="s">
        <v>1734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1731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1733</v>
      </c>
      <c r="D229" s="1" t="s">
        <v>1734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1731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1744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1731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1744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1731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1745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1731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1828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1731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1829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1731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1829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1731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1829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1731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1829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1731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1746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1731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1830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1731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1755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1731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1768</v>
      </c>
      <c r="E241" s="15" t="n">
        <v>46197</v>
      </c>
      <c r="F241" s="15" t="n">
        <v>46196</v>
      </c>
      <c r="G241" s="1" t="s">
        <v>1769</v>
      </c>
      <c r="H241" s="1" t="n">
        <v>1299327</v>
      </c>
      <c r="I241" s="1" t="n">
        <v>1</v>
      </c>
      <c r="J241" s="1" t="s">
        <v>1731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1831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1731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1832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1731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1736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1731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1736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1731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1833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1731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1829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1731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1732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1731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1732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1731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1747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1731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1742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1731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1834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1731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1733</v>
      </c>
      <c r="D253" s="1" t="s">
        <v>1734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1731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1835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1731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1836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1731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1788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1731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1779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1731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1782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1731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1741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1731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1756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1731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1748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1731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1787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1731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1787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1731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1744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1731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1744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1731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1744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1731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1744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1731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1736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1731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1761</v>
      </c>
      <c r="E269" s="15" t="n">
        <v>46200</v>
      </c>
      <c r="F269" s="15" t="n">
        <v>46185</v>
      </c>
      <c r="G269" s="1" t="s">
        <v>1762</v>
      </c>
      <c r="H269" s="1" t="n">
        <v>1312808</v>
      </c>
      <c r="I269" s="1" t="n">
        <v>1</v>
      </c>
      <c r="J269" s="1" t="s">
        <v>1731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1761</v>
      </c>
      <c r="E270" s="15" t="n">
        <v>46200</v>
      </c>
      <c r="F270" s="15" t="n">
        <v>46199</v>
      </c>
      <c r="G270" s="1" t="s">
        <v>1762</v>
      </c>
      <c r="H270" s="1" t="n">
        <v>1312818</v>
      </c>
      <c r="I270" s="1" t="n">
        <v>1</v>
      </c>
      <c r="J270" s="1" t="s">
        <v>1731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1740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1731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1837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1731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1773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1731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1733</v>
      </c>
      <c r="D274" s="1" t="s">
        <v>1734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1731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1753</v>
      </c>
      <c r="E275" s="15" t="n">
        <v>46200</v>
      </c>
      <c r="F275" s="15" t="n">
        <v>46200</v>
      </c>
      <c r="G275" s="1" t="s">
        <v>1754</v>
      </c>
      <c r="H275" s="1" t="n">
        <v>1312583</v>
      </c>
      <c r="I275" s="1" t="n">
        <v>1</v>
      </c>
      <c r="J275" s="1" t="s">
        <v>1731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1735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1731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1770</v>
      </c>
      <c r="D277" s="1" t="s">
        <v>1771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1731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1739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1731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1732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1731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1732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1731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1732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1731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1791</v>
      </c>
      <c r="D282" s="1" t="s">
        <v>1792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1731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1733</v>
      </c>
      <c r="D283" s="1" t="s">
        <v>1734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1731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1755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1731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1735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1731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1744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1731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1744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1731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1739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1731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1733</v>
      </c>
      <c r="D289" s="1" t="s">
        <v>1734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1731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1752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1731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1744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1731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1744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1731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1796</v>
      </c>
      <c r="D293" s="1" t="s">
        <v>1797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1731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1744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1731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1744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1731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1745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1731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1736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1731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1737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1731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1749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1731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1838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1731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1750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1731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1733</v>
      </c>
      <c r="D302" s="1" t="s">
        <v>1734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1731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1839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1731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1755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1731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1780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1731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1761</v>
      </c>
      <c r="E306" s="15" t="n">
        <v>46206</v>
      </c>
      <c r="F306" s="15" t="n">
        <v>46206</v>
      </c>
      <c r="G306" s="1" t="s">
        <v>1762</v>
      </c>
      <c r="H306" s="1" t="n">
        <v>1344684</v>
      </c>
      <c r="I306" s="1" t="n">
        <v>1</v>
      </c>
      <c r="J306" s="1" t="s">
        <v>1731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1740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1731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1773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1731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1741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1731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1791</v>
      </c>
      <c r="D310" s="1" t="s">
        <v>1792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1731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1742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1731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1733</v>
      </c>
      <c r="D312" s="1" t="s">
        <v>1734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1731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1758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1731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1840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1731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1753</v>
      </c>
      <c r="E315" s="15" t="n">
        <v>46206</v>
      </c>
      <c r="F315" s="15" t="n">
        <v>46206</v>
      </c>
      <c r="G315" s="1" t="s">
        <v>1754</v>
      </c>
      <c r="H315" s="1" t="n">
        <v>1344581</v>
      </c>
      <c r="I315" s="1" t="n">
        <v>1</v>
      </c>
      <c r="J315" s="1" t="s">
        <v>1731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1768</v>
      </c>
      <c r="E316" s="15" t="n">
        <v>46206</v>
      </c>
      <c r="F316" s="15" t="n">
        <v>46205</v>
      </c>
      <c r="G316" s="1" t="s">
        <v>1769</v>
      </c>
      <c r="H316" s="1" t="n">
        <v>1344368</v>
      </c>
      <c r="I316" s="1" t="n">
        <v>1</v>
      </c>
      <c r="J316" s="1" t="s">
        <v>1731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1744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1731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1744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1731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1744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1731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1744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1731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1759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1731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1739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1731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1735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1731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1736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1731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1732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1731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1732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1731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1732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1731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1732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1731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1747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1731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1733</v>
      </c>
      <c r="D330" s="1" t="s">
        <v>1734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1731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1752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1731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1767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1731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1744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1731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1744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1731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1841</v>
      </c>
      <c r="E335" s="15" t="n">
        <v>46210</v>
      </c>
      <c r="F335" s="15" t="n">
        <v>46206</v>
      </c>
      <c r="G335" s="1" t="s">
        <v>1538</v>
      </c>
      <c r="H335" s="1" t="n">
        <v>1366133</v>
      </c>
      <c r="I335" s="1" t="n">
        <v>11</v>
      </c>
      <c r="J335" s="1" t="s">
        <v>1731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1782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1731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1741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1731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1733</v>
      </c>
      <c r="D338" s="1" t="s">
        <v>1734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1731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1842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1731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1744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1731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1744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1731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1745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1731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1739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1731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1757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1731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1732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1731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1732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1731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1732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1731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1732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1731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1732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1731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1732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1731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1733</v>
      </c>
      <c r="D351" s="1" t="s">
        <v>1734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1731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1843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1731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1744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1731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1744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1731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1736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1731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1737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1731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1749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1731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1740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1731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1732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1731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1732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1731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1732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1731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1774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1731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1764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1731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1742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1731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1844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1731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1844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1731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1786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1731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1748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1731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1744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1731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1744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1731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1777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1731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1749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1731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1761</v>
      </c>
      <c r="E373" s="15" t="n">
        <v>46213</v>
      </c>
      <c r="F373" s="15" t="n">
        <v>46213</v>
      </c>
      <c r="G373" s="1" t="s">
        <v>1762</v>
      </c>
      <c r="H373" s="1" t="n">
        <v>1377076</v>
      </c>
      <c r="I373" s="1" t="n">
        <v>1</v>
      </c>
      <c r="J373" s="1" t="s">
        <v>1731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1845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1731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1740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1731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1782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1731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1741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1731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1846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1731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1791</v>
      </c>
      <c r="D379" s="1" t="s">
        <v>1792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1731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1784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1731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1753</v>
      </c>
      <c r="E381" s="15" t="n">
        <v>46213</v>
      </c>
      <c r="F381" s="15" t="n">
        <v>46213</v>
      </c>
      <c r="G381" s="1" t="s">
        <v>1754</v>
      </c>
      <c r="H381" s="1" t="n">
        <v>1376630</v>
      </c>
      <c r="I381" s="1" t="n">
        <v>1</v>
      </c>
      <c r="J381" s="1" t="s">
        <v>1731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1847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1731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1744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1731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1811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1731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1779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1731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1807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1731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1780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1731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1739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1731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1733</v>
      </c>
      <c r="D389" s="1" t="s">
        <v>1734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1731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1848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1731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1785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1731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1736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1731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1770</v>
      </c>
      <c r="D393" s="1" t="s">
        <v>1771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1731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1732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1731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1732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1731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1732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1731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1775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1731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1733</v>
      </c>
      <c r="D398" s="1" t="s">
        <v>1734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1731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1751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1731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1766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1731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1849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1731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1744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1731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1736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1731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1825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1731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1763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1731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1741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1731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1733</v>
      </c>
      <c r="D407" s="1" t="s">
        <v>1734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1731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1844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1731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1796</v>
      </c>
      <c r="D409" s="1" t="s">
        <v>1797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1731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1796</v>
      </c>
      <c r="D410" s="1" t="s">
        <v>1797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1731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1735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1731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1744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1731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1744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1731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1745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1731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1738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1731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1850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1731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1822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1731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1822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1731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1822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1731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1742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1731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1775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1731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1775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1731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1733</v>
      </c>
      <c r="D423" s="1" t="s">
        <v>1734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1731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1755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1731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1851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1731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1852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1731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1813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1731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1732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1731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1732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1731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1764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1731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1775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1731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1783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1731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1784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1731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1756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1731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1735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1731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1787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1731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1777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1731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1788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1731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1737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1731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1761</v>
      </c>
      <c r="E440" s="15" t="n">
        <v>46220</v>
      </c>
      <c r="F440" s="15" t="n">
        <v>46220</v>
      </c>
      <c r="G440" s="1" t="s">
        <v>1762</v>
      </c>
      <c r="H440" s="1" t="n">
        <v>1411966</v>
      </c>
      <c r="I440" s="1" t="n">
        <v>11</v>
      </c>
      <c r="J440" s="1" t="s">
        <v>1731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1740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1731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1782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1731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1741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1731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1742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1731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1853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1731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1853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1731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1853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1731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1853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1731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1853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1731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1853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1731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1853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1731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1853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1731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1752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1731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1849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1731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1735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1731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1744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1731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1744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1731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1736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1731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1779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1731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1819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1731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1838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1731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1838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1731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1838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1731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1739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1731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1775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1731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1733</v>
      </c>
      <c r="D466" s="1" t="s">
        <v>1734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1731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1853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1731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1838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1731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1854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1731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1732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1731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1732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1731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1732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1731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1774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1731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1733</v>
      </c>
      <c r="D474" s="1" t="s">
        <v>1734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1731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1853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1731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1853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1731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1748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1731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1735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1731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1744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1731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1744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1731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1833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1731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1806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1731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1825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1731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1855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1731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1733</v>
      </c>
      <c r="D485" s="1" t="s">
        <v>1734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1731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1752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1731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1744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1731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1744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1731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1744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1731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1745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1731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1736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1731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1746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1731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1732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1731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1732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1731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1830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1731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1742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1731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1853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1731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1753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1731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1755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1731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1768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1731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1796</v>
      </c>
      <c r="D501" s="1" t="s">
        <v>1818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1731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1744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1731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1790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1731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1747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1731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1742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1731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1783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1731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1733</v>
      </c>
      <c r="D507" s="1" t="s">
        <v>1734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1731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1800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1731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1856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1731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1832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1731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1736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1731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1779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1731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1757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1731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1782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1731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1741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1731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1742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1731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1742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1731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1733</v>
      </c>
      <c r="D518" s="1" t="s">
        <v>1734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1731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1848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1731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1761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1731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1857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1731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1744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1731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1744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1731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1770</v>
      </c>
      <c r="D524" s="1" t="s">
        <v>1771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1731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1739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1731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1746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1731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1744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1731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1736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1731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1826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1731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1740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1731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1732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1731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1732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1731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1791</v>
      </c>
      <c r="D533" s="1" t="s">
        <v>1792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1731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1858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1731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1733</v>
      </c>
      <c r="D535" s="1" t="s">
        <v>1734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1731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1853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1731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1752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1731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1735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1731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1744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1731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1749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1731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1738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1731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1741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1731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1747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1731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1733</v>
      </c>
      <c r="D544" s="1" t="s">
        <v>1734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1731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1744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1731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1745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1731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1737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1731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1746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1731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1733</v>
      </c>
      <c r="D549" s="1" t="s">
        <v>1734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1731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1859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1731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1860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1731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1739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1731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1740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1731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1750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1731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1753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1731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1767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1731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1735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1731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1744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1731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1744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1731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1777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1731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1736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1731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1780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1731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1732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1731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1732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1731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1732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1731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1732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1731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1732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1731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1782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1731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1741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1731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1791</v>
      </c>
      <c r="D570" s="1" t="s">
        <v>1792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1731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1742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1731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1733</v>
      </c>
      <c r="D572" s="1" t="s">
        <v>1734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1731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1853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1731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1761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1731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1748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1731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1744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1731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1739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1731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1747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1731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1788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1731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1736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1731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1773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1731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1733</v>
      </c>
      <c r="D582" s="1" t="s">
        <v>1734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1731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1751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1731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1755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1731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1744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1731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1744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1731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1749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1731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1739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1731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1733</v>
      </c>
      <c r="D589" s="1" t="s">
        <v>1734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1731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1744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1731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1745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1731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1822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1731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1822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1731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1822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1731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1747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1731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1791</v>
      </c>
      <c r="D596" s="1" t="s">
        <v>1792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1731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1758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1731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1853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1731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1752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1731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1861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1731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1744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1731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1736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1731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1746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1731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1733</v>
      </c>
      <c r="D604" s="1" t="s">
        <v>1734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1731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1755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1731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1843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1731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1744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1731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1759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1731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1779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1731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1737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1731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1740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1731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1732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1731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1732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1731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1732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1731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1732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1731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1732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1731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1732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1731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1782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1731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1741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1731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1827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1731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1827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1731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1765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1731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1761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1731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1766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1731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1735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1731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1744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1731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1744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1731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1744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1731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1744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1731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1736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1731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1853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1731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1739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1731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1790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1731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1791</v>
      </c>
      <c r="D634" s="1" t="s">
        <v>1792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1731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1733</v>
      </c>
      <c r="D635" s="1" t="s">
        <v>1734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1731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1733</v>
      </c>
      <c r="D636" s="1" t="s">
        <v>1734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1731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1748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1731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1735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1731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1744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1731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1777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1731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1749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1731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1770</v>
      </c>
      <c r="D642" s="1" t="s">
        <v>1771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1731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1738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1731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1772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1731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1786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1731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1768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1731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1744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1731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1744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1731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1745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1731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1862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1731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1739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1731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1742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1731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1816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1731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1853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1731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1796</v>
      </c>
      <c r="D655" s="1" t="s">
        <v>1818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1731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1862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1731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1813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1731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1746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1731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1774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1731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1747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1731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1742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1731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1784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1731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1853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1731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1777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1731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1736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1731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1779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1731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1806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1731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1838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1731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1780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1731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1852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1731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1820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1731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1821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1731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1732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1731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1732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1731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1732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1731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1782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1731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1791</v>
      </c>
      <c r="D677" s="1" t="s">
        <v>1792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1731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1830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1731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1764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1731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1742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1731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1733</v>
      </c>
      <c r="D681" s="1" t="s">
        <v>1734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1731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1733</v>
      </c>
      <c r="D682" s="1" t="s">
        <v>1734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1731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1758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1731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1753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1731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1761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1731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1748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1731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1744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1731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1744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1731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1744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1731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1759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1731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1832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1731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1740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1731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1764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1731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1775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1731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1853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1731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1755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1731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1744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1731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1822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1731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1757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1731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1775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1731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1733</v>
      </c>
      <c r="D701" s="1" t="s">
        <v>1734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1731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1853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1731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1863</v>
      </c>
      <c r="E703" s="15" t="n">
        <v>46251</v>
      </c>
      <c r="F703" s="15" t="n">
        <v>46246</v>
      </c>
      <c r="G703" s="1" t="s">
        <v>1530</v>
      </c>
      <c r="H703" s="1" t="n">
        <v>1562787</v>
      </c>
      <c r="I703" s="1" t="n">
        <v>11</v>
      </c>
      <c r="J703" s="1" t="s">
        <v>1731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1752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1731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1756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1731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1735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1731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1744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1731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1789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1731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1739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1731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1732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1731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1741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1731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1733</v>
      </c>
      <c r="D712" s="1" t="s">
        <v>1734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1731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1844</v>
      </c>
      <c r="E713" s="15" t="n">
        <v>46252</v>
      </c>
      <c r="F713" s="15" t="n">
        <v>46252</v>
      </c>
      <c r="G713" s="1" t="s">
        <v>90</v>
      </c>
      <c r="H713" s="1" t="n">
        <v>1567410</v>
      </c>
      <c r="I713" s="1" t="n">
        <v>11</v>
      </c>
      <c r="J713" s="1" t="s">
        <v>1731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1864</v>
      </c>
      <c r="E714" s="15" t="n">
        <v>46252</v>
      </c>
      <c r="F714" s="15" t="n">
        <v>46248</v>
      </c>
      <c r="G714" s="1" t="s">
        <v>1490</v>
      </c>
      <c r="H714" s="1" t="n">
        <v>1568081</v>
      </c>
      <c r="I714" s="1" t="n">
        <v>11</v>
      </c>
      <c r="J714" s="1" t="s">
        <v>1731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1756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1731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1849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1731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1744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1731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1744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1731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1745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1731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1736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1731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1824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1731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1838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1731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1865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1731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1746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1731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1747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1731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1783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1731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1783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1731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1831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1731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1831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1731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1744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1731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1807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1731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1733</v>
      </c>
      <c r="D732" s="1" t="s">
        <v>1734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1731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36</v>
      </c>
      <c r="D733" s="1" t="s">
        <v>1866</v>
      </c>
      <c r="E733" s="15" t="n">
        <v>46254</v>
      </c>
      <c r="F733" s="15" t="n">
        <v>46252</v>
      </c>
      <c r="G733" s="1" t="s">
        <v>1494</v>
      </c>
      <c r="H733" s="1" t="n">
        <v>1576139</v>
      </c>
      <c r="I733" s="1" t="n">
        <v>11</v>
      </c>
      <c r="J733" s="1" t="s">
        <v>1731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1744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1731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1749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1731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7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1692</v>
      </c>
      <c r="C1" s="1" t="s">
        <v>1867</v>
      </c>
      <c r="D1" s="1" t="s">
        <v>1868</v>
      </c>
      <c r="E1" s="1" t="s">
        <v>1869</v>
      </c>
      <c r="F1" s="1" t="s">
        <v>13</v>
      </c>
      <c r="I1" s="1" t="s">
        <v>1870</v>
      </c>
      <c r="J1" s="1" t="s">
        <v>1871</v>
      </c>
      <c r="K1" s="1" t="s">
        <v>1872</v>
      </c>
      <c r="L1" s="1" t="s">
        <v>1873</v>
      </c>
      <c r="N1" s="1" t="s">
        <v>1874</v>
      </c>
      <c r="O1" s="1" t="s">
        <v>1875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1876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1877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1876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1878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1876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1879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1876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1880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1876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1881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1876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1882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1876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1883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1876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1884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1876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1885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1876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1886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1876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1887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1876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1888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1876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1889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1876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1890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1876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1891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1876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1892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1876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1893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1876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1894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1876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1895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1876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1896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1876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1897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1876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1898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1876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1899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1876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1900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1876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1901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1876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1902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1876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1903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1904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1905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1904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1906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1904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1907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1904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1908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1904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1909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1904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1910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1904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1911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1912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1913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1912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1913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1912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1914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1912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1915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1912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1916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1912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1917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1912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1918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1912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1919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1912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1919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1912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1920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1912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1921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1912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1922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1912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1923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1912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1924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1912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1925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1912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1926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1912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1927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1912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1928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1912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1929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1912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1929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1912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1930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1912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1930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1912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1931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1912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1931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1932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1913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1932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1918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1932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1919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1932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1920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1932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1921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1932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1922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1932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1923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1932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1924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1932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1925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1932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1926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1932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1927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1932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1928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1932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1929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1932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1930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1932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1931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1932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1913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1932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1914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1932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1915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1932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1916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1932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1917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1932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1919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1932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1929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1932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1930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1932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1931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1876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1933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1876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1934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1876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1935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1876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1936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1876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1937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1876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1938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1876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1939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1876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1940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1876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1879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1876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1941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1876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1942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1876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1943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1876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1944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1876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1945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1876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1946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1876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1947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1876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1948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1876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1949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1876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1950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1876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1898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1876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1900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1876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1951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1876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1952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1876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1953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1876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1954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1876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1955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1876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1956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1876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1957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1876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1958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1876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1959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1876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1960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1876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1961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1876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1962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1876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1963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1876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1964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1876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1965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1966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1967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1966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1968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1966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1969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1966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1970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1966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1971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1966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1972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1966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1973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1966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1974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1966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1975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1966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1976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1966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1977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1966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1978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1966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1979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1966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1980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1966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1981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1966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1982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1966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1983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1966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1984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1966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1985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1986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1967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1986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1968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1986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1969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1986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1970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1986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1971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1986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1972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1986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1973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1986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1974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1986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1975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1986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1976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1986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1977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1986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1978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1986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1979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1986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1980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1986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1981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1986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1982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1986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1983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1986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1984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1986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1985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1876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1882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1876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1987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1876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1988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1876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1989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1876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1990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1876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1991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1876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1992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1876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1993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1876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1994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1876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1896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1876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1995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1876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1996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1876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1997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1876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1998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1876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1999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1876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2000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1876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2001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1876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2002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1876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2003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1876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2004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1876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2005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1876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2006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1876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1903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1876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2007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1876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2008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1876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2009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1876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2010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1876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2011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1904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2012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1904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2013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1904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2008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1912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1913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1912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1918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1912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1919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1912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1920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1912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1921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1912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1922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1912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1923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1912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1924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1912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1925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1912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1926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1912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1927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1912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1928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1912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1929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1912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1930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1912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1931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1932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1913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1932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1918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1932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1919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1932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1920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1932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1921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1932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1922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1932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1923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1932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1924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1932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1925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1932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1926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1932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1927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1932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1928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1932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1929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1932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1930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1932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1931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1904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1933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1904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1883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1912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1913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1912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1914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1912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1915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1912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1916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1912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1917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1912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2014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1912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1919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1912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2015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1912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1929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1912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1930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1912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1931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1932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1913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1932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1914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1932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1915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1932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1916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1932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1917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1932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2014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1932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1919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1932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2015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1932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1929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1932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1930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1932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1931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1876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1877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1876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1878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1876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2016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1876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1880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1876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2017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1876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2018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1876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2019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1876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2020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1876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2021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1876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1935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1876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1937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1876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1938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1876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2022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1876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1939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1876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1879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1876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1941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1876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1942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1876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1943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1876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2023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1876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2024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1876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2025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1876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2026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1876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2027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1876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2028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1876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1898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1876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1899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1876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1900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1876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1900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1876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1898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1876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1899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1876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1900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1966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1969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1966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1972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1966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1974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1966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1975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1966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1976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1966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1977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1966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2029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1966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2030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1966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1980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1966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2031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1966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2032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1966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1983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1966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1967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1986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1969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1986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1972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1986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1974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1986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1975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1986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1976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1986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1977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1986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2029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1986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2030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1986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1980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1986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2031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1986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2032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1986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1983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1986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1967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1904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2033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1904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2034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1904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2035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1904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2036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1904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2037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1904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2038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1876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1934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1876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1877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1876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1878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1876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1879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1876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2016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1876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1880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1876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2039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1876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1881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1876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2040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1876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2041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1876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2042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1876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2043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1876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2044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1876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2045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1876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2046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1876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2047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1876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2048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1876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2049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1876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2050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1876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2051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1876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2052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1876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2053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1876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2054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1876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2055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1876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1942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1876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1943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1876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1882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1876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1883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1876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2056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1876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2057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1876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2058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1876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2059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1876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2060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1876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2061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1876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2062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1876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2063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1876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2064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1876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2065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1876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2066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1876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2067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1876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2068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1876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2069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1876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2070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1876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1898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1876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1899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1876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1900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1876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1900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1876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2071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1876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2072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1876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2073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1876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2074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1876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2075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1876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2076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1876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2077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1876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2078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1876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2079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1876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2080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1876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2081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1876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2082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1876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2083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1876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2084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1876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2085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1876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2086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1876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2087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1876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2088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1876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2002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1876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2089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1876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2005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1876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1901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1876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2090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1876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1911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1966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2091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1966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1967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1986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2091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1986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1967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1904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1903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1904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2092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1904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2093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1912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1920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1912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1928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1912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1931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1912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1913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1912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1913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1912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1914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1912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1915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1912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1916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1912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1917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1912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1917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1912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2014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1912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1918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1912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1919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1912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1919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1912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1920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1912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1921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1912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1922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1912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1923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1912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1924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1912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1925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1912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1926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1912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1927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1912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2094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1912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2015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1912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1928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1912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1929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1912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1929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1912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1930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1912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1930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1912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1931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1912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1931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1912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2095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1932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1920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1932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1928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1932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1931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1932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1913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1932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1914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1932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1915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1932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1916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1932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1917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1932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2014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1932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1919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1932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2015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1932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1929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1932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1930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1932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1931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1932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1913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1932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1917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1932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1918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1932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1919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1932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1920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1932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1921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1932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1922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1932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1923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1932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1924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1932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1925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1932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1926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1932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1927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1932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2094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1932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1928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1932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1929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1932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1930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1932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1931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1932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2095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1876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1934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1876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1935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1876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1936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1876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1937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1876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1938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1876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2022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1876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1939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1876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1940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1876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1879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1876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2096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1876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2097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1876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2098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1876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2099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1876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2100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1876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2101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1876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2102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1876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2103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1876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2104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1876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2105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1876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2106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1876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2107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1876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2108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1876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2109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1876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2110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1876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2111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1876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2112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1876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2113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1876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2114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1876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2115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1876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2116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1876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2117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1876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2118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1876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2119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1876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2120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1876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2121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1876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2122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1876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2123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1876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2124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1966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1968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1966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2125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1966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1969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1966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1970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1966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1972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1966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2126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1966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1975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1966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1976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1966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2127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1966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2030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1966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1979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1966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1980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1966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2032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1966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1981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1966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1982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1966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2128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1966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1983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1966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1984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1986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1968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1986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2125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1986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1969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1986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1970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1986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1972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1986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2126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1986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1975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1986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1976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1986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2127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1986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2030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1986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1979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1986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1980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1986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2032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1986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1981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1986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1982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1986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2128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1986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1983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1986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1984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1904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2129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1904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2130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1904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2131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1904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2132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1904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2133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1904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2134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1904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2135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1904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2136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1904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2137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1904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2138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1904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2139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1904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2140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1904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2141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1904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2142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1876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2143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1876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2144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1876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2145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1876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2146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1876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1942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1876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1943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1876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1882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1876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1883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1876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2056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1876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2147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1876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1922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1876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1923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1876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2148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1876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2149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1876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2150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1876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2151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1876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2152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1876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2153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1876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2154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1876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2155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1876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2156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1876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2157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1876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2158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1876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2159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1876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2160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1876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2161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1876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2162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1876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2163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1876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2164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1876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2165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1876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2166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1876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1898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1876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1899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1876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1900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1966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2167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1966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2168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1966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2169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1966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1967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1966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2170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1966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2171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1966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2172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1986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2167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1986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2168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1986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2169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1986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2170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1986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2171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1986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2172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1986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1967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1904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2173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1904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2174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1904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2175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1904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2176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1904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2177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1904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2178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1904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2179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1904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2180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1904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2181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1904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2182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1904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2183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1904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2184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1904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2185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1904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2186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1904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2187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1904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2188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1904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2189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1904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2190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1904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2191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1904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2192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1904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2193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1904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2194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1904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2195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1912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1913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1912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1913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1912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1914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1912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1915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1912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1916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1912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1917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1912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2014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1912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1918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1912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1919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1912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1919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1912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1920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1912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1920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1912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1921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1912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1922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1912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1923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1912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1924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1912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1925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1912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1926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1912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1926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1912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1927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1912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1928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1912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1928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1912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1929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1912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1929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1912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1930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1912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1930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1912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1931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1912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1931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1912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1931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1932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1913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1932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1918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1932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1919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1932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1920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1932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1921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1932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1922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1932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1923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1932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1924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1932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1925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1932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1926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1932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1927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1932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1928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1932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1929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1932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1930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1932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1931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1932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1920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1932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1926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1932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1928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1932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1931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1932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1913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1932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1914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1932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1915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1932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1916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1932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1917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1932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2014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1932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1919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1932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1929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1932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1930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1932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1931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1876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2196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1876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2197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1876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2198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1876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2199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1876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2200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1876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2201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1876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2202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1876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2203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1876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2204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1876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2205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1876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2206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1876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2207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1876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2207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1876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2208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1876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2209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1876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2210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1876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2211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1876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2212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1876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2213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1876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2214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1876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2215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1876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2216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1876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2217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1876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2218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1876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2219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1876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2220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1876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2221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1876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2222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1876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2223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1876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2224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1876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2225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1876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2226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1876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2227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1876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2228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1876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2229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1876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2230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1876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2231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1876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2232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1876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2233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1876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2234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1876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2235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1876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2236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1876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2237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1876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2238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1876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2239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1876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2240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1876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2241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1876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2242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1876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2243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1876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2244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1876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2245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1876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2246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1876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2247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1876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2248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1876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2249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1876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2250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1876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2251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1876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2252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1876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2253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1876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2254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1876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2255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1876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2256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1876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2257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1876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2258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1876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2259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1876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2260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1876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2261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1876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2262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1876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2263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1876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2264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1876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2265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1876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2266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1876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2267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1904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2268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1904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2269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1904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2270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1904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2271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1904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2272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1904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2273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1904</v>
      </c>
      <c r="E744" s="1" t="n">
        <v>796</v>
      </c>
      <c r="F744" s="1" t="s">
        <v>698</v>
      </c>
      <c r="I744" s="1" t="n">
        <v>1006</v>
      </c>
      <c r="J744" s="1" t="n">
        <v>81210</v>
      </c>
      <c r="K744" s="1" t="n">
        <v>7908076211647</v>
      </c>
      <c r="L744" s="1" t="s">
        <v>2274</v>
      </c>
      <c r="N744" s="1" t="n">
        <v>40</v>
      </c>
      <c r="O744" s="1" t="n">
        <v>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1904</v>
      </c>
      <c r="E745" s="1" t="n">
        <v>796</v>
      </c>
      <c r="F745" s="1" t="s">
        <v>698</v>
      </c>
      <c r="I745" s="1" t="n">
        <v>1006</v>
      </c>
      <c r="J745" s="1" t="n">
        <v>76386</v>
      </c>
      <c r="K745" s="1" t="n">
        <v>7908864500762</v>
      </c>
      <c r="L745" s="1" t="s">
        <v>2275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1904</v>
      </c>
      <c r="E746" s="1" t="n">
        <v>796</v>
      </c>
      <c r="F746" s="1" t="s">
        <v>698</v>
      </c>
      <c r="I746" s="1" t="n">
        <v>1006</v>
      </c>
      <c r="J746" s="1" t="n">
        <v>81155</v>
      </c>
      <c r="K746" s="1" t="n">
        <v>7899751102223</v>
      </c>
      <c r="L746" s="1" t="s">
        <v>2276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1904</v>
      </c>
      <c r="E747" s="1" t="n">
        <v>796</v>
      </c>
      <c r="F747" s="1" t="s">
        <v>698</v>
      </c>
      <c r="I747" s="1" t="n">
        <v>1006</v>
      </c>
      <c r="J747" s="1" t="n">
        <v>81156</v>
      </c>
      <c r="K747" s="1" t="n">
        <v>7899653780703</v>
      </c>
      <c r="L747" s="1" t="s">
        <v>2277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1904</v>
      </c>
      <c r="E748" s="1" t="n">
        <v>796</v>
      </c>
      <c r="F748" s="1" t="s">
        <v>698</v>
      </c>
      <c r="I748" s="1" t="n">
        <v>1006</v>
      </c>
      <c r="J748" s="1" t="n">
        <v>81157</v>
      </c>
      <c r="K748" s="1" t="n">
        <v>7898549378437</v>
      </c>
      <c r="L748" s="1" t="s">
        <v>2278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1904</v>
      </c>
      <c r="E749" s="1" t="n">
        <v>796</v>
      </c>
      <c r="F749" s="1" t="s">
        <v>698</v>
      </c>
      <c r="I749" s="1" t="n">
        <v>1006</v>
      </c>
      <c r="J749" s="1" t="n">
        <v>81166</v>
      </c>
      <c r="K749" s="1" t="n">
        <v>811675</v>
      </c>
      <c r="L749" s="1" t="s">
        <v>2279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1904</v>
      </c>
      <c r="E750" s="1" t="n">
        <v>796</v>
      </c>
      <c r="F750" s="1" t="s">
        <v>698</v>
      </c>
      <c r="I750" s="1" t="n">
        <v>1006</v>
      </c>
      <c r="J750" s="1" t="n">
        <v>81168</v>
      </c>
      <c r="K750" s="1" t="n">
        <v>811699</v>
      </c>
      <c r="L750" s="1" t="s">
        <v>2280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1904</v>
      </c>
      <c r="E751" s="1" t="n">
        <v>796</v>
      </c>
      <c r="F751" s="1" t="s">
        <v>698</v>
      </c>
      <c r="I751" s="1" t="n">
        <v>1006</v>
      </c>
      <c r="J751" s="1" t="n">
        <v>81209</v>
      </c>
      <c r="K751" s="1" t="n">
        <v>7898906181168</v>
      </c>
      <c r="L751" s="1" t="s">
        <v>2281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1904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2282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1904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2283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1904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2284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1904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2285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1904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2286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1904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2287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1904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2288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1904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2289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1904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2290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1904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2291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1904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2292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1904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2293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1904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2294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1904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2295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1904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2296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1904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2297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1904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2298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1904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2299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1904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2300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1904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2301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1904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2302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1904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2303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1904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2304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1904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2305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1904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2306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1904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2307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1904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2308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1904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2309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1904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2310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1904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2311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1904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2312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1904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2313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1904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2314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1904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2315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1904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2316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1904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2317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1904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2318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1904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2319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1904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2320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1904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2321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1904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2322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1904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2323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1904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2324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1904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2325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1904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2326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1904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2327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1904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2328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1904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2329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1904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2330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1904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2331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1904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2332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1904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2333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1904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2334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1904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2335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1904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2336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1904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2337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1904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2338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1904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2339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1904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2340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1904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2341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1904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2342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1904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2343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1904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2344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1904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2345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1904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2346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1904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2347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1904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2348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1904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2349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1904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2350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1904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2351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1904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2352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1904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2353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1904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2354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1904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2355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1904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2356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1904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2357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1904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2358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1904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2359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1904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2360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1904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2361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1904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2362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1904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2363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1904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2364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1904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2365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1904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2366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1904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2367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1904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2368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1904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2369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1904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2370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1904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2371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1904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2372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1904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2373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1904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2374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1904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2375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1904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2376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1876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1877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1876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1878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1876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1879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1876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2377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1876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2016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1876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1880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1876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1935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1876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1936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1876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1937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1876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1938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1876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2022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1876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1939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1876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1940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1876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1879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1876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1941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1876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2012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1876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2013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1876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2378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1876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2379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1876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2380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1876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2381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1876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2382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1876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2383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1876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2384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1876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2385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1876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2386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1876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2387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1876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2388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1876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2389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1876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2390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1876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2391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1876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2392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1876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2393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1876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2394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1876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1944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1876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1945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1876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1946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1876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1947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1876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1948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1876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1949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1876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2395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1876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1990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1876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2396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1876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2397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1876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2398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1876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2399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1876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2400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1876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2401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1876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2402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1876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2403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1876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2404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1876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2405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1876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2406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1876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2407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1876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2408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1876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2408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1876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2409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1876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2410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1876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2410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1876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2411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1876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2411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1876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2412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1876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2412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1876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2413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1876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2071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1876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2414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1876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2074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1876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2415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1876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2077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1876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2416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1876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2417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1876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1951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1876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1953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1876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2418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1876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2419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1876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2420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1876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1955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1876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1956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1876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2421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1876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1957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1876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2422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1876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2423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1876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1958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1876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2424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1876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2425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1876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2426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1876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2001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1876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2086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1876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2008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1876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2427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1876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1992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1876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2088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1876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2001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1876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2002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1876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2003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1876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2005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1876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2006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1876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1903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1876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2428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1876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1997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1876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2011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1966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1967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1966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2429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1966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1971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1966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1972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1966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1974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1966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1975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1966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1976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1966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1977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1966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1978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1966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1979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1966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1980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1966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2031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1966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1982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1966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1983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1966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1984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1986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1967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1986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2429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1986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1971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1986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1972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1986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1974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1986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1975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1986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1976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1986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1977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1986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1978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1986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1979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1986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1980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1986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2031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1986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1982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1986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1983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1986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1984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1904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2430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1904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2431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1904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2432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1904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2433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1904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2434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1904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2435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1904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2436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1904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2437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1904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2438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1904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2439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1904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2440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1904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2441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1904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2442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1904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2443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1904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2444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1904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2445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1904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2446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1904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2447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1904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2448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2449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2450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1876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1933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1876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1934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1876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2451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1876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2452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1876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2453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1876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2454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1876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2455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1876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2456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1876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2457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1876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2458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1876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2459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1876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2460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1876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2461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1876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2461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1876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2462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1876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2463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1876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2464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1876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2465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1876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2466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1876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2467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1876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2468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1876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2469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1876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2182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1876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2183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1876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2184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1876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2185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1876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2187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1876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2190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1876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2191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1876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2192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1876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2193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1876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2470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1876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2471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1876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2472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1876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2473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1876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2474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1876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2475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1876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2476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1876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2477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1876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2478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1876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2479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1876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2480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1876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2481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1876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2482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1876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2483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1876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2484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1876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2484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1876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2485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1876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2486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1876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1899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1876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1900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1876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2487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1876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2488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1876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2489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1876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2490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1876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2491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1876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2492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1876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2493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1876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2494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1876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1882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1876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1883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1876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2056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1876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2495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1876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2496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1876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2497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1876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2498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1876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2499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1876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2500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1876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2501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1876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2502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1876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2503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1876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2503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1876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2504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1876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2505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1876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2506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1876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2506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1876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2507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1876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2507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1876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2508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1876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2508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1876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2509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1876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2510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1876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2510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1876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2511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1876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2512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1876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2512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1876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2513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1876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2514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1876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2515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1876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2516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1876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2517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1876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2518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1876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2519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1876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2520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1876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2521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1876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2522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1876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2523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1876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2524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1876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2525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1876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2525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1876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2526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1876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2527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1876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2528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1876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2529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1876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2530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1876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2530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1876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2531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1876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2532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1876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2533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1876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2534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1876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2535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1876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2536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1876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2537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1876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2538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1876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2539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1876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2540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1876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2541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1876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2542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1876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2543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1876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2543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1876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2543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1876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2544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1876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2545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1876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2546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1876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2547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1876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2548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1876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2549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1876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2202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1876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2550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1876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2551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1876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2552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1876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2553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1876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2554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1876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2555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1876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2556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1876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2557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1876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2558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1876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2559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1876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2560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1876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2561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1876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2562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1876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2563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1876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2564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1876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2565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1876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2566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1876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2567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1876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2568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1876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2569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1876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2570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1876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2571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1876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2572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1876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2573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1876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2574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1876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2575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1876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2576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1876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2577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1876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2578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1876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2579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1876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2580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1876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2581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1876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2582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1876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2583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1876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2584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1876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2585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1876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2586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1876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2587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1876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2588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1876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2206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1876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2589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1876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2590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1876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2591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1876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2592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1876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2593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1876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2594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1876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2595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1876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2596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1876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2597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1876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2598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1876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2599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1876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2600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1876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2601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1876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2602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1876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2603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1876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2604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1876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2605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1876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2606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1876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2607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1876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2608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1876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2609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1876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2610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1876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2611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1876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2612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1876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1898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1876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1899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1876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1900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1876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1899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1876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1900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1876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2613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1966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1967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1986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1967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1904</v>
      </c>
      <c r="E1198" s="1" t="n">
        <v>10081</v>
      </c>
      <c r="F1198" s="1" t="s">
        <v>1794</v>
      </c>
      <c r="I1198" s="1" t="n">
        <v>10</v>
      </c>
      <c r="J1198" s="1" t="n">
        <v>10470</v>
      </c>
      <c r="K1198" s="1" t="n">
        <v>7898392930059</v>
      </c>
      <c r="L1198" s="1" t="s">
        <v>2614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1904</v>
      </c>
      <c r="E1199" s="1" t="n">
        <v>10081</v>
      </c>
      <c r="F1199" s="1" t="s">
        <v>1794</v>
      </c>
      <c r="I1199" s="1" t="n">
        <v>10</v>
      </c>
      <c r="J1199" s="1" t="n">
        <v>30511</v>
      </c>
      <c r="K1199" s="1" t="n">
        <v>7891751000042</v>
      </c>
      <c r="L1199" s="1" t="s">
        <v>2615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1904</v>
      </c>
      <c r="E1200" s="1" t="n">
        <v>10081</v>
      </c>
      <c r="F1200" s="1" t="s">
        <v>1794</v>
      </c>
      <c r="I1200" s="1" t="n">
        <v>10</v>
      </c>
      <c r="J1200" s="1" t="n">
        <v>30828</v>
      </c>
      <c r="K1200" s="1" t="n">
        <v>7896818211867</v>
      </c>
      <c r="L1200" s="1" t="s">
        <v>2616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1904</v>
      </c>
      <c r="E1201" s="1" t="n">
        <v>10081</v>
      </c>
      <c r="F1201" s="1" t="s">
        <v>1794</v>
      </c>
      <c r="I1201" s="1" t="n">
        <v>10</v>
      </c>
      <c r="J1201" s="1" t="n">
        <v>30829</v>
      </c>
      <c r="K1201" s="1" t="n">
        <v>7896818218873</v>
      </c>
      <c r="L1201" s="1" t="s">
        <v>2617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1904</v>
      </c>
      <c r="E1202" s="1" t="n">
        <v>10081</v>
      </c>
      <c r="F1202" s="1" t="s">
        <v>1794</v>
      </c>
      <c r="I1202" s="1" t="n">
        <v>10</v>
      </c>
      <c r="J1202" s="1" t="n">
        <v>61698</v>
      </c>
      <c r="K1202" s="1" t="n">
        <v>7890785492434</v>
      </c>
      <c r="L1202" s="1" t="s">
        <v>2618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1904</v>
      </c>
      <c r="E1203" s="1" t="n">
        <v>10081</v>
      </c>
      <c r="F1203" s="1" t="s">
        <v>1794</v>
      </c>
      <c r="I1203" s="1" t="n">
        <v>10</v>
      </c>
      <c r="J1203" s="1" t="n">
        <v>81141</v>
      </c>
      <c r="K1203" s="1" t="n">
        <v>7899958261846</v>
      </c>
      <c r="L1203" s="1" t="s">
        <v>2619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1904</v>
      </c>
      <c r="E1204" s="1" t="n">
        <v>10081</v>
      </c>
      <c r="F1204" s="1" t="s">
        <v>1794</v>
      </c>
      <c r="I1204" s="1" t="n">
        <v>10</v>
      </c>
      <c r="J1204" s="1" t="n">
        <v>81285</v>
      </c>
      <c r="K1204" s="1" t="n">
        <v>7898611091042</v>
      </c>
      <c r="L1204" s="1" t="s">
        <v>2620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1904</v>
      </c>
      <c r="E1205" s="1" t="n">
        <v>10081</v>
      </c>
      <c r="F1205" s="1" t="s">
        <v>1794</v>
      </c>
      <c r="I1205" s="1" t="n">
        <v>10</v>
      </c>
      <c r="J1205" s="1" t="n">
        <v>81286</v>
      </c>
      <c r="K1205" s="1" t="n">
        <v>812870</v>
      </c>
      <c r="L1205" s="1" t="s">
        <v>2621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1904</v>
      </c>
      <c r="E1206" s="1" t="n">
        <v>10081</v>
      </c>
      <c r="F1206" s="1" t="s">
        <v>1794</v>
      </c>
      <c r="I1206" s="1" t="n">
        <v>10</v>
      </c>
      <c r="J1206" s="1" t="n">
        <v>81288</v>
      </c>
      <c r="K1206" s="1" t="n">
        <v>7908629713741</v>
      </c>
      <c r="L1206" s="1" t="s">
        <v>2622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1904</v>
      </c>
      <c r="E1207" s="1" t="n">
        <v>10081</v>
      </c>
      <c r="F1207" s="1" t="s">
        <v>1794</v>
      </c>
      <c r="I1207" s="1" t="n">
        <v>10</v>
      </c>
      <c r="J1207" s="1" t="n">
        <v>81289</v>
      </c>
      <c r="K1207" s="1" t="n">
        <v>7899958261884</v>
      </c>
      <c r="L1207" s="1" t="s">
        <v>2623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1904</v>
      </c>
      <c r="E1208" s="1" t="n">
        <v>10081</v>
      </c>
      <c r="F1208" s="1" t="s">
        <v>1794</v>
      </c>
      <c r="I1208" s="1" t="n">
        <v>10</v>
      </c>
      <c r="J1208" s="1" t="n">
        <v>81290</v>
      </c>
      <c r="K1208" s="1" t="n">
        <v>7898505850137</v>
      </c>
      <c r="L1208" s="1" t="s">
        <v>2624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1904</v>
      </c>
      <c r="E1209" s="1" t="n">
        <v>10081</v>
      </c>
      <c r="F1209" s="1" t="s">
        <v>1794</v>
      </c>
      <c r="I1209" s="1" t="n">
        <v>10</v>
      </c>
      <c r="J1209" s="1" t="n">
        <v>81291</v>
      </c>
      <c r="K1209" s="1" t="n">
        <v>7899958255685</v>
      </c>
      <c r="L1209" s="1" t="s">
        <v>2625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1904</v>
      </c>
      <c r="E1210" s="1" t="n">
        <v>10081</v>
      </c>
      <c r="F1210" s="1" t="s">
        <v>1794</v>
      </c>
      <c r="I1210" s="1" t="n">
        <v>10</v>
      </c>
      <c r="J1210" s="1" t="n">
        <v>81292</v>
      </c>
      <c r="K1210" s="1" t="n">
        <v>7908629714236</v>
      </c>
      <c r="L1210" s="1" t="s">
        <v>2626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1904</v>
      </c>
      <c r="E1211" s="1" t="n">
        <v>10081</v>
      </c>
      <c r="F1211" s="1" t="s">
        <v>1794</v>
      </c>
      <c r="I1211" s="1" t="n">
        <v>10</v>
      </c>
      <c r="J1211" s="1" t="n">
        <v>81293</v>
      </c>
      <c r="K1211" s="1" t="n">
        <v>7899110643312</v>
      </c>
      <c r="L1211" s="1" t="s">
        <v>2627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1904</v>
      </c>
      <c r="E1212" s="1" t="n">
        <v>10081</v>
      </c>
      <c r="F1212" s="1" t="s">
        <v>1794</v>
      </c>
      <c r="I1212" s="1" t="n">
        <v>10</v>
      </c>
      <c r="J1212" s="1" t="n">
        <v>81294</v>
      </c>
      <c r="K1212" s="1" t="n">
        <v>7898505884392</v>
      </c>
      <c r="L1212" s="1" t="s">
        <v>2628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1904</v>
      </c>
      <c r="E1213" s="1" t="n">
        <v>10081</v>
      </c>
      <c r="F1213" s="1" t="s">
        <v>1794</v>
      </c>
      <c r="I1213" s="1" t="n">
        <v>10</v>
      </c>
      <c r="J1213" s="1" t="n">
        <v>81295</v>
      </c>
      <c r="K1213" s="1" t="n">
        <v>7908629710382</v>
      </c>
      <c r="L1213" s="1" t="s">
        <v>2629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1904</v>
      </c>
      <c r="E1214" s="1" t="n">
        <v>10081</v>
      </c>
      <c r="F1214" s="1" t="s">
        <v>1794</v>
      </c>
      <c r="I1214" s="1" t="n">
        <v>10</v>
      </c>
      <c r="J1214" s="1" t="n">
        <v>81296</v>
      </c>
      <c r="K1214" s="1" t="n">
        <v>7898740980651</v>
      </c>
      <c r="L1214" s="1" t="s">
        <v>2630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1904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2631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1904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2632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1904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2633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1904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2634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1904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2635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1904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2636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1904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2637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1904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2638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1904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2639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1904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2640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1904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2641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1904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2642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1904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2643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1904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2644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1904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2645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1904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2646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1904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2647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1904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2648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1904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2649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1904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2650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1904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2651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1904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2652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1904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2653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1904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2652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1912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1913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1912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1913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1912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1914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1912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1915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1912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1916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1912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1917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1912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2014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1912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1918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1912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1919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1912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1919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1912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1920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1912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1920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1912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1921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1912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1922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1912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1923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1912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1924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1912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1925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1912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1926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1912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1927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1912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1928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1912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1928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1912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1929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1912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1929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1912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1930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1912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1930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1912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1931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1912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1931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1932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1920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1932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1928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1932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1913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1932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1914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1932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1915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1932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1916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1932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1917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1932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2014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1932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1919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1932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1929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1932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1930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1932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1931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1932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1913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1932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1918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1932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1919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1932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1920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1932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1921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1932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1922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1932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1923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1932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1924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1932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1925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1932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1926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1932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1927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1932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1928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1932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1929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1932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1930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1932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1931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1876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1935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1876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1936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1876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1937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1876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1938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1876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2022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1876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1939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1876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1879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1876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1941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1876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2654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1876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2655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1876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2656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1876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2657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1876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2658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1876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2659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1876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2660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1876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2661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1876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2662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1876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2663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1876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2664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1876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2664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1876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2665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1876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2666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1876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2667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1876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2668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1876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2669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1876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2670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1876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2671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1876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2672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1876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2673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1876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2674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1876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2675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1876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2676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1876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2677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1876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2678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1876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2679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1876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2680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1876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2681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1876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2682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1876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2683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1876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2684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1876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2685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1876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1895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1876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2686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1876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1991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1876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2687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1876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1996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1876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2688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1876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2008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1876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2002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1876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2003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1876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2005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1876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2006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1876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1901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1876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1902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1876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1903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1876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2092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1876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2689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1876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2428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1876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2008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1876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2009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1966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1968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1966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1969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1966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2690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1966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1970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1966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2126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1966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1974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1966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1975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1966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1976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1966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1977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1966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2127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1966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1978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1966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1979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1966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1980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1966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2691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1966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1982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1966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2128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1966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1983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1966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1984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1966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1985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1986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1968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1986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1969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1986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2690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1986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1970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1986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2126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1986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1974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1986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1975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1986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1976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1986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1977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1986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2127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1986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1978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1986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1979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1986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1980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1986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2691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1986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1982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1986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2128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1986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1983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1986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1984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1986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1985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1904</v>
      </c>
      <c r="E1391" s="1" t="n">
        <v>1391</v>
      </c>
      <c r="F1391" s="1" t="s">
        <v>1799</v>
      </c>
      <c r="I1391" s="1" t="n">
        <v>394</v>
      </c>
      <c r="J1391" s="1" t="n">
        <v>25750</v>
      </c>
      <c r="K1391" s="1" t="n">
        <v>78937529</v>
      </c>
      <c r="L1391" s="1" t="s">
        <v>2692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1904</v>
      </c>
      <c r="E1392" s="1" t="n">
        <v>1391</v>
      </c>
      <c r="F1392" s="1" t="s">
        <v>1799</v>
      </c>
      <c r="I1392" s="1" t="n">
        <v>394</v>
      </c>
      <c r="J1392" s="1" t="n">
        <v>36733</v>
      </c>
      <c r="K1392" s="1" t="n">
        <v>78939035</v>
      </c>
      <c r="L1392" s="1" t="s">
        <v>2693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1904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2694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1904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2695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1904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2696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1904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2697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1904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2698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1904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2699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1904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2700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1904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2701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1904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2702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1904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2703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1904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2704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1904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2705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1904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2706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1904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2707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1904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2708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1904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2709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1904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2710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1904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2711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1904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2712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1904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2713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1904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2714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1904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2715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1904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2716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1904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2717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1904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2718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1904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2719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1904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2720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1904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2721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1904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2722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1904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2723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1904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2724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1904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2725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1904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2726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1904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2727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1904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2728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2729</v>
      </c>
      <c r="E1428" s="1" t="n">
        <v>1203</v>
      </c>
      <c r="F1428" s="1" t="s">
        <v>1803</v>
      </c>
      <c r="I1428" s="1" t="n">
        <v>18964</v>
      </c>
      <c r="J1428" s="1" t="n">
        <v>80007</v>
      </c>
      <c r="K1428" s="1" t="n">
        <v>800082</v>
      </c>
      <c r="L1428" s="1" t="s">
        <v>2730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2729</v>
      </c>
      <c r="E1429" s="1" t="n">
        <v>1203</v>
      </c>
      <c r="F1429" s="1" t="s">
        <v>1803</v>
      </c>
      <c r="I1429" s="1" t="n">
        <v>18964</v>
      </c>
      <c r="J1429" s="1" t="n">
        <v>80009</v>
      </c>
      <c r="K1429" s="1" t="n">
        <v>800105</v>
      </c>
      <c r="L1429" s="1" t="s">
        <v>2731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2729</v>
      </c>
      <c r="E1430" s="1" t="n">
        <v>1203</v>
      </c>
      <c r="F1430" s="1" t="s">
        <v>1803</v>
      </c>
      <c r="I1430" s="1" t="n">
        <v>18964</v>
      </c>
      <c r="J1430" s="1" t="n">
        <v>80011</v>
      </c>
      <c r="K1430" s="1" t="n">
        <v>800129</v>
      </c>
      <c r="L1430" s="1" t="s">
        <v>2732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2729</v>
      </c>
      <c r="E1431" s="1" t="n">
        <v>1203</v>
      </c>
      <c r="F1431" s="1" t="s">
        <v>1803</v>
      </c>
      <c r="I1431" s="1" t="n">
        <v>18964</v>
      </c>
      <c r="J1431" s="1" t="n">
        <v>81423</v>
      </c>
      <c r="K1431" s="1" t="n">
        <v>814249</v>
      </c>
      <c r="L1431" s="1" t="s">
        <v>2733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2729</v>
      </c>
      <c r="E1432" s="1" t="n">
        <v>1203</v>
      </c>
      <c r="F1432" s="1" t="s">
        <v>1803</v>
      </c>
      <c r="I1432" s="1" t="n">
        <v>18964</v>
      </c>
      <c r="J1432" s="1" t="n">
        <v>81425</v>
      </c>
      <c r="K1432" s="1" t="n">
        <v>814263</v>
      </c>
      <c r="L1432" s="1" t="s">
        <v>2734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2729</v>
      </c>
      <c r="E1433" s="1" t="n">
        <v>1203</v>
      </c>
      <c r="F1433" s="1" t="s">
        <v>1803</v>
      </c>
      <c r="I1433" s="1" t="n">
        <v>18964</v>
      </c>
      <c r="J1433" s="1" t="n">
        <v>81427</v>
      </c>
      <c r="K1433" s="1" t="n">
        <v>814287</v>
      </c>
      <c r="L1433" s="1" t="s">
        <v>2735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2729</v>
      </c>
      <c r="E1434" s="1" t="n">
        <v>645</v>
      </c>
      <c r="F1434" s="1" t="s">
        <v>1805</v>
      </c>
      <c r="I1434" s="1" t="n">
        <v>35695</v>
      </c>
      <c r="J1434" s="1" t="n">
        <v>81429</v>
      </c>
      <c r="K1434" s="1" t="n">
        <v>814300</v>
      </c>
      <c r="L1434" s="1" t="s">
        <v>2736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2449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2631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1876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1933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1876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1877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1876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1878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1876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2377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1876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2016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1876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1880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1876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2737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1876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2738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1876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2039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1876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1881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1876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2739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1876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2740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1876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2740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1876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2741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1876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2742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1876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2743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1876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2744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1876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2745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1876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2746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1876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2740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1876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2740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1876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2747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1876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2748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1876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2749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1876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2750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1876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2751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1876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2752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1876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2753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1876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2754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1876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2755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1876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2756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1876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2757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1876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2758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1876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2759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1876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2760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1876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2761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1876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2762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1876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2763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1876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2764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1876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2765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1876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2766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1876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2767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1876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2768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1876</v>
      </c>
      <c r="E1479" s="1" t="n">
        <v>1107</v>
      </c>
      <c r="F1479" s="1" t="s">
        <v>227</v>
      </c>
      <c r="I1479" s="1" t="n">
        <v>416678</v>
      </c>
      <c r="J1479" s="1" t="n">
        <v>17325</v>
      </c>
      <c r="K1479" s="1" t="n">
        <v>7895144603063</v>
      </c>
      <c r="L1479" s="1" t="s">
        <v>2769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1876</v>
      </c>
      <c r="E1480" s="1" t="n">
        <v>1107</v>
      </c>
      <c r="F1480" s="1" t="s">
        <v>227</v>
      </c>
      <c r="I1480" s="1" t="n">
        <v>416678</v>
      </c>
      <c r="J1480" s="1" t="n">
        <v>17106</v>
      </c>
      <c r="K1480" s="1" t="n">
        <v>7895144603223</v>
      </c>
      <c r="L1480" s="1" t="s">
        <v>2699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1876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2770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1876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2771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1876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2772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1876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2773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1876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2774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1876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2508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1876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2775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1876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1898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1876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1899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1876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1900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1966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1967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1986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1967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1904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2776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2449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2777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2449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2778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1876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2779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1876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2780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1876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2781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1876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2782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1876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2783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1876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2784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1876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2785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1876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2786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1876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2787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1876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2788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1876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2789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1876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2790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1876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2791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1876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2792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1876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2793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1876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2794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1876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2795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1876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2796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1876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2797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1876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2798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1876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2799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1876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2800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1876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2801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1876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2802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1876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2803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1876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2804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1876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2805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1876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2806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1876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2807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1876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2808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1876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2809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1876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1882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1876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1883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1876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2056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1876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2810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1876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2810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1876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2811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1876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2812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1876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2813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1876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2814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1876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2815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1876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2816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1876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2817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1876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2012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1876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2013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1876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2818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1876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2819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1876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2820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1876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2821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1876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2822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1876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2823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1876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2824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1876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2825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1876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1922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1876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1923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1876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1924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1876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2826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1876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2070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1876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2827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1876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2828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1876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2829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1876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2830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1876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2831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1876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2832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1876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2833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1876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2834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1876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2835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1876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2834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1876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2836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1876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2837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1876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2838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1876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2839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1876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2840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1876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2841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1876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2842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1876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2843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1876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2844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1876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2845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1876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2846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1876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2847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1876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2848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1876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2849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1876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2850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1876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2851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1876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2852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1876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2853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1876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2854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1876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2855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1876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2856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1876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2857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1876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2858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1876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2859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1876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2860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1876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2861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1876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2532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1876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2862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1876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2863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1876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2864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1876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2865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1876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2866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1876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2867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1876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2868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1876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2869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1876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2870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1876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2871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1876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2427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1876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2001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1876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2002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1876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2005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1876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2872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1876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2090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1876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1911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1904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2873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1912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1913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1912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1913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1912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1914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1912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1915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1912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1916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1912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1917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1912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2014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1912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1918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1912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1919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1912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1919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1912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1920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1912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1920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1912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1921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1912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1922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1912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1923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1912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1924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1912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1925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1912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1926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1912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1926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1912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1927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1912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1928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1912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1928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1912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1929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1912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1929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1912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1930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1912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1930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1912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1931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1912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1931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1912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1931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2729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2874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2729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2875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1932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1913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1932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1918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1932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1919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1932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1920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1932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1921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1932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1922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1932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1923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1932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1924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1932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1925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1932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1926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1932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1927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1932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1928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1932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1929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1932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1930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1932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1931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1932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1920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1932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1926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1932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1928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1932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1931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1932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1913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1932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1914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1932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1915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1932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1916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1932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1917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1932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2014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1932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1919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1932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1929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1932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1930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1932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1931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1876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2876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1876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2143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1876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2144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1876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1934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1876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2877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1876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2878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1876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2879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1876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2880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1876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2881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1876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2882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1876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2017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1876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2019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1876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2020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1876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2021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1876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2039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1876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1881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1876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2883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1876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2884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1876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2040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1876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2041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1876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2046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1876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2885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1876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2886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1876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2886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1876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1884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1876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1885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1876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1886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1876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1887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1876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1888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1876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1889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1876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1891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1876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1893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1876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1894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1876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2887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1876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2888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1876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2201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1876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2889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1876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2890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1876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2891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1876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2204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1876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2892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1876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2893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1876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2894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1876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2895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1876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2896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1876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2897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1876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2898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1876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1883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1876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2899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1876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2900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1876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2901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1876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2902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1876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2903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1876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2904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1876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2905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1876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2906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1876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2907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1876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2908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1876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2909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1876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2910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1876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2911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1876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2912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1876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2913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1876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2914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1876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2891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1876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2915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1876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2916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1876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2917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1876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2918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1876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2919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1876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2920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1876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2921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1876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2922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1876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2923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1876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2924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1876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2923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1876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2925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1876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2926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1876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2927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1876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2928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1876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2929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1876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2930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1876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2931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1876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2932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1876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2933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1876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1944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1876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1945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1876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1946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1876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1947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1876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1949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1876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2395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1876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1995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1876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2934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1876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1994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1876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1895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1876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2935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1876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1896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1876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2396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1876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2936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1876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2401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1876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2406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1876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2937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1876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2938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1876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2939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1876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2411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1876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2940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1876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2941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1876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2413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1876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2942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1876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2943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1876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2944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1876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2945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1876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2946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1876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2947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1876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2948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1876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2949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1876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2950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1876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2951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1876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2952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1876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2953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1876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2954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1876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2955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1876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2956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1876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2957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1876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2958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1876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2959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1876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2960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1876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2961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1876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2962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1876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2963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1876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2964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1876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2965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1876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2966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1876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2967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1876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2968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1876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2969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1876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2970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1876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2971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1876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2972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1876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2956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1876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2267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1876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2973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1876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2974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1876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2975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1876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2976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1876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2977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1876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2978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1876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2979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1876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2980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1876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2981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1876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2074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1876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2415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1876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2077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1876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2078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1876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2079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1876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2082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1876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2083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1876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2420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1876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1956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1876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2084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1876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1958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1876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2982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1876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1961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1876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1965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1876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2977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1876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2983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1876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2088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1876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2089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1876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1901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1876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2984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1876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2008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1876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2985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1876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2986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1876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2987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1876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2988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1876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2989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1876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2990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1876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2991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1876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2992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1876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2993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1876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2994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1876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2995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1876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2996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1876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2997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1876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2998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1876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2999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1876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3000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1876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3001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1876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3002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1876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3003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1876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3004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1876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3005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1876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3006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1876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3006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1876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3007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1876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3008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1876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3009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1876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3010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1966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1967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1966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1970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1966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1973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1966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1975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1966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1976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1966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2127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1966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2029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1966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1979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1966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1980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1966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1981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1966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1982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1966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1983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1966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2170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1966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1984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1986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1967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1986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1970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1986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1973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1986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1975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1986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1976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1986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2127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1986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2029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1986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1979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1986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1980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1986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1981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1986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1982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1986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1983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1986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2170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1986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1984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1904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3011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1904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3012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1904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2033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1904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2035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1904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3013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1904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3014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1904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3015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1904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2036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1904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3016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1904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3017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1904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3018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1904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1902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1904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1903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1904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3019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1904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2000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1904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1992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1904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3020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1912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1913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1912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1914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1912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1915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1912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1916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1912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1917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1912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2014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1912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1919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1912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2015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1912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1929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1912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1930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1912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1931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1932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1913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1932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1914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1932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1915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1932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1916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1932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1917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1932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2014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1932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1919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1932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2015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1932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1929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1932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1930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1932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1931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1876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1934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1876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1935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1876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1936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1876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1937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1876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1938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1876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2022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1876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1939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1876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1940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1876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1879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1876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1941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1876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3021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1876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3022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1876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3023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1876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3024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1876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3025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1876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3026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1876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3027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1876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3028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1876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3029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1876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3029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1876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3030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1876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3030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1876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3031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1876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3031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1876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1898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1876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1899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1876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1900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1876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1898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1876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1900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1876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1898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1876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1899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1876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1900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1966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1968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1966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1969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1966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1970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1966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2429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1966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1972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1966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1973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1966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1974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1966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1975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1966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1976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1966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1977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1966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2029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1966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1978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1966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1979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1966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1980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1966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2031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1966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2032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1966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1982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1966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1983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1966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1984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1986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1968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1986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1969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1986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1970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1986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2429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1986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1972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1986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1973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1986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1974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1986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1975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1986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1976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1986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1977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1986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2029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1986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1978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1986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1979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1986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1980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1986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2031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1986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2032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1986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1982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1986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1983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1986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1984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3032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3033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2729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3034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2729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3035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2729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3036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2729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3037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2729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3038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2729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3039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1876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1942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1876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1943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1876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1942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1876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1943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1876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1942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1876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1943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1876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1942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1876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3040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1876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3041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1876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1877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1876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1878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1876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2377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1876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2016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1876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1880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1876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1877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1876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1878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1876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1879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1876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2377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1876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1880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1876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3042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1876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3043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1876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3044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1876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3045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1876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3046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1876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3047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1876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3048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1876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3049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1876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3050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1876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3051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1876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3052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1876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3053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1876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3054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1876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3055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1876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3056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1876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3057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1876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3058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1876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3059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1876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3060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1876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3061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1876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3062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1876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3063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1876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3064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1876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3065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1876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3066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1876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3067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1876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3068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1876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3069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1876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3070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1876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3071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1876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3072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1876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3073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1876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3074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1876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3075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1876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3076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1876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3077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1876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3078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1876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3079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1876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3080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1876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3081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1876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3082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1876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2827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1876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3083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1876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3084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1876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3085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1876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3086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1876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3087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1876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2152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1876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2153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1876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2154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1876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2156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1876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3088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1876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3089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1876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3090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1876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3091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1876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2159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1876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2160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1876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3092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1876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2161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1876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3093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1876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2163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1876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2165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1876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2166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1876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1942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1876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3094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1876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3095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1876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3096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1876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2063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1876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3097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1876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3098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1876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3099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1876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3100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1876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2551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1876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3101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1876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3102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1876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3103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1876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3104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1876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3105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1876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3106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1876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3107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1876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3108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1876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3109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1876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3110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1876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3111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1876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3112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1876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3113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1876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3114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1876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3115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1876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3116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1876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3117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1876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3118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1876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3119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1876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3120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1876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3121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1876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3122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1876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3123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1876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3124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1876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3125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1876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3126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1876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3127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1876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3128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1876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3129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1876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1882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1876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1883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1876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2056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1876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3130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1876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2222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1876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2223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1876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3131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1876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3132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1876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1898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1876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1900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1876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3133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1876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3134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1876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3135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1876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3136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1876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3137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1876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3138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1876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3139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1876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3140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1876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3141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1876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3142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1876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3143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1876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3144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1876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3145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1876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3146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1876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3147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1876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3148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1876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3149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1876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3150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1876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3151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1876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3152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1876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3153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1876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2087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1876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2008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1876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2000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1876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2003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1876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2006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1876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1903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1876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2428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1876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2008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1876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2009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1904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3154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1904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3155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1904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3156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1904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3157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1904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3158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1904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3159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1904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3160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1904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3161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1904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3162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1904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3163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1904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3164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1904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3165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1904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3166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1904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3167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1904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3168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1904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3169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1904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1990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1912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1913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1912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1913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1912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1914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1912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1915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1912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1916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1912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1917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1912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2014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1912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1918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1912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1919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1912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1919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1912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1920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1912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1920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1912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1921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1912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1922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1912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1923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1912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1924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1912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1925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1912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1926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1912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1927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1912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1928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1912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1928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1912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1929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1912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1929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1912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1930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1912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1930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1912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1931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1912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1931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1912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2095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1932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1920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1932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1928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1932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1913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1932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1914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1932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1915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1932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1916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1932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1917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1932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2014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1932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1919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1932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1929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1932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1930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1932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1931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1932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1913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1932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1918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1932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1919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1932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1920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1932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1921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1932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1922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1932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1923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1932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1924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1932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1925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1932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1926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1932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1927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1932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1928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1932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1929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1932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1930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1932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1931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1932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2095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1876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1877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1876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1878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1876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1879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1876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2377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1876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2016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1876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1880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1876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2012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1876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2013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1876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2058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1876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3170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1876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3171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1876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3172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1876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3173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1876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3174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1876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3175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1876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3176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1876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3177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1876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3178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1876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3179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1876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3180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1876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3181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1876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3182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1876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3183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1876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3184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1876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3185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1876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1944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1876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1945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1876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1946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1876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1948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1876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1949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1876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3186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1876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3187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1876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3188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1876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2057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1876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2058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1876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3189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1876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2404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1876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3190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1876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3191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1876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3192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1876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2410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1876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3193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1876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3194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1966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1967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1966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2125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1966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2690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1966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1972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1966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2126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1966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1974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1966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1975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1966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1976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1966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2030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1966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1978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1966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1979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1966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1980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1966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2032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1966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1981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1966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1982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1966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1983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1966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1984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1986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1967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1986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2125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1986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2690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1986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1972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1986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2126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1986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1974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1986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1975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1986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1976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1986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2030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1986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1978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1986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1979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1986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1980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1986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2032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1986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1981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1986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1982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1986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1983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1986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1984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1904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2652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1876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2143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1876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2144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1876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1933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1876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2143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1876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2144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1876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2041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1876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2044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1876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2045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1876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2048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1876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2054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1876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2056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1876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2056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1876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2056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1876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2203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1876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2892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1876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3195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1876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3196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1876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3197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1876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3198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1876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3199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1876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3200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1876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3201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1876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1900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1904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2178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1904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2182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1904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2183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1904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2184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1904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2185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1904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2187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1904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2188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1904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2189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1904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2190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1904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2191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1904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2192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1904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2193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1904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2195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1912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1920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1912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1926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1912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1928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1912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1931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1932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1920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1932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1926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1932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1928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1932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1931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1932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1920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1932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1926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1932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1928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1932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1931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1932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1920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1932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1926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1932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1928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1932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1931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1876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1934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1876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1882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1876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3202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1876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2496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1876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2497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1876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2499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1876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2500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1876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2501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1876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3030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1876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2504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1876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3203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1876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2512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1876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3204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1876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2513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1876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2514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1876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3205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1876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3205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1876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3206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1876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3207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1876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2523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1876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2530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1876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2531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1876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3208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1876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3209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1876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1898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1876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1900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1876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1901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1876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2090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1876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2008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1876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2009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1876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2086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1876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2087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1966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1967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1986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1967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1904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2399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1912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1913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1912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1918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1912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1919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1912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1920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1912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1921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1912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1922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1912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1923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1912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1924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1912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1925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1912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1926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1912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1927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1912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3210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1912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1928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1912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1929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1912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3211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1912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1931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1932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1913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1932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1918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1932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1919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1932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1920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1932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1921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1932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1922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1932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1923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1932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1924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1932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1925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1932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1926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1932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1927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1932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3210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1932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1928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1932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1929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1932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3211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1932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1931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1876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1934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1876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2017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1876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2019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1876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2020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1876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2021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1876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1898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1876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1899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1876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1900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1966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1968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1966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1969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1966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1970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1966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1974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1966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1975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1966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1976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1966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1977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1966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2127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1966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2029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1966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1978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1966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1979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1966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1980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1966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2091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1966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2128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1966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1983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1966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1984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1986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1968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1986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1969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1986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1970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1986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1974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1986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1975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1986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1976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1986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1977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1986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2127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1986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2029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1986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1978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1986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1979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1986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1980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1986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2091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1986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2128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1986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1983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1986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1984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1876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1878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1876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1879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1876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2377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1876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2016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1876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1880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1876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2039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1876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1881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1876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1935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1876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1936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1876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1937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1876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1938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1876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1940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1876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1879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1876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1941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1876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1882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1876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1883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1876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3212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1876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3213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1876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3214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1876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3215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1876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3216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1876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3217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1876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3218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1876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3219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1876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3220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1876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3221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1876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3222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1876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3223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1876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3224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1876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3225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1876</v>
      </c>
      <c r="E2512" s="1" t="n">
        <v>1671</v>
      </c>
      <c r="F2512" s="1" t="s">
        <v>101</v>
      </c>
      <c r="I2512" s="1" t="n">
        <v>576435</v>
      </c>
      <c r="J2512" s="1" t="n">
        <v>57369</v>
      </c>
      <c r="K2512" s="1" t="n">
        <v>7509546687537</v>
      </c>
      <c r="L2512" s="1" t="s">
        <v>3226</v>
      </c>
      <c r="N2512" s="1" t="n">
        <v>1</v>
      </c>
      <c r="O2512" s="1" t="n">
        <v>5.82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1876</v>
      </c>
      <c r="E2513" s="1" t="n">
        <v>1671</v>
      </c>
      <c r="F2513" s="1" t="s">
        <v>101</v>
      </c>
      <c r="I2513" s="1" t="n">
        <v>576435</v>
      </c>
      <c r="J2513" s="1" t="n">
        <v>56310</v>
      </c>
      <c r="K2513" s="1" t="n">
        <v>7509546686042</v>
      </c>
      <c r="L2513" s="1" t="s">
        <v>3227</v>
      </c>
      <c r="N2513" s="1" t="n">
        <v>6</v>
      </c>
      <c r="O2513" s="1" t="n">
        <v>63.98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1876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3228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1876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3229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1876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3230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1876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2613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1966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1967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1986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1967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1912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1913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1912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1913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1912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1914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1912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1915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1912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1916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1912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1917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1912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1917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1912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1918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1912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1919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1912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1919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1912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1920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1912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1921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1912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1922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1912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1923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1912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1924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1912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1926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1912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1927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1912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2094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1912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2015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1912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1928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1912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1929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1912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3211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1912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3211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1912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1931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1912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2095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1932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1913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1932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1914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1932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1915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1932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1916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1932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1917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1932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1919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1932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2015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1932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3211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1932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1913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1932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1917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1932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1918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1932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1919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1932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1920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1932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1921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1932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1922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1932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1923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1932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1924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1932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1926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1932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1927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1932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2094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1932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1928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1932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1929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1932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3211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1932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1931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1932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2095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2449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3231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1876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3232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1876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3233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1876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3234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1876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3235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1876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3236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1876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3237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1876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3238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1876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3239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1876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3240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1876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3241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1876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3242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1876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3243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1876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3244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1876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3245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1876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3246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1876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3247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1876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3248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1876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3249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1876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3250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1876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3251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1876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3252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1876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3252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1876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3253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1876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3254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1876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3255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1876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3256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1876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3257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1876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3258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1876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3258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1876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3259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1876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3260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1876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3261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1876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3262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1876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3263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1876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3264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1876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3265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1876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3266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1876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3267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1876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3268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1876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3269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1876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3270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1876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3271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1876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3272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1876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3273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1876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3274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1876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3275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1876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3276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1876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3277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1876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2023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1876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2024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1876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3278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1876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2025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1876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2027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1876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2024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1876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3279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1876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2207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1876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3280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1876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3281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1876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2207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1876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2208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1876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3282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1876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2209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1876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2207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1876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3283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1876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3284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1876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3285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1876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3286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1876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2213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1876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2214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1876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2218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1876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2219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1876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3287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1876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3288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1876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1921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1876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1922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1876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1923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1876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1924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1876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2776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1876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2148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1876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1898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1876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1900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1876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3289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1876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3290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1876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3291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1876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3292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1876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2066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1876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2206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1876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3293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1876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3294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1876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2143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1876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2144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1876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3295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1876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3296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1876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3297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1876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3298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1876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2043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1876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2044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1876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2045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1876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2046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1876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2047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1876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2049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1876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2050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1876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2051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1876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2052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1876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2053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1876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2054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1876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2055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1876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2200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1876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2400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1876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3299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1876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2065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1876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2116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1876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2117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1876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2118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1876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3300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1876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3301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1876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2123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1876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3302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1876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3202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1876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3303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1876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2498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1876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2501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1876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3030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1876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2502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1876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3304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1876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2503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1876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2505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1876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3305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1876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2507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1876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2509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1876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2511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1876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2514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1876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3205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1876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2775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1876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2517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1876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2523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1876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2527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1876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2528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1876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3306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1876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2530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1876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3031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1876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3208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1876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1944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1876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1945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1876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1946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1876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1947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1876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1948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1876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1949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1876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3307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1876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2151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1876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3087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1876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2153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1876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3308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1876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3309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1876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2158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1876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2159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1876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2160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1876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3310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1876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2162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1876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3093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1876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2163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1876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1899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1876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1900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1876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2071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1876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2414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1876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2074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1876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2075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1876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2077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1876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2078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1876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2079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1876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2417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1876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2080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1876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1951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1876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3311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1876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2082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1876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2083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1876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2420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1876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1955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1876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2084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1876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2421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1876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1957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1876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3312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1876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2423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1876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3313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1876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1958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1876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1959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1876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1960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1876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2982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1876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2424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1876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1965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1876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2426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1966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1967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1966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1968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1966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1970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1966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1972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1966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2126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1966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1973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1966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1974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1966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1975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1966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1976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1966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1978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1966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1980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1966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2032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1966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1982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1966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1983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1966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1984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1986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1967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1986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1968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1986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1970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1986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1972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1986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2126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1986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1973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1986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1974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1986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1975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1986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1976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1986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1978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1986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1980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1986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2032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1986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1982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1986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1983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1986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1984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1876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1934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1876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1877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1876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1878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1876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1879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1876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2377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1876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2016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1876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1880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1876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1882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1876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1883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1876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2056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1876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2056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1876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2056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1912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1913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1912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1913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1912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1914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1912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1915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1912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1916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1912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1917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1912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1918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1912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1919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1912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1919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1912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1919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1912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1920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1912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1920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1912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1921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1912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1922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1912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1923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1912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1924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1912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1925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1912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1926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1912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1926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1912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1927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1912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3314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1912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1928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1912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1928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1912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1929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1912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1929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1912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1929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1912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1930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1912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3211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1912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3211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1912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1931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1932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1913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1932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1918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1932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1919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1932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1920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1932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1921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1932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1922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1932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1923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1932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1924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1932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1925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1932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1926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1932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1927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1932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1928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1932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1929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1932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3211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1932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1931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1932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1913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1932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1914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1932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1915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1932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1916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1932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1917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1932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1919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1932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1929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1932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3211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1932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1919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1932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1920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1932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1926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1932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3314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1932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1928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1932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1929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1932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1930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1932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1919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1932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1920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1932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1926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1932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3314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1932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1928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1932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1929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1932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1930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1932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1919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1932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1920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1932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1926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1932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1928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1932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1929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1932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1930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1876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2145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1876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2018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1876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2019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1876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2020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1876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2021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1876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1882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1876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1895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1876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1897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1876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2873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1876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3315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1876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2397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1876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1898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1876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1899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1876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1900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1876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2006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1966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1967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1986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1967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1904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2087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1904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2008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1904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2427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1904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2000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1904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2089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1904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2003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1904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2006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1904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1901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1904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1902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1904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1903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1904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3316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1904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3317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1904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3318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1904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2090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1904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3020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1904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3019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1904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3319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1904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2428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1904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2008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1904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2009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1904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3320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1904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3320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1904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3320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1904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3321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1904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2985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1904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2010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1912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1913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1912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1918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1912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1919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1912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1920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1912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1921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1912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1922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1912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1923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1912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1924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1912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1925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1912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1926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1912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1927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1912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1928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1912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1929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1912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3211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1912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1931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1932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1913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1932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1918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1932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1919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1932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1920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1932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1921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1932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1922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1932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1923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1932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1924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1932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1925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1932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1926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1932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1927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1932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1928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1932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1929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1932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3211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1932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1931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1876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1935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1876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1936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1876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1937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1876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1938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1876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2022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1876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1939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1876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1879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1876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1941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1876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3322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1876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3323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1876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3324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1876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3325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1876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3326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1876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3327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1876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3326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1876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3328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1876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2394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1876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1944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1876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1945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1876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1946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1876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1947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1876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1949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1876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3329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1876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2399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1876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2401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1876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2403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1876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3330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1876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2411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1876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3331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1876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2413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1876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1898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1876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1899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1876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1900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1966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1968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1966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1969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1966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2690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1966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1970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1966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2429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1966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1972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1966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2126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1966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1973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1966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1974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1966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1975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1966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1976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1966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1977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1966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2127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1966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2029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1966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2030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1966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1978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1966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1979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1966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1980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1966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2031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1966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1982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1966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2128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1966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1983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1966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1985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1986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1968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1986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1969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1986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2690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1986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1970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1986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2429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1986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1972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1986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2126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1986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1973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1986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1974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1986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1975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1986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1976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1986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1977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1986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2127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1986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2029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1986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2030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1986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1978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1986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1979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1986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1980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1986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2031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1986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1982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1986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2128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1986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1983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1986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1985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1904</v>
      </c>
      <c r="E3029" s="1" t="n">
        <v>10090</v>
      </c>
      <c r="F3029" s="1" t="s">
        <v>1538</v>
      </c>
      <c r="I3029" s="1" t="n">
        <v>265</v>
      </c>
      <c r="J3029" s="1" t="n">
        <v>105668</v>
      </c>
      <c r="K3029" s="1" t="n">
        <v>7896547500126</v>
      </c>
      <c r="L3029" s="1" t="s">
        <v>3332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1876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3333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1876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3334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1876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3335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1876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3336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1876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3337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1876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3338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1876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1934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1876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1878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1876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1879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1876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2377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1876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2016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1876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1880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1876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2039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1876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1881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1876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2096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1876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2097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1876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3339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1876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3340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1876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2098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1876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2099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1876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2101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1876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2106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1876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3341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1876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3342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1876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2107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1876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3343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1876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3344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1876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2110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1876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3345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1876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3346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1876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2112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1876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3347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1876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3348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1876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3349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1876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3350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1876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3351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1876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3352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1876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3353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1876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1883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1876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1990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1876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3354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1876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2686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1876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1991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1876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1895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1876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2088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1876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2001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1876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2688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1876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2934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1876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1990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1876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3354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1876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2686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1876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1991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1876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1895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1876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1898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1876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1899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1876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1900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1876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2004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1876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2004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1876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2002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1986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2167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1986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2168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1986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2169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1986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3355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1912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1913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1912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1914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1912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1915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1912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1916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1912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2014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1912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1919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1912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3210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1912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1929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1912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3211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1912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1931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1932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1913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1932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1914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1932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1915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1932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1916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1932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2014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1932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1919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1932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3210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1932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1929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1932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3211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1932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1931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1876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1933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1876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2012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1876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2013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1876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2378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1876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1882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1876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1883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1876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3356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1876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2461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1876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3357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1876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3358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1876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3359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1876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3360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1876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2839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1876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2848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1876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3361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1876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3362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1876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3363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1876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2201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1876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3364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1876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2687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1876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2252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1876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2253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1876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2256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1876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2257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1876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3365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1876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2259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1876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2260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1876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3366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1876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2261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1876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3367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1876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2263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1876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2264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1876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2266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1876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3368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1876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2078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1876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2081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1876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2083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1876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1955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1876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2084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1876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2421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1876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1959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1876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2424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1876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2002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1876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2887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1876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3369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1876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3370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1876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3371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1876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3372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1876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3373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1876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3374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1876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3375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1876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3376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1876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3377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1876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3378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1876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3379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1876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3380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1876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3381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1876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3382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1876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3383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1876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3384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1876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3385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1876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3386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1876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3387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1876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3388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1876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3389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1876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3390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1876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3391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1876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3392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1986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1919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1986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2776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1986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3393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1986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3394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1986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3395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1986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3396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1986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1929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1986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3397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1986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1967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1904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3398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1904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3399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1904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3400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1904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3400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1912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1913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1912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1913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1912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1914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1912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1915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1912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1916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1912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1917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1912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1917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1912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2014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1912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1918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1912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1919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1912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1919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1912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1920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1912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1921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1912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1922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1912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1923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1912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1924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1912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1925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1912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1926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1912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1927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1912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3210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1912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2094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1912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2015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1912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1928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1912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1929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1912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3211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1912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3211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1912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1931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1912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2095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1932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1913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1932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1914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1932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1915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1932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1916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1932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1917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1932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2014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1932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1919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1932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3210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1932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2015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1932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3211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1932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1931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1932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1913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1932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1917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1932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1918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1932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1919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1932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1920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1932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1921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1932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1922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1932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1923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1932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1924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1932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1925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1932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1926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1932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1927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1932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2094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1932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1928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1932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1929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1932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3211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1932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2095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2449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3401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2449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3386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2449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3388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1876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3402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1876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3403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1876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3404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1876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3405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1876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3406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1876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3407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1876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3408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1876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2889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1876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3409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1876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3410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1876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2890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1876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3411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1876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3412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1876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3413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1876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3414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1876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3415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1876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3414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1876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2143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1876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3416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1876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3417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1876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3418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1876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2884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1876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2040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1876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2041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1876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2042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1876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2045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1876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2046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1876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2048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1876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3419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1876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3420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1876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3421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1876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3422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1876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3423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1876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3424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1876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2212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1876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3425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1876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3426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1876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3427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1876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3428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1876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3429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1876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3430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1876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2673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1876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2674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1876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3431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1876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3432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1876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3433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1876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3434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1876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3435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1876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3436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1876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3437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1876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3438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1876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3439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1876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3440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1876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3440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1876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3441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1876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3442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1876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3443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1876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3444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1876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3445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1876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2436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1876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3446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1876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3447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1876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3448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1876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3449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1876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3450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1876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3451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1876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3452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1876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3453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1876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3454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1876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3455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1876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3456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1876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3457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1876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2920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1876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3458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1876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2921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1876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3459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1876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3460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1876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3461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1876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3462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1876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2922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1876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2923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1876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2924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1876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2923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1876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2925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1876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3463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1876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3464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1876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3465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1876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3466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1876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3467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1876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2927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1876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3468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1876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3469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1876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2931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1876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3470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1876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2932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1876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3471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1876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2220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1876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2221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1876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2223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1876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3472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1876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2224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1876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3473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1876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1945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1876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1946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1876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1947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1876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1948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1876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1949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1876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2069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1876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2057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1876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2404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1876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3190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1876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2405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1876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3474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1876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2410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1876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3475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1986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1969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1986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1970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1986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1972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1986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2126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1986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1973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1986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1975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1986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1976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1986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1977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1986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2127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1986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1978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1986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1979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1986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1980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1986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1981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1986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1982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1986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1983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1986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1984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1986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3476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1876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1934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1876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1877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1876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1878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1876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1879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1876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2016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1876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1880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1876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2430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1876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3477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1876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2432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1876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3478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1876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3479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1876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3480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1876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2178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1876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3481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1876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3482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1876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2181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1876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2182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1876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2183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1876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3483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1876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2184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1876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2185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1876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2187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1876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2189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1876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2190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1876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2191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1876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2193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1876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3484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1876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1898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1876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1900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2729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3485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2729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3486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1876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1878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1876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2146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1876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3487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1876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3488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1876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3489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1876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2036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1876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3016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1876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3490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1876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2037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1876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3491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1876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3492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1876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3493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1876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3494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1876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3495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1876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3496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1876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3497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1876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3498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1876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3499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1876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3500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1876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3501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1876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3502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1876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3503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1876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3504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1876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3505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1876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3506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1876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3507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1876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3508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1876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3509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1876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3510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1876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3511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1876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3512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1876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3513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1876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3514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1876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3515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1876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3516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1876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3517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1876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3518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1876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3519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1876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3520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1876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3521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1876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3522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1876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3523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1876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3524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1876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3525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1876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3526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1876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3527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1876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3528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1876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3529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1876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3530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1876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3531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1876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3532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1876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3533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1876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3534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1876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3535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1876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3536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1876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3536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1876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3536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1876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3536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1876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3537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1876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3538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1876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3539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1876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3540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1876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3540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1876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3541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1876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3542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1876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3543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1876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3544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1876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3545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1876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3546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1876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3547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1876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3548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1876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3549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1876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3550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1876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3551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1876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1995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1876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1896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1876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3552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1876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1996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1876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1898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1876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1899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1876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1900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1876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1902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1876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1903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1876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2090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1876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2689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1876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3553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1876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3554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1876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3555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1876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3556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1876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3557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1876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3558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1876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3559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1876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2989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1876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3560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1876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3561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1876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3562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1876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3563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1876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3564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1876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3565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1876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3566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1876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3567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1876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3568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1876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3569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1876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3570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1876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3571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1876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3572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1876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3573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1876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3574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1876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3575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1876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3576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1876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3577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1876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3578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1876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3579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1876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3580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1876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3581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1876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3582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1876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3583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1876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3584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1876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3585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1876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3586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1876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3587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1876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3588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1876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3589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1876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3590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1876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3591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1876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3592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1876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3593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1876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3594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1876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3595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1876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3596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1876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3597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1876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3598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1876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3599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1876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3600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1876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3600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1876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3601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1876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3602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1876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3603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1876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3604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1876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3605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1876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3606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1876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3607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1876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3608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1876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3609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1876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3610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1876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3611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1876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3612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1876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3613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1876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3614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1876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3615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1876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3616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1876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3617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1876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3618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1876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3619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1876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3620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1876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3621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1876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3622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1876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3623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1876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3624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1876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3625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1876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3626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1876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3627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1876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3628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1876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3628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1876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3629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1876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3629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1876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3630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1876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3631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1876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3628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1876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3632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1876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3633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1876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3634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1876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3635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1876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3636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1876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3637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1876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3638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1876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3639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1876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3640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1986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1967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2729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3641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2729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3642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2729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3643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1876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1882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1876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1883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1876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3644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1876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1944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1876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1945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1876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1949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1876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1900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1986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1968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1986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2125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1986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1969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1986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2690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1986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1970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1986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1972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1986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2126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1986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1973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1986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1974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1986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1975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1986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1976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1986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1977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1986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2029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1986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2030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1986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1978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1986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1979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1986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1980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1986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2691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1986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2032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1986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1982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1986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3645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1986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2128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1986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1983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1986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1984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1986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3646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1986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1967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1904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1935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1904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1936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1904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1937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1904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1938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1904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2022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1904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1939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1904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1940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1904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1879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1904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1941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1904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1884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1904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1885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1904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1886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1904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1887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1904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1888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1904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1889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1904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1890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1904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1891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1904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1892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1904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1893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1904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1894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1904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3501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1904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3647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1904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3648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1904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3649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1904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3650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1904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3651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1904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2174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1904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3652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1904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3653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1904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3654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1904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3655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1904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3656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1904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3657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1904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3658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1904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3659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1904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3660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1904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3661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1904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3662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1904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3663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1904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3664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1904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3665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1912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1913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1912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1913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1912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1914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1912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1915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1912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1916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1912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2014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1912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1918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1912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1919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1912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1919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1912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1920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1912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1921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1912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1922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1912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1923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1912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1924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1912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1925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1912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1926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1912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1927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1912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3210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1912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3210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1912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1928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1912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1929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1912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1929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1912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3211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1912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3211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1912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1931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1912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1931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1932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1913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1932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1918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1932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1919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1932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1920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1932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1921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1932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1922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1932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1923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1932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1924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1932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1925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1932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1926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1932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1927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1932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3210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1932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1928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1932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1929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1932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3211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1932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1931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1932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1913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1932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1914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1932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1915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1932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1916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1932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2014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1932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1919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1932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3210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1932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1929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1932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3211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1932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1931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1876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1898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1876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1900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1904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3666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1904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3667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1904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3668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1904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3669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1904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2740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1904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2741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1904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2744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1904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2745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1904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3670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1904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2740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1904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2740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1904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3671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1904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3672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1904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3673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1904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3674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1904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3675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1904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3676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1904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3677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1904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1921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1904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1922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1904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1923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1904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1924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1904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2776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1904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3678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1904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3679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1904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2945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1904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3680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1904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2946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1904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2947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1904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3681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1904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3682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1904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2949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1904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2951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1904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2952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1904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2953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1904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3683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1904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3684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1904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2954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1904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2955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1904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2956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1904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2957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1904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2958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1904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2959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1904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2960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1904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2961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1904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2962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1904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2963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1904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2964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1904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2965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1904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2966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1904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2968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1904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2969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1904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2970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1904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2971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1904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3685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1904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2956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1904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2267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1904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2973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1904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2974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1904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2975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1904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3686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1904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2978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1904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2979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1904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2980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1904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3687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1904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3688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1904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3688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1904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3688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1904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3689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1904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3690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1904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3691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1904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3692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1904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3693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1904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3694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1904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3695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1904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3696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1904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3697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1904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3698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1904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3699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1904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3700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1904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3701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1904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3702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1904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3703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1904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3704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1904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3705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1904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3706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1904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3707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1904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3708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1904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3709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1904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3710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1904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3197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1904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3711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1904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3712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1904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3198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1904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3199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1904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3713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1904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3713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1904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3199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1904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3714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1904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3715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1904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3716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1904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3717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1904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3718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1904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3719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1904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3720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1904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3721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1904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3722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1904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3723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1904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2703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1904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2704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1904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3724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1904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3725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1904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3726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1904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2179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1904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3727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1904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2180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1904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3728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1904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3729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1904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3730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1904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3729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1904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3729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1904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3731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1904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3731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1904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3731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1904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3732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1904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3731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1904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3733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1904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3734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1904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3735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1904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3736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1904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3737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1904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3738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1904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3739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1904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3740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1904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3741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1904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3742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1904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3743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1904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2451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1904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3098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1904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2455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1904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3744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1904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3745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1904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2458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1904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2039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1904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1881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1904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1882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1904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1883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1904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2059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1904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2060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1904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3746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1904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3747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1904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2064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1904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3748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1904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3749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1904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3750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1904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3751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1904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3752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1904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3753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1904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2555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1904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3754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1904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3755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1904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2546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1904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2445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1904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2381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1904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3756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1904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3757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1904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3758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1904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2383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1904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2384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1904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3759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1904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3760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1904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3761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1904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3762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1904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2385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1904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2386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1904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3763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1904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3764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1904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3765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1904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3766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1904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3767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1904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3768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1904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3769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1904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3770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1904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2694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1904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2696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1904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2697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1904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2698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1904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2829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1904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2831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1904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2840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1904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2841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1904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2843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1904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2845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1904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2847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1904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3771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1904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3772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1904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2850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1904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3773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1904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2700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1904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3774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1904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2701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1904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3775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1904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3776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1904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2087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1904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2687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1904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1994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1904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3777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1904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3778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1904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1895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1904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3779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1904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1996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1904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3780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1904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3781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1904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3781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1904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3782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1904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3783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1904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3784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1904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2473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1904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2600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1904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2601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1904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3785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1904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2564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1904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2567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1904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2572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1904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2574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1904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2576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1904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3786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1904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3787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1904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3788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1904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3186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1904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3187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1904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3188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1904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2588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1904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2604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1904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2607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1904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3789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1904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3790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1904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2596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1904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3791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1904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2611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1904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2086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1904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2008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1904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2000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1904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2002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1904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2006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1904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1901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1904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3792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1904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1903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1904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3316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1904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2090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1904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2008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1904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3793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1904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3496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1904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3794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1904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3795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1904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3796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1904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3797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1904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3798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1904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3799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1904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3800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1904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3801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1904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3802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1904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3803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1904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2347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1904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3178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1904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3179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1904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3180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1904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3804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1904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3805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1904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3806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1904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3807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1904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2349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1904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2350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1904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2351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1904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3808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1904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2354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1904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2356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1904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2357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1904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2358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1904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3809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1904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3810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1904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2359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1904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3811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1904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3812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1904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2360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1904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2361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1904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2362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1904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2363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1904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2364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1904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2366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1904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2368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1904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3813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1904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2369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1904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2370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1904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3814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1904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3815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1904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3816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1904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3817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1912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1913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1912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1913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1912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1914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1912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1915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1912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1916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1912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1917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1912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2014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1912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1918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1912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1919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1912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1919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1912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1920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1912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1921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1912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1922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1912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1923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1912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1924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1912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1925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1912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1926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1912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1927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1912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3210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1912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3210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1912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1928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1912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1929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1912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1929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1912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3211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1912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3211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1912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1931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1912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1931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1932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1913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1932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1918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1932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1919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1932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1920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1932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1921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1932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1922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1932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1923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1932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1924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1932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1925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1932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1927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1932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3210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1932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1928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1932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1929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1932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3211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1932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1931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1932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1913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1932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1914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1932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1915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1932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1916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1932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1917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1932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2014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1932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1919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1932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1926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1932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3210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1932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1929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1932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3211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1932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1931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1986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1967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1986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1968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1986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1969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1986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1970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1986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1971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1986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1972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1986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1973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1986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1976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1986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2127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1986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2030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1986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1979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1986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1980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1986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2031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1986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1982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1986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1983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1986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1984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1904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1942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1904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1942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1904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1943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1904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1942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1904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1942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1904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1942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1904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1942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1904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1943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1904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1942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1904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1943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1904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1942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1904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1943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1904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1933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1904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2143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1904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2144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1904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1877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1904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1878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1904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2018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1904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2019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1904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2020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1904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2021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1904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2791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1904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3818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1904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3819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1904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2796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1904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3820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1904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3821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1904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3822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1904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3823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1904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2809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1904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3824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1904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3825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1904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3826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1904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3827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1904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3828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1904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2056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1904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2056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1904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3829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1904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3830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1904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3831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1904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3832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1904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3833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1904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3834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1904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3835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1904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3836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1904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3837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1904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3838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1904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3839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1904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3840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1904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3841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1904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3842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1904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3843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1904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3844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1904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3845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1904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3846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1904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3847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1904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3848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1904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3849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1904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3850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1904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3851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1904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3852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1904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3853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1904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3854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1904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3855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1904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3856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1904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3857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1904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3858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1904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3859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1904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3860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1904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3861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1904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3862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1904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3863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1904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3864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1904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3865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1904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3866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1904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3867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1904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3868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1904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3869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1904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3870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1904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3871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1904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3872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1904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3873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1904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3874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1904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3875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1904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3876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1904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3877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1904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3878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1904</v>
      </c>
      <c r="E4181" s="1" t="n">
        <v>1671</v>
      </c>
      <c r="F4181" s="1" t="s">
        <v>101</v>
      </c>
      <c r="I4181" s="1" t="n">
        <v>580864</v>
      </c>
      <c r="J4181" s="1" t="n">
        <v>27190</v>
      </c>
      <c r="K4181" s="1" t="n">
        <v>4005900521972</v>
      </c>
      <c r="L4181" s="1" t="s">
        <v>3879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1904</v>
      </c>
      <c r="E4182" s="1" t="n">
        <v>1671</v>
      </c>
      <c r="F4182" s="1" t="s">
        <v>101</v>
      </c>
      <c r="I4182" s="1" t="n">
        <v>580864</v>
      </c>
      <c r="J4182" s="1" t="n">
        <v>23518</v>
      </c>
      <c r="K4182" s="1" t="n">
        <v>4005900122186</v>
      </c>
      <c r="L4182" s="1" t="s">
        <v>3880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1904</v>
      </c>
      <c r="E4183" s="1" t="n">
        <v>1671</v>
      </c>
      <c r="F4183" s="1" t="s">
        <v>101</v>
      </c>
      <c r="I4183" s="1" t="n">
        <v>580864</v>
      </c>
      <c r="J4183" s="1" t="n">
        <v>27188</v>
      </c>
      <c r="K4183" s="1" t="n">
        <v>4005900294722</v>
      </c>
      <c r="L4183" s="1" t="s">
        <v>3881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1904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3882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1904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3883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1904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3884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1904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3885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1904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3886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1904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3887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1904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3888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1904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3889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1904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3890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1904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3891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1904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3892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1904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3893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1904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3894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1904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3895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1904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3896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1904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3897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1904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3898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1904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3894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1904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3899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1904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3900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1904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3901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1904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3902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1904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3903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1904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2225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1904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1944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1904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1945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1904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1946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1904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1948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1904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1949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1904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2395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1904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2404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1904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3190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1904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3190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1904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2937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1904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3904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1904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2940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1904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2413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1904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2943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1904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2071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1904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2414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1904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2073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1904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2074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1904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2076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1904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2079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1904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1953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1904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2083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1904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2419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1904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2420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1904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1956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1904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2084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1904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2421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1904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2422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1904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1965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1912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1919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1912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1920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1912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1926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1912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3210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1912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1928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1912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1929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1912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1930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1912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1931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1932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1919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1932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1920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1932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1926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1932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3210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1932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1928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1932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1929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1932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1930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1932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1931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1932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1919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1932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1920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1932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1926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1932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3210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1932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1928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1932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1929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1932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1930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1932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1931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1904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1942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1904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1934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1904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3905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1904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3212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1904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3906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1904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3213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1904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3214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1904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3907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1904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3908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1904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3909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1904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3215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1904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3910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1904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3216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1904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3911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1904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3912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1904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3913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1904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3217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1904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3914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1904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3218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1904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3915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1904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3916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1904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3917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1904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3918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1904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3919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1904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3219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1904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3920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1904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3921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1904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3922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1904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3923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1904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3924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1904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3221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1904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3925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1904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3222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1904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3926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1904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3927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1904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3928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1904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3929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1904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3223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1904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3224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1904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3225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1904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3930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1904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3931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1904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3932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1904</v>
      </c>
      <c r="E4304" s="1" t="n">
        <v>1671</v>
      </c>
      <c r="F4304" s="1" t="s">
        <v>101</v>
      </c>
      <c r="I4304" s="1" t="n">
        <v>580863</v>
      </c>
      <c r="J4304" s="1" t="n">
        <v>57369</v>
      </c>
      <c r="K4304" s="1" t="n">
        <v>7509546687537</v>
      </c>
      <c r="L4304" s="1" t="s">
        <v>3226</v>
      </c>
      <c r="N4304" s="1" t="n">
        <v>6</v>
      </c>
      <c r="O4304" s="1" t="n">
        <v>34.92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1904</v>
      </c>
      <c r="E4305" s="1" t="n">
        <v>1671</v>
      </c>
      <c r="F4305" s="1" t="s">
        <v>101</v>
      </c>
      <c r="I4305" s="1" t="n">
        <v>580863</v>
      </c>
      <c r="J4305" s="1" t="n">
        <v>47781</v>
      </c>
      <c r="K4305" s="1" t="n">
        <v>7891024023969</v>
      </c>
      <c r="L4305" s="1" t="s">
        <v>3933</v>
      </c>
      <c r="N4305" s="1" t="n">
        <v>3</v>
      </c>
      <c r="O4305" s="1" t="n">
        <v>50.73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1904</v>
      </c>
      <c r="E4306" s="1" t="n">
        <v>1671</v>
      </c>
      <c r="F4306" s="1" t="s">
        <v>101</v>
      </c>
      <c r="I4306" s="1" t="n">
        <v>580863</v>
      </c>
      <c r="J4306" s="1" t="n">
        <v>50328</v>
      </c>
      <c r="K4306" s="1" t="n">
        <v>7509546681153</v>
      </c>
      <c r="L4306" s="1" t="s">
        <v>3934</v>
      </c>
      <c r="N4306" s="1" t="n">
        <v>6</v>
      </c>
      <c r="O4306" s="1" t="n">
        <v>47.64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1904</v>
      </c>
      <c r="E4307" s="1" t="n">
        <v>1671</v>
      </c>
      <c r="F4307" s="1" t="s">
        <v>101</v>
      </c>
      <c r="I4307" s="1" t="n">
        <v>580863</v>
      </c>
      <c r="J4307" s="1" t="n">
        <v>52188</v>
      </c>
      <c r="K4307" s="1" t="n">
        <v>7509546674438</v>
      </c>
      <c r="L4307" s="1" t="s">
        <v>3935</v>
      </c>
      <c r="N4307" s="1" t="n">
        <v>24</v>
      </c>
      <c r="O4307" s="1" t="n">
        <v>186.48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1904</v>
      </c>
      <c r="E4308" s="1" t="n">
        <v>1671</v>
      </c>
      <c r="F4308" s="1" t="s">
        <v>101</v>
      </c>
      <c r="I4308" s="1" t="n">
        <v>580863</v>
      </c>
      <c r="J4308" s="1" t="n">
        <v>56915</v>
      </c>
      <c r="K4308" s="1" t="n">
        <v>7509546679525</v>
      </c>
      <c r="L4308" s="1" t="s">
        <v>3936</v>
      </c>
      <c r="N4308" s="1" t="n">
        <v>4</v>
      </c>
      <c r="O4308" s="1" t="n">
        <v>37.16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1904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3937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1904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3938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1904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3939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1904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3940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1904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3941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1904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3229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1904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3942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1904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3943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1904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3944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1904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3945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1904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1898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1904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1900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1904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3946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1904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3947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1904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3948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1904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3949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2729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3950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2729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3951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2449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3952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1986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2167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1986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2168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1986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1967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1904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1942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1904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1943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1904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1942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1904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1943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1904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3042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1904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3953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1904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3954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1904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3954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1904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3955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1904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3956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1904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3957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1904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1882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1904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1883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1904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2012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1904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2013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1904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3958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1904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3959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1904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3960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1904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2231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1904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3961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1904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3962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1904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3963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1904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3964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1904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3965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1904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2232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1904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3966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1904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2235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1904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2236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1904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3967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1904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2238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1904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2239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1904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3968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1904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3969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1904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3970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1904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3971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1904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3972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1904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3973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1904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2245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1904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2246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1904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2248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1904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2250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1904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3974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1904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2088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1904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2688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1904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3975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1904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1898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1904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1899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1904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1900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1904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2002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1904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2004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1904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2005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1904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2689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1904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3976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1904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3977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1904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3978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1904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3979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1904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3980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1904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3981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1904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3982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1904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3983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1912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1913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1912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1913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1912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1914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1912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1915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1912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1916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1912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1917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1912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1918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1912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1919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1912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1919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1912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1920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1912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1921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1912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1922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1912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1923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1912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1924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1912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1925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1912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1926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1912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1927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1912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3210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1912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3210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1912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1928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1912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1929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1912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1929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1912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1930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1912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1930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1912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1931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1912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1931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1932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1913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1932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1918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1932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1919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1932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1920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1932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1921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1932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1922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1932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1923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1932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1924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1932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1925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1932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1926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1932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1927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1932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3210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1932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1928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1932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1929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1932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1930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1932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1931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1932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1913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1932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1914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1932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1915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1932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1916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1932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1917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1932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1919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1932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3210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1932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1929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1932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1930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1932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1931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1986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1969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1986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1970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1986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2429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1986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1971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1986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2126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1986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1973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1986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1974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1986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1976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1986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2127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1986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2029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1986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1979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1986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1980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1986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1982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1986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2128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1986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1983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1986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1984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1986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1972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1986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1967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1904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1877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1904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1878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1904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2016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1904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1880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1904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2017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1904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2018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1904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2019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1904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2020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1904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2021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1904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1935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1904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1936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1904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1937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1904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1938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1904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2022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1904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1939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1904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1940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1904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1879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1904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1941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1904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1898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1904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1899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1904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1900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2729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3984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1986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1967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1904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1942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1904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3041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1904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3985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1904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3986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1904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3987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1904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2040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1904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2041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1904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2042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1904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2045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1904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2046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1904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2054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1904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2148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1904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2826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1904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2070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1904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2827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1904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2086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1904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2087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1904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2872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1904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3085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1904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3307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1904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2151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1904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3087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1904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2152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1904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3988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1904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2154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1904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3989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1904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2156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1904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3990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1904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3089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1904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3091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1904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3991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1904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2159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1904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2160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1904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3310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1904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2161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1904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2162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1904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2163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1904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3992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1904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3993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1904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2164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1904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2166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1904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3994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1904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3995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1904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2977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1904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2008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1904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2000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1904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2003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1904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2090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1904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2689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1904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2428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1904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2008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1904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2009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2729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3996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2729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3997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1904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1878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1904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1879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1904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2377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1904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2016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1904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1880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1904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3998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1904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3999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1904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4000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1904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4001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1904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4002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1904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4003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1904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4004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1904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4005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1904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4006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1904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4007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1904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4008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1904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4009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1904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4010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1904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4011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1904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4012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1904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4013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1904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4014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1904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4015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1904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4016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1904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4017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1904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4018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1904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4019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1904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1882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1904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1883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1904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3130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1904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4020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1904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4021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1904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4022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1904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3131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1904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4023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1904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4023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1904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4024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1904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4025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1904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4026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1904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4027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1904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4028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1904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4029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1904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4030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1904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4031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1904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4032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1904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4033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1904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2549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1904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2202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1904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4034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1904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2538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1904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2536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1904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4035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1904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2550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1904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1898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1904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1900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1904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2970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1912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1913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1912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1913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1912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1914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1912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1915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1912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1916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1912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1917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1912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2014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1912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1918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1912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1919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1912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1919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1912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1920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1912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1921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1912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1922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1912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1923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1912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1924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1912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1925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1912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1926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1912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1927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1912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3210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1912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1928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1912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1929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1912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1929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1912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3211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1912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3211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1912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1931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1912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1931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1932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1913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1932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1914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1932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1915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1932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1916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1932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1917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1932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2014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1932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1919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1932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3210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1932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1929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1932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3211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1932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1931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1932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1913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1932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1918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1932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1919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1932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1920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1932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1921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1932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1922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1932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1923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1932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1924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1932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1925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1932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1926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1932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1927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1932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1928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1932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1929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1932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3211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1932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1931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1986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1968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1986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1969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1986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1970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1986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2429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1986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1972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1986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2126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1986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1973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1986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1975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1986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1976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1986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1977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1986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2127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1986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2029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1986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1978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1986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1979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1986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1980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1986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1982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1986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1983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1986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1984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1986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3476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1986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4036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1986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1967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1904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2143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1904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2097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1904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2099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1904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2100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1904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2103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1904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2109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1904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2111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1904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2112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1904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4037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1904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4038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1904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4039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1904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4040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1904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4041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1904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4042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1904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4043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1904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2737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1904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3480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1904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2178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1904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2182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1904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2183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1904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2184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1904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2185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1904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2186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1904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2187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1904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2189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1904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2190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1904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2191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1904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2192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1904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2193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1904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2194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1904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2195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1904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3484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1904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1944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1904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1945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1904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1946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1904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1949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1904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3191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1904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2408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1904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4044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1904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3474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1904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2410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1904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2410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1904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2411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1904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2413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1904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1899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1904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1900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1904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4045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1904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3134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1904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3135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1904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3136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1904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3137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1904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4046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1904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3138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1904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3140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1904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3141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1904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3142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1904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3143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1904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3149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1904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3150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1904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4047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1904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4048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1904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4049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1904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4050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1904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2071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1904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2414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1904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2075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1904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2076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1904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2078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1904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4051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1904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1952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1904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1953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1904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1954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1904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2082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1904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2083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1904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2419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1904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2421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1904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2422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1904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1958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1904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1959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1904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1960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1904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1961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1904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2424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1904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1965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2729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4052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2729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4053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1986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2091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1904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1934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1904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1877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1904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1878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1904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1879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1904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2149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1904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2885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1904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2886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1904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2886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1986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1967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1904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1942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1904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1943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1904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1933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1904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4054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1904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4055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1904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4056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1904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4057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1904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2017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1904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2018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1904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2019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1904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2020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1904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2021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1904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1882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1904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1883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1904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2056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1904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2056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1904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1884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1904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1886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1904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1887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1904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1888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1904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1889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1904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1890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1904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1892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1904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1894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1904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2898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1904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2496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1904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2497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1904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2500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1904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4058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1904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2514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1904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4059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1904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3206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1904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1992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1904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4060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1904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1895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1904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3779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1904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2092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1904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3552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1904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1995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1904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1997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1904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2093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1904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1897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1904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1898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1904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1899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1904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1900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1904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1910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1904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2001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1904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2002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1904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2005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1904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1902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1904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1903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1904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2872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1904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2689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1904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3020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1904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3019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1904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2689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1912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1913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1912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1913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1912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1914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1912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1915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1912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1916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1912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1917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1912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2014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1912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2014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1912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1918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1912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1919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1912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1919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1912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1920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1912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1920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1912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1921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1912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1922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1912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1923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1912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1924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1912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1925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1912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1926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1912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1926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1912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1927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1912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2015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1912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1928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1912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1928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1912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1929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1912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1929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1912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1930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1912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1930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1912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1931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1912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1931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1932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1913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1932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2014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1932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1918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1932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1919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1932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1920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1932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1921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1932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1922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1932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1923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1932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1924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1932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1925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1932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1926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1932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1927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1932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1928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1932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1929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1932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1930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1932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1931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1932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1913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1932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1914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1932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1915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1932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1916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1932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1917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1932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2014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1932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1919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1932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2015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1932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1929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1932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1930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1932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1931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1932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1920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1932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1926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1932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1928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1932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1920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1932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1926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1932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1928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1986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1968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1986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1969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1986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1970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1986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1971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1986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2126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1986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1974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1986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1975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1986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1976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1986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2030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1986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1979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1986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1980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1986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2031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1986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2032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1986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2128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1986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1983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1986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1984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1986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1985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1904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2039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1904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1881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1904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1936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1904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1937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1904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1938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1904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2022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1904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1939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1904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1940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1904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1879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1904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1941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1904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1883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1904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1944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1904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1945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1904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1946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1904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1947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1904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1948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1904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1949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1904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1900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1912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1913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1912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1914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1912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1915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1912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1916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1912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1917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1912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2014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1912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1919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1912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1929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1912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1930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1912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1931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1932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1913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1932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1914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1932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1915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1932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1916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1932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1917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1932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2014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1932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1919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1932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1929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1932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1930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1932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1931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1904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4061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1904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2776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1904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4062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1904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4063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1904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4064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1904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1898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1904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1899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1904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1900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1986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1967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1986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1967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1904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2451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1904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3289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1904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3290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1904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2400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1904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4065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1904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2145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1904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1934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1904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1877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1904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1878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1904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1879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1904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2377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1904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2016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1904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1880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1904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2884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1904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2040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1904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2041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1904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2043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1904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2044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1904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2046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1904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2047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1904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2048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1904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2049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1904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2050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1904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2051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1904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2052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1904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2053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1904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2055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1904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1882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1904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2056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1904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2056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1904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2023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1904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2024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1904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4066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1904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2026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1904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2027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1904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2028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1904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2024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1904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2207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1904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3280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1904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4067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1904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3281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1904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2207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1904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2208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1904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3282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1904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3283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1904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2210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1904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3284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1904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2212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1904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3286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1904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4068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1904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4069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1904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2214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1904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4070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1904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2216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1904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2219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1904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2251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1904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2252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1904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4071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1904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2253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1904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4072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1904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3365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1904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2260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1904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2261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1904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2263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1904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2264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1904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4073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1904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4074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1904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4075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1904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4076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1904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2254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1904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3368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1904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4077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1912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1913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1912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1918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1912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1919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1912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1920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1912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1920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1912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1921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1912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1922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1912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1923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1912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1924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1912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1925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1912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1926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1912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1926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1912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1927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1912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1928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1912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1928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1912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1929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1912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1930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1912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1931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1932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1913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1932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1918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1932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1919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1932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1920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1932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1921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1932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1922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1932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1923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1932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1924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1932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1925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1932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1926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1932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1927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1932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1928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1932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1929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1932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1930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1932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1931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1932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1920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1932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1926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1932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1928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1932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1920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1932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1926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1932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1928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2449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2257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2449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4078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2449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4075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2449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2266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2449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3368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1986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2690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1986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1970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1986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1972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1986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1973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1986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1974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1986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1975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1986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1976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1986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1977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1986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1978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1986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1979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1986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1980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1986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2691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1986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2032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1986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1981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1986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1982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1986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1983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1904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1942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1904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1943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1904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2143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1904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2144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1904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2012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1904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2013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1904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3202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1904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4079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1904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2516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1904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4080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1904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4081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1904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4082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1904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1944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1904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1945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1904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1947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1904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1948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1904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1949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1904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2395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1904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2086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1904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2087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1904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3777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1904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4083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1904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3779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1904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2092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1904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2688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1904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4084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1904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4085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1904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3315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1904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2069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1904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2057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1904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2401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1904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2402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1904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2403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1904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2404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1904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3190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1904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2938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1904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4086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1904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2940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1904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2413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1904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4087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1904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1899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1904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1900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1904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2072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1904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4088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1904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2077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1904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2078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1904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2079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1904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2418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1904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2082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1904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2420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1904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1955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1904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2084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1904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2421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1904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1959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1904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2006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1904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2008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1904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2008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1904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2000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1904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2001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1904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4089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1904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2089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1904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2003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1904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2006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1904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3792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1904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1902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1904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1903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1904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3316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1904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2872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1904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2090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1904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2984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1904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2428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1904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1911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1904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2008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1904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2009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1904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2689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1904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1934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1904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1877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1904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1878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1904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1879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1904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2016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1904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1880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1904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2063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1904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2452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1904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2453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1904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4090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1904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2454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1904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2738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1904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1883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1912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1913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1912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1914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1912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1915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1912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1916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1912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1917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1912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2014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1912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1919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1912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3210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1912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1929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1912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3211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1912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1931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1932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1913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1932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1914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1932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1915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1932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1916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1932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1917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1932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2014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1932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1919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1932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3210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1932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1929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1932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3211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1932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1931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1986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1967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1986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1967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1904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2057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1904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4091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1904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2200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1904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2200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1904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2751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1904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4092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1904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4093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1904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2710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1904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2894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1904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2895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1904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2066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1904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2205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1904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4094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1904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1882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1904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1883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1904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2033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1904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2034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1904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3013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1904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2036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1904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3016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1904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3017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1904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2070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1904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2827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1904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1898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1904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1900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1912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1913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1912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1913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1912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1914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1912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1915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1912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1916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1912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1917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1912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1917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1912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2014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1912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1918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1912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1919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1912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1919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1912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1920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1912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1921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1912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1922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1912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1923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1912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1924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1912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1925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1912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1927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1912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2094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1912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2015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1912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1928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1912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1929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1912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3211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1912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3211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1912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1931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1912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2095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1932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1913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1932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1914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1932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1915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1932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1916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1932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1917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1932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2014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1932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1919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1932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2015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1932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3211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1932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1913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1932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1917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1932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1918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1932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1919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1932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1920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1932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1921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1932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1922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1932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1923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1932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1924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1932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1925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1932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1927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1932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2094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1932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1928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1932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1929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1932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3211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1932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1931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1932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2095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1986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1969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1986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1970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1986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1972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1986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2126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1986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1973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1986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1975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1986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1976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1986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2127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1986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2029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1986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2030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1986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1978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1986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1979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1986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1980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1986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1982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1986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1983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1986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1984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1986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1985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1904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1934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1904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1935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1904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1936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1904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1937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1904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1938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1904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2022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1904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1939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1904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1940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1904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1879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1904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1941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1904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1898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1904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1899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1904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1900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2449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3506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2449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3507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2449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3508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2449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4095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2449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3513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2449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4096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2449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4097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2449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3538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2449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3539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2449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4098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2449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4099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2449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4100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2449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4101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2449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4102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2449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3543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2449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4103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2449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4104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1986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1967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1904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1942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1904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1943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1904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4105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1904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4106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1904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1877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1904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1878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1904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1879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1904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2377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1904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1880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1904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2017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1904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2019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1904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2020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1904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2021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1904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4107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1904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1882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1904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2117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1904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2118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1904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2119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1904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3300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1904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2122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1904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2123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1904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4108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1904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2499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1904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2500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1904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2501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1904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2502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1904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2775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1904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3206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1904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2523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1904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3208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1904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2204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1904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2204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1904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2204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1912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1913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1912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1918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1912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1919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1912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1920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1912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1921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1912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1922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1912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1923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1912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1924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1912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1925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1912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1926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1912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1927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1912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1928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1912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1929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1912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1930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1912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1931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1932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1913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1932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1918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1932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1919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1932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1920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1932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1921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1932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1922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1932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1923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1932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1924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1932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1925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1932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1926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1932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1927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1932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1928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1932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1929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1932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1930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1932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1931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1986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1967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1904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3333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1904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3334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1904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3335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1904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3336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1904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3337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1904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3338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1904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1988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1904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2413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1904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1881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1904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4109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1904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2116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1904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1921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1904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1924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1904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3130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1904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2225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1904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1898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1904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1899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1904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1900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1986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2170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1986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2171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1986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2172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1986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1972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1986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1982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1986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1968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1986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1969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1986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1970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1986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1973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1986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1974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1986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1976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1986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1977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1986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2030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1986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1978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1986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1979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1986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1980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1986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2031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1986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4110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1986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2128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1986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1983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1986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1984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1986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1985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1986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4111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1904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1933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1904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2143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1904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2144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1904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1877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1904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1878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1904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1879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1904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2377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1904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2016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1904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1880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1904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2146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1904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4112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1904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4113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1904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4114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1904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4115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1904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3037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1904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3038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1904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4116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1904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1882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1904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1883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1904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1923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1904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2394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1904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1944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1904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1945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1904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4117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1904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1946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1904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1947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1904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1948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1904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1949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1904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2087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1904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1993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1904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4060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1904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2688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1904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4118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1904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3398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1904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3399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1904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4084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1904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2688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1904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4119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1904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4120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1904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1990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1904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3398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1904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3399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1904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3400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1904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3400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1904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2069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1904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2057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1904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2058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1904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2404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1904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3190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1904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2408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1904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2939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1904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2412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1904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4121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1904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1911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1904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1910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1904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2008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1904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2427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1904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2000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1904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2088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1904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2002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1904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2003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1904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2004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1904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4122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1904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2005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1904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3792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1904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1902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1904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1903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1904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3316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1904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3779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1904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2090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1904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2689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1904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2007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1904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3020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1904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3019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1904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2689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1904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3319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1904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2428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1904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1911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1904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1997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1904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2009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1904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2985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1904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2093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1904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2010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1912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1913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1912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1913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1912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1914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1912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1915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1912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1916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1912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1917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1912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2014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1912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1918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1912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1919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1912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1919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1912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1920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1912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1921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1912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1922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1912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1923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1912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1924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1912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1925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1912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1926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1912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1927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1912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1928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1912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1929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1912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1929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1912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1930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1912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1930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1912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1931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1912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1931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4123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3036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4123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3038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4123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4124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4123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4125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1932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1913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1932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1918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1932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1919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1932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1920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1932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1921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1932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1922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1932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1923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1932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1924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1932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1925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1932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1926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1932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1927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1932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1928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1932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1929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1932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1930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1932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1931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1932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1913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1932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1914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1932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1915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1932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1916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1932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1917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1932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2014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1932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1919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1932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1929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1932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1930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1932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1931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1904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1942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1904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1943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1986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1967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1904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1934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1904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1882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1904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1883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1904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2056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1904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2056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1904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1884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1904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1886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1904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1888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1904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1889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1904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1891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1904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1892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1904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1893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1904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2013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1904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1922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1904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2898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1904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2178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1904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2180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1904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2181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1904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2182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1904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2183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1904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2185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1904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2187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1904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2189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1904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2190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1904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4126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1904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2191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1904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2192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1904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2193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1904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4127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1904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2511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1904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3473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1904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4128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1904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4129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1904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4130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1904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4131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1904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1898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1904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1899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1904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1900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1904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1899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1904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1900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1912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1913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1912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1913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1912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1914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1912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1915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1912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1916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1912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1917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1912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2014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1912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2014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1912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1918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1912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1919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1912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1919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1912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1919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1912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1920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1912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1920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1912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4132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1912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1921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1912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1922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1912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1923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1912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1924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1912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1925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1912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1926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1912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1926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1912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3314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1912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3210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1912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1928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1912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1928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1912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1929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1912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1929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1912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1929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1912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1930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1912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3211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1912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3211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1912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1931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1932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1913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1932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1918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1932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1919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1932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1920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1932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1921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1932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1922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1932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1923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1932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1924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1932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1925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1932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1926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1932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3210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1932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1928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1932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1929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1932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3211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1932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1931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1932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1913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1932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1914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1932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1915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1932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1916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1932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1917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1932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2014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1932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1919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1932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4132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1932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1929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1932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3211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1932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2014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1932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1919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1932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1920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1932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1926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1932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3314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1932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1928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1932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1929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1932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1930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1932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1919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1932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1920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1932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1926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1932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3314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1932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1928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1932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1930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1986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1972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1986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1982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1986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2125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1986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2690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1986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1970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1986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2429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1986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2126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1986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1975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1986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1976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1986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2127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1986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2029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1986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1978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1986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1979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1986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1980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1986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2032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1986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1983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1986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1984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1986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4111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1986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3476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1904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2709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1904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2065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1904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4133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1904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2297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1904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2298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1904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4134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1904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4135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1904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2306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1904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4136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1904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4137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1904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4138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1904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4139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1904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4140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1904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4141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1904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4142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1904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1935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1904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1936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1904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1937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1904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1938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1904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2022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1904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1939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1904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1940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1904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1879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1904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1941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1904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3356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1904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2459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1904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2460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1904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2461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1904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2461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1904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3357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1904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2462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1904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4143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1904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3085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1904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3307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1904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2151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1904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3086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1904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3087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1904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2155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1904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2156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1904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3088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1904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3990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1904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3309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1904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2157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1904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3091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1904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2158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1904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2159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1904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2160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1904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4144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1904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3310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1904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3092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1904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2161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1904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4145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1904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3093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1904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2163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1904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3992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1904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2164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1904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2165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1904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2166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1904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3994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1904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3995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1904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1942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1904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1943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1904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2203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1904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3332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1904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1934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1904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2740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1904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2744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1904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2746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1904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2740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1904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4146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1904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4147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1904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4148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1904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4149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1904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4150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1904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4151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1904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4152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1904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4153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1904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4154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1904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3299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1904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4155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1904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4156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1904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4157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1904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4158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1904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2871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1904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2944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1904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3679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1904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2945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1904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2946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1904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2947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1904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3681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1904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3682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1904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2951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1904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2952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1904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3683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1904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3684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1904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2954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1904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2955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1904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2956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1904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2957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1904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2958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1904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2959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1904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2960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1904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2961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1904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2962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1904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2963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1904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2964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1904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2965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1904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2966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1904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2968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1904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2969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1904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2971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1904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3685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1904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2956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1904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2973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1904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2974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1904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3686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1904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2978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1904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2979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1904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2980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1904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3687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1904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1942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1904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1877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1904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1878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1904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1879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1904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2377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1904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2016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1904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1880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1904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2776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1904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3671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1904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3672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1904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4159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1904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3674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1904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4160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1904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4161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1904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3675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1904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4162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1904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4163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1904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3676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1904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3677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1904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1882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1904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1883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1904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3420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1904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4164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1904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3422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1904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3423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1904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3424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1904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2212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1904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4165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1904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3425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1904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2215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1904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2216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1904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2434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1904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2435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1904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2436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1904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2438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1904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2439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1904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4166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1904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4167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1904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3448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1904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4168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1904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2442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1904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2444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1904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3450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1904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3451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1904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3452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1904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2986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1904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3850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1904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3852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1904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4169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1904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3131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1904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4170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1904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4171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1904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4172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1904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2684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1904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3959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1904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3960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1904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2685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1904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2888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1904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3364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1904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4173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1904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2251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1904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2252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1904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2253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1904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4072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1904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2255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1904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2256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1904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4174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1904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3365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1904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2260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1904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2263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1904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2264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1904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4076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1904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3368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1904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4175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1904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4077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1904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4176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1904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4177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1904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4178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1904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4179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1904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4180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1904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4181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1904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4182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1904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4183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1904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4184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1904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4185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1904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4186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1904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4187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1904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4188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1904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4189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1904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4190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1904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4191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1904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4192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1904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4193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1904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4194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1904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4195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1904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4196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1904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4197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1904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4198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1904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4199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1904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4200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1904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4201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1904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4202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1904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4203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1904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4204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1904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4205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1904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4206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1904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4207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1904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4208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1904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4209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1904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4210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1912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1913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1912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1913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1912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1914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1912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1915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1912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1916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1912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1917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1912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2014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1912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1918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1912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1919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1912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1919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1912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1920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1912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1921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1912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1922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1912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1923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1912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1924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1912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1925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1912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1926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1912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1927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1912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1928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1912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1929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1912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1929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1912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1930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1912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1930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1912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1931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1912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1931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1932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1913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1932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1914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1932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1915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1932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1916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1932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1917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1932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2014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1932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1919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1932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1929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1932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1930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1932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1931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1932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1913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1932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1918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1932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1919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1932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1920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1932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1921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1932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1922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1932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1923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1932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1924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1932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1925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1932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1926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1932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1927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1932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1928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1932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1929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1932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1930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1932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1931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2449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2257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2449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2259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1986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1967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1986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1982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1986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1969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1986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1971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1986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1972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1986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2126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1986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1973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1986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2029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1986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2030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1986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1978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1986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1979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1986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1980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1986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2031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1986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4110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1986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2128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1986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1983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1986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1984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1986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3646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1986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1985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1986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4111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1904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3040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1904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3041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1904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2143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1904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2144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1904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2040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1904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2041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1904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2042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1904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2044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1904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2045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1904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2046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1904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2047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1904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2048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1904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2049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1904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2054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1904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2055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1904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2012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1904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2378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1904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4211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1904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2116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1904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2899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1904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4212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1904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4213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1904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4214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1904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2901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1904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2902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1904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4215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1904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4216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1904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4217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1904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4218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1904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2905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1904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2906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1904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4219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1904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4220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1904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2907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1904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2908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1904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4221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1904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4222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1904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4223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1904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2910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1904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2911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1904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4224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1904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4225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1904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4226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1904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4227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1904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4228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1904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4229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1904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4230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1904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4231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1904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2913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1904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4232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1904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2121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1904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3302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1904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2124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1904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4233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1904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3478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1904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2176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1904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2858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1904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4234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1904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4235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1904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4236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1904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3202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1904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3029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1904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2496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1904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2497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1904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4237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1904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2498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1904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4238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1904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3030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1904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2503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1904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2505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1904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3203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1904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3305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1904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2506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1904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4079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1904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2507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1904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2508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1904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2510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1904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3204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1904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2513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1904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2513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1904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3205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1904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4239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1904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2775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1904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4080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1904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2519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1904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2527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1904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2530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1904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2531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1904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3031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1904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4240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1904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1994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1904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1895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1904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1896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1904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3552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1904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1996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1904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2873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1904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3315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1904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2148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1904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2058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1904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3189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1904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2403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1904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4241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1904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3190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1904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2405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1904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3191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1904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3904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1904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4242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1904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2410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1904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2411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1904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1898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1904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1900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1904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1898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1904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1899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1904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1900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1904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2071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1904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2072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1904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2414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1904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2073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1904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2074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1904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2415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1904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2075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1904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2076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1904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2077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1904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2078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1904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2417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1904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2080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1904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4051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1904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3311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1904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1952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1904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1953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1904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1954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1904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2418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1904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2083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1904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2419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1904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2420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1904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1955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1904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1956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1904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4243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1904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2084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1904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2421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1904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3312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1904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2422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1904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1958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1904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1960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1904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2424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1904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1964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1904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1965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1904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2426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1904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4244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1904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2427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1904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2000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1904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2088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1904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2001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1904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2089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1904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2003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1904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2004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1904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4060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1904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1903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1904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2092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1904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2090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1904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2689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1904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4245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1904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3020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1904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3319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1904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2428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1904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2008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1904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2009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1904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3321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1986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1967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1904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1942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1904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1943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1904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1933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1904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3329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1904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2070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1904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4246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1904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2695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1904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2698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1904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2830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1904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2831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1904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2832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1904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4247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1904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2833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1904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2834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1904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2835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1904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2836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1904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2837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1904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4248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1904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2838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1904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2840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1904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2842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1904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2843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1904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2844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1904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2847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1904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4249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1904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2849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1904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3771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1904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2850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1904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4250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1904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4251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1904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4252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1904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3774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1904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2851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1904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2852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1904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2853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1904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2854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1904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2855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1904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2856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1904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3361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1904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3362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1904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4253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1904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4254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1904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4255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1904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2857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1904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4256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1904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3776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1904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2709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1904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2710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1904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2712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1904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2713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1904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4257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1904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4258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1904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4259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1904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2722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1904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4260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1986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1967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1904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1942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1904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1943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1904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2017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1904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2018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1904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2019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1904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2020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1904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2021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1904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1882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1904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1883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1904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3340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1904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2098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1904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2099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1904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2102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1904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3341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1904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4261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1904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3343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1904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3344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1904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2109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1904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3345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1904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2112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1904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2113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1904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3347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1904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3348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1904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3349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1904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4262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1904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4263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1904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4264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1904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4265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1904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4266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1904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4267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1904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2465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1904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4268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1904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2467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1904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2468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1904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2469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1904</v>
      </c>
      <c r="E6253" s="1" t="n">
        <v>1657</v>
      </c>
      <c r="F6253" s="1" t="s">
        <v>1530</v>
      </c>
      <c r="I6253" s="1" t="n">
        <v>297321</v>
      </c>
      <c r="J6253" s="1" t="n">
        <v>102207</v>
      </c>
      <c r="K6253" s="1" t="n">
        <v>7896028014487</v>
      </c>
      <c r="L6253" s="1" t="s">
        <v>4269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1904</v>
      </c>
      <c r="E6254" s="1" t="n">
        <v>1657</v>
      </c>
      <c r="F6254" s="1" t="s">
        <v>1530</v>
      </c>
      <c r="I6254" s="1" t="n">
        <v>297321</v>
      </c>
      <c r="J6254" s="1" t="n">
        <v>102256</v>
      </c>
      <c r="K6254" s="1" t="n">
        <v>7896028030661</v>
      </c>
      <c r="L6254" s="1" t="s">
        <v>4270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1904</v>
      </c>
      <c r="E6255" s="1" t="n">
        <v>1657</v>
      </c>
      <c r="F6255" s="1" t="s">
        <v>1530</v>
      </c>
      <c r="I6255" s="1" t="n">
        <v>297321</v>
      </c>
      <c r="J6255" s="1" t="n">
        <v>103847</v>
      </c>
      <c r="K6255" s="1" t="n">
        <v>7896028030654</v>
      </c>
      <c r="L6255" s="1" t="s">
        <v>4271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1904</v>
      </c>
      <c r="E6256" s="1" t="n">
        <v>1657</v>
      </c>
      <c r="F6256" s="1" t="s">
        <v>1530</v>
      </c>
      <c r="I6256" s="1" t="n">
        <v>297321</v>
      </c>
      <c r="J6256" s="1" t="n">
        <v>27196</v>
      </c>
      <c r="K6256" s="1" t="n">
        <v>7896180783795</v>
      </c>
      <c r="L6256" s="1" t="s">
        <v>4272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1904</v>
      </c>
      <c r="E6257" s="1" t="n">
        <v>1657</v>
      </c>
      <c r="F6257" s="1" t="s">
        <v>1530</v>
      </c>
      <c r="I6257" s="1" t="n">
        <v>297321</v>
      </c>
      <c r="J6257" s="1" t="n">
        <v>32996</v>
      </c>
      <c r="K6257" s="1" t="n">
        <v>7896360400061</v>
      </c>
      <c r="L6257" s="1" t="s">
        <v>4273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1904</v>
      </c>
      <c r="E6258" s="1" t="n">
        <v>1657</v>
      </c>
      <c r="F6258" s="1" t="s">
        <v>1530</v>
      </c>
      <c r="I6258" s="1" t="n">
        <v>297321</v>
      </c>
      <c r="J6258" s="1" t="n">
        <v>34020</v>
      </c>
      <c r="K6258" s="1" t="n">
        <v>7896360400085</v>
      </c>
      <c r="L6258" s="1" t="s">
        <v>4274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1904</v>
      </c>
      <c r="E6259" s="1" t="n">
        <v>1657</v>
      </c>
      <c r="F6259" s="1" t="s">
        <v>1530</v>
      </c>
      <c r="I6259" s="1" t="n">
        <v>297321</v>
      </c>
      <c r="J6259" s="1" t="n">
        <v>36800</v>
      </c>
      <c r="K6259" s="1" t="n">
        <v>7896180784266</v>
      </c>
      <c r="L6259" s="1" t="s">
        <v>4275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1904</v>
      </c>
      <c r="E6260" s="1" t="n">
        <v>1657</v>
      </c>
      <c r="F6260" s="1" t="s">
        <v>1530</v>
      </c>
      <c r="I6260" s="1" t="n">
        <v>297321</v>
      </c>
      <c r="J6260" s="1" t="n">
        <v>52458</v>
      </c>
      <c r="K6260" s="1" t="n">
        <v>7897312404199</v>
      </c>
      <c r="L6260" s="1" t="s">
        <v>4276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1904</v>
      </c>
      <c r="E6261" s="1" t="n">
        <v>1657</v>
      </c>
      <c r="F6261" s="1" t="s">
        <v>1530</v>
      </c>
      <c r="I6261" s="1" t="n">
        <v>297321</v>
      </c>
      <c r="J6261" s="1" t="n">
        <v>79295</v>
      </c>
      <c r="K6261" s="1" t="n">
        <v>7898962669693</v>
      </c>
      <c r="L6261" s="1" t="s">
        <v>4277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1904</v>
      </c>
      <c r="E6262" s="1" t="n">
        <v>1657</v>
      </c>
      <c r="F6262" s="1" t="s">
        <v>1530</v>
      </c>
      <c r="I6262" s="1" t="n">
        <v>297321</v>
      </c>
      <c r="J6262" s="1" t="n">
        <v>80521</v>
      </c>
      <c r="K6262" s="1" t="n">
        <v>7898962669709</v>
      </c>
      <c r="L6262" s="1" t="s">
        <v>4278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1904</v>
      </c>
      <c r="E6263" s="1" t="n">
        <v>1657</v>
      </c>
      <c r="F6263" s="1" t="s">
        <v>1530</v>
      </c>
      <c r="I6263" s="1" t="n">
        <v>297321</v>
      </c>
      <c r="J6263" s="1" t="n">
        <v>82087</v>
      </c>
      <c r="K6263" s="1" t="n">
        <v>7895644286902</v>
      </c>
      <c r="L6263" s="1" t="s">
        <v>4279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1904</v>
      </c>
      <c r="E6264" s="1" t="n">
        <v>1657</v>
      </c>
      <c r="F6264" s="1" t="s">
        <v>1530</v>
      </c>
      <c r="I6264" s="1" t="n">
        <v>297321</v>
      </c>
      <c r="J6264" s="1" t="n">
        <v>82088</v>
      </c>
      <c r="K6264" s="1" t="n">
        <v>7891645329990</v>
      </c>
      <c r="L6264" s="1" t="s">
        <v>4280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1904</v>
      </c>
      <c r="E6265" s="1" t="n">
        <v>1657</v>
      </c>
      <c r="F6265" s="1" t="s">
        <v>1530</v>
      </c>
      <c r="I6265" s="1" t="n">
        <v>297321</v>
      </c>
      <c r="J6265" s="1" t="n">
        <v>82089</v>
      </c>
      <c r="K6265" s="1" t="n">
        <v>7891867345631</v>
      </c>
      <c r="L6265" s="1" t="s">
        <v>4281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1904</v>
      </c>
      <c r="E6266" s="1" t="n">
        <v>1657</v>
      </c>
      <c r="F6266" s="1" t="s">
        <v>1530</v>
      </c>
      <c r="I6266" s="1" t="n">
        <v>297321</v>
      </c>
      <c r="J6266" s="1" t="n">
        <v>82090</v>
      </c>
      <c r="K6266" s="1" t="n">
        <v>7891745983245</v>
      </c>
      <c r="L6266" s="1" t="s">
        <v>4282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1904</v>
      </c>
      <c r="E6267" s="1" t="n">
        <v>1657</v>
      </c>
      <c r="F6267" s="1" t="s">
        <v>1530</v>
      </c>
      <c r="I6267" s="1" t="n">
        <v>297321</v>
      </c>
      <c r="J6267" s="1" t="n">
        <v>82091</v>
      </c>
      <c r="K6267" s="1" t="n">
        <v>7891729693337</v>
      </c>
      <c r="L6267" s="1" t="s">
        <v>4283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1904</v>
      </c>
      <c r="E6268" s="1" t="n">
        <v>1657</v>
      </c>
      <c r="F6268" s="1" t="s">
        <v>1530</v>
      </c>
      <c r="I6268" s="1" t="n">
        <v>297321</v>
      </c>
      <c r="J6268" s="1" t="n">
        <v>82092</v>
      </c>
      <c r="K6268" s="1" t="n">
        <v>7891734673508</v>
      </c>
      <c r="L6268" s="1" t="s">
        <v>4284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1904</v>
      </c>
      <c r="E6269" s="1" t="n">
        <v>1657</v>
      </c>
      <c r="F6269" s="1" t="s">
        <v>1530</v>
      </c>
      <c r="I6269" s="1" t="n">
        <v>297321</v>
      </c>
      <c r="J6269" s="1" t="n">
        <v>82093</v>
      </c>
      <c r="K6269" s="1" t="n">
        <v>7991945032009</v>
      </c>
      <c r="L6269" s="1" t="s">
        <v>4285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1904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2059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1904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2060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1904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3747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1904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2064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1904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4286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1904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4287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1904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3748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1904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4288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1904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1898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1904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1900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1904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4287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1904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4289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1904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4290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1904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4291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1904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4292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1904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4293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1904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2488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1904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4294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1904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4295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1904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4296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1904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4297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1904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4298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1904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2490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1904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4299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1904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4299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1904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4300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1904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2493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1904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4301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1904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4302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1904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4303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1904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4304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1904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4305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1912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1913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1912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1913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1912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1914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1912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1915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1912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1916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1912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1917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1912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2014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1912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1918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1912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1919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1912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1919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1912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1920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1912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1921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1912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1922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1912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1923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1912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1924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1912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1925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1912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1926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1912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1927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1912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4306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1912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1928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1912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1929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1912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1929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1912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1930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1912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1930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1912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1931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1912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1931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1932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1913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1932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1918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1932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1919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1932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1920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1932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1921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1932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1922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1932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1923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1932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1924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1932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1925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1932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1926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1932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1927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1932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4306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1932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1928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1932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1929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1932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1930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1932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1931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1932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1913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1932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1914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1932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1915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1932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1916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1932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1917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1932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2014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1932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1919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1932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1929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1932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1930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1932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1931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1986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1972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1986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1982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1986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1968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1986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1969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1986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1970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1986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1973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1986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1975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1986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1976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1986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2127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1986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2030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1986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1978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1986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1979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1986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1980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1986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2091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1986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1983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1986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1984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1986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1985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1986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4111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1904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1934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1904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1877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1904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1878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1904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1879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1904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2016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1904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1880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1904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1935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1904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1936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1904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1937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1904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1938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1904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2022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1904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1939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1904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1940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1904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1879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1904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1941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1904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4307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1904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4308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1904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4309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1904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4310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1904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4311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1904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4312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1904</v>
      </c>
      <c r="E6393" s="1" t="n">
        <v>1711</v>
      </c>
      <c r="F6393" s="1" t="s">
        <v>1490</v>
      </c>
      <c r="I6393" s="1" t="n">
        <v>160332</v>
      </c>
      <c r="J6393" s="1" t="n">
        <v>50203</v>
      </c>
      <c r="K6393" s="1" t="n">
        <v>7891253274262</v>
      </c>
      <c r="L6393" s="1" t="s">
        <v>4313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1904</v>
      </c>
      <c r="E6394" s="1" t="n">
        <v>1711</v>
      </c>
      <c r="F6394" s="1" t="s">
        <v>1490</v>
      </c>
      <c r="I6394" s="1" t="n">
        <v>160332</v>
      </c>
      <c r="J6394" s="1" t="n">
        <v>50209</v>
      </c>
      <c r="K6394" s="1" t="n">
        <v>7891253251959</v>
      </c>
      <c r="L6394" s="1" t="s">
        <v>4314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1904</v>
      </c>
      <c r="E6395" s="1" t="n">
        <v>1711</v>
      </c>
      <c r="F6395" s="1" t="s">
        <v>1490</v>
      </c>
      <c r="I6395" s="1" t="n">
        <v>160332</v>
      </c>
      <c r="J6395" s="1" t="n">
        <v>103198</v>
      </c>
      <c r="K6395" s="1" t="n">
        <v>7891253104811</v>
      </c>
      <c r="L6395" s="1" t="s">
        <v>4315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1904</v>
      </c>
      <c r="E6396" s="1" t="n">
        <v>1711</v>
      </c>
      <c r="F6396" s="1" t="s">
        <v>1490</v>
      </c>
      <c r="I6396" s="1" t="n">
        <v>160332</v>
      </c>
      <c r="J6396" s="1" t="n">
        <v>104798</v>
      </c>
      <c r="K6396" s="1" t="n">
        <v>7897393538585</v>
      </c>
      <c r="L6396" s="1" t="s">
        <v>4316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1904</v>
      </c>
      <c r="E6397" s="1" t="n">
        <v>1711</v>
      </c>
      <c r="F6397" s="1" t="s">
        <v>1490</v>
      </c>
      <c r="I6397" s="1" t="n">
        <v>160332</v>
      </c>
      <c r="J6397" s="1" t="n">
        <v>105334</v>
      </c>
      <c r="K6397" s="1" t="n">
        <v>7897393538615</v>
      </c>
      <c r="L6397" s="1" t="s">
        <v>4317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1904</v>
      </c>
      <c r="E6398" s="1" t="n">
        <v>1711</v>
      </c>
      <c r="F6398" s="1" t="s">
        <v>1490</v>
      </c>
      <c r="I6398" s="1" t="n">
        <v>160332</v>
      </c>
      <c r="J6398" s="1" t="n">
        <v>24145</v>
      </c>
      <c r="K6398" s="1" t="n">
        <v>7894494000621</v>
      </c>
      <c r="L6398" s="1" t="s">
        <v>4318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1904</v>
      </c>
      <c r="E6399" s="1" t="n">
        <v>1711</v>
      </c>
      <c r="F6399" s="1" t="s">
        <v>1490</v>
      </c>
      <c r="I6399" s="1" t="n">
        <v>160332</v>
      </c>
      <c r="J6399" s="1" t="n">
        <v>29618</v>
      </c>
      <c r="K6399" s="1" t="n">
        <v>7894494637735</v>
      </c>
      <c r="L6399" s="1" t="s">
        <v>4319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1904</v>
      </c>
      <c r="E6400" s="1" t="n">
        <v>1711</v>
      </c>
      <c r="F6400" s="1" t="s">
        <v>1490</v>
      </c>
      <c r="I6400" s="1" t="n">
        <v>160332</v>
      </c>
      <c r="J6400" s="1" t="n">
        <v>30550</v>
      </c>
      <c r="K6400" s="1" t="n">
        <v>7894494000614</v>
      </c>
      <c r="L6400" s="1" t="s">
        <v>4320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1904</v>
      </c>
      <c r="E6401" s="1" t="n">
        <v>1711</v>
      </c>
      <c r="F6401" s="1" t="s">
        <v>1490</v>
      </c>
      <c r="I6401" s="1" t="n">
        <v>160332</v>
      </c>
      <c r="J6401" s="1" t="n">
        <v>30551</v>
      </c>
      <c r="K6401" s="1" t="n">
        <v>7894494000638</v>
      </c>
      <c r="L6401" s="1" t="s">
        <v>4321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1904</v>
      </c>
      <c r="E6402" s="1" t="n">
        <v>1711</v>
      </c>
      <c r="F6402" s="1" t="s">
        <v>1490</v>
      </c>
      <c r="I6402" s="1" t="n">
        <v>160332</v>
      </c>
      <c r="J6402" s="1" t="n">
        <v>31508</v>
      </c>
      <c r="K6402" s="1" t="n">
        <v>7894494000607</v>
      </c>
      <c r="L6402" s="1" t="s">
        <v>4322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1904</v>
      </c>
      <c r="E6403" s="1" t="n">
        <v>1711</v>
      </c>
      <c r="F6403" s="1" t="s">
        <v>1490</v>
      </c>
      <c r="I6403" s="1" t="n">
        <v>160332</v>
      </c>
      <c r="J6403" s="1" t="n">
        <v>36092</v>
      </c>
      <c r="K6403" s="1" t="n">
        <v>7894494000539</v>
      </c>
      <c r="L6403" s="1" t="s">
        <v>4323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1904</v>
      </c>
      <c r="E6404" s="1" t="n">
        <v>1711</v>
      </c>
      <c r="F6404" s="1" t="s">
        <v>1490</v>
      </c>
      <c r="I6404" s="1" t="n">
        <v>160332</v>
      </c>
      <c r="J6404" s="1" t="n">
        <v>36518</v>
      </c>
      <c r="K6404" s="1" t="n">
        <v>7891253205006</v>
      </c>
      <c r="L6404" s="1" t="s">
        <v>4324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1904</v>
      </c>
      <c r="E6405" s="1" t="n">
        <v>1711</v>
      </c>
      <c r="F6405" s="1" t="s">
        <v>1490</v>
      </c>
      <c r="I6405" s="1" t="n">
        <v>160332</v>
      </c>
      <c r="J6405" s="1" t="n">
        <v>36519</v>
      </c>
      <c r="K6405" s="1" t="n">
        <v>7891253104552</v>
      </c>
      <c r="L6405" s="1" t="s">
        <v>4325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1904</v>
      </c>
      <c r="E6406" s="1" t="n">
        <v>1711</v>
      </c>
      <c r="F6406" s="1" t="s">
        <v>1490</v>
      </c>
      <c r="I6406" s="1" t="n">
        <v>160332</v>
      </c>
      <c r="J6406" s="1" t="n">
        <v>36938</v>
      </c>
      <c r="K6406" s="1" t="n">
        <v>7897027272038</v>
      </c>
      <c r="L6406" s="1" t="s">
        <v>4326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1904</v>
      </c>
      <c r="E6407" s="1" t="n">
        <v>1711</v>
      </c>
      <c r="F6407" s="1" t="s">
        <v>1490</v>
      </c>
      <c r="I6407" s="1" t="n">
        <v>160332</v>
      </c>
      <c r="J6407" s="1" t="n">
        <v>44069</v>
      </c>
      <c r="K6407" s="1" t="n">
        <v>7891253205327</v>
      </c>
      <c r="L6407" s="1" t="s">
        <v>4327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1904</v>
      </c>
      <c r="E6408" s="1" t="n">
        <v>1711</v>
      </c>
      <c r="F6408" s="1" t="s">
        <v>1490</v>
      </c>
      <c r="I6408" s="1" t="n">
        <v>160332</v>
      </c>
      <c r="J6408" s="1" t="n">
        <v>44132</v>
      </c>
      <c r="K6408" s="1" t="n">
        <v>7891253254264</v>
      </c>
      <c r="L6408" s="1" t="s">
        <v>4328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1904</v>
      </c>
      <c r="E6409" s="1" t="n">
        <v>1711</v>
      </c>
      <c r="F6409" s="1" t="s">
        <v>1490</v>
      </c>
      <c r="I6409" s="1" t="n">
        <v>160332</v>
      </c>
      <c r="J6409" s="1" t="n">
        <v>44192</v>
      </c>
      <c r="K6409" s="1" t="n">
        <v>7891253251942</v>
      </c>
      <c r="L6409" s="1" t="s">
        <v>4329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1904</v>
      </c>
      <c r="E6410" s="1" t="n">
        <v>1711</v>
      </c>
      <c r="F6410" s="1" t="s">
        <v>1490</v>
      </c>
      <c r="I6410" s="1" t="n">
        <v>160332</v>
      </c>
      <c r="J6410" s="1" t="n">
        <v>44606</v>
      </c>
      <c r="K6410" s="1" t="n">
        <v>7897027202714</v>
      </c>
      <c r="L6410" s="1" t="s">
        <v>4330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1904</v>
      </c>
      <c r="E6411" s="1" t="n">
        <v>1711</v>
      </c>
      <c r="F6411" s="1" t="s">
        <v>1490</v>
      </c>
      <c r="I6411" s="1" t="n">
        <v>160332</v>
      </c>
      <c r="J6411" s="1" t="n">
        <v>46036</v>
      </c>
      <c r="K6411" s="1" t="n">
        <v>7891253269480</v>
      </c>
      <c r="L6411" s="1" t="s">
        <v>4331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1904</v>
      </c>
      <c r="E6412" s="1" t="n">
        <v>1711</v>
      </c>
      <c r="F6412" s="1" t="s">
        <v>1490</v>
      </c>
      <c r="I6412" s="1" t="n">
        <v>160332</v>
      </c>
      <c r="J6412" s="1" t="n">
        <v>46580</v>
      </c>
      <c r="K6412" s="1" t="n">
        <v>7894494583698</v>
      </c>
      <c r="L6412" s="1" t="s">
        <v>4332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1904</v>
      </c>
      <c r="E6413" s="1" t="n">
        <v>1711</v>
      </c>
      <c r="F6413" s="1" t="s">
        <v>1490</v>
      </c>
      <c r="I6413" s="1" t="n">
        <v>160332</v>
      </c>
      <c r="J6413" s="1" t="n">
        <v>46838</v>
      </c>
      <c r="K6413" s="1" t="n">
        <v>7898542315996</v>
      </c>
      <c r="L6413" s="1" t="s">
        <v>4333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1904</v>
      </c>
      <c r="E6414" s="1" t="n">
        <v>1711</v>
      </c>
      <c r="F6414" s="1" t="s">
        <v>1490</v>
      </c>
      <c r="I6414" s="1" t="n">
        <v>160332</v>
      </c>
      <c r="J6414" s="1" t="n">
        <v>46842</v>
      </c>
      <c r="K6414" s="1" t="n">
        <v>7898542316016</v>
      </c>
      <c r="L6414" s="1" t="s">
        <v>4334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1904</v>
      </c>
      <c r="E6415" s="1" t="n">
        <v>1711</v>
      </c>
      <c r="F6415" s="1" t="s">
        <v>1490</v>
      </c>
      <c r="I6415" s="1" t="n">
        <v>160332</v>
      </c>
      <c r="J6415" s="1" t="n">
        <v>48387</v>
      </c>
      <c r="K6415" s="1" t="n">
        <v>7891253269497</v>
      </c>
      <c r="L6415" s="1" t="s">
        <v>4335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1904</v>
      </c>
      <c r="E6416" s="1" t="n">
        <v>1711</v>
      </c>
      <c r="F6416" s="1" t="s">
        <v>1490</v>
      </c>
      <c r="I6416" s="1" t="n">
        <v>160332</v>
      </c>
      <c r="J6416" s="1" t="n">
        <v>48408</v>
      </c>
      <c r="K6416" s="1" t="n">
        <v>7891253205310</v>
      </c>
      <c r="L6416" s="1" t="s">
        <v>4336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1904</v>
      </c>
      <c r="E6417" s="1" t="n">
        <v>1711</v>
      </c>
      <c r="F6417" s="1" t="s">
        <v>1490</v>
      </c>
      <c r="I6417" s="1" t="n">
        <v>160332</v>
      </c>
      <c r="J6417" s="1" t="n">
        <v>49385</v>
      </c>
      <c r="K6417" s="1" t="n">
        <v>7891253269657</v>
      </c>
      <c r="L6417" s="1" t="s">
        <v>4337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1904</v>
      </c>
      <c r="E6418" s="1" t="n">
        <v>1711</v>
      </c>
      <c r="F6418" s="1" t="s">
        <v>1490</v>
      </c>
      <c r="I6418" s="1" t="n">
        <v>160332</v>
      </c>
      <c r="J6418" s="1" t="n">
        <v>53119</v>
      </c>
      <c r="K6418" s="1" t="n">
        <v>7891027153649</v>
      </c>
      <c r="L6418" s="1" t="s">
        <v>4338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1904</v>
      </c>
      <c r="E6419" s="1" t="n">
        <v>1711</v>
      </c>
      <c r="F6419" s="1" t="s">
        <v>1490</v>
      </c>
      <c r="I6419" s="1" t="n">
        <v>160332</v>
      </c>
      <c r="J6419" s="1" t="n">
        <v>53132</v>
      </c>
      <c r="K6419" s="1" t="n">
        <v>7891027179915</v>
      </c>
      <c r="L6419" s="1" t="s">
        <v>4339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1904</v>
      </c>
      <c r="E6420" s="1" t="n">
        <v>1711</v>
      </c>
      <c r="F6420" s="1" t="s">
        <v>1490</v>
      </c>
      <c r="I6420" s="1" t="n">
        <v>160332</v>
      </c>
      <c r="J6420" s="1" t="n">
        <v>53450</v>
      </c>
      <c r="K6420" s="1" t="n">
        <v>7899264391473</v>
      </c>
      <c r="L6420" s="1" t="s">
        <v>4340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1904</v>
      </c>
      <c r="E6421" s="1" t="n">
        <v>1711</v>
      </c>
      <c r="F6421" s="1" t="s">
        <v>1490</v>
      </c>
      <c r="I6421" s="1" t="n">
        <v>160332</v>
      </c>
      <c r="J6421" s="1" t="n">
        <v>54692</v>
      </c>
      <c r="K6421" s="1" t="n">
        <v>7894494000546</v>
      </c>
      <c r="L6421" s="1" t="s">
        <v>4341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1904</v>
      </c>
      <c r="E6422" s="1" t="n">
        <v>1711</v>
      </c>
      <c r="F6422" s="1" t="s">
        <v>1490</v>
      </c>
      <c r="I6422" s="1" t="n">
        <v>160332</v>
      </c>
      <c r="J6422" s="1" t="n">
        <v>54693</v>
      </c>
      <c r="K6422" s="1" t="n">
        <v>7894494000553</v>
      </c>
      <c r="L6422" s="1" t="s">
        <v>4342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1904</v>
      </c>
      <c r="E6423" s="1" t="n">
        <v>1711</v>
      </c>
      <c r="F6423" s="1" t="s">
        <v>1490</v>
      </c>
      <c r="I6423" s="1" t="n">
        <v>160332</v>
      </c>
      <c r="J6423" s="1" t="n">
        <v>58728</v>
      </c>
      <c r="K6423" s="1" t="n">
        <v>7891253254271</v>
      </c>
      <c r="L6423" s="1" t="s">
        <v>4343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1904</v>
      </c>
      <c r="E6424" s="1" t="n">
        <v>1711</v>
      </c>
      <c r="F6424" s="1" t="s">
        <v>1490</v>
      </c>
      <c r="I6424" s="1" t="n">
        <v>160332</v>
      </c>
      <c r="J6424" s="1" t="n">
        <v>58919</v>
      </c>
      <c r="K6424" s="1" t="n">
        <v>7908293912686</v>
      </c>
      <c r="L6424" s="1" t="s">
        <v>4344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1904</v>
      </c>
      <c r="E6425" s="1" t="n">
        <v>1711</v>
      </c>
      <c r="F6425" s="1" t="s">
        <v>1490</v>
      </c>
      <c r="I6425" s="1" t="n">
        <v>160332</v>
      </c>
      <c r="J6425" s="1" t="n">
        <v>59137</v>
      </c>
      <c r="K6425" s="1" t="n">
        <v>7898542316115</v>
      </c>
      <c r="L6425" s="1" t="s">
        <v>4345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1904</v>
      </c>
      <c r="E6426" s="1" t="n">
        <v>1711</v>
      </c>
      <c r="F6426" s="1" t="s">
        <v>1490</v>
      </c>
      <c r="I6426" s="1" t="n">
        <v>160332</v>
      </c>
      <c r="J6426" s="1" t="n">
        <v>62490</v>
      </c>
      <c r="K6426" s="1" t="n">
        <v>7894494000522</v>
      </c>
      <c r="L6426" s="1" t="s">
        <v>4346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1904</v>
      </c>
      <c r="E6427" s="1" t="n">
        <v>1711</v>
      </c>
      <c r="F6427" s="1" t="s">
        <v>1490</v>
      </c>
      <c r="I6427" s="1" t="n">
        <v>160332</v>
      </c>
      <c r="J6427" s="1" t="n">
        <v>62581</v>
      </c>
      <c r="K6427" s="1" t="n">
        <v>7894494252839</v>
      </c>
      <c r="L6427" s="1" t="s">
        <v>4347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1904</v>
      </c>
      <c r="E6428" s="1" t="n">
        <v>1711</v>
      </c>
      <c r="F6428" s="1" t="s">
        <v>1490</v>
      </c>
      <c r="I6428" s="1" t="n">
        <v>160332</v>
      </c>
      <c r="J6428" s="1" t="n">
        <v>62582</v>
      </c>
      <c r="K6428" s="1" t="n">
        <v>7894494752841</v>
      </c>
      <c r="L6428" s="1" t="s">
        <v>4348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1904</v>
      </c>
      <c r="E6429" s="1" t="n">
        <v>1711</v>
      </c>
      <c r="F6429" s="1" t="s">
        <v>1490</v>
      </c>
      <c r="I6429" s="1" t="n">
        <v>160332</v>
      </c>
      <c r="J6429" s="1" t="n">
        <v>62926</v>
      </c>
      <c r="K6429" s="1" t="n">
        <v>7894494637711</v>
      </c>
      <c r="L6429" s="1" t="s">
        <v>4349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1904</v>
      </c>
      <c r="E6430" s="1" t="n">
        <v>1711</v>
      </c>
      <c r="F6430" s="1" t="s">
        <v>1490</v>
      </c>
      <c r="I6430" s="1" t="n">
        <v>160332</v>
      </c>
      <c r="J6430" s="1" t="n">
        <v>65918</v>
      </c>
      <c r="K6430" s="1" t="n">
        <v>7894494594472</v>
      </c>
      <c r="L6430" s="1" t="s">
        <v>4350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1904</v>
      </c>
      <c r="E6431" s="1" t="n">
        <v>1711</v>
      </c>
      <c r="F6431" s="1" t="s">
        <v>1490</v>
      </c>
      <c r="I6431" s="1" t="n">
        <v>160332</v>
      </c>
      <c r="J6431" s="1" t="n">
        <v>71440</v>
      </c>
      <c r="K6431" s="1" t="n">
        <v>7891253283936</v>
      </c>
      <c r="L6431" s="1" t="s">
        <v>4351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1904</v>
      </c>
      <c r="E6432" s="1" t="n">
        <v>1711</v>
      </c>
      <c r="F6432" s="1" t="s">
        <v>1490</v>
      </c>
      <c r="I6432" s="1" t="n">
        <v>160332</v>
      </c>
      <c r="J6432" s="1" t="n">
        <v>76264</v>
      </c>
      <c r="K6432" s="1" t="n">
        <v>7894494583674</v>
      </c>
      <c r="L6432" s="1" t="s">
        <v>4352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1904</v>
      </c>
      <c r="E6433" s="1" t="n">
        <v>1711</v>
      </c>
      <c r="F6433" s="1" t="s">
        <v>1490</v>
      </c>
      <c r="I6433" s="1" t="n">
        <v>160332</v>
      </c>
      <c r="J6433" s="1" t="n">
        <v>81739</v>
      </c>
      <c r="K6433" s="1" t="n">
        <v>7891253285749</v>
      </c>
      <c r="L6433" s="1" t="s">
        <v>4353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1904</v>
      </c>
      <c r="E6434" s="1" t="n">
        <v>1711</v>
      </c>
      <c r="F6434" s="1" t="s">
        <v>1490</v>
      </c>
      <c r="I6434" s="1" t="n">
        <v>160332</v>
      </c>
      <c r="J6434" s="1" t="n">
        <v>82117</v>
      </c>
      <c r="K6434" s="1" t="n">
        <v>7894494789670</v>
      </c>
      <c r="L6434" s="1" t="s">
        <v>4354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1904</v>
      </c>
      <c r="E6435" s="1" t="n">
        <v>1711</v>
      </c>
      <c r="F6435" s="1" t="s">
        <v>1490</v>
      </c>
      <c r="I6435" s="1" t="n">
        <v>160332</v>
      </c>
      <c r="J6435" s="1" t="n">
        <v>82118</v>
      </c>
      <c r="K6435" s="1" t="n">
        <v>7891253285862</v>
      </c>
      <c r="L6435" s="1" t="s">
        <v>4355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1904</v>
      </c>
      <c r="E6436" s="1" t="n">
        <v>1711</v>
      </c>
      <c r="F6436" s="1" t="s">
        <v>1490</v>
      </c>
      <c r="I6436" s="1" t="n">
        <v>160332</v>
      </c>
      <c r="J6436" s="1" t="n">
        <v>82119</v>
      </c>
      <c r="K6436" s="1" t="n">
        <v>7891253285732</v>
      </c>
      <c r="L6436" s="1" t="s">
        <v>4356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1904</v>
      </c>
      <c r="E6437" s="1" t="n">
        <v>1711</v>
      </c>
      <c r="F6437" s="1" t="s">
        <v>1490</v>
      </c>
      <c r="I6437" s="1" t="n">
        <v>160332</v>
      </c>
      <c r="J6437" s="1" t="n">
        <v>82120</v>
      </c>
      <c r="K6437" s="1" t="n">
        <v>7891253285879</v>
      </c>
      <c r="L6437" s="1" t="s">
        <v>4357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1904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2914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1904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2891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1904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2058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1904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4358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1904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2532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1904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2535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1904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2177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1904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4359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1904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4360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1904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3905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1904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3212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1904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3906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1904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4361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1904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3908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1904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3909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1904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3215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1904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3910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1904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3216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1904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4362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1904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4363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1904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4364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1904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3217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1904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3218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1904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3916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1904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3219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1904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4365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1904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3924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1904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4366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1904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3221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1904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3222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1904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4367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1904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4368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1904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3830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1904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3831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1904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3832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1904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3833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1904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4369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1904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4370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1904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4371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1904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3838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1904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3839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1904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3840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1904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3841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1904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4372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1904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3223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1904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3224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1904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4373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1904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3225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1904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4374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1904</v>
      </c>
      <c r="E6487" s="1" t="n">
        <v>1671</v>
      </c>
      <c r="F6487" s="1" t="s">
        <v>101</v>
      </c>
      <c r="I6487" s="1" t="n">
        <v>586415</v>
      </c>
      <c r="J6487" s="1" t="n">
        <v>57369</v>
      </c>
      <c r="K6487" s="1" t="n">
        <v>7509546687537</v>
      </c>
      <c r="L6487" s="1" t="s">
        <v>3226</v>
      </c>
      <c r="N6487" s="1" t="n">
        <v>3</v>
      </c>
      <c r="O6487" s="1" t="n">
        <v>18.69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1904</v>
      </c>
      <c r="E6488" s="1" t="n">
        <v>1671</v>
      </c>
      <c r="F6488" s="1" t="s">
        <v>101</v>
      </c>
      <c r="I6488" s="1" t="n">
        <v>586415</v>
      </c>
      <c r="J6488" s="1" t="n">
        <v>56915</v>
      </c>
      <c r="K6488" s="1" t="n">
        <v>7509546679525</v>
      </c>
      <c r="L6488" s="1" t="s">
        <v>3936</v>
      </c>
      <c r="N6488" s="1" t="n">
        <v>2</v>
      </c>
      <c r="O6488" s="1" t="n">
        <v>19.36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1904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4375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1904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4376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1904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3938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1904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3228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1904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3941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1904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3229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1904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4377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1904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3644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1904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1944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1904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1945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1904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1946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1904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1947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1904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1948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1904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1949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1904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1898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1904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1899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1904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1900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1904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1910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1904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2086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1904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2087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1904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2008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1904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2427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1904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2000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1904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2088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1904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2002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1904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2089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1904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2005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1904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1903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1904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3779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1904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2689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1904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1997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1904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2008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1904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2093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1904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2887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1904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4378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1904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4379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1904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4380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1904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4381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1904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3663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1904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3385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1904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4382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1904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3387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1904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4383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1904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4384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1904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4385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1904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3380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1904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4386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1904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4387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1904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4388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1904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4389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1904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4390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1904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4391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1904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4392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1904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4393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1904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4394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1904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4395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1904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4396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1904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4397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1904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4398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1904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3382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1904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4399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1904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3390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1904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4400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2449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4401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1986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1967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1904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2149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1904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1882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1904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4402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1904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3429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1904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2673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1904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4403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1904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2677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1904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4404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1904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2678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1904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4405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1904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4406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1904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4407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1904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3438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1904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4408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1904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4409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1904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4410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1904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3441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1904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4411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1904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4412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1904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4413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1904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4414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1904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4415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1904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4416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1904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4417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1904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4418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1904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4419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1904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4420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1904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4421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1904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4422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1904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4423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1904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4424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1904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4425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1904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4426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1904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3066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1904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4427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1904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4428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1904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4429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1904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4430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1904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4431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1904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4432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1904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4433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1904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4434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1904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4434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1904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4435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1904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4436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1904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4437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1904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4438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1904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4439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1904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4440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1904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4441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1904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3052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1904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4442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1904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4443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1904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4315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1904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4444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1904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4445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1904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4446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1904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3052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1904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4447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1904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3053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1904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4448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1904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4449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1904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3056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1904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4450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1904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3057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1904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4451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1904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4452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1904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4453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1904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4454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1904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4455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1904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4456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1904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3059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1904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3060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1904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3061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1904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4457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1904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3068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1904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3069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1904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4458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1904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4459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1904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4460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1904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4461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1904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4462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1904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4463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1904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4464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1904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2196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1904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2197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1904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2198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1904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4465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1904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2199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1904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3021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1904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3022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1904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3023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1904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4466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1904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4030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1904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3027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1904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4467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1904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4468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1904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4469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1912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1913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1912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1918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1912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1919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1912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1920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1912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1921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1912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1922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1912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1923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1912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1924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1912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1925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1912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1926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1912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1927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1912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1928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1912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1929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1912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1930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1912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1931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1932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1913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1932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1918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1932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1919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1932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1920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1932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1921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1932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1922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1932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1923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1932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1924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1932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1925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1932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1926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1932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1927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1932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1928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1932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1929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1932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1930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1932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1931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1986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2776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1986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3393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1986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3394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1986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3395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1986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3396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1986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4470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1986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3397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1904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1933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1904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2170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1904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4065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1904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1883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1904</v>
      </c>
      <c r="E6693" s="1" t="n">
        <v>967</v>
      </c>
      <c r="F6693" s="1" t="s">
        <v>1494</v>
      </c>
      <c r="I6693" s="1" t="n">
        <v>37213</v>
      </c>
      <c r="J6693" s="1" t="n">
        <v>22589</v>
      </c>
      <c r="K6693" s="1" t="n">
        <v>7896547501178</v>
      </c>
      <c r="L6693" s="1" t="s">
        <v>4471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1904</v>
      </c>
      <c r="E6694" s="1" t="n">
        <v>967</v>
      </c>
      <c r="F6694" s="1" t="s">
        <v>1494</v>
      </c>
      <c r="I6694" s="1" t="n">
        <v>37213</v>
      </c>
      <c r="J6694" s="1" t="n">
        <v>22591</v>
      </c>
      <c r="K6694" s="1" t="n">
        <v>7896547501154</v>
      </c>
      <c r="L6694" s="1" t="s">
        <v>4472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1904</v>
      </c>
      <c r="E6695" s="1" t="n">
        <v>967</v>
      </c>
      <c r="F6695" s="1" t="s">
        <v>1494</v>
      </c>
      <c r="I6695" s="1" t="n">
        <v>37213</v>
      </c>
      <c r="J6695" s="1" t="n">
        <v>28363</v>
      </c>
      <c r="K6695" s="1" t="n">
        <v>7896855901417</v>
      </c>
      <c r="L6695" s="1" t="s">
        <v>4473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1904</v>
      </c>
      <c r="E6696" s="1" t="n">
        <v>967</v>
      </c>
      <c r="F6696" s="1" t="s">
        <v>1494</v>
      </c>
      <c r="I6696" s="1" t="n">
        <v>37213</v>
      </c>
      <c r="J6696" s="1" t="n">
        <v>31436</v>
      </c>
      <c r="K6696" s="1" t="n">
        <v>7896547501277</v>
      </c>
      <c r="L6696" s="1" t="s">
        <v>4474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1904</v>
      </c>
      <c r="E6697" s="1" t="n">
        <v>967</v>
      </c>
      <c r="F6697" s="1" t="s">
        <v>1494</v>
      </c>
      <c r="I6697" s="1" t="n">
        <v>37213</v>
      </c>
      <c r="J6697" s="1" t="n">
        <v>31437</v>
      </c>
      <c r="K6697" s="1" t="n">
        <v>7896547501390</v>
      </c>
      <c r="L6697" s="1" t="s">
        <v>4475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1904</v>
      </c>
      <c r="E6698" s="1" t="n">
        <v>967</v>
      </c>
      <c r="F6698" s="1" t="s">
        <v>1494</v>
      </c>
      <c r="I6698" s="1" t="n">
        <v>37213</v>
      </c>
      <c r="J6698" s="1" t="n">
        <v>48720</v>
      </c>
      <c r="K6698" s="1" t="n">
        <v>7896855903022</v>
      </c>
      <c r="L6698" s="1" t="s">
        <v>4476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1904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1899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1904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1900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1904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4477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1904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3554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1904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4478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1904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2990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1904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2991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1904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4479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1904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4480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1904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4481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1904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4482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1904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4483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1904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4484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1904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4485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1904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3591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1904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4486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1904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3593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1904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4487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1904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4488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1904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4489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1904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4490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1904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3004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1904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4491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1904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4492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1904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4493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1912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1913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1912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1914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1912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1915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1912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1916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1912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1917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1912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1919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1912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2015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1912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1929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1912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3211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1932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1913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1932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1914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1932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1915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1932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1916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1932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1917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1932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1919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1932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2015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1932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1929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1932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3211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1986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1967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1986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1972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1986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1982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1986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1969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1986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1970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1986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2429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1986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1973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1986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1974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1986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1977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1986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2029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1986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1978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1986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1979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1986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1980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1986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2032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1986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1983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1986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1984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1986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1985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1986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2167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1986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2168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1986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2169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1904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1942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1904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1943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1904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2143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1904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2144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1904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2143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1904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2144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1904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1881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1904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4109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1904</v>
      </c>
      <c r="E6770" s="1" t="n">
        <v>1681</v>
      </c>
      <c r="F6770" s="1" t="s">
        <v>1532</v>
      </c>
      <c r="I6770" s="1" t="n">
        <v>39521</v>
      </c>
      <c r="J6770" s="1" t="n">
        <v>102134</v>
      </c>
      <c r="K6770" s="1" t="n">
        <v>7894000010021</v>
      </c>
      <c r="L6770" s="1" t="s">
        <v>4494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1904</v>
      </c>
      <c r="E6771" s="1" t="n">
        <v>1681</v>
      </c>
      <c r="F6771" s="1" t="s">
        <v>1532</v>
      </c>
      <c r="I6771" s="1" t="n">
        <v>39521</v>
      </c>
      <c r="J6771" s="1" t="n">
        <v>110184</v>
      </c>
      <c r="K6771" s="1" t="n">
        <v>37393</v>
      </c>
      <c r="L6771" s="1" t="s">
        <v>2898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1904</v>
      </c>
      <c r="E6772" s="1" t="n">
        <v>1681</v>
      </c>
      <c r="F6772" s="1" t="s">
        <v>1532</v>
      </c>
      <c r="I6772" s="1" t="n">
        <v>39521</v>
      </c>
      <c r="J6772" s="1" t="n">
        <v>57639</v>
      </c>
      <c r="K6772" s="1" t="n">
        <v>7896004006277</v>
      </c>
      <c r="L6772" s="1" t="s">
        <v>4495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1904</v>
      </c>
      <c r="E6773" s="1" t="n">
        <v>1681</v>
      </c>
      <c r="F6773" s="1" t="s">
        <v>1532</v>
      </c>
      <c r="I6773" s="1" t="n">
        <v>39521</v>
      </c>
      <c r="J6773" s="1" t="n">
        <v>62378</v>
      </c>
      <c r="K6773" s="1" t="n">
        <v>7896045506934</v>
      </c>
      <c r="L6773" s="1" t="s">
        <v>2396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1904</v>
      </c>
      <c r="E6774" s="1" t="n">
        <v>1681</v>
      </c>
      <c r="F6774" s="1" t="s">
        <v>1532</v>
      </c>
      <c r="I6774" s="1" t="n">
        <v>39521</v>
      </c>
      <c r="J6774" s="1" t="n">
        <v>70942</v>
      </c>
      <c r="K6774" s="1" t="n">
        <v>7891000412855</v>
      </c>
      <c r="L6774" s="1" t="s">
        <v>2897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1904</v>
      </c>
      <c r="E6775" s="1" t="n">
        <v>1681</v>
      </c>
      <c r="F6775" s="1" t="s">
        <v>1532</v>
      </c>
      <c r="I6775" s="1" t="n">
        <v>39521</v>
      </c>
      <c r="J6775" s="1" t="n">
        <v>80005</v>
      </c>
      <c r="K6775" s="1" t="n">
        <v>7891000457092</v>
      </c>
      <c r="L6775" s="1" t="s">
        <v>3293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1904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1882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1904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2056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1904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1898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1904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1899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1904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1900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1912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1913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1912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1918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1912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1919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1912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1920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1912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1920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1912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1921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1912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1922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1912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1923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1912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1924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1912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1925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1912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1926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1912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1927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1912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1928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1912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1928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1912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1929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1912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1929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1912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1930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1912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1931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4496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1923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4496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3210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4496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2826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4496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4497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4496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1969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4496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1970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4496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1979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4496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2151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4496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2220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4496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2737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4496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2117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4496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4090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4496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2169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4496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2180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4496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2669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1932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1920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1932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1928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1932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1929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1932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1913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1932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1918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1932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1919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1932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1920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1932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1921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1932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1922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1932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1923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1932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1924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1932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1925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1932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1926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1932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1927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1932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1928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1932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1929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1932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1930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1932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1931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1904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1934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1904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4498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1904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4499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1904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4500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1904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4501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1904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4502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1904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4503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1904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2761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1904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2764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1904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2768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1904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2178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1904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2181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1904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2182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1904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2183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1904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2185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1904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2187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1904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2189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1904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4126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1904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2191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1904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2192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1904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2193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1904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2195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1904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3484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2729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4504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2729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4505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2729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4506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1986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1967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1904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1942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1904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1943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1904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1877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1904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1878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1904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1879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1904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2377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1904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2016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1904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1882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1904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1883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1904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2116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1904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1905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1904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1906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1904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1909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1904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4507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1904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1898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1904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1899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1904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1900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1912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1913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1912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1913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1912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1914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1912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1915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1912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1916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1912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1917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1912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2014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1912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1918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1912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1919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1912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1919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1912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1920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1912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1921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1912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1922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1912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1923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1912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1924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1912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1925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1912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1926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1912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1927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1912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3210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1912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1928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1912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1929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1912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1929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1912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1930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1912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1930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1912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1931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1912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1931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1932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1913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1932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1918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1932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1919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1932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1920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1932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1921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1932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1922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1932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1923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1932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1924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1932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1925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1932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1926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1932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1927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1932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1928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1932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1929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1932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1930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1932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1931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1932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1913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1932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1914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1932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1915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1932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1916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1932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1917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1932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2014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1932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1919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1932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3210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1932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1929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1932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1930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1932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1931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2449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2203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2449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2764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1986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1972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1986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1982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1986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1968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1986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1969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1986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2690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1986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1970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1986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1975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1986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1976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1986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2127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1986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2030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1986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1979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1986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1980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1986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2032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1986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1983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1986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1984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1986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3476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1904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1934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1904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1936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1904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1937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1904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1938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1904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1939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1904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1940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1904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1879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1904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1941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1904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2117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1904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2118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1904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2119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1904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2120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1904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2123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1904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4508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1904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3644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1904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1944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1904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1945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1904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4117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1904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1946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1904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1947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1904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1948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1904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1949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1904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2687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1904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3777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1904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4083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1904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4509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1904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1895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1904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1896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1904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1995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1904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2397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1904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2688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1904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4118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1904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2826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1904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2470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1904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2471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1904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4510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1904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2473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1904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2474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1904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2475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1904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2476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1904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2477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1904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2480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1904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4511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1904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2481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1904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2482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1904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4512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1904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2483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1904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2484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1904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2653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1904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4513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1904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4514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1904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4515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1904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2579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1904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4516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1904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2568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1904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2569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1904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2570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1904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2573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1904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2574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1904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4517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1904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2577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1904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2583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1904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4518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1904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3788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1904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3186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1904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3187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1904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3188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1904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2206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1904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2593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1904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2600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1904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2601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1904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4519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1904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4520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1904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4521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1904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2603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1904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2604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1904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2605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1904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2606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1904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2607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1904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2608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1904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3790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1904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4522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1904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4523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1904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2611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1904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4524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1904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4525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1904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2556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1904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3785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1904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4526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1904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4527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1904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2563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1904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2564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1904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4528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1904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4529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1904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2567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1904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2572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1904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2575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1904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2576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1904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3786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1904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4530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1904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4531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1904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4532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1904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4533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1904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2588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1904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2591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1904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2592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1904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4534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1904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4535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1904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4536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1904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4537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1904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4538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1904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2595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1904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2596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1904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2896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1904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4539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1904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4540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1904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2598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1904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4541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1904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1900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1904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2086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1904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2087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1904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2008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1904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2000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1904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2088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1904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2001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1904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2002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1904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4089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1904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2003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1904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2004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1904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2006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1904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1901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1904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4060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1904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3792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1904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1902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1904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1903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1904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2092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1904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2090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1904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2007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1904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3020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1904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2689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1904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2428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1904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1911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1904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2008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1904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2009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1904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2010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1986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1967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1904</v>
      </c>
      <c r="E7092" s="1" t="n">
        <v>1390</v>
      </c>
      <c r="F7092" s="1" t="s">
        <v>1620</v>
      </c>
      <c r="I7092" s="1" t="n">
        <v>7287</v>
      </c>
      <c r="J7092" s="1" t="n">
        <v>74806</v>
      </c>
      <c r="K7092" s="1" t="n">
        <v>7898967923899</v>
      </c>
      <c r="L7092" s="1" t="s">
        <v>4542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1904</v>
      </c>
      <c r="E7093" s="1" t="n">
        <v>1390</v>
      </c>
      <c r="F7093" s="1" t="s">
        <v>1620</v>
      </c>
      <c r="I7093" s="1" t="n">
        <v>7287</v>
      </c>
      <c r="J7093" s="1" t="n">
        <v>74808</v>
      </c>
      <c r="K7093" s="1" t="n">
        <v>7898967923912</v>
      </c>
      <c r="L7093" s="1" t="s">
        <v>4543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1904</v>
      </c>
      <c r="E7094" s="1" t="n">
        <v>1390</v>
      </c>
      <c r="F7094" s="1" t="s">
        <v>1620</v>
      </c>
      <c r="I7094" s="1" t="n">
        <v>7287</v>
      </c>
      <c r="J7094" s="1" t="n">
        <v>75038</v>
      </c>
      <c r="K7094" s="1" t="n">
        <v>7898754690492</v>
      </c>
      <c r="L7094" s="1" t="s">
        <v>4544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1904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4545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1904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4546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1904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4547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1904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4548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1904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4549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1904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4550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1904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4551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1904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4552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1904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4553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1904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4554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1904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4555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1904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4556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1904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4557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1904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4558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1904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4559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1904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4560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1904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4561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1904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4562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1904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4563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1904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4564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1904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4565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1904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4566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1904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4567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1904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4568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1904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4569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1904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4570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1904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4571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1904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4572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1904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4573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1904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1882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1904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2056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1904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1922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1904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1923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1904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1924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1904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3011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1904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3487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1904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3488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1904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2034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1904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3013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1904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3014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1904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2036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1904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3016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1904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3018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1904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3490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1904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2915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1904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2916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1904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4574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1904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4575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1904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2917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1904</v>
      </c>
      <c r="E7144" s="1" t="n">
        <v>1107</v>
      </c>
      <c r="F7144" s="1" t="s">
        <v>227</v>
      </c>
      <c r="I7144" s="1" t="n">
        <v>447609</v>
      </c>
      <c r="J7144" s="1" t="n">
        <v>17325</v>
      </c>
      <c r="K7144" s="1" t="n">
        <v>7895144603063</v>
      </c>
      <c r="L7144" s="1" t="s">
        <v>2769</v>
      </c>
      <c r="N7144" s="1" t="n">
        <v>16</v>
      </c>
      <c r="O7144" s="1" t="n">
        <v>32.43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1904</v>
      </c>
      <c r="E7145" s="1" t="n">
        <v>1107</v>
      </c>
      <c r="F7145" s="1" t="s">
        <v>227</v>
      </c>
      <c r="I7145" s="1" t="n">
        <v>447609</v>
      </c>
      <c r="J7145" s="1" t="n">
        <v>12275</v>
      </c>
      <c r="K7145" s="1" t="n">
        <v>7891962031170</v>
      </c>
      <c r="L7145" s="1" t="s">
        <v>2918</v>
      </c>
      <c r="N7145" s="1" t="n">
        <v>48</v>
      </c>
      <c r="O7145" s="1" t="n">
        <v>76.58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1904</v>
      </c>
      <c r="E7146" s="1" t="n">
        <v>1107</v>
      </c>
      <c r="F7146" s="1" t="s">
        <v>227</v>
      </c>
      <c r="I7146" s="1" t="n">
        <v>447609</v>
      </c>
      <c r="J7146" s="1" t="n">
        <v>12704</v>
      </c>
      <c r="K7146" s="1" t="n">
        <v>7891048040089</v>
      </c>
      <c r="L7146" s="1" t="s">
        <v>2919</v>
      </c>
      <c r="N7146" s="1" t="n">
        <v>12</v>
      </c>
      <c r="O7146" s="1" t="n">
        <v>76.22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1904</v>
      </c>
      <c r="E7147" s="1" t="n">
        <v>1107</v>
      </c>
      <c r="F7147" s="1" t="s">
        <v>227</v>
      </c>
      <c r="I7147" s="1" t="n">
        <v>447609</v>
      </c>
      <c r="J7147" s="1" t="n">
        <v>14223</v>
      </c>
      <c r="K7147" s="1" t="n">
        <v>7891962035451</v>
      </c>
      <c r="L7147" s="1" t="s">
        <v>4576</v>
      </c>
      <c r="N7147" s="1" t="n">
        <v>12</v>
      </c>
      <c r="O7147" s="1" t="n">
        <v>115.24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1904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4577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1904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4578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1904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2920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1904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2921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1904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4579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1904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4580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1904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4581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1904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3462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1904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2924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1904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2923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1904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2925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1904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3466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1904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2770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1904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4582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1904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3467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1904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4583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1904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4584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1904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4585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1904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2926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1904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2927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1904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2771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1904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3468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1904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2772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1904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4586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1904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4587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1904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2928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1904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2929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1904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2930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1904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3469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1904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2931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1904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3470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1904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2932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1904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2933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1904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4588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1904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4589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1904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4590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1904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4591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1904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4592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1904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2230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1904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2231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1904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4593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1904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4594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1904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4595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1904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2232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1904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4596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1904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2233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1904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2235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1904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4597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1904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4598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1904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2236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1904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2237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1904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4599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1904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4600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1904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2238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1904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2239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1904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4601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1904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4602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1904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4603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1904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2242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1904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2243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1904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2244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1904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3973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1904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2245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1904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2246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1904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2246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1904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2248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1904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4604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1904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4605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1904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2250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1904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3974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1904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1992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1904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1994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1904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2397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1904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2151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1904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3086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1904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3087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1904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2152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1904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4606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1904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2154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1904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4607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1904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4608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1904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2156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1904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3991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1904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2158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1904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3093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1904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3093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1904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2165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1904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2166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1904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1898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1904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1899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1904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1900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1904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4244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1904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2008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1904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2427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1904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2000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1904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2088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1904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2001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1904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2002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1904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2089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1904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2003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1904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4122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1904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2005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1904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1901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1904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1903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1904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3779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1904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2092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1904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2090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1904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2689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1904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4245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1904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3020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1904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4609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1904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2428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1904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1997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1904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2008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1904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2009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1904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2093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1912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1913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1912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2014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1912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1918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1912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1919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1912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1920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1912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1920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1912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1921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1912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1922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1912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1923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1912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1924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1912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1925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1912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1926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1912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1926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1912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1927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1912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4306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1912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1928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1912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1928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1912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1929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1912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1930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1912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1931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1912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1931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2729</v>
      </c>
      <c r="E7285" s="1" t="n">
        <v>1835</v>
      </c>
      <c r="F7285" s="1" t="s">
        <v>1585</v>
      </c>
      <c r="I7285" s="1" t="n">
        <v>110228</v>
      </c>
      <c r="J7285" s="1" t="n">
        <v>82218</v>
      </c>
      <c r="K7285" s="1" t="n">
        <v>7898708505735</v>
      </c>
      <c r="L7285" s="1" t="s">
        <v>4610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2729</v>
      </c>
      <c r="E7286" s="1" t="n">
        <v>1835</v>
      </c>
      <c r="F7286" s="1" t="s">
        <v>1585</v>
      </c>
      <c r="I7286" s="1" t="n">
        <v>110228</v>
      </c>
      <c r="J7286" s="1" t="n">
        <v>82219</v>
      </c>
      <c r="K7286" s="1" t="n">
        <v>7898708505520</v>
      </c>
      <c r="L7286" s="1" t="s">
        <v>4611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1932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1913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1932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2014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1932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1918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1932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1919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1932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1920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1932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1921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1932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1922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1932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1923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1932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1924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1932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1925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1932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1926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1932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1927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1932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4306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1932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1928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1932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1929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1932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1930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1932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1931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1932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1920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1932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1926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1932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1928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1932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1931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1986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1967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1904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1942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1904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1943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1904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1933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1904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4612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1904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4613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1904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2883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1904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2884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1904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2041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1904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2042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1904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2044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1904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2045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1904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2046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1904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2048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1904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3419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1904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2050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1904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2051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1904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2052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1904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2053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1904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2054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1904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2885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1904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2886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1904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2886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1904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1883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1904</v>
      </c>
      <c r="E7332" s="1" t="n">
        <v>1706</v>
      </c>
      <c r="F7332" s="1" t="s">
        <v>1587</v>
      </c>
      <c r="I7332" s="1" t="n">
        <v>206697</v>
      </c>
      <c r="J7332" s="1" t="n">
        <v>57639</v>
      </c>
      <c r="K7332" s="1" t="n">
        <v>7896004006277</v>
      </c>
      <c r="L7332" s="1" t="s">
        <v>4495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1904</v>
      </c>
      <c r="E7333" s="1" t="n">
        <v>1706</v>
      </c>
      <c r="F7333" s="1" t="s">
        <v>1587</v>
      </c>
      <c r="I7333" s="1" t="n">
        <v>206697</v>
      </c>
      <c r="J7333" s="1" t="n">
        <v>57878</v>
      </c>
      <c r="K7333" s="1" t="n">
        <v>7896004006239</v>
      </c>
      <c r="L7333" s="1" t="s">
        <v>4614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1904</v>
      </c>
      <c r="E7334" s="1" t="n">
        <v>1706</v>
      </c>
      <c r="F7334" s="1" t="s">
        <v>1587</v>
      </c>
      <c r="I7334" s="1" t="n">
        <v>206697</v>
      </c>
      <c r="J7334" s="1" t="n">
        <v>61667</v>
      </c>
      <c r="K7334" s="1" t="n">
        <v>7896004006284</v>
      </c>
      <c r="L7334" s="1" t="s">
        <v>4615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1904</v>
      </c>
      <c r="E7335" s="1" t="n">
        <v>1706</v>
      </c>
      <c r="F7335" s="1" t="s">
        <v>1587</v>
      </c>
      <c r="I7335" s="1" t="n">
        <v>206697</v>
      </c>
      <c r="J7335" s="1" t="n">
        <v>63233</v>
      </c>
      <c r="K7335" s="1" t="n">
        <v>7896004006406</v>
      </c>
      <c r="L7335" s="1" t="s">
        <v>4616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1904</v>
      </c>
      <c r="E7336" s="1" t="n">
        <v>1706</v>
      </c>
      <c r="F7336" s="1" t="s">
        <v>1587</v>
      </c>
      <c r="I7336" s="1" t="n">
        <v>206697</v>
      </c>
      <c r="J7336" s="1" t="n">
        <v>63943</v>
      </c>
      <c r="K7336" s="1" t="n">
        <v>7896004008998</v>
      </c>
      <c r="L7336" s="1" t="s">
        <v>4617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1904</v>
      </c>
      <c r="E7337" s="1" t="n">
        <v>1706</v>
      </c>
      <c r="F7337" s="1" t="s">
        <v>1587</v>
      </c>
      <c r="I7337" s="1" t="n">
        <v>206697</v>
      </c>
      <c r="J7337" s="1" t="n">
        <v>66069</v>
      </c>
      <c r="K7337" s="1" t="n">
        <v>7896004010076</v>
      </c>
      <c r="L7337" s="1" t="s">
        <v>2722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1904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3870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1904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3874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1904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3875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1904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3876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1904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3877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1904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3878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1904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3883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1904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3884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1904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3887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1904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4618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1904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3891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1904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2071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1904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2072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1904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2414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1904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2077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1904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2078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1904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2416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1904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2079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1904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2417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1904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1951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1904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4051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1904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2081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1904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1954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1904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2418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1904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2082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1904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2083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1904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2419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1904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2420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1904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1955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1904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1956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1904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2084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1904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2421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1904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1957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1904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2422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1904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4619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1904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1960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1904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1964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1904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1965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1904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4620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1904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2595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1904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4621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1904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3800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1904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2347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1904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2350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1904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2352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1904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2353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1904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2355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1904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2356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1904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2357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1904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2358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1904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2361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1904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2362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1904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2363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1904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2364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1904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2365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1904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2366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1904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2368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1904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2369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1904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2370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1904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2375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1904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2376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1912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1913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1912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1914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1912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1915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1912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1916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1912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1917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1912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1919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1912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2015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1912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1929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1912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1930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1912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1931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1932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1913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1932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1914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1932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1915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1932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1916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1932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1917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1932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1919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1932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2015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1932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1929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1932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1930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1932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1931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1986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1972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1986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1982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1986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1968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1986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2125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1986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1970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1986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2126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1986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1973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1986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1975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1986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1976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1986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1977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1986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2029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1986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1978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1986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1979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1986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1980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1986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4110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1986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2128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1986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1983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1986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1984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1986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1985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1986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3476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1904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2143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1904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2144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1904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2145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1904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4622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1904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4309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1904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4623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1904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4624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1904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4310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1904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4311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1904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4625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1904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4626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1904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4091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1904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2200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1904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2200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1904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2751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1904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4169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1904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4627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1904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2065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1904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4628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1904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2205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1904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2896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1904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2023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1904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2024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1904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3278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1904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2025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1904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2027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1904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2024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1904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2026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1904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1898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1904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1899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1904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1900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1986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1967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1904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1942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1904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1943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1904</v>
      </c>
      <c r="E7473" s="1" t="n">
        <v>10090</v>
      </c>
      <c r="F7473" s="1" t="s">
        <v>1538</v>
      </c>
      <c r="I7473" s="1" t="n">
        <v>299</v>
      </c>
      <c r="J7473" s="1" t="n">
        <v>101859</v>
      </c>
      <c r="K7473" s="1" t="n">
        <v>7896224807098</v>
      </c>
      <c r="L7473" s="1" t="s">
        <v>4091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1904</v>
      </c>
      <c r="E7474" s="1" t="n">
        <v>10090</v>
      </c>
      <c r="F7474" s="1" t="s">
        <v>1538</v>
      </c>
      <c r="I7474" s="1" t="n">
        <v>299</v>
      </c>
      <c r="J7474" s="1" t="n">
        <v>102325</v>
      </c>
      <c r="K7474" s="1" t="n">
        <v>7896002100014</v>
      </c>
      <c r="L7474" s="1" t="s">
        <v>3746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1904</v>
      </c>
      <c r="E7475" s="1" t="n">
        <v>10090</v>
      </c>
      <c r="F7475" s="1" t="s">
        <v>1538</v>
      </c>
      <c r="I7475" s="1" t="n">
        <v>299</v>
      </c>
      <c r="J7475" s="1" t="n">
        <v>12855</v>
      </c>
      <c r="K7475" s="1" t="n">
        <v>7898910758127</v>
      </c>
      <c r="L7475" s="1" t="s">
        <v>2889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1904</v>
      </c>
      <c r="E7476" s="1" t="n">
        <v>10090</v>
      </c>
      <c r="F7476" s="1" t="s">
        <v>1538</v>
      </c>
      <c r="I7476" s="1" t="n">
        <v>299</v>
      </c>
      <c r="J7476" s="1" t="n">
        <v>23197</v>
      </c>
      <c r="K7476" s="1" t="n">
        <v>7896116900029</v>
      </c>
      <c r="L7476" s="1" t="s">
        <v>4627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1904</v>
      </c>
      <c r="E7477" s="1" t="n">
        <v>10090</v>
      </c>
      <c r="F7477" s="1" t="s">
        <v>1538</v>
      </c>
      <c r="I7477" s="1" t="n">
        <v>299</v>
      </c>
      <c r="J7477" s="1" t="n">
        <v>23197</v>
      </c>
      <c r="K7477" s="1" t="n">
        <v>7896116900029</v>
      </c>
      <c r="L7477" s="1" t="s">
        <v>4627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1904</v>
      </c>
      <c r="E7478" s="1" t="n">
        <v>10090</v>
      </c>
      <c r="F7478" s="1" t="s">
        <v>1538</v>
      </c>
      <c r="I7478" s="1" t="n">
        <v>299</v>
      </c>
      <c r="J7478" s="1" t="n">
        <v>27241</v>
      </c>
      <c r="K7478" s="1" t="n">
        <v>7898910758639</v>
      </c>
      <c r="L7478" s="1" t="s">
        <v>2894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1904</v>
      </c>
      <c r="E7479" s="1" t="n">
        <v>10090</v>
      </c>
      <c r="F7479" s="1" t="s">
        <v>1538</v>
      </c>
      <c r="I7479" s="1" t="n">
        <v>299</v>
      </c>
      <c r="J7479" s="1" t="n">
        <v>27242</v>
      </c>
      <c r="K7479" s="1" t="n">
        <v>7898910758622</v>
      </c>
      <c r="L7479" s="1" t="s">
        <v>2895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1904</v>
      </c>
      <c r="E7480" s="1" t="n">
        <v>10090</v>
      </c>
      <c r="F7480" s="1" t="s">
        <v>1538</v>
      </c>
      <c r="I7480" s="1" t="n">
        <v>299</v>
      </c>
      <c r="J7480" s="1" t="n">
        <v>27415</v>
      </c>
      <c r="K7480" s="1" t="n">
        <v>7898910758684</v>
      </c>
      <c r="L7480" s="1" t="s">
        <v>3414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1904</v>
      </c>
      <c r="E7481" s="1" t="n">
        <v>10090</v>
      </c>
      <c r="F7481" s="1" t="s">
        <v>1538</v>
      </c>
      <c r="I7481" s="1" t="n">
        <v>299</v>
      </c>
      <c r="J7481" s="1" t="n">
        <v>29846</v>
      </c>
      <c r="K7481" s="1" t="n">
        <v>7891097102059</v>
      </c>
      <c r="L7481" s="1" t="s">
        <v>2065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1904</v>
      </c>
      <c r="E7482" s="1" t="n">
        <v>10090</v>
      </c>
      <c r="F7482" s="1" t="s">
        <v>1538</v>
      </c>
      <c r="I7482" s="1" t="n">
        <v>299</v>
      </c>
      <c r="J7482" s="1" t="n">
        <v>31871</v>
      </c>
      <c r="K7482" s="1" t="n">
        <v>7891150055070</v>
      </c>
      <c r="L7482" s="1" t="s">
        <v>4629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1904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1934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1904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1882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1904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2012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1904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2013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1904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2378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1912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1913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1912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1918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1912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1919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1912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1920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1912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1921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1912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1922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1912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1923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1912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1924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1912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1925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1912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1926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1912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1927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1912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4306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1912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1928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1912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1929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1912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1930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1912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1931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1932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1913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1932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1918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1932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1919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1932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1920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1932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1921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1932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1922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1932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1923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1932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1924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1932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1925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1932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1926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1932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1927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1932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4306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1932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1928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1932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1929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1932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1930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1932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1931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1986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1967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1904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1877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1904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1879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1904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2377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1904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2016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1904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1880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1904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1878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1904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2017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1904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2018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1904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2019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1904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2020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1904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2021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1904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2776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1904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1935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1904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1937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1904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1938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1904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1939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1904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1940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1904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1879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1904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1941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1904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4630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1904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1883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1904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2379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1904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4631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1904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4632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1904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2380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1904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4633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1904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4634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1904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4635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1904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4636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1904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4637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1904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4638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1904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4639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1904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3029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1904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2501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1904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3030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1904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2503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1904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2506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1904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2506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1904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2511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1904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2513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1904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3205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1904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4640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1904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4080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1904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2519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1904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4641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1904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3206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1904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3207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1904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2525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1904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4642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1904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2530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1904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4643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1904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4644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1904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1895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1904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1896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1904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1999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1904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2396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1904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2873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1904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3315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1904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1898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1904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1899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1904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1900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1904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1898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1904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1899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1904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1900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1904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4620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1904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2595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1912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1913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1912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1914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1912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1915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1912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1916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1912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1917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1912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2014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1912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1919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1912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1929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1912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1931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1932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1913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1932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1914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1932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1915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1932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1916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1932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1917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1932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2014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1932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1919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1932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1929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1932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1931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2449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4645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2449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4646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1986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1972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1986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1982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1986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1968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1986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1969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1986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2690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1986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1970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1986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1971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1986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1973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1986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1975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1986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1976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1986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2127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1986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1979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1986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2691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1986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2032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1986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1983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1986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1984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1986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4111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1986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3476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1904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1934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1904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2146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1904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4647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1904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2096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1904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2097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1904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3339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1904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2100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1904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2101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1904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2104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1904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2105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1904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2106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1904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3342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1904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4612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1904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1944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1904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1945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1904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1946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1904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1947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1904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1948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1904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1949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2729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3036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2729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3037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2729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3038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2729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3039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1986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1967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1904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1882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1904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1883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1904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1898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1904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1899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1904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1900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1904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3654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1912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1913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1912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1913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1912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1914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1912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1915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1912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1916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1912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1917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1912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2014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1912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2014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1912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1918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1912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1919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1912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1919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1912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1920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1912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1921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1912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1922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1912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1923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1912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1924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1912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1925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1912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1926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1912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1927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1912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4306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1912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1928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1912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1929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1912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1929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1912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1930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1912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1930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1912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1931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1912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1931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1932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1913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1932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2014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1932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1918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1932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1919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1932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1920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1932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1921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1932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1922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1932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1923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1932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1924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1932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1925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1932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1926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1932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1927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1932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4306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1932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1928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1932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1929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1932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1930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1932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1931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1932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1913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1932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1914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1932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1915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1932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1916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1932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1917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1932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2014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1932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1919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1932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1929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1932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1930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1932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1931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1904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1877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1904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1878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1904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1879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1904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2377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1904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2016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1904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1880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1904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2018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1904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2019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1904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2020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1904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2021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1904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1935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1904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1936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1904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1938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1904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2022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1904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1939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1904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3084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1904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4648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1904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2431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1904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3651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1904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4649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1904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3478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1904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2178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1904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2182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1904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2183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1904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3483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1904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2185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1904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2187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1904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2189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1904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4126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1904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2191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1904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2192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1904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2193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1904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4650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1904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4651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1904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2499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1904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2501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1904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3213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1904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4361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1904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3214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1904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3907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1904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3215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1904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3910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1904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4364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1904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3662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1904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3936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1904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3943</v>
      </c>
      <c r="N7754" s="1" t="n">
        <v>3</v>
      </c>
      <c r="O7754" s="1" t="n">
        <v>22.64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2026-09-04T15:24:37Z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