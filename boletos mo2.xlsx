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<sst xmlns="http://schemas.openxmlformats.org/spreadsheetml/2006/main" count="7000" uniqueCount="955">
  <si>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</si>
  <si>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</si>
  <si>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</si>
  <si>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</si>
  <si>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</si>
  <si>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</si>
  <si>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</si>
  <si>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</si>
  <si>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</si>
  <si>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</si>
  <si>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</si>
  <si>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</si>
  <si>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</si>
  <si>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</si>
  <si>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</si>
  <si>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</si>
  <si>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</si>
  <si>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</si>
  <si>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</si>
  <si>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</si>
  <si>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</si>
  <si>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</si>
  <si>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</si>
  <si>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</si>
  <si>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</si>
  <si>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</si>
  <si>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</si>
  <si>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</si>
  <si>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</si>
  <si>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</si>
  <si>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ADRIANO FEITOSA OLIVEIRA LTDA</t>
  </si>
  <si>
    <t xml:space="preserve">Transferencia Pix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</si>
  <si>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</si>
  <si>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</si>
  <si>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</si>
  <si>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</si>
  <si>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</si>
  <si>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</si>
  <si>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313 ELLEN</t>
  </si>
  <si>
    <t xml:space="preserve">BRAGA TABACARIA EIRELI ME</t>
  </si>
  <si>
    <t xml:space="preserve">Compra a Prazo - Boletos</t>
  </si>
  <si>
    <t xml:space="preserve">03</t>
  </si>
  <si>
    <t xml:space="preserve">NF 18534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</si>
  <si>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</si>
  <si>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</si>
  <si>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</si>
  <si>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</si>
  <si>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</si>
  <si>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</si>
  <si>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Compra a Vista</t>
  </si>
  <si>
    <t xml:space="preserve">BANCO ITAU Lj 02</t>
  </si>
  <si>
    <t xml:space="preserve">AVU</t>
  </si>
  <si>
    <t xml:space="preserve">NF 15 COMPRAS-BOLO PG NO P 27/6 ELLEN</t>
  </si>
  <si>
    <t xml:space="preserve">MARE DISTRIBUIDORA DE BEBIDAS E DE PRODUTOS ALIMENTICIOS LTDA</t>
  </si>
  <si>
    <t xml:space="preserve">NF 1366479 ELLEN</t>
  </si>
  <si>
    <t xml:space="preserve">SILVA E SANTOS FRIGORIFICO LTDA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</si>
  <si>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</si>
  <si>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</si>
  <si>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</si>
  <si>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</si>
  <si>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ADRIANA DISTRIBUIDORA DE PRODUTOS ALIMEN</t>
  </si>
  <si>
    <t xml:space="preserve">NF 878392 ELLEN</t>
  </si>
  <si>
    <t xml:space="preserve">CRBS S/A</t>
  </si>
  <si>
    <t xml:space="preserve">NF 869753 ELLEN</t>
  </si>
  <si>
    <t xml:space="preserve">NF 869753 REF TARIFA AMBEV - ELLEN</t>
  </si>
  <si>
    <t xml:space="preserve">DUNORTE DISTRIBUIDORA DE PRODUTOS DE CONSUMO LTDA</t>
  </si>
  <si>
    <t xml:space="preserve">NF 3202460 ELLEN</t>
  </si>
  <si>
    <t xml:space="preserve">FENNIX BRASIL DISTRIBUIDORA DE PRODUTOS</t>
  </si>
  <si>
    <t xml:space="preserve">ITAU SA</t>
  </si>
  <si>
    <t xml:space="preserve">KEILA LIMA</t>
  </si>
  <si>
    <t xml:space="preserve">AMORTIZACAO GARANTIDA BANCO</t>
  </si>
  <si>
    <t xml:space="preserve">TAR CONTR/RENOV CTA GAR MO2 - KEILA</t>
  </si>
  <si>
    <t xml:space="preserve">J W N DOS SANTOS</t>
  </si>
  <si>
    <t xml:space="preserve">NF 305 ELLEN</t>
  </si>
  <si>
    <t xml:space="preserve">L S M COMERCIO DE ALIMENTOS E NAVEGACAO</t>
  </si>
  <si>
    <t xml:space="preserve">NF 303660 ELLEN</t>
  </si>
  <si>
    <t xml:space="preserve">NESTLÉ BRASIL LTDA.</t>
  </si>
  <si>
    <t xml:space="preserve">NF 1416973 ELLEN</t>
  </si>
  <si>
    <t xml:space="preserve">NEYLIANE S DE OLIVEIRA &amp; CIA LTDA</t>
  </si>
  <si>
    <t xml:space="preserve">COMPRAS - 15L DE AÇAI - PG NO P 29/6/26 ELLEN</t>
  </si>
  <si>
    <t xml:space="preserve">NOVA FRIOS COMERCIO ATACADISTA DE LATICINIOS LTDA</t>
  </si>
  <si>
    <t xml:space="preserve">NF 3858 ELLEN</t>
  </si>
  <si>
    <t xml:space="preserve">NSB COMERCIO ATACADISTA E VAREJISTA DE P</t>
  </si>
  <si>
    <t xml:space="preserve">NF 7725 ELLEN</t>
  </si>
  <si>
    <t xml:space="preserve">PANIFICADORA E CONFEITARIA REAL MADRI LTDA</t>
  </si>
  <si>
    <t xml:space="preserve">NF 679 ELLEN</t>
  </si>
  <si>
    <t xml:space="preserve">RUAN FERNANDES</t>
  </si>
  <si>
    <t xml:space="preserve">CONTAS A PAGAR</t>
  </si>
  <si>
    <t xml:space="preserve">DESPESAS OPERACIONAIS</t>
  </si>
  <si>
    <t xml:space="preserve">MANUTENÇÃO EQUIPAMENTOS DE INFORMATICA</t>
  </si>
  <si>
    <t xml:space="preserve">2 MEMORIAS 1 SSD SERVIDOR MO2 - KEILA</t>
  </si>
  <si>
    <t xml:space="preserve">SAO JOSE COMERCIO DE LATICINIOS E FRIOS</t>
  </si>
  <si>
    <t xml:space="preserve">NF 3457 ELLEN</t>
  </si>
  <si>
    <t xml:space="preserve">SOUZA CRUZ LTDA.</t>
  </si>
  <si>
    <t xml:space="preserve">NF 562635 ELLEN</t>
  </si>
  <si>
    <t xml:space="preserve">T. M. L. DA SILVA LTDA</t>
  </si>
  <si>
    <t xml:space="preserve">NF 15043 ELLEN</t>
  </si>
  <si>
    <t xml:space="preserve">ADICSO FABIAN GONZALEZ MONTILLA 70302186</t>
  </si>
  <si>
    <t xml:space="preserve">NF 513 ELLEN</t>
  </si>
  <si>
    <t xml:space="preserve">NF 316 ELLEN</t>
  </si>
  <si>
    <t xml:space="preserve">ALMOCO </t>
  </si>
  <si>
    <t xml:space="preserve">ANDREZA ANDRADE</t>
  </si>
  <si>
    <t xml:space="preserve">DESPESAS COM PESSOAL</t>
  </si>
  <si>
    <t xml:space="preserve">ALIMENTACAO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</si>
  <si>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</si>
  <si>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</si>
  <si>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</si>
  <si>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BF COMERCIO DE ALIMENTOS REPRESENTACAO L</t>
  </si>
  <si>
    <t xml:space="preserve">02</t>
  </si>
  <si>
    <t xml:space="preserve">NF 20868 ELLEN</t>
  </si>
  <si>
    <t xml:space="preserve">BONNA VITTA INDUSTRIA E COMERCIO LTDA.</t>
  </si>
  <si>
    <t xml:space="preserve">NF 518105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</si>
  <si>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</si>
  <si>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</si>
  <si>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</si>
  <si>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</si>
  <si>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</si>
  <si>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</si>
  <si>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OPER LOJA</t>
  </si>
  <si>
    <t xml:space="preserve">DESPESAS LOJA</t>
  </si>
  <si>
    <t xml:space="preserve">DESPESA LOJA OPERACIONAL 06/26 - KEILA</t>
  </si>
  <si>
    <t xml:space="preserve">E. D. SENA &amp; CIA LTDA</t>
  </si>
  <si>
    <t xml:space="preserve">NF 9495 ELLEN</t>
  </si>
  <si>
    <t xml:space="preserve">EDSON AGUIAR DE SOUZA</t>
  </si>
  <si>
    <t xml:space="preserve">COMPRAS - CHEIRO-VERDE - ELLEN</t>
  </si>
  <si>
    <t xml:space="preserve">FEIRA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</si>
  <si>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</si>
  <si>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</si>
  <si>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</si>
  <si>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</si>
  <si>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FRANCISCO HELIO SERAFIM DE AZEVEDO</t>
  </si>
  <si>
    <t xml:space="preserve">SALARIOS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</si>
  <si>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</si>
  <si>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</si>
  <si>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</si>
  <si>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</si>
  <si>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</si>
  <si>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</si>
  <si>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NATUREZA COMERCIO DE DESCARTAVEIS LTDA</t>
  </si>
  <si>
    <t xml:space="preserve">NF 27994 ELLEN</t>
  </si>
  <si>
    <t xml:space="preserve">NF 729265 ELLEN</t>
  </si>
  <si>
    <t xml:space="preserve">FEIRA SR RENATO- PG P LJ1 - ELLEN</t>
  </si>
  <si>
    <t xml:space="preserve">ORIENTE COM. ATACADISTA E REPRES. LTDA</t>
  </si>
  <si>
    <t xml:space="preserve">NF 1773 ELLEN</t>
  </si>
  <si>
    <t xml:space="preserve">A C DUARTE DE CASTRO EPP.</t>
  </si>
  <si>
    <t xml:space="preserve">Cartao Sant 2 7596 venc 01</t>
  </si>
  <si>
    <t xml:space="preserve">OUTROS FORNECEDORES</t>
  </si>
  <si>
    <t xml:space="preserve">06</t>
  </si>
  <si>
    <t xml:space="preserve">DEBORA COSTA</t>
  </si>
  <si>
    <t xml:space="preserve">MATERIAL DE CONSUMO</t>
  </si>
  <si>
    <t xml:space="preserve">NF 6278 - DEBORA</t>
  </si>
  <si>
    <t xml:space="preserve">A. CORREA JUNIOR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</si>
  <si>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</si>
  <si>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</si>
  <si>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</si>
  <si>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</si>
  <si>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</si>
  <si>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</si>
  <si>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</si>
  <si>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BRF S A</t>
  </si>
  <si>
    <t xml:space="preserve">NF 1595886 ELLEN</t>
  </si>
  <si>
    <t xml:space="preserve">NF 1598763 ELLEN</t>
  </si>
  <si>
    <t xml:space="preserve">CAMPOS E LIMA GESTAO EMPRESARIAL</t>
  </si>
  <si>
    <t xml:space="preserve">BENS INTANGIVEIS</t>
  </si>
  <si>
    <t xml:space="preserve">SISTEMAS APLICATIVOS</t>
  </si>
  <si>
    <t xml:space="preserve">MENS SISTE MO2 VAREJO</t>
  </si>
  <si>
    <t xml:space="preserve">ELLEN SILVIA FERREIRA</t>
  </si>
  <si>
    <t xml:space="preserve">VALE TRANSPORTE</t>
  </si>
  <si>
    <t xml:space="preserve">VT JULHO</t>
  </si>
  <si>
    <t xml:space="preserve">FALCAO INDUSTRIA DE ALIMENTOS LTDA</t>
  </si>
  <si>
    <t xml:space="preserve">NF 34450 ELLEN</t>
  </si>
  <si>
    <t xml:space="preserve">NF 30199 ELLEN</t>
  </si>
  <si>
    <t xml:space="preserve">NF 30415 ELLEN</t>
  </si>
  <si>
    <t xml:space="preserve">ILTON DA SILVA DOURADO 75418711253</t>
  </si>
  <si>
    <t xml:space="preserve">NF 2316 CARTÃO DIA 1 - AV - ELLEN</t>
  </si>
  <si>
    <t xml:space="preserve">J G COMERCIO DE PRODUTOS ALIMENTICIOS LTDA</t>
  </si>
  <si>
    <t xml:space="preserve">NF 388857 ELLEN</t>
  </si>
  <si>
    <t xml:space="preserve">NF 325 ELLEN</t>
  </si>
  <si>
    <t xml:space="preserve">JUROS A FORNECEDOR</t>
  </si>
  <si>
    <t xml:space="preserve">BANCO ITAU Lj 01</t>
  </si>
  <si>
    <t xml:space="preserve">JUROS FORNEC. MO2</t>
  </si>
  <si>
    <t xml:space="preserve">L S C DA SILVA PRADO LTDA</t>
  </si>
  <si>
    <t xml:space="preserve">05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</si>
  <si>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</si>
  <si>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</si>
  <si>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</si>
  <si>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</si>
  <si>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</si>
  <si>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</si>
  <si>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</si>
  <si>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</si>
  <si>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</si>
  <si>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</si>
  <si>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COMPRAS - 15L DE ACAI - PG NO P 1/7/26 ELLEN</t>
  </si>
  <si>
    <t xml:space="preserve">OESA COMERCIO E REPRESENTACOES S/A</t>
  </si>
  <si>
    <t xml:space="preserve">NF 416678 ELLEN</t>
  </si>
  <si>
    <t xml:space="preserve">PANAMERICAN ELETRIC DO BRASIL LTDA</t>
  </si>
  <si>
    <t xml:space="preserve">08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</si>
  <si>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</si>
  <si>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</si>
  <si>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</si>
  <si>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</si>
  <si>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</si>
  <si>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</si>
  <si>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SANDRO HELIO OLIVEIRA COSTA</t>
  </si>
  <si>
    <t xml:space="preserve">SHMILY COMERCIO DE ARTIGOS DO VESTUARIO</t>
  </si>
  <si>
    <t xml:space="preserve">NF 420 CARTÃO DIA - AV - ELLEN</t>
  </si>
  <si>
    <t xml:space="preserve">THIAGO DA SILVA CRUZ</t>
  </si>
  <si>
    <t xml:space="preserve">TRES CORACOES ALIMENTOS S.A.</t>
  </si>
  <si>
    <t xml:space="preserve">NF 346452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</si>
  <si>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</si>
  <si>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</si>
  <si>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</si>
  <si>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</si>
  <si>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</si>
  <si>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CB COMERCIO E DISTRIBUIDORA DE ALIMENTOS</t>
  </si>
  <si>
    <t xml:space="preserve">NF 843147 ELLEN</t>
  </si>
  <si>
    <t xml:space="preserve">NF 3201284 ELLEN</t>
  </si>
  <si>
    <t xml:space="preserve">DURAES DISTRIBUIDORA DE ESTIVAS LTDA</t>
  </si>
  <si>
    <t xml:space="preserve">NF 645628 ELLEN</t>
  </si>
  <si>
    <t xml:space="preserve">FH DISTRIBUIDORA DE ALIM. E BEBIDAS LTDA</t>
  </si>
  <si>
    <t xml:space="preserve">NF 326863 ELLEN</t>
  </si>
  <si>
    <t xml:space="preserve">NF 64 COMPRAS-BOLO PG NO P 2/7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</si>
  <si>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</si>
  <si>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</si>
  <si>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</si>
  <si>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</si>
  <si>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</si>
  <si>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</si>
  <si>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</si>
  <si>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</si>
  <si>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</si>
  <si>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387833 ELLEN</t>
  </si>
  <si>
    <t xml:space="preserve">LIMA E BARANDA COMERCIO DE PRODUTOS REGI</t>
  </si>
  <si>
    <t xml:space="preserve">NF 31144 ELLEN</t>
  </si>
  <si>
    <t xml:space="preserve">MARTINS COM SERV DISTR SA</t>
  </si>
  <si>
    <t xml:space="preserve">NF 1771887 ELLEN</t>
  </si>
  <si>
    <t xml:space="preserve">NF 1415530 ELLEN</t>
  </si>
  <si>
    <t xml:space="preserve">NF 1415529 ELLEN</t>
  </si>
  <si>
    <t xml:space="preserve">REAL BEBIDAS DA AMAZONIA LTDA</t>
  </si>
  <si>
    <t xml:space="preserve">NF 590547 ELLEN</t>
  </si>
  <si>
    <t xml:space="preserve">RISADINHA LTDA</t>
  </si>
  <si>
    <t xml:space="preserve">NF 658429 ELLEN</t>
  </si>
  <si>
    <t xml:space="preserve">SL DISTRIBUIDORA COM. DE PROD. ALIMENTIC</t>
  </si>
  <si>
    <t xml:space="preserve">NF 10423 ELLEN</t>
  </si>
  <si>
    <t xml:space="preserve">T A DE MATTOS COMIM EIRELI</t>
  </si>
  <si>
    <t xml:space="preserve">NF 10605 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</si>
  <si>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</si>
  <si>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</si>
  <si>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</si>
  <si>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</si>
  <si>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NF 18762 ELLEN</t>
  </si>
  <si>
    <t xml:space="preserve">NF 18889 ELLEN</t>
  </si>
  <si>
    <t xml:space="preserve">S/NF - CATUABA/COPO/XAROPE-ELLEN</t>
  </si>
  <si>
    <t xml:space="preserve">BROTHERS  INDUSTRIA DE ALIMENTOS LTDA</t>
  </si>
  <si>
    <t xml:space="preserve">NF 102906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</si>
  <si>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</si>
  <si>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</si>
  <si>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</si>
  <si>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</si>
  <si>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</si>
  <si>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</si>
  <si>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DAVI LIRA DE OLIVEIRA (MO2)</t>
  </si>
  <si>
    <t xml:space="preserve">DISTRIBUIDORA FARIAS LTDA.</t>
  </si>
  <si>
    <t xml:space="preserve">NF 674938 ELLEN</t>
  </si>
  <si>
    <t xml:space="preserve">NF 674937 ELLEN</t>
  </si>
  <si>
    <t xml:space="preserve">DISTRIBUIDORA LOPES LTDA</t>
  </si>
  <si>
    <t xml:space="preserve">NF 1676804 ELLEN</t>
  </si>
  <si>
    <t xml:space="preserve">NF 3201857 ELLEN</t>
  </si>
  <si>
    <t xml:space="preserve">ELILTON NUNES BRITO</t>
  </si>
  <si>
    <t xml:space="preserve">COMPRAS FUNC / FALTAS</t>
  </si>
  <si>
    <t xml:space="preserve">DESPESAS NAO OPERACIONAIS</t>
  </si>
  <si>
    <t xml:space="preserve">PAGAMENTOS OUTROS NAO OPERACIONAIS</t>
  </si>
  <si>
    <t xml:space="preserve">SR, RENATO FEIRA LOJAS -ANDREZA</t>
  </si>
  <si>
    <t xml:space="preserve">FEIRA SR RENATO-PERA/UVA-SOMAR C NF2522-PG POTE LJ2-ELLEN</t>
  </si>
  <si>
    <t xml:space="preserve">NF 394904 ELLEN</t>
  </si>
  <si>
    <t xml:space="preserve">COMPRAS FUNC / SALDO NEG</t>
  </si>
  <si>
    <t xml:space="preserve">NF 17 COMPRAS-BOLO PG NO P 3/7 ELLEN</t>
  </si>
  <si>
    <t xml:space="preserve">IDELMA MONTEIRO DA SILVA</t>
  </si>
  <si>
    <t xml:space="preserve">COMPRAS FUNC / DROGARIA</t>
  </si>
  <si>
    <t xml:space="preserve">NF 389368 ELLEN</t>
  </si>
  <si>
    <t xml:space="preserve">NF 305929 ELLEN</t>
  </si>
  <si>
    <t xml:space="preserve">LUCIRLANDIA DE OLIVEIRA AMARAL</t>
  </si>
  <si>
    <t xml:space="preserve">MAXFRI DISTRIUIDORA LTDA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</si>
  <si>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</si>
  <si>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</si>
  <si>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</si>
  <si>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NEYLIANE SILVA DE OLIVEIRA</t>
  </si>
  <si>
    <t xml:space="preserve">NF 419092 ELLEN</t>
  </si>
  <si>
    <t xml:space="preserve">RENATO DE O AZEVEDO E CIA LTDA - EPP</t>
  </si>
  <si>
    <t xml:space="preserve">HONORARIOS JURIDICOS</t>
  </si>
  <si>
    <t xml:space="preserve">MENSALIDADE ADVOGADO MO2 MES 04,05 E 06/26 -  KEILA</t>
  </si>
  <si>
    <t xml:space="preserve">RENATO DE OLIVEIRA AZEVEDO</t>
  </si>
  <si>
    <t xml:space="preserve">SANTANDER SA</t>
  </si>
  <si>
    <t xml:space="preserve">COBERTURA DE CONTA BANCO SANTANDER MO2-ANDREZA</t>
  </si>
  <si>
    <t xml:space="preserve">NF 564993 ELLEN</t>
  </si>
  <si>
    <t xml:space="preserve">NF 1169404 ELLEN</t>
  </si>
  <si>
    <t xml:space="preserve">NF 1890993 ELLEN</t>
  </si>
  <si>
    <t xml:space="preserve">COMERCIO DE FRIOS MANAUS LTDA</t>
  </si>
  <si>
    <t xml:space="preserve">NF 172089 ELLEN</t>
  </si>
  <si>
    <t xml:space="preserve">NF 65 COMPRAS BOLO - PG NO P 4/7 ELLEN</t>
  </si>
  <si>
    <t xml:space="preserve">NF 14569 ELLEN</t>
  </si>
  <si>
    <t xml:space="preserve">OPPORTUNITY ALIMENTOS PARA ANIMAIS LTDA</t>
  </si>
  <si>
    <t xml:space="preserve">NF 33745 ELLEN</t>
  </si>
  <si>
    <t xml:space="preserve">MENSALIDADE TI</t>
  </si>
  <si>
    <t xml:space="preserve">MENSALIDADE DO TI MO2 - KEILA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</si>
  <si>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</si>
  <si>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</si>
  <si>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</si>
  <si>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</si>
  <si>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NF 646732 ELLEN</t>
  </si>
  <si>
    <t xml:space="preserve">EDMARA COMERCIO DE HIGIENE PESSOAL LTDA</t>
  </si>
  <si>
    <t xml:space="preserve">DESPESA DE VENDA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</si>
  <si>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</si>
  <si>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</si>
  <si>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</si>
  <si>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</si>
  <si>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</si>
  <si>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GOLD SERVICE</t>
  </si>
  <si>
    <t xml:space="preserve">HONORARIOS CONTABEIS</t>
  </si>
  <si>
    <t xml:space="preserve">MENSALIDADE GOLD MO2 - KEILA</t>
  </si>
  <si>
    <t xml:space="preserve">JUROS LIMITE  DA CONTA ITAU MO2-ANDREZA</t>
  </si>
  <si>
    <t xml:space="preserve">NF 337 ELLEN</t>
  </si>
  <si>
    <t xml:space="preserve">LOURIVAL ALMEIDA DA SILVA 17128784845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</si>
  <si>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</si>
  <si>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</si>
  <si>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</si>
  <si>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</si>
  <si>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</si>
  <si>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</si>
  <si>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</si>
  <si>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</si>
  <si>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</si>
  <si>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</si>
  <si>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</si>
  <si>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</si>
  <si>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</si>
  <si>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</si>
  <si>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H. L. DO NASCIMENTO</t>
  </si>
  <si>
    <t xml:space="preserve">NF 5720 ELLEN</t>
  </si>
  <si>
    <t xml:space="preserve">JAB COMERCIO DE PRODUTOS ALIMENTICIOS LT</t>
  </si>
  <si>
    <t xml:space="preserve">NF 3453 ELLEN</t>
  </si>
  <si>
    <t xml:space="preserve">NF 1420058 ELLEN</t>
  </si>
  <si>
    <t xml:space="preserve">FEIRA SR RENATO - PG P LJ1 - ELLEN</t>
  </si>
  <si>
    <t xml:space="preserve">NF 3933 ELLEN</t>
  </si>
  <si>
    <t xml:space="preserve">OI S.A</t>
  </si>
  <si>
    <t xml:space="preserve">INTERNET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</si>
  <si>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</si>
  <si>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</si>
  <si>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</si>
  <si>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</si>
  <si>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</si>
  <si>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</si>
  <si>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</si>
  <si>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</si>
  <si>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</si>
  <si>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</si>
  <si>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</si>
  <si>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</si>
  <si>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</si>
  <si>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</si>
  <si>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</si>
  <si>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</si>
  <si>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</si>
  <si>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</si>
  <si>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</si>
  <si>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</si>
  <si>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</si>
  <si>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</si>
  <si>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</si>
  <si>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</si>
  <si>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</si>
  <si>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</si>
  <si>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SB COMERCIO LTDA</t>
  </si>
  <si>
    <t xml:space="preserve">NF 1959276 ELLEN</t>
  </si>
  <si>
    <t xml:space="preserve">VIA CERTA INDUSTRIA E COMERCIO DE SANEANTES LTDA</t>
  </si>
  <si>
    <t xml:space="preserve">NF 41243 ELLEN</t>
  </si>
  <si>
    <t xml:space="preserve">AFEAM</t>
  </si>
  <si>
    <t xml:space="preserve">EMPRESTIMOS BANCARIOS</t>
  </si>
  <si>
    <t xml:space="preserve">EMPRESTIMOS BANCARIOS A PAGAR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</si>
  <si>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</si>
  <si>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</si>
  <si>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</si>
  <si>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</si>
  <si>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</si>
  <si>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</si>
  <si>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</si>
  <si>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BRYDSON PAIVA DE FREITAS LTDA</t>
  </si>
  <si>
    <t xml:space="preserve">Cartao Sant 1 Velho 9336 venc 10</t>
  </si>
  <si>
    <t xml:space="preserve">NF 8973 DESPESAS - SSD - PARC 2/2 - ELLEN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</si>
  <si>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</si>
  <si>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</si>
  <si>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</si>
  <si>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CHARLES ELETRICISTA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</si>
  <si>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</si>
  <si>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</si>
  <si>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</si>
  <si>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</si>
  <si>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</si>
  <si>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</si>
  <si>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</si>
  <si>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</si>
  <si>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</si>
  <si>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</si>
  <si>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</si>
  <si>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</si>
  <si>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</si>
  <si>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NET CLARO</t>
  </si>
  <si>
    <t xml:space="preserve">INTERNET CLARO MO2 - KEILA</t>
  </si>
  <si>
    <t xml:space="preserve">NORTELAC DISTRIBUIDORA DE FRIOS LTDA</t>
  </si>
  <si>
    <t xml:space="preserve">NF 42910 ELLEN</t>
  </si>
  <si>
    <t xml:space="preserve">MENSALIDADE CONCILIACAO SISTEMA CISS</t>
  </si>
  <si>
    <t xml:space="preserve">MEMORIA PC SERVIDOR MO2 - KEILA</t>
  </si>
  <si>
    <t xml:space="preserve">NF 1686081 ELLEN</t>
  </si>
  <si>
    <t xml:space="preserve">NF 1378386 ELLEN</t>
  </si>
  <si>
    <t xml:space="preserve">PRIME PET DISTRIBUIDORA LTDA</t>
  </si>
  <si>
    <t xml:space="preserve">NF 10860 ELLEN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</si>
  <si>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</si>
  <si>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</si>
  <si>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</si>
  <si>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</si>
  <si>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</si>
  <si>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</si>
  <si>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</si>
  <si>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</si>
  <si>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</si>
  <si>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</si>
  <si>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</si>
  <si>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</si>
  <si>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</si>
  <si>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</si>
  <si>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</si>
  <si>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</si>
  <si>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</si>
  <si>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</si>
  <si>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</si>
  <si>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</si>
  <si>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FARINHA CRUZEIRO -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</si>
  <si>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</si>
  <si>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</si>
  <si>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</si>
  <si>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</si>
  <si>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NF 31674 ELLEN</t>
  </si>
  <si>
    <t xml:space="preserve">NF 331 ELLEN</t>
  </si>
  <si>
    <t xml:space="preserve">FEMAR IND E COM DE BEBIDAS LTDA</t>
  </si>
  <si>
    <t xml:space="preserve">NF 53410 ELLEN</t>
  </si>
  <si>
    <t xml:space="preserve">NF 22 COMPRAS-BOLO PG NO P 15/7/26 ELLEN</t>
  </si>
  <si>
    <t xml:space="preserve">NF 31344 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</si>
  <si>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</si>
  <si>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</si>
  <si>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</si>
  <si>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</si>
  <si>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NF 3570 ELLEN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</si>
  <si>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</si>
  <si>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</si>
  <si>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</si>
  <si>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</si>
  <si>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TAPAJOS COM DE PERFUMARIA COSMETICOS E G</t>
  </si>
  <si>
    <t xml:space="preserve">NF 576435 ELLEN</t>
  </si>
  <si>
    <t xml:space="preserve">TOYA INDUSTRIA E COMERCIO LTDA.</t>
  </si>
  <si>
    <t xml:space="preserve">NF 254582 ELLEN</t>
  </si>
  <si>
    <t xml:space="preserve">64.225.624 ROBERTO REIS AROUCHE</t>
  </si>
  <si>
    <t xml:space="preserve">NF 66 ELLEN</t>
  </si>
  <si>
    <t xml:space="preserve">CHERRYS SEMI JOIAS LTDA</t>
  </si>
  <si>
    <t xml:space="preserve">NF 462 ELLEN</t>
  </si>
  <si>
    <t xml:space="preserve">DA FRUTA DISTRIBUIDORA LTDA</t>
  </si>
  <si>
    <t xml:space="preserve">NF 196323 ELLEN</t>
  </si>
  <si>
    <t xml:space="preserve">NF 1688844 ELLEN</t>
  </si>
  <si>
    <t xml:space="preserve">NF 599833 ELLEN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</si>
  <si>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</si>
  <si>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</si>
  <si>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</si>
  <si>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</si>
  <si>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</si>
  <si>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</si>
  <si>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</si>
  <si>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</si>
  <si>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</si>
  <si>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</si>
  <si>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NF 566541 ELLEN</t>
  </si>
  <si>
    <t xml:space="preserve">FORTVET DISTRIBUIDORA LTDA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</si>
  <si>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</si>
  <si>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</si>
  <si>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</si>
  <si>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</si>
  <si>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ADF DISTRIBUIDORA DE BEBIDAS LTDA</t>
  </si>
  <si>
    <t xml:space="preserve">NF 473151 ELLEN</t>
  </si>
  <si>
    <t xml:space="preserve">MAXPEL COMERCIAL LTDA</t>
  </si>
  <si>
    <t xml:space="preserve">NF 316130 ELLEN</t>
  </si>
  <si>
    <t xml:space="preserve">NF 899238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</si>
  <si>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</si>
  <si>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</si>
  <si>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</si>
  <si>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</si>
  <si>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</si>
  <si>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</si>
  <si>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</si>
  <si>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NF 8155 DESPESAS - SACOLAS - ELLEN</t>
  </si>
  <si>
    <t xml:space="preserve">EYES NWHERE SISTEMAS INTELIGENTES DE IMAGEM SA</t>
  </si>
  <si>
    <t xml:space="preserve">MENSALIDADE INTERNET MO2 - KEILA</t>
  </si>
  <si>
    <t xml:space="preserve">NF 312916 ELLEN</t>
  </si>
  <si>
    <t xml:space="preserve">NF 364 ELLEN</t>
  </si>
  <si>
    <t xml:space="preserve">KAROLINY RODRIGUES SOUZA VENANCIO 915783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</si>
  <si>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</si>
  <si>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</si>
  <si>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</si>
  <si>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</si>
  <si>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</si>
  <si>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</si>
  <si>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PROPAGANDA PUBLICIDADE</t>
  </si>
  <si>
    <t xml:space="preserve">MENSALIDADE INSTAGRAM PARTE MO2 - KEILA</t>
  </si>
  <si>
    <t xml:space="preserve">DESPESA INFORMATICA SSD SERVIDOR MO2-ANDREZA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</si>
  <si>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</si>
  <si>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</si>
  <si>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</si>
  <si>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</si>
  <si>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</si>
  <si>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</si>
  <si>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</si>
  <si>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</si>
  <si>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</si>
  <si>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</si>
  <si>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</si>
  <si>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</si>
  <si>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</si>
  <si>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</si>
  <si>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- PG P LJ 1 -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</si>
  <si>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</si>
  <si>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</si>
  <si>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</si>
  <si>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</si>
  <si>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</si>
  <si>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</si>
  <si>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</si>
  <si>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</si>
  <si>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</si>
  <si>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</si>
  <si>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</si>
  <si>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</si>
  <si>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AMAZONAS ENERGIA S/A</t>
  </si>
  <si>
    <t xml:space="preserve">ENERGIA ELETRICA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</si>
  <si>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</si>
  <si>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</si>
  <si>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</si>
  <si>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</si>
  <si>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</si>
  <si>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</si>
  <si>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</si>
  <si>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</si>
  <si>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</si>
  <si>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</si>
  <si>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EMOPS CONTROLE AMBIENTAL EIRELI</t>
  </si>
  <si>
    <t xml:space="preserve">DEDETIZACAO - LIMPEZA</t>
  </si>
  <si>
    <t xml:space="preserve">MENSALIDADE DEDETIZACAO MO2 - KEILA</t>
  </si>
  <si>
    <t xml:space="preserve">EMPRESA BRASILEIRA DE DISTRIBUICAO LTDA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</si>
  <si>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</si>
  <si>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</si>
  <si>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</si>
  <si>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</si>
  <si>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</si>
  <si>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OCIDENTAL COMERCIO DE FRIOS LTDA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</si>
  <si>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</si>
  <si>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</si>
  <si>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</si>
  <si>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</si>
  <si>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</si>
  <si>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</si>
  <si>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</si>
  <si>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</si>
  <si>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</si>
  <si>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</si>
  <si>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</si>
  <si>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S/ EMPRESTIMOS</t>
  </si>
  <si>
    <t xml:space="preserve">JUROS CONTA 46843-6 ITAU 2-ANDREZA</t>
  </si>
  <si>
    <t xml:space="preserve">MARQUES &amp; MELO LTDA - FILIAL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</si>
  <si>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</si>
  <si>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</si>
  <si>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</si>
  <si>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</si>
  <si>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</si>
  <si>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</si>
  <si>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</si>
  <si>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</si>
  <si>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Cartao Itau 2 3614 venc 25</t>
  </si>
  <si>
    <t xml:space="preserve">07</t>
  </si>
  <si>
    <t xml:space="preserve">PL NEILA CARTAO MO2 </t>
  </si>
  <si>
    <t xml:space="preserve">PL NEILA 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</si>
  <si>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</si>
  <si>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</si>
  <si>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</si>
  <si>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</si>
  <si>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</si>
  <si>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</si>
  <si>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</si>
  <si>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</si>
  <si>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</si>
  <si>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</si>
  <si>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</si>
  <si>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</si>
  <si>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</si>
  <si>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</si>
  <si>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</si>
  <si>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</si>
  <si>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</si>
  <si>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</si>
  <si>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</si>
  <si>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</si>
  <si>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</si>
  <si>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</si>
  <si>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</si>
  <si>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</si>
  <si>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</si>
  <si>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</si>
  <si>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</si>
  <si>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</si>
  <si>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</si>
  <si>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</si>
  <si>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</si>
  <si>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</si>
  <si>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</si>
  <si>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</si>
  <si>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</si>
  <si>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</si>
  <si>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</si>
  <si>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NF 1936058 ELLEN</t>
  </si>
  <si>
    <t xml:space="preserve">NF 682520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</si>
  <si>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</si>
  <si>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</si>
  <si>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</si>
  <si>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</si>
  <si>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</si>
  <si>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</si>
  <si>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</si>
  <si>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</si>
  <si>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</si>
  <si>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</si>
  <si>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</si>
  <si>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</si>
  <si>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</si>
  <si>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</si>
  <si>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</si>
  <si>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</si>
  <si>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</si>
  <si>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</si>
  <si>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1649501 COMPRAS-CHEIRO-VERDE - ELLEN</t>
  </si>
  <si>
    <t xml:space="preserve">NF 1649285 COMPRAS-CHEIRO-VERDE - ELLEN</t>
  </si>
  <si>
    <t xml:space="preserve">NF 1649880 CHEIRO-VERDE - ELLEN</t>
  </si>
  <si>
    <t xml:space="preserve">FEIRA SR RENATO - PG P LJ1 (UVA) SOMAR C NF2578 -ELLEN</t>
  </si>
  <si>
    <t xml:space="preserve">VALE ANTECIPADO 31/7/26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</si>
  <si>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</si>
  <si>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</si>
  <si>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</si>
  <si>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</si>
  <si>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</si>
  <si>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</si>
  <si>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NF 568309 ELLEN</t>
  </si>
  <si>
    <t xml:space="preserve">SUPER CANCUN COMERCIO DE PRODUTOS ALIMEN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</si>
  <si>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</si>
  <si>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</si>
  <si>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</si>
  <si>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</si>
  <si>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</si>
  <si>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</si>
  <si>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</si>
  <si>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09</t>
  </si>
  <si>
    <t xml:space="preserve">NF 17382 DESPESA-AR CONDICIONADOS-CT DIA 1 PARC9/10-ELLEN</t>
  </si>
  <si>
    <t xml:space="preserve">NF 32052 ELLEN</t>
  </si>
  <si>
    <t xml:space="preserve">NF 1006 CARTÃO DIA 1 PARC 2/2 - ELLEN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</si>
  <si>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</si>
  <si>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</si>
  <si>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</si>
  <si>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</si>
  <si>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</si>
  <si>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</si>
  <si>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</si>
  <si>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</si>
  <si>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</si>
  <si>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</si>
  <si>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</si>
  <si>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</si>
  <si>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</si>
  <si>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NF 15180 ELLEN</t>
  </si>
  <si>
    <t xml:space="preserve">ACL REPARACAO E TECNOLOGIA DA INFORMACAO LTDA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</si>
  <si>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</si>
  <si>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</si>
  <si>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</si>
  <si>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</si>
  <si>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1943423 ELLEN</t>
  </si>
  <si>
    <t xml:space="preserve">NF 1210020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</si>
  <si>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</si>
  <si>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</si>
  <si>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</si>
  <si>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FEIRA - TRANSF P/ C6BANK-RENATO-ELLEN</t>
  </si>
  <si>
    <t xml:space="preserve">NF 1625 ELLEN</t>
  </si>
  <si>
    <t xml:space="preserve">NF 1611346 ELLEN</t>
  </si>
  <si>
    <t xml:space="preserve">NF 31668 ELLEN</t>
  </si>
  <si>
    <t xml:space="preserve">MANAUS AMBIENTAL S/A </t>
  </si>
  <si>
    <t xml:space="preserve">AGUA</t>
  </si>
  <si>
    <t xml:space="preserve">CONTA AGUA - MO2</t>
  </si>
  <si>
    <t xml:space="preserve">NF 14864 ELLEN</t>
  </si>
  <si>
    <t xml:space="preserve">PAG SALARIO ELIANA PARTE MO2 - ANDREZAPREVIA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</si>
  <si>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</si>
  <si>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</si>
  <si>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</si>
  <si>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</si>
  <si>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1215300 ELLEN</t>
  </si>
  <si>
    <t xml:space="preserve">NF 1949480 ELLEN</t>
  </si>
  <si>
    <t xml:space="preserve">NF 924535 ELLEN</t>
  </si>
  <si>
    <t xml:space="preserve">NF 261 ELLEN</t>
  </si>
  <si>
    <t xml:space="preserve">NF 5889 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</si>
  <si>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</si>
  <si>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</si>
  <si>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</si>
  <si>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</si>
  <si>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NF 1842 ELLEN</t>
  </si>
  <si>
    <t xml:space="preserve">NF 173885 ELLEN</t>
  </si>
  <si>
    <t xml:space="preserve">NF 1702357 ELLEN</t>
  </si>
  <si>
    <t xml:space="preserve">MIKITOS IND.COM.DE GEN. ALIM. DO AM. LTD</t>
  </si>
  <si>
    <t xml:space="preserve">NF 294640 ELLEN</t>
  </si>
  <si>
    <t xml:space="preserve">MENS INTERNET OI MO2 - KEILA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</si>
  <si>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</si>
  <si>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</si>
  <si>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</si>
  <si>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</si>
  <si>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</si>
  <si>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395656 ELLEN</t>
  </si>
  <si>
    <t xml:space="preserve">NF 1401844 ELLEN</t>
  </si>
  <si>
    <t xml:space="preserve">NF 32186 ELLEN</t>
  </si>
  <si>
    <t xml:space="preserve">NF 3217924 DESPESAS - SAB LIQ/PAP HIG E TOALHA - 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</si>
  <si>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</si>
  <si>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</si>
  <si>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NF 9481 DESPESAS-CT MEMORIA- CT DIA 10-PARC 1/2-ELLEN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</si>
  <si>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</si>
  <si>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</si>
  <si>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</si>
  <si>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</si>
  <si>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4280 ELLEN</t>
  </si>
  <si>
    <t xml:space="preserve">NF 11173 ELLEN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</si>
  <si>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</si>
  <si>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</si>
  <si>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</si>
  <si>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580861 ELLEN</t>
  </si>
  <si>
    <t xml:space="preserve">NF 580863 ELLEN</t>
  </si>
  <si>
    <t xml:space="preserve">NF 580864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</si>
  <si>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</si>
  <si>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</si>
  <si>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</si>
  <si>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</si>
  <si>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MARCLEY MACHADO CHAVES</t>
  </si>
  <si>
    <t xml:space="preserve">NF 3551 ELLEN</t>
  </si>
  <si>
    <t xml:space="preserve">NF 740921 DESPESA-BANDEJAS - ELLEN</t>
  </si>
  <si>
    <t xml:space="preserve">NF 1614426 ELLEN</t>
  </si>
  <si>
    <t xml:space="preserve">NF 1697796 ELLEN</t>
  </si>
  <si>
    <t xml:space="preserve">NF 21189 ELLEN</t>
  </si>
  <si>
    <t xml:space="preserve">NF 7695 DESPESA-AVENTAL/TABUA CORTE - ELLEN</t>
  </si>
  <si>
    <t xml:space="preserve">NF 34738 ELLEN</t>
  </si>
  <si>
    <t xml:space="preserve">NF 256582 ELLEN</t>
  </si>
  <si>
    <t xml:space="preserve">NF 197070 ELLEN</t>
  </si>
  <si>
    <t xml:space="preserve">NF 651350 ELLEN</t>
  </si>
  <si>
    <t xml:space="preserve">NF 1253268 ELLEN</t>
  </si>
  <si>
    <t xml:space="preserve">NF 21130 ELLEN</t>
  </si>
  <si>
    <t xml:space="preserve">NF 1698151 ELLEN</t>
  </si>
  <si>
    <t xml:space="preserve">NL SERVICOS MEDICOS LTDA</t>
  </si>
  <si>
    <t xml:space="preserve">ASO FUNCIONARIOS</t>
  </si>
  <si>
    <t xml:space="preserve">ASO FUNCIONARIO 05/26 MO2 -KEILA</t>
  </si>
  <si>
    <t xml:space="preserve">NF 3040 ELLEN</t>
  </si>
  <si>
    <t xml:space="preserve">NF 1964289 ELLEN</t>
  </si>
  <si>
    <t xml:space="preserve">NF 1964129 ELLEN</t>
  </si>
  <si>
    <t xml:space="preserve">NF 1964124 NOTA C/ BONIFICAÇÃO/DESCONTO - ELLEN</t>
  </si>
  <si>
    <t xml:space="preserve">NF 1228757 ELLEN</t>
  </si>
  <si>
    <t xml:space="preserve">NF 1228756 ELLEN</t>
  </si>
  <si>
    <t xml:space="preserve">NF 1964130 ELLEN</t>
  </si>
  <si>
    <t xml:space="preserve">PARC 06/10 MATR 101674 IPTU MO2 - KEILA</t>
  </si>
  <si>
    <t xml:space="preserve">NF 1210021 ELLEN</t>
  </si>
  <si>
    <t xml:space="preserve">NF 1905833 ELLEN</t>
  </si>
  <si>
    <t xml:space="preserve">PREVIA MENSALIDADE INSTAGRAM PARTE MO2 - KEILA</t>
  </si>
  <si>
    <t xml:space="preserve">EMPRESTIMO PARC 33/42 INICIO 26.12.23 A 26.05.27</t>
  </si>
  <si>
    <t xml:space="preserve">NF 1829 CARTÃO DIA 1 PARC 3/3 - ELLEN</t>
  </si>
  <si>
    <t xml:space="preserve">NF 258 DESPESAS - CT DIA 1 - PARC 7/12 - ELLEN</t>
  </si>
  <si>
    <t xml:space="preserve">10</t>
  </si>
  <si>
    <t xml:space="preserve">NF 17382 DESPESA-AR CONDICIONADOS-CT DIA 1 PARC10/10-ELLEN</t>
  </si>
  <si>
    <t xml:space="preserve">NF 9481 DESPESAS-CT MEMORIA- CT DIA  10-PARC 2/2-ELLEN</t>
  </si>
  <si>
    <t xml:space="preserve">NF 20440 ELLEN</t>
  </si>
  <si>
    <t xml:space="preserve">PARC 07/10 MATR 101674 IPTU MO2 - KEILA</t>
  </si>
  <si>
    <t xml:space="preserve">EMPRESTIMO PARC 34/42 INICIO 26.12.23 A 26.05.27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</si>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</sst>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4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46195</v>
      </c>
      <c r="C10" s="11" t="n">
        <v>46200</v>
      </c>
      <c r="D10" s="10" t="n">
        <v>10018</v>
      </c>
      <c r="E10" s="12" t="s">
        <v>30</v>
      </c>
      <c r="F10" s="10" t="n">
        <v>34</v>
      </c>
      <c r="G10" s="12" t="s">
        <v>31</v>
      </c>
      <c r="H10" s="10" t="n">
        <v>2110101</v>
      </c>
      <c r="I10" s="12" t="s">
        <v>32</v>
      </c>
      <c r="J10" s="10" t="n">
        <v>1289610</v>
      </c>
      <c r="L10" s="10" t="n">
        <v>313</v>
      </c>
      <c r="M10" s="12" t="s">
        <v>33</v>
      </c>
      <c r="N10" s="12" t="s">
        <v>34</v>
      </c>
      <c r="P10" s="10" t="n">
        <v>113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260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46184</v>
      </c>
      <c r="C11" s="11" t="n">
        <v>46200</v>
      </c>
      <c r="D11" s="10" t="n">
        <v>1695</v>
      </c>
      <c r="E11" s="12" t="s">
        <v>39</v>
      </c>
      <c r="F11" s="10" t="n">
        <v>24</v>
      </c>
      <c r="G11" s="12" t="s">
        <v>40</v>
      </c>
      <c r="H11" s="10" t="n">
        <v>2110101</v>
      </c>
      <c r="I11" s="12" t="s">
        <v>32</v>
      </c>
      <c r="J11" s="10" t="n">
        <v>1236453</v>
      </c>
      <c r="L11" s="10" t="n">
        <v>18534</v>
      </c>
      <c r="M11" s="12" t="s">
        <v>41</v>
      </c>
      <c r="N11" s="12" t="s">
        <v>34</v>
      </c>
      <c r="P11" s="10" t="n">
        <v>113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837.48</v>
      </c>
      <c r="W11" s="13" t="n">
        <v>0</v>
      </c>
      <c r="X11" s="12" t="s">
        <v>42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46185</v>
      </c>
      <c r="C12" s="11" t="n">
        <v>46200</v>
      </c>
      <c r="D12" s="10" t="n">
        <v>1705</v>
      </c>
      <c r="E12" s="12" t="s">
        <v>43</v>
      </c>
      <c r="F12" s="10" t="n">
        <v>24</v>
      </c>
      <c r="G12" s="12" t="s">
        <v>40</v>
      </c>
      <c r="H12" s="10" t="n">
        <v>2110101</v>
      </c>
      <c r="I12" s="12" t="s">
        <v>32</v>
      </c>
      <c r="J12" s="10" t="n">
        <v>1241783</v>
      </c>
      <c r="L12" s="10" t="n">
        <v>1877756</v>
      </c>
      <c r="M12" s="12" t="s">
        <v>33</v>
      </c>
      <c r="N12" s="12" t="s">
        <v>34</v>
      </c>
      <c r="P12" s="10" t="n">
        <v>113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16.61</v>
      </c>
      <c r="W12" s="13" t="n">
        <v>0</v>
      </c>
      <c r="X12" s="12" t="s">
        <v>44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46185</v>
      </c>
      <c r="C13" s="11" t="n">
        <v>46200</v>
      </c>
      <c r="D13" s="10" t="n">
        <v>1705</v>
      </c>
      <c r="E13" s="12" t="s">
        <v>43</v>
      </c>
      <c r="F13" s="10" t="n">
        <v>24</v>
      </c>
      <c r="G13" s="12" t="s">
        <v>40</v>
      </c>
      <c r="H13" s="10" t="n">
        <v>2110101</v>
      </c>
      <c r="I13" s="12" t="s">
        <v>32</v>
      </c>
      <c r="J13" s="10" t="n">
        <v>1241797</v>
      </c>
      <c r="L13" s="10" t="n">
        <v>1159468</v>
      </c>
      <c r="M13" s="12" t="s">
        <v>33</v>
      </c>
      <c r="N13" s="12" t="s">
        <v>34</v>
      </c>
      <c r="P13" s="10" t="n">
        <v>113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192.43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46185</v>
      </c>
      <c r="C14" s="11" t="n">
        <v>46200</v>
      </c>
      <c r="D14" s="10" t="n">
        <v>1705</v>
      </c>
      <c r="E14" s="12" t="s">
        <v>43</v>
      </c>
      <c r="F14" s="10" t="n">
        <v>24</v>
      </c>
      <c r="G14" s="12" t="s">
        <v>40</v>
      </c>
      <c r="H14" s="10" t="n">
        <v>2110101</v>
      </c>
      <c r="I14" s="12" t="s">
        <v>32</v>
      </c>
      <c r="J14" s="10" t="n">
        <v>1241801</v>
      </c>
      <c r="L14" s="10" t="n">
        <v>1159469</v>
      </c>
      <c r="M14" s="12" t="s">
        <v>33</v>
      </c>
      <c r="N14" s="12" t="s">
        <v>34</v>
      </c>
      <c r="P14" s="10" t="n">
        <v>113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544.32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46185</v>
      </c>
      <c r="C15" s="11" t="n">
        <v>46200</v>
      </c>
      <c r="D15" s="10" t="n">
        <v>1705</v>
      </c>
      <c r="E15" s="12" t="s">
        <v>43</v>
      </c>
      <c r="F15" s="10" t="n">
        <v>24</v>
      </c>
      <c r="G15" s="12" t="s">
        <v>40</v>
      </c>
      <c r="H15" s="10" t="n">
        <v>2110101</v>
      </c>
      <c r="I15" s="12" t="s">
        <v>32</v>
      </c>
      <c r="J15" s="10" t="n">
        <v>1241857</v>
      </c>
      <c r="L15" s="10" t="n">
        <v>1877757</v>
      </c>
      <c r="M15" s="12" t="s">
        <v>33</v>
      </c>
      <c r="N15" s="12" t="s">
        <v>34</v>
      </c>
      <c r="P15" s="10" t="n">
        <v>113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1081.08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46200</v>
      </c>
      <c r="C16" s="11" t="n">
        <v>46200</v>
      </c>
      <c r="D16" s="10" t="n">
        <v>10096</v>
      </c>
      <c r="E16" s="12" t="s">
        <v>48</v>
      </c>
      <c r="F16" s="10" t="n">
        <v>13</v>
      </c>
      <c r="G16" s="12" t="s">
        <v>49</v>
      </c>
      <c r="H16" s="10" t="n">
        <v>1110203</v>
      </c>
      <c r="I16" s="12" t="s">
        <v>50</v>
      </c>
      <c r="J16" s="10" t="n">
        <v>1428671</v>
      </c>
      <c r="L16" s="10" t="n">
        <v>191272</v>
      </c>
      <c r="M16" s="12" t="s">
        <v>33</v>
      </c>
      <c r="N16" s="12" t="s">
        <v>51</v>
      </c>
      <c r="P16" s="10" t="n">
        <v>113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120</v>
      </c>
      <c r="W16" s="13" t="n">
        <v>0</v>
      </c>
      <c r="X16" s="12" t="s">
        <v>52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46183</v>
      </c>
      <c r="C17" s="11" t="n">
        <v>46200</v>
      </c>
      <c r="D17" s="10" t="n">
        <v>1672</v>
      </c>
      <c r="E17" s="12" t="s">
        <v>53</v>
      </c>
      <c r="F17" s="10" t="n">
        <v>24</v>
      </c>
      <c r="G17" s="12" t="s">
        <v>40</v>
      </c>
      <c r="H17" s="10" t="n">
        <v>2110101</v>
      </c>
      <c r="I17" s="12" t="s">
        <v>32</v>
      </c>
      <c r="J17" s="10" t="n">
        <v>1232476</v>
      </c>
      <c r="L17" s="10" t="n">
        <v>1366479</v>
      </c>
      <c r="M17" s="12" t="s">
        <v>33</v>
      </c>
      <c r="N17" s="12" t="s">
        <v>34</v>
      </c>
      <c r="P17" s="10" t="n">
        <v>113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1837.1</v>
      </c>
      <c r="W17" s="13" t="n">
        <v>0</v>
      </c>
      <c r="X17" s="12" t="s">
        <v>54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46195</v>
      </c>
      <c r="C18" s="11" t="n">
        <v>46200</v>
      </c>
      <c r="D18" s="10" t="n">
        <v>754</v>
      </c>
      <c r="E18" s="12" t="s">
        <v>55</v>
      </c>
      <c r="F18" s="10" t="n">
        <v>24</v>
      </c>
      <c r="G18" s="12" t="s">
        <v>40</v>
      </c>
      <c r="H18" s="10" t="n">
        <v>2110101</v>
      </c>
      <c r="I18" s="12" t="s">
        <v>32</v>
      </c>
      <c r="J18" s="10" t="n">
        <v>1289585</v>
      </c>
      <c r="L18" s="10" t="n">
        <v>31246</v>
      </c>
      <c r="M18" s="12" t="s">
        <v>33</v>
      </c>
      <c r="N18" s="12" t="s">
        <v>34</v>
      </c>
      <c r="P18" s="10" t="n">
        <v>113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920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46195</v>
      </c>
      <c r="C19" s="11" t="n">
        <v>46200</v>
      </c>
      <c r="D19" s="10" t="n">
        <v>754</v>
      </c>
      <c r="E19" s="12" t="s">
        <v>55</v>
      </c>
      <c r="F19" s="10" t="n">
        <v>24</v>
      </c>
      <c r="G19" s="12" t="s">
        <v>40</v>
      </c>
      <c r="H19" s="10" t="n">
        <v>2110101</v>
      </c>
      <c r="I19" s="12" t="s">
        <v>32</v>
      </c>
      <c r="J19" s="10" t="n">
        <v>1290342</v>
      </c>
      <c r="L19" s="10" t="n">
        <v>31247</v>
      </c>
      <c r="M19" s="12" t="s">
        <v>33</v>
      </c>
      <c r="N19" s="12" t="s">
        <v>34</v>
      </c>
      <c r="P19" s="10" t="n">
        <v>113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1538.7</v>
      </c>
      <c r="W19" s="13" t="n">
        <v>0</v>
      </c>
      <c r="X19" s="12" t="s">
        <v>57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46189</v>
      </c>
      <c r="C20" s="11" t="n">
        <v>46201</v>
      </c>
      <c r="D20" s="10" t="n">
        <v>957</v>
      </c>
      <c r="E20" s="12" t="s">
        <v>58</v>
      </c>
      <c r="F20" s="10" t="n">
        <v>24</v>
      </c>
      <c r="G20" s="12" t="s">
        <v>40</v>
      </c>
      <c r="H20" s="10" t="n">
        <v>2110101</v>
      </c>
      <c r="I20" s="12" t="s">
        <v>32</v>
      </c>
      <c r="J20" s="10" t="n">
        <v>1261052</v>
      </c>
      <c r="L20" s="10" t="n">
        <v>20499</v>
      </c>
      <c r="M20" s="12" t="s">
        <v>33</v>
      </c>
      <c r="N20" s="12" t="s">
        <v>34</v>
      </c>
      <c r="P20" s="10" t="n">
        <v>113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1589.28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46188</v>
      </c>
      <c r="C21" s="11" t="n">
        <v>46202</v>
      </c>
      <c r="D21" s="10" t="n">
        <v>1659</v>
      </c>
      <c r="E21" s="12" t="s">
        <v>60</v>
      </c>
      <c r="F21" s="10" t="n">
        <v>24</v>
      </c>
      <c r="G21" s="12" t="s">
        <v>40</v>
      </c>
      <c r="H21" s="10" t="n">
        <v>2110101</v>
      </c>
      <c r="I21" s="12" t="s">
        <v>32</v>
      </c>
      <c r="J21" s="10" t="n">
        <v>1255113</v>
      </c>
      <c r="L21" s="10" t="n">
        <v>878392</v>
      </c>
      <c r="M21" s="12" t="s">
        <v>33</v>
      </c>
      <c r="N21" s="12" t="s">
        <v>34</v>
      </c>
      <c r="P21" s="10" t="n">
        <v>113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791.32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46196</v>
      </c>
      <c r="C22" s="11" t="n">
        <v>46202</v>
      </c>
      <c r="D22" s="10" t="n">
        <v>1621</v>
      </c>
      <c r="E22" s="12" t="s">
        <v>62</v>
      </c>
      <c r="F22" s="10" t="n">
        <v>24</v>
      </c>
      <c r="G22" s="12" t="s">
        <v>40</v>
      </c>
      <c r="H22" s="10" t="n">
        <v>2110101</v>
      </c>
      <c r="I22" s="12" t="s">
        <v>32</v>
      </c>
      <c r="J22" s="10" t="n">
        <v>1294209</v>
      </c>
      <c r="L22" s="10" t="n">
        <v>869753</v>
      </c>
      <c r="M22" s="12" t="s">
        <v>33</v>
      </c>
      <c r="N22" s="12" t="s">
        <v>34</v>
      </c>
      <c r="P22" s="10" t="n">
        <v>113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1062.39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46196</v>
      </c>
      <c r="C23" s="11" t="n">
        <v>46202</v>
      </c>
      <c r="D23" s="10" t="n">
        <v>1621</v>
      </c>
      <c r="E23" s="12" t="s">
        <v>62</v>
      </c>
      <c r="F23" s="10" t="n">
        <v>24</v>
      </c>
      <c r="G23" s="12" t="s">
        <v>40</v>
      </c>
      <c r="H23" s="10" t="n">
        <v>2110101</v>
      </c>
      <c r="I23" s="12" t="s">
        <v>32</v>
      </c>
      <c r="J23" s="10" t="n">
        <v>1294219</v>
      </c>
      <c r="L23" s="10" t="n">
        <v>173106</v>
      </c>
      <c r="M23" s="12" t="s">
        <v>33</v>
      </c>
      <c r="N23" s="12" t="s">
        <v>51</v>
      </c>
      <c r="P23" s="10" t="n">
        <v>113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1.55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46189</v>
      </c>
      <c r="C24" s="11" t="n">
        <v>46202</v>
      </c>
      <c r="D24" s="10" t="n">
        <v>1636</v>
      </c>
      <c r="E24" s="12" t="s">
        <v>65</v>
      </c>
      <c r="F24" s="10" t="n">
        <v>24</v>
      </c>
      <c r="G24" s="12" t="s">
        <v>40</v>
      </c>
      <c r="H24" s="10" t="n">
        <v>2110101</v>
      </c>
      <c r="I24" s="12" t="s">
        <v>32</v>
      </c>
      <c r="J24" s="10" t="n">
        <v>1260899</v>
      </c>
      <c r="L24" s="10" t="n">
        <v>168208</v>
      </c>
      <c r="M24" s="12" t="s">
        <v>33</v>
      </c>
      <c r="N24" s="12" t="s">
        <v>51</v>
      </c>
      <c r="P24" s="10" t="n">
        <v>113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641.14</v>
      </c>
      <c r="W24" s="13" t="n">
        <v>0</v>
      </c>
      <c r="X24" s="12" t="s">
        <v>66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46195</v>
      </c>
      <c r="C25" s="11" t="n">
        <v>46202</v>
      </c>
      <c r="D25" s="10" t="n">
        <v>1626</v>
      </c>
      <c r="E25" s="12" t="s">
        <v>67</v>
      </c>
      <c r="F25" s="10" t="n">
        <v>24</v>
      </c>
      <c r="G25" s="12" t="s">
        <v>40</v>
      </c>
      <c r="H25" s="10" t="n">
        <v>2110101</v>
      </c>
      <c r="I25" s="12" t="s">
        <v>32</v>
      </c>
      <c r="J25" s="10" t="n">
        <v>1290919</v>
      </c>
      <c r="L25" s="10" t="n">
        <v>172705</v>
      </c>
      <c r="M25" s="12" t="s">
        <v>33</v>
      </c>
      <c r="N25" s="12" t="s">
        <v>51</v>
      </c>
      <c r="P25" s="10" t="n">
        <v>113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675.34</v>
      </c>
      <c r="W25" s="13" t="n">
        <v>0</v>
      </c>
      <c r="X25" s="12"/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46202</v>
      </c>
      <c r="C26" s="11" t="n">
        <v>46202</v>
      </c>
      <c r="D26" s="10" t="n">
        <v>515</v>
      </c>
      <c r="E26" s="12" t="s">
        <v>68</v>
      </c>
      <c r="F26" s="10" t="n">
        <v>34</v>
      </c>
      <c r="G26" s="12" t="s">
        <v>31</v>
      </c>
      <c r="H26" s="10" t="n">
        <v>1110203</v>
      </c>
      <c r="I26" s="12" t="s">
        <v>50</v>
      </c>
      <c r="J26" s="10" t="n">
        <v>1435949</v>
      </c>
      <c r="L26" s="10" t="n">
        <v>194015</v>
      </c>
      <c r="M26" s="12" t="s">
        <v>33</v>
      </c>
      <c r="N26" s="12" t="s">
        <v>51</v>
      </c>
      <c r="P26" s="10" t="n">
        <v>101</v>
      </c>
      <c r="Q26" s="12" t="s">
        <v>69</v>
      </c>
      <c r="R26" s="12" t="s">
        <v>70</v>
      </c>
      <c r="S26" s="10" t="n">
        <v>22103</v>
      </c>
      <c r="T26" s="12" t="s">
        <v>70</v>
      </c>
      <c r="U26" s="13" t="n">
        <v>165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46200</v>
      </c>
      <c r="C27" s="11" t="n">
        <v>46202</v>
      </c>
      <c r="D27" s="10" t="n">
        <v>10035</v>
      </c>
      <c r="E27" s="12" t="s">
        <v>72</v>
      </c>
      <c r="F27" s="10" t="n">
        <v>34</v>
      </c>
      <c r="G27" s="12" t="s">
        <v>31</v>
      </c>
      <c r="H27" s="10" t="n">
        <v>2110101</v>
      </c>
      <c r="I27" s="12" t="s">
        <v>32</v>
      </c>
      <c r="J27" s="10" t="n">
        <v>1312808</v>
      </c>
      <c r="L27" s="10" t="n">
        <v>305</v>
      </c>
      <c r="M27" s="12" t="s">
        <v>33</v>
      </c>
      <c r="N27" s="12" t="s">
        <v>34</v>
      </c>
      <c r="P27" s="10" t="n">
        <v>113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212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46181</v>
      </c>
      <c r="C28" s="11" t="n">
        <v>46202</v>
      </c>
      <c r="D28" s="10" t="n">
        <v>1699</v>
      </c>
      <c r="E28" s="12" t="s">
        <v>74</v>
      </c>
      <c r="F28" s="10" t="n">
        <v>24</v>
      </c>
      <c r="G28" s="12" t="s">
        <v>40</v>
      </c>
      <c r="H28" s="10" t="n">
        <v>2110101</v>
      </c>
      <c r="I28" s="12" t="s">
        <v>32</v>
      </c>
      <c r="J28" s="10" t="n">
        <v>1222609</v>
      </c>
      <c r="L28" s="10" t="n">
        <v>303660</v>
      </c>
      <c r="M28" s="12" t="s">
        <v>41</v>
      </c>
      <c r="N28" s="12" t="s">
        <v>34</v>
      </c>
      <c r="P28" s="10" t="n">
        <v>113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1909.5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46188</v>
      </c>
      <c r="C29" s="11" t="n">
        <v>46202</v>
      </c>
      <c r="D29" s="10" t="n">
        <v>10009</v>
      </c>
      <c r="E29" s="12" t="s">
        <v>76</v>
      </c>
      <c r="F29" s="10" t="n">
        <v>24</v>
      </c>
      <c r="G29" s="12" t="s">
        <v>40</v>
      </c>
      <c r="H29" s="10" t="n">
        <v>2110101</v>
      </c>
      <c r="I29" s="12" t="s">
        <v>32</v>
      </c>
      <c r="J29" s="10" t="n">
        <v>1257189</v>
      </c>
      <c r="L29" s="10" t="n">
        <v>1416973</v>
      </c>
      <c r="M29" s="12" t="s">
        <v>33</v>
      </c>
      <c r="N29" s="12" t="s">
        <v>34</v>
      </c>
      <c r="P29" s="10" t="n">
        <v>113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1537.8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46202</v>
      </c>
      <c r="C30" s="11" t="n">
        <v>46202</v>
      </c>
      <c r="D30" s="10" t="n">
        <v>48</v>
      </c>
      <c r="E30" s="12" t="s">
        <v>78</v>
      </c>
      <c r="F30" s="10" t="n">
        <v>13</v>
      </c>
      <c r="G30" s="12" t="s">
        <v>49</v>
      </c>
      <c r="H30" s="10" t="n">
        <v>2110101</v>
      </c>
      <c r="I30" s="12" t="s">
        <v>32</v>
      </c>
      <c r="J30" s="10" t="n">
        <v>1324941</v>
      </c>
      <c r="L30" s="10" t="n">
        <v>2516</v>
      </c>
      <c r="M30" s="12" t="s">
        <v>33</v>
      </c>
      <c r="N30" s="12" t="s">
        <v>34</v>
      </c>
      <c r="P30" s="10" t="n">
        <v>113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210</v>
      </c>
      <c r="W30" s="13" t="n">
        <v>210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46196</v>
      </c>
      <c r="C31" s="11" t="n">
        <v>46202</v>
      </c>
      <c r="D31" s="10" t="n">
        <v>1328</v>
      </c>
      <c r="E31" s="12" t="s">
        <v>80</v>
      </c>
      <c r="F31" s="10" t="n">
        <v>24</v>
      </c>
      <c r="G31" s="12" t="s">
        <v>40</v>
      </c>
      <c r="H31" s="10" t="n">
        <v>2110101</v>
      </c>
      <c r="I31" s="12" t="s">
        <v>32</v>
      </c>
      <c r="J31" s="10" t="n">
        <v>1295747</v>
      </c>
      <c r="L31" s="10" t="n">
        <v>3858</v>
      </c>
      <c r="M31" s="12" t="s">
        <v>33</v>
      </c>
      <c r="N31" s="12" t="s">
        <v>34</v>
      </c>
      <c r="P31" s="10" t="n">
        <v>113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162.56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46185</v>
      </c>
      <c r="C32" s="11" t="n">
        <v>46202</v>
      </c>
      <c r="D32" s="10" t="n">
        <v>666</v>
      </c>
      <c r="E32" s="12" t="s">
        <v>82</v>
      </c>
      <c r="F32" s="10" t="n">
        <v>24</v>
      </c>
      <c r="G32" s="12" t="s">
        <v>40</v>
      </c>
      <c r="H32" s="10" t="n">
        <v>2110101</v>
      </c>
      <c r="I32" s="12" t="s">
        <v>32</v>
      </c>
      <c r="J32" s="10" t="n">
        <v>1241755</v>
      </c>
      <c r="L32" s="10" t="n">
        <v>165605</v>
      </c>
      <c r="M32" s="12" t="s">
        <v>33</v>
      </c>
      <c r="N32" s="12" t="s">
        <v>51</v>
      </c>
      <c r="P32" s="10" t="n">
        <v>113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383.24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46197</v>
      </c>
      <c r="C33" s="11" t="n">
        <v>46202</v>
      </c>
      <c r="D33" s="10" t="n">
        <v>1899</v>
      </c>
      <c r="E33" s="12" t="s">
        <v>84</v>
      </c>
      <c r="F33" s="10" t="n">
        <v>24</v>
      </c>
      <c r="G33" s="12" t="s">
        <v>40</v>
      </c>
      <c r="H33" s="10" t="n">
        <v>2110101</v>
      </c>
      <c r="I33" s="12" t="s">
        <v>32</v>
      </c>
      <c r="J33" s="10" t="n">
        <v>1299227</v>
      </c>
      <c r="L33" s="10" t="n">
        <v>679</v>
      </c>
      <c r="M33" s="12" t="s">
        <v>33</v>
      </c>
      <c r="N33" s="12" t="s">
        <v>34</v>
      </c>
      <c r="P33" s="10" t="n">
        <v>113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307.2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46202</v>
      </c>
      <c r="C34" s="11" t="n">
        <v>46202</v>
      </c>
      <c r="D34" s="10" t="n">
        <v>10006</v>
      </c>
      <c r="E34" s="12" t="s">
        <v>86</v>
      </c>
      <c r="F34" s="10" t="n">
        <v>34</v>
      </c>
      <c r="G34" s="12" t="s">
        <v>31</v>
      </c>
      <c r="H34" s="10" t="n">
        <v>2110405</v>
      </c>
      <c r="I34" s="12" t="s">
        <v>87</v>
      </c>
      <c r="J34" s="10" t="n">
        <v>1325465</v>
      </c>
      <c r="L34" s="10" t="n">
        <v>176833</v>
      </c>
      <c r="M34" s="12" t="s">
        <v>33</v>
      </c>
      <c r="N34" s="12" t="s">
        <v>51</v>
      </c>
      <c r="P34" s="10" t="n">
        <v>101</v>
      </c>
      <c r="Q34" s="12" t="s">
        <v>69</v>
      </c>
      <c r="R34" s="12" t="s">
        <v>88</v>
      </c>
      <c r="S34" s="10" t="n">
        <v>4210232</v>
      </c>
      <c r="T34" s="12" t="s">
        <v>89</v>
      </c>
      <c r="U34" s="13" t="n">
        <v>1140</v>
      </c>
      <c r="W34" s="13" t="n">
        <v>0</v>
      </c>
      <c r="X34" s="12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46195</v>
      </c>
      <c r="C35" s="11" t="n">
        <v>46202</v>
      </c>
      <c r="D35" s="10" t="n">
        <v>1292</v>
      </c>
      <c r="E35" s="12" t="s">
        <v>91</v>
      </c>
      <c r="F35" s="10" t="n">
        <v>24</v>
      </c>
      <c r="G35" s="12" t="s">
        <v>40</v>
      </c>
      <c r="H35" s="10" t="n">
        <v>2110101</v>
      </c>
      <c r="I35" s="12" t="s">
        <v>32</v>
      </c>
      <c r="J35" s="10" t="n">
        <v>1291003</v>
      </c>
      <c r="L35" s="10" t="n">
        <v>3457</v>
      </c>
      <c r="M35" s="12" t="s">
        <v>33</v>
      </c>
      <c r="N35" s="12" t="s">
        <v>34</v>
      </c>
      <c r="P35" s="10" t="n">
        <v>113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454.65</v>
      </c>
      <c r="W35" s="13" t="n">
        <v>0</v>
      </c>
      <c r="X35" s="12" t="s">
        <v>92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46183</v>
      </c>
      <c r="C36" s="11" t="n">
        <v>46202</v>
      </c>
      <c r="D36" s="10" t="n">
        <v>1666</v>
      </c>
      <c r="E36" s="12" t="s">
        <v>93</v>
      </c>
      <c r="F36" s="10" t="n">
        <v>24</v>
      </c>
      <c r="G36" s="12" t="s">
        <v>40</v>
      </c>
      <c r="H36" s="10" t="n">
        <v>2110101</v>
      </c>
      <c r="I36" s="12" t="s">
        <v>32</v>
      </c>
      <c r="J36" s="10" t="n">
        <v>1231221</v>
      </c>
      <c r="L36" s="10" t="n">
        <v>163838</v>
      </c>
      <c r="M36" s="12" t="s">
        <v>33</v>
      </c>
      <c r="N36" s="12" t="s">
        <v>51</v>
      </c>
      <c r="P36" s="10" t="n">
        <v>113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5403.15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46195</v>
      </c>
      <c r="C37" s="11" t="n">
        <v>46202</v>
      </c>
      <c r="D37" s="10" t="n">
        <v>1631</v>
      </c>
      <c r="E37" s="12" t="s">
        <v>95</v>
      </c>
      <c r="F37" s="10" t="n">
        <v>24</v>
      </c>
      <c r="G37" s="12" t="s">
        <v>40</v>
      </c>
      <c r="H37" s="10" t="n">
        <v>2110101</v>
      </c>
      <c r="I37" s="12" t="s">
        <v>32</v>
      </c>
      <c r="J37" s="10" t="n">
        <v>1289836</v>
      </c>
      <c r="L37" s="10" t="n">
        <v>15043</v>
      </c>
      <c r="M37" s="12" t="s">
        <v>33</v>
      </c>
      <c r="N37" s="12" t="s">
        <v>34</v>
      </c>
      <c r="P37" s="10" t="n">
        <v>113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298.83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46202</v>
      </c>
      <c r="C38" s="11" t="n">
        <v>46203</v>
      </c>
      <c r="D38" s="10" t="n">
        <v>642</v>
      </c>
      <c r="E38" s="12" t="s">
        <v>97</v>
      </c>
      <c r="F38" s="10" t="n">
        <v>24</v>
      </c>
      <c r="G38" s="12" t="s">
        <v>40</v>
      </c>
      <c r="H38" s="10" t="n">
        <v>2110101</v>
      </c>
      <c r="I38" s="12" t="s">
        <v>32</v>
      </c>
      <c r="J38" s="10" t="n">
        <v>1321674</v>
      </c>
      <c r="L38" s="10" t="n">
        <v>513</v>
      </c>
      <c r="M38" s="12" t="s">
        <v>33</v>
      </c>
      <c r="N38" s="12" t="s">
        <v>34</v>
      </c>
      <c r="P38" s="10" t="n">
        <v>113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180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46200</v>
      </c>
      <c r="C39" s="11" t="n">
        <v>46203</v>
      </c>
      <c r="D39" s="10" t="n">
        <v>10018</v>
      </c>
      <c r="E39" s="12" t="s">
        <v>30</v>
      </c>
      <c r="F39" s="10" t="n">
        <v>34</v>
      </c>
      <c r="G39" s="12" t="s">
        <v>31</v>
      </c>
      <c r="H39" s="10" t="n">
        <v>2110101</v>
      </c>
      <c r="I39" s="12" t="s">
        <v>32</v>
      </c>
      <c r="J39" s="10" t="n">
        <v>1312574</v>
      </c>
      <c r="L39" s="10" t="n">
        <v>316</v>
      </c>
      <c r="M39" s="12" t="s">
        <v>33</v>
      </c>
      <c r="N39" s="12" t="s">
        <v>34</v>
      </c>
      <c r="P39" s="10" t="n">
        <v>113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899.95</v>
      </c>
      <c r="W39" s="13" t="n">
        <v>0</v>
      </c>
      <c r="X39" s="12" t="s">
        <v>99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46203</v>
      </c>
      <c r="C40" s="11" t="n">
        <v>46203</v>
      </c>
      <c r="D40" s="10" t="n">
        <v>1961</v>
      </c>
      <c r="E40" s="12" t="s">
        <v>100</v>
      </c>
      <c r="F40" s="10" t="n">
        <v>34</v>
      </c>
      <c r="G40" s="12" t="s">
        <v>31</v>
      </c>
      <c r="H40" s="10" t="n">
        <v>1110203</v>
      </c>
      <c r="I40" s="12" t="s">
        <v>50</v>
      </c>
      <c r="J40" s="10" t="n">
        <v>1341331</v>
      </c>
      <c r="L40" s="10" t="n">
        <v>180044</v>
      </c>
      <c r="M40" s="12" t="s">
        <v>33</v>
      </c>
      <c r="N40" s="12" t="s">
        <v>51</v>
      </c>
      <c r="P40" s="10" t="n">
        <v>102</v>
      </c>
      <c r="Q40" s="12" t="s">
        <v>101</v>
      </c>
      <c r="R40" s="12" t="s">
        <v>102</v>
      </c>
      <c r="S40" s="10" t="n">
        <v>4210310</v>
      </c>
      <c r="T40" s="12" t="s">
        <v>103</v>
      </c>
      <c r="U40" s="13" t="n">
        <v>120</v>
      </c>
      <c r="W40" s="13" t="n">
        <v>0</v>
      </c>
      <c r="X40" s="12" t="s">
        <v>104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46203</v>
      </c>
      <c r="C41" s="11" t="n">
        <v>46203</v>
      </c>
      <c r="D41" s="10" t="n">
        <v>1961</v>
      </c>
      <c r="E41" s="12" t="s">
        <v>100</v>
      </c>
      <c r="F41" s="10" t="n">
        <v>13</v>
      </c>
      <c r="G41" s="12" t="s">
        <v>49</v>
      </c>
      <c r="H41" s="10" t="n">
        <v>1110102</v>
      </c>
      <c r="I41" s="12" t="s">
        <v>105</v>
      </c>
      <c r="J41" s="10" t="n">
        <v>1438654</v>
      </c>
      <c r="L41" s="10" t="n">
        <v>194371</v>
      </c>
      <c r="M41" s="12" t="s">
        <v>33</v>
      </c>
      <c r="N41" s="12" t="s">
        <v>51</v>
      </c>
      <c r="P41" s="10" t="n">
        <v>101</v>
      </c>
      <c r="Q41" s="12" t="s">
        <v>69</v>
      </c>
      <c r="R41" s="12" t="s">
        <v>102</v>
      </c>
      <c r="S41" s="10" t="n">
        <v>4210310</v>
      </c>
      <c r="T41" s="12" t="s">
        <v>103</v>
      </c>
      <c r="U41" s="13" t="n">
        <v>411</v>
      </c>
      <c r="W41" s="13" t="n">
        <v>0</v>
      </c>
      <c r="X41" s="12" t="s">
        <v>106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46182</v>
      </c>
      <c r="C42" s="11" t="n">
        <v>46203</v>
      </c>
      <c r="D42" s="10" t="n">
        <v>1921</v>
      </c>
      <c r="E42" s="12" t="s">
        <v>107</v>
      </c>
      <c r="F42" s="10" t="n">
        <v>24</v>
      </c>
      <c r="G42" s="12" t="s">
        <v>40</v>
      </c>
      <c r="H42" s="10" t="n">
        <v>2110101</v>
      </c>
      <c r="I42" s="12" t="s">
        <v>32</v>
      </c>
      <c r="J42" s="10" t="n">
        <v>1227446</v>
      </c>
      <c r="L42" s="10" t="n">
        <v>20868</v>
      </c>
      <c r="M42" s="12" t="s">
        <v>108</v>
      </c>
      <c r="N42" s="12" t="s">
        <v>34</v>
      </c>
      <c r="P42" s="10" t="n">
        <v>113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303.19</v>
      </c>
      <c r="W42" s="13" t="n">
        <v>0</v>
      </c>
      <c r="X42" s="12" t="s">
        <v>109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46183</v>
      </c>
      <c r="C43" s="11" t="n">
        <v>46203</v>
      </c>
      <c r="D43" s="10" t="n">
        <v>1635</v>
      </c>
      <c r="E43" s="12" t="s">
        <v>110</v>
      </c>
      <c r="F43" s="10" t="n">
        <v>24</v>
      </c>
      <c r="G43" s="12" t="s">
        <v>40</v>
      </c>
      <c r="H43" s="10" t="n">
        <v>2110101</v>
      </c>
      <c r="I43" s="12" t="s">
        <v>32</v>
      </c>
      <c r="J43" s="10" t="n">
        <v>1231128</v>
      </c>
      <c r="L43" s="10" t="n">
        <v>518105</v>
      </c>
      <c r="M43" s="12" t="s">
        <v>108</v>
      </c>
      <c r="N43" s="12" t="s">
        <v>34</v>
      </c>
      <c r="P43" s="10" t="n">
        <v>113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642.4</v>
      </c>
      <c r="W43" s="13" t="n">
        <v>0</v>
      </c>
      <c r="X43" s="12" t="s">
        <v>111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46189</v>
      </c>
      <c r="C44" s="11" t="n">
        <v>46203</v>
      </c>
      <c r="D44" s="10" t="n">
        <v>1705</v>
      </c>
      <c r="E44" s="12" t="s">
        <v>43</v>
      </c>
      <c r="F44" s="10" t="n">
        <v>24</v>
      </c>
      <c r="G44" s="12" t="s">
        <v>40</v>
      </c>
      <c r="H44" s="10" t="n">
        <v>2110101</v>
      </c>
      <c r="I44" s="12" t="s">
        <v>32</v>
      </c>
      <c r="J44" s="10" t="n">
        <v>1261488</v>
      </c>
      <c r="L44" s="10" t="n">
        <v>1161723</v>
      </c>
      <c r="M44" s="12" t="s">
        <v>33</v>
      </c>
      <c r="N44" s="12" t="s">
        <v>34</v>
      </c>
      <c r="P44" s="10" t="n">
        <v>113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203.42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46189</v>
      </c>
      <c r="C45" s="11" t="n">
        <v>46203</v>
      </c>
      <c r="D45" s="10" t="n">
        <v>1705</v>
      </c>
      <c r="E45" s="12" t="s">
        <v>43</v>
      </c>
      <c r="F45" s="10" t="n">
        <v>24</v>
      </c>
      <c r="G45" s="12" t="s">
        <v>40</v>
      </c>
      <c r="H45" s="10" t="n">
        <v>2110101</v>
      </c>
      <c r="I45" s="12" t="s">
        <v>32</v>
      </c>
      <c r="J45" s="10" t="n">
        <v>1261495</v>
      </c>
      <c r="L45" s="10" t="n">
        <v>1162362</v>
      </c>
      <c r="M45" s="12" t="s">
        <v>33</v>
      </c>
      <c r="N45" s="12" t="s">
        <v>34</v>
      </c>
      <c r="P45" s="10" t="n">
        <v>113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639.86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46189</v>
      </c>
      <c r="C46" s="11" t="n">
        <v>46203</v>
      </c>
      <c r="D46" s="10" t="n">
        <v>1705</v>
      </c>
      <c r="E46" s="12" t="s">
        <v>43</v>
      </c>
      <c r="F46" s="10" t="n">
        <v>24</v>
      </c>
      <c r="G46" s="12" t="s">
        <v>40</v>
      </c>
      <c r="H46" s="10" t="n">
        <v>2110101</v>
      </c>
      <c r="I46" s="12" t="s">
        <v>32</v>
      </c>
      <c r="J46" s="10" t="n">
        <v>1261504</v>
      </c>
      <c r="L46" s="10" t="n">
        <v>1880950</v>
      </c>
      <c r="M46" s="12" t="s">
        <v>33</v>
      </c>
      <c r="N46" s="12" t="s">
        <v>34</v>
      </c>
      <c r="P46" s="10" t="n">
        <v>113</v>
      </c>
      <c r="Q46" s="12" t="s">
        <v>35</v>
      </c>
      <c r="R46" s="12" t="s">
        <v>36</v>
      </c>
      <c r="S46" s="10" t="n">
        <v>1130101</v>
      </c>
      <c r="T46" s="12" t="s">
        <v>37</v>
      </c>
      <c r="U46" s="13" t="n">
        <v>2177.76</v>
      </c>
      <c r="W46" s="13" t="n">
        <v>0</v>
      </c>
      <c r="X46" s="12" t="s">
        <v>114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46189</v>
      </c>
      <c r="C47" s="11" t="n">
        <v>46203</v>
      </c>
      <c r="D47" s="10" t="n">
        <v>1705</v>
      </c>
      <c r="E47" s="12" t="s">
        <v>43</v>
      </c>
      <c r="F47" s="10" t="n">
        <v>24</v>
      </c>
      <c r="G47" s="12" t="s">
        <v>40</v>
      </c>
      <c r="H47" s="10" t="n">
        <v>2110101</v>
      </c>
      <c r="I47" s="12" t="s">
        <v>32</v>
      </c>
      <c r="J47" s="10" t="n">
        <v>1261524</v>
      </c>
      <c r="L47" s="10" t="n">
        <v>168342</v>
      </c>
      <c r="M47" s="12" t="s">
        <v>33</v>
      </c>
      <c r="N47" s="12" t="s">
        <v>51</v>
      </c>
      <c r="P47" s="10" t="n">
        <v>113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1014.01</v>
      </c>
      <c r="W47" s="13" t="n">
        <v>0</v>
      </c>
      <c r="X47" s="12" t="s">
        <v>115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46203</v>
      </c>
      <c r="C48" s="11" t="n">
        <v>46203</v>
      </c>
      <c r="D48" s="10" t="n">
        <v>489</v>
      </c>
      <c r="E48" s="12" t="s">
        <v>116</v>
      </c>
      <c r="F48" s="10" t="n">
        <v>13</v>
      </c>
      <c r="G48" s="12" t="s">
        <v>49</v>
      </c>
      <c r="H48" s="10" t="n">
        <v>1110102</v>
      </c>
      <c r="I48" s="12" t="s">
        <v>105</v>
      </c>
      <c r="J48" s="10" t="n">
        <v>1438664</v>
      </c>
      <c r="L48" s="10" t="n">
        <v>194373</v>
      </c>
      <c r="M48" s="12" t="s">
        <v>33</v>
      </c>
      <c r="N48" s="12" t="s">
        <v>51</v>
      </c>
      <c r="P48" s="10" t="n">
        <v>101</v>
      </c>
      <c r="Q48" s="12" t="s">
        <v>69</v>
      </c>
      <c r="R48" s="12" t="s">
        <v>36</v>
      </c>
      <c r="S48" s="10" t="n">
        <v>1130101</v>
      </c>
      <c r="T48" s="12" t="s">
        <v>37</v>
      </c>
      <c r="U48" s="13" t="n">
        <v>961</v>
      </c>
      <c r="W48" s="13" t="n">
        <v>0</v>
      </c>
      <c r="X48" s="12" t="s">
        <v>117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46203</v>
      </c>
      <c r="C49" s="11" t="n">
        <v>46203</v>
      </c>
      <c r="D49" s="10" t="n">
        <v>1758</v>
      </c>
      <c r="E49" s="12" t="s">
        <v>118</v>
      </c>
      <c r="F49" s="10" t="n">
        <v>13</v>
      </c>
      <c r="G49" s="12" t="s">
        <v>49</v>
      </c>
      <c r="H49" s="10" t="n">
        <v>1110102</v>
      </c>
      <c r="I49" s="12" t="s">
        <v>105</v>
      </c>
      <c r="J49" s="10" t="n">
        <v>1438650</v>
      </c>
      <c r="L49" s="10" t="n">
        <v>194370</v>
      </c>
      <c r="M49" s="12" t="s">
        <v>33</v>
      </c>
      <c r="N49" s="12" t="s">
        <v>51</v>
      </c>
      <c r="P49" s="10" t="n">
        <v>101</v>
      </c>
      <c r="Q49" s="12" t="s">
        <v>69</v>
      </c>
      <c r="R49" s="12" t="s">
        <v>88</v>
      </c>
      <c r="S49" s="10" t="n">
        <v>4210227</v>
      </c>
      <c r="T49" s="12" t="s">
        <v>119</v>
      </c>
      <c r="U49" s="13" t="n">
        <v>549.5</v>
      </c>
      <c r="W49" s="13" t="n">
        <v>0</v>
      </c>
      <c r="X49" s="12" t="s">
        <v>120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46198</v>
      </c>
      <c r="C50" s="11" t="n">
        <v>46203</v>
      </c>
      <c r="D50" s="10" t="n">
        <v>1218</v>
      </c>
      <c r="E50" s="12" t="s">
        <v>121</v>
      </c>
      <c r="F50" s="10" t="n">
        <v>24</v>
      </c>
      <c r="G50" s="12" t="s">
        <v>40</v>
      </c>
      <c r="H50" s="10" t="n">
        <v>2110101</v>
      </c>
      <c r="I50" s="12" t="s">
        <v>32</v>
      </c>
      <c r="J50" s="10" t="n">
        <v>1305945</v>
      </c>
      <c r="L50" s="10" t="n">
        <v>9495</v>
      </c>
      <c r="M50" s="12" t="s">
        <v>33</v>
      </c>
      <c r="N50" s="12" t="s">
        <v>34</v>
      </c>
      <c r="P50" s="10" t="n">
        <v>113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531.18</v>
      </c>
      <c r="W50" s="13" t="n">
        <v>0</v>
      </c>
      <c r="X50" s="12" t="s">
        <v>122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46190</v>
      </c>
      <c r="C51" s="11" t="n">
        <v>46203</v>
      </c>
      <c r="D51" s="10" t="n">
        <v>1683</v>
      </c>
      <c r="E51" s="12" t="s">
        <v>123</v>
      </c>
      <c r="F51" s="10" t="n">
        <v>34</v>
      </c>
      <c r="G51" s="12" t="s">
        <v>31</v>
      </c>
      <c r="H51" s="10" t="n">
        <v>2110101</v>
      </c>
      <c r="I51" s="12" t="s">
        <v>32</v>
      </c>
      <c r="J51" s="10" t="n">
        <v>1265907</v>
      </c>
      <c r="L51" s="10" t="n">
        <v>1633308</v>
      </c>
      <c r="M51" s="12" t="s">
        <v>33</v>
      </c>
      <c r="N51" s="12" t="s">
        <v>34</v>
      </c>
      <c r="P51" s="10" t="n">
        <v>113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190.5</v>
      </c>
      <c r="W51" s="13" t="n">
        <v>0</v>
      </c>
      <c r="X51" s="12" t="s">
        <v>124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46196</v>
      </c>
      <c r="C52" s="11" t="n">
        <v>46203</v>
      </c>
      <c r="D52" s="10" t="n">
        <v>1683</v>
      </c>
      <c r="E52" s="12" t="s">
        <v>123</v>
      </c>
      <c r="F52" s="10" t="n">
        <v>34</v>
      </c>
      <c r="G52" s="12" t="s">
        <v>31</v>
      </c>
      <c r="H52" s="10" t="n">
        <v>2110101</v>
      </c>
      <c r="I52" s="12" t="s">
        <v>32</v>
      </c>
      <c r="J52" s="10" t="n">
        <v>1293925</v>
      </c>
      <c r="L52" s="10" t="n">
        <v>1635978</v>
      </c>
      <c r="M52" s="12" t="s">
        <v>33</v>
      </c>
      <c r="N52" s="12" t="s">
        <v>34</v>
      </c>
      <c r="P52" s="10" t="n">
        <v>113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183</v>
      </c>
      <c r="W52" s="13" t="n">
        <v>0</v>
      </c>
      <c r="X52" s="12" t="s">
        <v>124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46196</v>
      </c>
      <c r="C53" s="11" t="n">
        <v>46203</v>
      </c>
      <c r="D53" s="10" t="n">
        <v>1683</v>
      </c>
      <c r="E53" s="12" t="s">
        <v>123</v>
      </c>
      <c r="F53" s="10" t="n">
        <v>34</v>
      </c>
      <c r="G53" s="12" t="s">
        <v>31</v>
      </c>
      <c r="H53" s="10" t="n">
        <v>2110101</v>
      </c>
      <c r="I53" s="12" t="s">
        <v>32</v>
      </c>
      <c r="J53" s="10" t="n">
        <v>1293930</v>
      </c>
      <c r="L53" s="10" t="n">
        <v>1635976</v>
      </c>
      <c r="M53" s="12" t="s">
        <v>33</v>
      </c>
      <c r="N53" s="12" t="s">
        <v>34</v>
      </c>
      <c r="P53" s="10" t="n">
        <v>113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105</v>
      </c>
      <c r="W53" s="13" t="n">
        <v>0</v>
      </c>
      <c r="X53" s="12" t="s">
        <v>124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46196</v>
      </c>
      <c r="C54" s="11" t="n">
        <v>46203</v>
      </c>
      <c r="D54" s="10" t="n">
        <v>1683</v>
      </c>
      <c r="E54" s="12" t="s">
        <v>123</v>
      </c>
      <c r="F54" s="10" t="n">
        <v>34</v>
      </c>
      <c r="G54" s="12" t="s">
        <v>31</v>
      </c>
      <c r="H54" s="10" t="n">
        <v>2110101</v>
      </c>
      <c r="I54" s="12" t="s">
        <v>32</v>
      </c>
      <c r="J54" s="10" t="n">
        <v>1293939</v>
      </c>
      <c r="L54" s="10" t="n">
        <v>1635973</v>
      </c>
      <c r="M54" s="12" t="s">
        <v>33</v>
      </c>
      <c r="N54" s="12" t="s">
        <v>34</v>
      </c>
      <c r="P54" s="10" t="n">
        <v>113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97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46198</v>
      </c>
      <c r="C55" s="11" t="n">
        <v>46203</v>
      </c>
      <c r="D55" s="10" t="n">
        <v>1683</v>
      </c>
      <c r="E55" s="12" t="s">
        <v>123</v>
      </c>
      <c r="F55" s="10" t="n">
        <v>34</v>
      </c>
      <c r="G55" s="12" t="s">
        <v>31</v>
      </c>
      <c r="H55" s="10" t="n">
        <v>2110101</v>
      </c>
      <c r="I55" s="12" t="s">
        <v>32</v>
      </c>
      <c r="J55" s="10" t="n">
        <v>1304633</v>
      </c>
      <c r="L55" s="10" t="n">
        <v>1637144</v>
      </c>
      <c r="M55" s="12" t="s">
        <v>33</v>
      </c>
      <c r="N55" s="12" t="s">
        <v>34</v>
      </c>
      <c r="P55" s="10" t="n">
        <v>113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141</v>
      </c>
      <c r="W55" s="13" t="n">
        <v>0</v>
      </c>
      <c r="X55" s="12" t="s">
        <v>124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46200</v>
      </c>
      <c r="C56" s="11" t="n">
        <v>46203</v>
      </c>
      <c r="D56" s="10" t="n">
        <v>1683</v>
      </c>
      <c r="E56" s="12" t="s">
        <v>123</v>
      </c>
      <c r="F56" s="10" t="n">
        <v>34</v>
      </c>
      <c r="G56" s="12" t="s">
        <v>31</v>
      </c>
      <c r="H56" s="10" t="n">
        <v>2110101</v>
      </c>
      <c r="I56" s="12" t="s">
        <v>32</v>
      </c>
      <c r="J56" s="10" t="n">
        <v>1312567</v>
      </c>
      <c r="L56" s="10" t="n">
        <v>1638704</v>
      </c>
      <c r="M56" s="12" t="s">
        <v>33</v>
      </c>
      <c r="N56" s="12" t="s">
        <v>34</v>
      </c>
      <c r="P56" s="10" t="n">
        <v>113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54</v>
      </c>
      <c r="W56" s="13" t="n">
        <v>0</v>
      </c>
      <c r="X56" s="12" t="s">
        <v>124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46202</v>
      </c>
      <c r="C57" s="11" t="n">
        <v>46203</v>
      </c>
      <c r="D57" s="10" t="n">
        <v>1683</v>
      </c>
      <c r="E57" s="12" t="s">
        <v>123</v>
      </c>
      <c r="F57" s="10" t="n">
        <v>34</v>
      </c>
      <c r="G57" s="12" t="s">
        <v>31</v>
      </c>
      <c r="H57" s="10" t="n">
        <v>2110101</v>
      </c>
      <c r="I57" s="12" t="s">
        <v>32</v>
      </c>
      <c r="J57" s="10" t="n">
        <v>1321679</v>
      </c>
      <c r="L57" s="10" t="n">
        <v>1638958</v>
      </c>
      <c r="M57" s="12" t="s">
        <v>33</v>
      </c>
      <c r="N57" s="12" t="s">
        <v>34</v>
      </c>
      <c r="P57" s="10" t="n">
        <v>113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115.5</v>
      </c>
      <c r="W57" s="13" t="n">
        <v>0</v>
      </c>
      <c r="X57" s="12" t="s">
        <v>124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46203</v>
      </c>
      <c r="C58" s="11" t="n">
        <v>46203</v>
      </c>
      <c r="D58" s="10" t="n">
        <v>1683</v>
      </c>
      <c r="E58" s="12" t="s">
        <v>123</v>
      </c>
      <c r="F58" s="10" t="n">
        <v>34</v>
      </c>
      <c r="G58" s="12" t="s">
        <v>31</v>
      </c>
      <c r="H58" s="10" t="n">
        <v>2110101</v>
      </c>
      <c r="I58" s="12" t="s">
        <v>32</v>
      </c>
      <c r="J58" s="10" t="n">
        <v>1329534</v>
      </c>
      <c r="L58" s="10" t="n">
        <v>1639400</v>
      </c>
      <c r="M58" s="12" t="s">
        <v>33</v>
      </c>
      <c r="N58" s="12" t="s">
        <v>34</v>
      </c>
      <c r="P58" s="10" t="n">
        <v>113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130</v>
      </c>
      <c r="W58" s="13" t="n">
        <v>0</v>
      </c>
      <c r="X58" s="12" t="s">
        <v>124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46203</v>
      </c>
      <c r="C59" s="11" t="n">
        <v>46203</v>
      </c>
      <c r="D59" s="10" t="n">
        <v>1037</v>
      </c>
      <c r="E59" s="12" t="s">
        <v>125</v>
      </c>
      <c r="F59" s="10" t="n">
        <v>34</v>
      </c>
      <c r="G59" s="12" t="s">
        <v>31</v>
      </c>
      <c r="H59" s="10" t="n">
        <v>2110101</v>
      </c>
      <c r="I59" s="12" t="s">
        <v>32</v>
      </c>
      <c r="J59" s="10" t="n">
        <v>1330491</v>
      </c>
      <c r="L59" s="10" t="n">
        <v>178178</v>
      </c>
      <c r="M59" s="12" t="s">
        <v>33</v>
      </c>
      <c r="N59" s="12" t="s">
        <v>51</v>
      </c>
      <c r="P59" s="10" t="n">
        <v>113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390</v>
      </c>
      <c r="W59" s="13" t="n">
        <v>0</v>
      </c>
      <c r="X59" s="12" t="s">
        <v>126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46203</v>
      </c>
      <c r="C60" s="11" t="n">
        <v>46203</v>
      </c>
      <c r="D60" s="10" t="n">
        <v>1137</v>
      </c>
      <c r="E60" s="12" t="s">
        <v>127</v>
      </c>
      <c r="F60" s="10" t="n">
        <v>13</v>
      </c>
      <c r="G60" s="12" t="s">
        <v>49</v>
      </c>
      <c r="H60" s="10" t="n">
        <v>1110102</v>
      </c>
      <c r="I60" s="12" t="s">
        <v>105</v>
      </c>
      <c r="J60" s="10" t="n">
        <v>1438647</v>
      </c>
      <c r="L60" s="10" t="n">
        <v>194369</v>
      </c>
      <c r="M60" s="12" t="s">
        <v>33</v>
      </c>
      <c r="N60" s="12" t="s">
        <v>51</v>
      </c>
      <c r="P60" s="10" t="n">
        <v>101</v>
      </c>
      <c r="Q60" s="12" t="s">
        <v>69</v>
      </c>
      <c r="R60" s="12" t="s">
        <v>102</v>
      </c>
      <c r="S60" s="10" t="n">
        <v>4210316</v>
      </c>
      <c r="T60" s="12" t="s">
        <v>128</v>
      </c>
      <c r="U60" s="13" t="n">
        <v>2790</v>
      </c>
      <c r="W60" s="13" t="n">
        <v>0</v>
      </c>
      <c r="X60" s="12" t="s">
        <v>129</v>
      </c>
      <c r="Z60" s="1" t="str">
        <f aca="false">IF($T60="","",IFERROR(INDEX('Resumo Grupos'!$AC$3:$AC$200,MATCH($T60,'Resumo Grupos'!$AB$3:$AB$200,0)),"n/d"))</f>
        <v>Salários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46203</v>
      </c>
      <c r="C61" s="11" t="n">
        <v>46203</v>
      </c>
      <c r="D61" s="10" t="n">
        <v>12</v>
      </c>
      <c r="E61" s="12" t="s">
        <v>130</v>
      </c>
      <c r="F61" s="10" t="n">
        <v>34</v>
      </c>
      <c r="G61" s="12" t="s">
        <v>31</v>
      </c>
      <c r="H61" s="10" t="n">
        <v>1110203</v>
      </c>
      <c r="I61" s="12" t="s">
        <v>50</v>
      </c>
      <c r="J61" s="10" t="n">
        <v>1341297</v>
      </c>
      <c r="L61" s="10" t="n">
        <v>180039</v>
      </c>
      <c r="M61" s="12" t="s">
        <v>33</v>
      </c>
      <c r="N61" s="12" t="s">
        <v>51</v>
      </c>
      <c r="P61" s="10" t="n">
        <v>102</v>
      </c>
      <c r="Q61" s="12" t="s">
        <v>101</v>
      </c>
      <c r="R61" s="12" t="s">
        <v>102</v>
      </c>
      <c r="S61" s="10" t="n">
        <v>4210301</v>
      </c>
      <c r="T61" s="12" t="s">
        <v>131</v>
      </c>
      <c r="U61" s="13" t="n">
        <v>600</v>
      </c>
      <c r="W61" s="13" t="n">
        <v>0</v>
      </c>
      <c r="X61" s="12" t="s">
        <v>132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46203</v>
      </c>
      <c r="C62" s="11" t="n">
        <v>46203</v>
      </c>
      <c r="D62" s="10" t="n">
        <v>10096</v>
      </c>
      <c r="E62" s="12" t="s">
        <v>48</v>
      </c>
      <c r="F62" s="10" t="n">
        <v>13</v>
      </c>
      <c r="G62" s="12" t="s">
        <v>49</v>
      </c>
      <c r="H62" s="10" t="n">
        <v>1110203</v>
      </c>
      <c r="I62" s="12" t="s">
        <v>50</v>
      </c>
      <c r="J62" s="10" t="n">
        <v>1428680</v>
      </c>
      <c r="L62" s="10" t="n">
        <v>191295</v>
      </c>
      <c r="M62" s="12" t="s">
        <v>33</v>
      </c>
      <c r="N62" s="12" t="s">
        <v>51</v>
      </c>
      <c r="P62" s="10" t="n">
        <v>113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140</v>
      </c>
      <c r="W62" s="13" t="n">
        <v>0</v>
      </c>
      <c r="X62" s="12" t="s">
        <v>133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46198</v>
      </c>
      <c r="C63" s="11" t="n">
        <v>46203</v>
      </c>
      <c r="D63" s="10" t="n">
        <v>1263</v>
      </c>
      <c r="E63" s="12" t="s">
        <v>134</v>
      </c>
      <c r="F63" s="10" t="n">
        <v>24</v>
      </c>
      <c r="G63" s="12" t="s">
        <v>40</v>
      </c>
      <c r="H63" s="10" t="n">
        <v>2110101</v>
      </c>
      <c r="I63" s="12" t="s">
        <v>32</v>
      </c>
      <c r="J63" s="10" t="n">
        <v>1304773</v>
      </c>
      <c r="L63" s="10" t="n">
        <v>847</v>
      </c>
      <c r="M63" s="12" t="s">
        <v>33</v>
      </c>
      <c r="N63" s="12" t="s">
        <v>34</v>
      </c>
      <c r="P63" s="10" t="n">
        <v>113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338.79</v>
      </c>
      <c r="W63" s="13" t="n">
        <v>0</v>
      </c>
      <c r="X63" s="12" t="s">
        <v>135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46189</v>
      </c>
      <c r="C64" s="11" t="n">
        <v>46203</v>
      </c>
      <c r="D64" s="10" t="n">
        <v>10033</v>
      </c>
      <c r="E64" s="12" t="s">
        <v>136</v>
      </c>
      <c r="F64" s="10" t="n">
        <v>24</v>
      </c>
      <c r="G64" s="12" t="s">
        <v>40</v>
      </c>
      <c r="H64" s="10" t="n">
        <v>2110101</v>
      </c>
      <c r="I64" s="12" t="s">
        <v>32</v>
      </c>
      <c r="J64" s="10" t="n">
        <v>1260463</v>
      </c>
      <c r="L64" s="10" t="n">
        <v>102727</v>
      </c>
      <c r="M64" s="12" t="s">
        <v>33</v>
      </c>
      <c r="N64" s="12" t="s">
        <v>34</v>
      </c>
      <c r="P64" s="10" t="n">
        <v>113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360.24</v>
      </c>
      <c r="W64" s="13" t="n">
        <v>0</v>
      </c>
      <c r="X64" s="12" t="s">
        <v>137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46190</v>
      </c>
      <c r="C65" s="11" t="n">
        <v>46203</v>
      </c>
      <c r="D65" s="10" t="n">
        <v>1078</v>
      </c>
      <c r="E65" s="12" t="s">
        <v>138</v>
      </c>
      <c r="F65" s="10" t="n">
        <v>24</v>
      </c>
      <c r="G65" s="12" t="s">
        <v>40</v>
      </c>
      <c r="H65" s="10" t="n">
        <v>2110101</v>
      </c>
      <c r="I65" s="12" t="s">
        <v>32</v>
      </c>
      <c r="J65" s="10" t="n">
        <v>1265426</v>
      </c>
      <c r="L65" s="10" t="n">
        <v>27994</v>
      </c>
      <c r="M65" s="12" t="s">
        <v>33</v>
      </c>
      <c r="N65" s="12" t="s">
        <v>34</v>
      </c>
      <c r="P65" s="10" t="n">
        <v>113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212.4</v>
      </c>
      <c r="W65" s="13" t="n">
        <v>0</v>
      </c>
      <c r="X65" s="12" t="s">
        <v>139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46191</v>
      </c>
      <c r="C66" s="11" t="n">
        <v>46203</v>
      </c>
      <c r="D66" s="10" t="n">
        <v>1668</v>
      </c>
      <c r="E66" s="12" t="s">
        <v>138</v>
      </c>
      <c r="F66" s="10" t="n">
        <v>24</v>
      </c>
      <c r="G66" s="12" t="s">
        <v>40</v>
      </c>
      <c r="H66" s="10" t="n">
        <v>2110101</v>
      </c>
      <c r="I66" s="12" t="s">
        <v>32</v>
      </c>
      <c r="J66" s="10" t="n">
        <v>1269061</v>
      </c>
      <c r="L66" s="10" t="n">
        <v>729265</v>
      </c>
      <c r="M66" s="12" t="s">
        <v>108</v>
      </c>
      <c r="N66" s="12" t="s">
        <v>34</v>
      </c>
      <c r="P66" s="10" t="n">
        <v>113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326.83</v>
      </c>
      <c r="W66" s="13" t="n">
        <v>0</v>
      </c>
      <c r="X66" s="12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46203</v>
      </c>
      <c r="C67" s="11" t="n">
        <v>46203</v>
      </c>
      <c r="D67" s="10" t="n">
        <v>48</v>
      </c>
      <c r="E67" s="12" t="s">
        <v>78</v>
      </c>
      <c r="F67" s="10" t="n">
        <v>34</v>
      </c>
      <c r="G67" s="12" t="s">
        <v>31</v>
      </c>
      <c r="H67" s="10" t="n">
        <v>2110101</v>
      </c>
      <c r="I67" s="12" t="s">
        <v>32</v>
      </c>
      <c r="J67" s="10" t="n">
        <v>1330477</v>
      </c>
      <c r="L67" s="10" t="n">
        <v>2517</v>
      </c>
      <c r="M67" s="12" t="s">
        <v>33</v>
      </c>
      <c r="N67" s="12" t="s">
        <v>34</v>
      </c>
      <c r="P67" s="10" t="n">
        <v>113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1748.86</v>
      </c>
      <c r="W67" s="13" t="n">
        <v>0</v>
      </c>
      <c r="X67" s="12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46190</v>
      </c>
      <c r="C68" s="11" t="n">
        <v>46203</v>
      </c>
      <c r="D68" s="10" t="n">
        <v>1749</v>
      </c>
      <c r="E68" s="12" t="s">
        <v>142</v>
      </c>
      <c r="F68" s="10" t="n">
        <v>24</v>
      </c>
      <c r="G68" s="12" t="s">
        <v>40</v>
      </c>
      <c r="H68" s="10" t="n">
        <v>2110101</v>
      </c>
      <c r="I68" s="12" t="s">
        <v>32</v>
      </c>
      <c r="J68" s="10" t="n">
        <v>1264875</v>
      </c>
      <c r="L68" s="10" t="n">
        <v>1773</v>
      </c>
      <c r="M68" s="12" t="s">
        <v>33</v>
      </c>
      <c r="N68" s="12" t="s">
        <v>34</v>
      </c>
      <c r="P68" s="10" t="n">
        <v>113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1834</v>
      </c>
      <c r="W68" s="13" t="n">
        <v>0</v>
      </c>
      <c r="X68" s="12" t="s">
        <v>143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46048</v>
      </c>
      <c r="C69" s="11" t="n">
        <v>46204</v>
      </c>
      <c r="D69" s="10" t="n">
        <v>438</v>
      </c>
      <c r="E69" s="12" t="s">
        <v>144</v>
      </c>
      <c r="F69" s="10" t="n">
        <v>47</v>
      </c>
      <c r="G69" s="12" t="s">
        <v>145</v>
      </c>
      <c r="H69" s="10" t="n">
        <v>2110102</v>
      </c>
      <c r="I69" s="12" t="s">
        <v>146</v>
      </c>
      <c r="J69" s="10" t="n">
        <v>584704</v>
      </c>
      <c r="L69" s="10" t="n">
        <v>6278</v>
      </c>
      <c r="M69" s="12" t="s">
        <v>147</v>
      </c>
      <c r="N69" s="12" t="s">
        <v>34</v>
      </c>
      <c r="P69" s="10" t="n">
        <v>104</v>
      </c>
      <c r="Q69" s="12" t="s">
        <v>148</v>
      </c>
      <c r="R69" s="12" t="s">
        <v>88</v>
      </c>
      <c r="S69" s="10" t="n">
        <v>4210204</v>
      </c>
      <c r="T69" s="12" t="s">
        <v>149</v>
      </c>
      <c r="U69" s="13" t="n">
        <v>666.65</v>
      </c>
      <c r="W69" s="13" t="n">
        <v>0</v>
      </c>
      <c r="X69" s="12" t="s">
        <v>150</v>
      </c>
      <c r="Z69" s="1" t="str">
        <f aca="false">IF($T69="","",IFERROR(INDEX('Resumo Grupos'!$AC$3:$AC$200,MATCH($T69,'Resumo Grupos'!$AB$3:$AB$200,0)),"n/d"))</f>
        <v>Despesa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46196</v>
      </c>
      <c r="C70" s="11" t="n">
        <v>46204</v>
      </c>
      <c r="D70" s="10" t="n">
        <v>875</v>
      </c>
      <c r="E70" s="12" t="s">
        <v>151</v>
      </c>
      <c r="F70" s="10" t="n">
        <v>47</v>
      </c>
      <c r="G70" s="12" t="s">
        <v>145</v>
      </c>
      <c r="H70" s="10" t="n">
        <v>2110101</v>
      </c>
      <c r="I70" s="12" t="s">
        <v>32</v>
      </c>
      <c r="J70" s="10" t="n">
        <v>1295066</v>
      </c>
      <c r="L70" s="10" t="n">
        <v>173322</v>
      </c>
      <c r="M70" s="12" t="s">
        <v>33</v>
      </c>
      <c r="N70" s="12" t="s">
        <v>51</v>
      </c>
      <c r="P70" s="10" t="n">
        <v>113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1290.17</v>
      </c>
      <c r="W70" s="13" t="n">
        <v>0</v>
      </c>
      <c r="X70" s="12" t="s">
        <v>152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46188</v>
      </c>
      <c r="C71" s="11" t="n">
        <v>46204</v>
      </c>
      <c r="D71" s="10" t="n">
        <v>1659</v>
      </c>
      <c r="E71" s="12" t="s">
        <v>60</v>
      </c>
      <c r="F71" s="10" t="n">
        <v>24</v>
      </c>
      <c r="G71" s="12" t="s">
        <v>40</v>
      </c>
      <c r="H71" s="10" t="n">
        <v>2110101</v>
      </c>
      <c r="I71" s="12" t="s">
        <v>32</v>
      </c>
      <c r="J71" s="10" t="n">
        <v>1257254</v>
      </c>
      <c r="L71" s="10" t="n">
        <v>878758</v>
      </c>
      <c r="M71" s="12" t="s">
        <v>33</v>
      </c>
      <c r="N71" s="12" t="s">
        <v>34</v>
      </c>
      <c r="P71" s="10" t="n">
        <v>113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589.08</v>
      </c>
      <c r="W71" s="13" t="n">
        <v>0</v>
      </c>
      <c r="X71" s="12" t="s">
        <v>153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46191</v>
      </c>
      <c r="C72" s="11" t="n">
        <v>46204</v>
      </c>
      <c r="D72" s="10" t="n">
        <v>10029</v>
      </c>
      <c r="E72" s="12" t="s">
        <v>154</v>
      </c>
      <c r="F72" s="10" t="n">
        <v>24</v>
      </c>
      <c r="G72" s="12" t="s">
        <v>40</v>
      </c>
      <c r="H72" s="10" t="n">
        <v>2110405</v>
      </c>
      <c r="I72" s="12" t="s">
        <v>87</v>
      </c>
      <c r="J72" s="10" t="n">
        <v>1268812</v>
      </c>
      <c r="L72" s="10" t="n">
        <v>168790</v>
      </c>
      <c r="M72" s="12" t="s">
        <v>33</v>
      </c>
      <c r="N72" s="12" t="s">
        <v>51</v>
      </c>
      <c r="P72" s="10" t="n">
        <v>113</v>
      </c>
      <c r="Q72" s="12" t="s">
        <v>35</v>
      </c>
      <c r="R72" s="12" t="s">
        <v>88</v>
      </c>
      <c r="S72" s="10" t="n">
        <v>4210227</v>
      </c>
      <c r="T72" s="12" t="s">
        <v>119</v>
      </c>
      <c r="U72" s="13" t="n">
        <v>920</v>
      </c>
      <c r="W72" s="13" t="n">
        <v>0</v>
      </c>
      <c r="X72" s="12" t="s">
        <v>155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46186</v>
      </c>
      <c r="C73" s="11" t="n">
        <v>46204</v>
      </c>
      <c r="D73" s="10" t="n">
        <v>1974</v>
      </c>
      <c r="E73" s="12" t="s">
        <v>156</v>
      </c>
      <c r="F73" s="10" t="n">
        <v>47</v>
      </c>
      <c r="G73" s="12" t="s">
        <v>145</v>
      </c>
      <c r="H73" s="10" t="n">
        <v>2110405</v>
      </c>
      <c r="I73" s="12" t="s">
        <v>87</v>
      </c>
      <c r="J73" s="10" t="n">
        <v>1273147</v>
      </c>
      <c r="L73" s="10" t="n">
        <v>168792</v>
      </c>
      <c r="M73" s="12" t="s">
        <v>33</v>
      </c>
      <c r="N73" s="12" t="s">
        <v>51</v>
      </c>
      <c r="P73" s="10" t="n">
        <v>101</v>
      </c>
      <c r="Q73" s="12" t="s">
        <v>69</v>
      </c>
      <c r="R73" s="12" t="s">
        <v>88</v>
      </c>
      <c r="S73" s="10" t="n">
        <v>4210209</v>
      </c>
      <c r="T73" s="12" t="s">
        <v>157</v>
      </c>
      <c r="U73" s="13" t="n">
        <v>200</v>
      </c>
      <c r="W73" s="13" t="n">
        <v>0</v>
      </c>
      <c r="X73" s="12" t="s">
        <v>158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46185</v>
      </c>
      <c r="C74" s="11" t="n">
        <v>46204</v>
      </c>
      <c r="D74" s="10" t="n">
        <v>1613</v>
      </c>
      <c r="E74" s="12" t="s">
        <v>159</v>
      </c>
      <c r="F74" s="10" t="n">
        <v>24</v>
      </c>
      <c r="G74" s="12" t="s">
        <v>40</v>
      </c>
      <c r="H74" s="10" t="n">
        <v>2110101</v>
      </c>
      <c r="I74" s="12" t="s">
        <v>32</v>
      </c>
      <c r="J74" s="10" t="n">
        <v>1239822</v>
      </c>
      <c r="L74" s="10" t="n">
        <v>1595886</v>
      </c>
      <c r="M74" s="12" t="s">
        <v>108</v>
      </c>
      <c r="N74" s="12" t="s">
        <v>34</v>
      </c>
      <c r="P74" s="10" t="n">
        <v>113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1104.14</v>
      </c>
      <c r="W74" s="13" t="n">
        <v>0</v>
      </c>
      <c r="X74" s="12" t="s">
        <v>160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46195</v>
      </c>
      <c r="C75" s="11" t="n">
        <v>46204</v>
      </c>
      <c r="D75" s="10" t="n">
        <v>1613</v>
      </c>
      <c r="E75" s="12" t="s">
        <v>159</v>
      </c>
      <c r="F75" s="10" t="n">
        <v>24</v>
      </c>
      <c r="G75" s="12" t="s">
        <v>40</v>
      </c>
      <c r="H75" s="10" t="n">
        <v>2110101</v>
      </c>
      <c r="I75" s="12" t="s">
        <v>32</v>
      </c>
      <c r="J75" s="10" t="n">
        <v>1289535</v>
      </c>
      <c r="L75" s="10" t="n">
        <v>1598763</v>
      </c>
      <c r="M75" s="12" t="s">
        <v>33</v>
      </c>
      <c r="N75" s="12" t="s">
        <v>34</v>
      </c>
      <c r="P75" s="10" t="n">
        <v>113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671.16</v>
      </c>
      <c r="W75" s="13" t="n">
        <v>0</v>
      </c>
      <c r="X75" s="12" t="s">
        <v>161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46195</v>
      </c>
      <c r="C76" s="11" t="n">
        <v>46204</v>
      </c>
      <c r="D76" s="10" t="n">
        <v>1792</v>
      </c>
      <c r="E76" s="12" t="s">
        <v>162</v>
      </c>
      <c r="F76" s="10" t="n">
        <v>24</v>
      </c>
      <c r="G76" s="12" t="s">
        <v>40</v>
      </c>
      <c r="H76" s="10" t="n">
        <v>2110405</v>
      </c>
      <c r="I76" s="12" t="s">
        <v>87</v>
      </c>
      <c r="J76" s="10" t="n">
        <v>1290183</v>
      </c>
      <c r="L76" s="10" t="n">
        <v>172328</v>
      </c>
      <c r="M76" s="12" t="s">
        <v>33</v>
      </c>
      <c r="N76" s="12" t="s">
        <v>51</v>
      </c>
      <c r="P76" s="10" t="n">
        <v>101</v>
      </c>
      <c r="Q76" s="12" t="s">
        <v>69</v>
      </c>
      <c r="R76" s="12" t="s">
        <v>163</v>
      </c>
      <c r="S76" s="10" t="n">
        <v>1240203</v>
      </c>
      <c r="T76" s="12" t="s">
        <v>164</v>
      </c>
      <c r="U76" s="13" t="n">
        <v>404.78</v>
      </c>
      <c r="W76" s="13" t="n">
        <v>0</v>
      </c>
      <c r="X76" s="12" t="s">
        <v>165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46204</v>
      </c>
      <c r="C77" s="11" t="n">
        <v>46204</v>
      </c>
      <c r="D77" s="10" t="n">
        <v>73</v>
      </c>
      <c r="E77" s="12" t="s">
        <v>166</v>
      </c>
      <c r="F77" s="10" t="n">
        <v>34</v>
      </c>
      <c r="G77" s="12" t="s">
        <v>31</v>
      </c>
      <c r="H77" s="10" t="n">
        <v>2110405</v>
      </c>
      <c r="I77" s="12" t="s">
        <v>87</v>
      </c>
      <c r="J77" s="10" t="n">
        <v>1340183</v>
      </c>
      <c r="L77" s="10" t="n">
        <v>179826</v>
      </c>
      <c r="M77" s="12" t="s">
        <v>33</v>
      </c>
      <c r="N77" s="12" t="s">
        <v>51</v>
      </c>
      <c r="P77" s="10" t="n">
        <v>113</v>
      </c>
      <c r="Q77" s="12" t="s">
        <v>35</v>
      </c>
      <c r="R77" s="12" t="s">
        <v>102</v>
      </c>
      <c r="S77" s="10" t="n">
        <v>4210309</v>
      </c>
      <c r="T77" s="12" t="s">
        <v>167</v>
      </c>
      <c r="U77" s="13" t="n">
        <v>270</v>
      </c>
      <c r="W77" s="13" t="n">
        <v>0</v>
      </c>
      <c r="X77" s="12" t="s">
        <v>168</v>
      </c>
      <c r="Z77" s="1" t="str">
        <f aca="false">IF($T77="","",IFERROR(INDEX('Resumo Grupos'!$AC$3:$AC$200,MATCH($T77,'Resumo Grupos'!$AB$3:$AB$200,0)),"n/d"))</f>
        <v>Salários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46183</v>
      </c>
      <c r="C78" s="11" t="n">
        <v>46204</v>
      </c>
      <c r="D78" s="10" t="n">
        <v>10019</v>
      </c>
      <c r="E78" s="12" t="s">
        <v>169</v>
      </c>
      <c r="F78" s="10" t="n">
        <v>24</v>
      </c>
      <c r="G78" s="12" t="s">
        <v>40</v>
      </c>
      <c r="H78" s="10" t="n">
        <v>2110101</v>
      </c>
      <c r="I78" s="12" t="s">
        <v>32</v>
      </c>
      <c r="J78" s="10" t="n">
        <v>1231766</v>
      </c>
      <c r="L78" s="10" t="n">
        <v>34450</v>
      </c>
      <c r="M78" s="12" t="s">
        <v>108</v>
      </c>
      <c r="N78" s="12" t="s">
        <v>34</v>
      </c>
      <c r="P78" s="10" t="n">
        <v>113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922.07</v>
      </c>
      <c r="W78" s="13" t="n">
        <v>0</v>
      </c>
      <c r="X78" s="12" t="s">
        <v>170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46183</v>
      </c>
      <c r="C79" s="11" t="n">
        <v>46204</v>
      </c>
      <c r="D79" s="10" t="n">
        <v>10019</v>
      </c>
      <c r="E79" s="12" t="s">
        <v>169</v>
      </c>
      <c r="F79" s="10" t="n">
        <v>24</v>
      </c>
      <c r="G79" s="12" t="s">
        <v>40</v>
      </c>
      <c r="H79" s="10" t="n">
        <v>2110101</v>
      </c>
      <c r="I79" s="12" t="s">
        <v>32</v>
      </c>
      <c r="J79" s="10" t="n">
        <v>1231774</v>
      </c>
      <c r="L79" s="10" t="n">
        <v>30199</v>
      </c>
      <c r="M79" s="12" t="s">
        <v>108</v>
      </c>
      <c r="N79" s="12" t="s">
        <v>34</v>
      </c>
      <c r="P79" s="10" t="n">
        <v>113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550.99</v>
      </c>
      <c r="W79" s="13" t="n">
        <v>0</v>
      </c>
      <c r="X79" s="12" t="s">
        <v>171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46190</v>
      </c>
      <c r="C80" s="11" t="n">
        <v>46204</v>
      </c>
      <c r="D80" s="10" t="n">
        <v>10019</v>
      </c>
      <c r="E80" s="12" t="s">
        <v>169</v>
      </c>
      <c r="F80" s="10" t="n">
        <v>24</v>
      </c>
      <c r="G80" s="12" t="s">
        <v>40</v>
      </c>
      <c r="H80" s="10" t="n">
        <v>2110101</v>
      </c>
      <c r="I80" s="12" t="s">
        <v>32</v>
      </c>
      <c r="J80" s="10" t="n">
        <v>1265922</v>
      </c>
      <c r="L80" s="10" t="n">
        <v>168788</v>
      </c>
      <c r="M80" s="12" t="s">
        <v>33</v>
      </c>
      <c r="N80" s="12" t="s">
        <v>51</v>
      </c>
      <c r="P80" s="10" t="n">
        <v>113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551.88</v>
      </c>
      <c r="W80" s="13" t="n">
        <v>0</v>
      </c>
      <c r="X80" s="12" t="s">
        <v>172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46196</v>
      </c>
      <c r="C81" s="11" t="n">
        <v>46204</v>
      </c>
      <c r="D81" s="10" t="n">
        <v>937</v>
      </c>
      <c r="E81" s="12" t="s">
        <v>173</v>
      </c>
      <c r="F81" s="10" t="n">
        <v>47</v>
      </c>
      <c r="G81" s="12" t="s">
        <v>145</v>
      </c>
      <c r="H81" s="10" t="n">
        <v>2110101</v>
      </c>
      <c r="I81" s="12" t="s">
        <v>32</v>
      </c>
      <c r="J81" s="10" t="n">
        <v>1295077</v>
      </c>
      <c r="L81" s="10" t="n">
        <v>173329</v>
      </c>
      <c r="M81" s="12" t="s">
        <v>33</v>
      </c>
      <c r="N81" s="12" t="s">
        <v>51</v>
      </c>
      <c r="P81" s="10" t="n">
        <v>113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1195</v>
      </c>
      <c r="W81" s="13" t="n">
        <v>0</v>
      </c>
      <c r="X81" s="12" t="s">
        <v>174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46197</v>
      </c>
      <c r="C82" s="11" t="n">
        <v>46204</v>
      </c>
      <c r="D82" s="10" t="n">
        <v>1815</v>
      </c>
      <c r="E82" s="12" t="s">
        <v>175</v>
      </c>
      <c r="F82" s="10" t="n">
        <v>24</v>
      </c>
      <c r="G82" s="12" t="s">
        <v>40</v>
      </c>
      <c r="H82" s="10" t="n">
        <v>2110101</v>
      </c>
      <c r="I82" s="12" t="s">
        <v>32</v>
      </c>
      <c r="J82" s="10" t="n">
        <v>1300169</v>
      </c>
      <c r="L82" s="10" t="n">
        <v>388857</v>
      </c>
      <c r="M82" s="12" t="s">
        <v>33</v>
      </c>
      <c r="N82" s="12" t="s">
        <v>34</v>
      </c>
      <c r="P82" s="10" t="n">
        <v>113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314.44</v>
      </c>
      <c r="W82" s="13" t="n">
        <v>0</v>
      </c>
      <c r="X82" s="12" t="s">
        <v>176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46200</v>
      </c>
      <c r="C83" s="11" t="n">
        <v>46204</v>
      </c>
      <c r="D83" s="10" t="n">
        <v>10035</v>
      </c>
      <c r="E83" s="12" t="s">
        <v>72</v>
      </c>
      <c r="F83" s="10" t="n">
        <v>34</v>
      </c>
      <c r="G83" s="12" t="s">
        <v>31</v>
      </c>
      <c r="H83" s="10" t="n">
        <v>2110101</v>
      </c>
      <c r="I83" s="12" t="s">
        <v>32</v>
      </c>
      <c r="J83" s="10" t="n">
        <v>1312818</v>
      </c>
      <c r="L83" s="10" t="n">
        <v>325</v>
      </c>
      <c r="M83" s="12" t="s">
        <v>33</v>
      </c>
      <c r="N83" s="12" t="s">
        <v>34</v>
      </c>
      <c r="P83" s="10" t="n">
        <v>113</v>
      </c>
      <c r="Q83" s="12" t="s">
        <v>35</v>
      </c>
      <c r="R83" s="12" t="s">
        <v>36</v>
      </c>
      <c r="S83" s="10" t="n">
        <v>1130101</v>
      </c>
      <c r="T83" s="12" t="s">
        <v>37</v>
      </c>
      <c r="U83" s="13" t="n">
        <v>310</v>
      </c>
      <c r="W83" s="13" t="n">
        <v>0</v>
      </c>
      <c r="X83" s="12" t="s">
        <v>177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46204</v>
      </c>
      <c r="C84" s="11" t="n">
        <v>46204</v>
      </c>
      <c r="D84" s="10" t="n">
        <v>10047</v>
      </c>
      <c r="E84" s="12" t="s">
        <v>178</v>
      </c>
      <c r="F84" s="10" t="n">
        <v>24</v>
      </c>
      <c r="G84" s="12" t="s">
        <v>40</v>
      </c>
      <c r="H84" s="10" t="n">
        <v>1110202</v>
      </c>
      <c r="I84" s="12" t="s">
        <v>179</v>
      </c>
      <c r="J84" s="10" t="n">
        <v>1345064</v>
      </c>
      <c r="L84" s="10" t="n">
        <v>180636</v>
      </c>
      <c r="M84" s="12" t="s">
        <v>33</v>
      </c>
      <c r="N84" s="12" t="s">
        <v>51</v>
      </c>
      <c r="P84" s="10" t="n">
        <v>102</v>
      </c>
      <c r="Q84" s="12" t="s">
        <v>101</v>
      </c>
      <c r="R84" s="12" t="s">
        <v>36</v>
      </c>
      <c r="S84" s="10" t="n">
        <v>1130101</v>
      </c>
      <c r="T84" s="12" t="s">
        <v>37</v>
      </c>
      <c r="U84" s="13" t="n">
        <v>70.33</v>
      </c>
      <c r="W84" s="13" t="n">
        <v>0</v>
      </c>
      <c r="X84" s="12" t="s">
        <v>180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46055</v>
      </c>
      <c r="C85" s="11" t="n">
        <v>46204</v>
      </c>
      <c r="D85" s="10" t="n">
        <v>10039</v>
      </c>
      <c r="E85" s="12" t="s">
        <v>181</v>
      </c>
      <c r="F85" s="10" t="n">
        <v>47</v>
      </c>
      <c r="G85" s="12" t="s">
        <v>145</v>
      </c>
      <c r="H85" s="10" t="n">
        <v>2110405</v>
      </c>
      <c r="I85" s="12" t="s">
        <v>87</v>
      </c>
      <c r="J85" s="10" t="n">
        <v>846832</v>
      </c>
      <c r="L85" s="10" t="n">
        <v>111506</v>
      </c>
      <c r="M85" s="12" t="s">
        <v>182</v>
      </c>
      <c r="N85" s="12" t="s">
        <v>51</v>
      </c>
      <c r="P85" s="10" t="n">
        <v>113</v>
      </c>
      <c r="Q85" s="12" t="s">
        <v>35</v>
      </c>
      <c r="R85" s="12" t="s">
        <v>88</v>
      </c>
      <c r="S85" s="10" t="n">
        <v>4210227</v>
      </c>
      <c r="T85" s="12" t="s">
        <v>119</v>
      </c>
      <c r="U85" s="13" t="n">
        <v>378.82</v>
      </c>
      <c r="W85" s="13" t="n">
        <v>0</v>
      </c>
      <c r="X85" s="12" t="s">
        <v>183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46196</v>
      </c>
      <c r="C86" s="11" t="n">
        <v>46204</v>
      </c>
      <c r="D86" s="10" t="n">
        <v>943</v>
      </c>
      <c r="E86" s="12" t="s">
        <v>184</v>
      </c>
      <c r="F86" s="10" t="n">
        <v>47</v>
      </c>
      <c r="G86" s="12" t="s">
        <v>145</v>
      </c>
      <c r="H86" s="10" t="n">
        <v>2110101</v>
      </c>
      <c r="I86" s="12" t="s">
        <v>32</v>
      </c>
      <c r="J86" s="10" t="n">
        <v>1295052</v>
      </c>
      <c r="L86" s="10" t="n">
        <v>173314</v>
      </c>
      <c r="M86" s="12" t="s">
        <v>33</v>
      </c>
      <c r="N86" s="12" t="s">
        <v>51</v>
      </c>
      <c r="P86" s="10" t="n">
        <v>113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2913</v>
      </c>
      <c r="W86" s="13" t="n">
        <v>0</v>
      </c>
      <c r="X86" s="12" t="s">
        <v>185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46196</v>
      </c>
      <c r="C87" s="11" t="n">
        <v>46204</v>
      </c>
      <c r="D87" s="10" t="n">
        <v>10080</v>
      </c>
      <c r="E87" s="12" t="s">
        <v>186</v>
      </c>
      <c r="F87" s="10" t="n">
        <v>47</v>
      </c>
      <c r="G87" s="12" t="s">
        <v>145</v>
      </c>
      <c r="H87" s="10" t="n">
        <v>2110101</v>
      </c>
      <c r="I87" s="12" t="s">
        <v>32</v>
      </c>
      <c r="J87" s="10" t="n">
        <v>1295126</v>
      </c>
      <c r="L87" s="10" t="n">
        <v>173344</v>
      </c>
      <c r="M87" s="12" t="s">
        <v>33</v>
      </c>
      <c r="N87" s="12" t="s">
        <v>51</v>
      </c>
      <c r="P87" s="10" t="n">
        <v>113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351.53</v>
      </c>
      <c r="W87" s="13" t="n">
        <v>0</v>
      </c>
      <c r="X87" s="12" t="s">
        <v>187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46048</v>
      </c>
      <c r="C88" s="11" t="n">
        <v>46204</v>
      </c>
      <c r="D88" s="10" t="n">
        <v>925</v>
      </c>
      <c r="E88" s="12" t="s">
        <v>188</v>
      </c>
      <c r="F88" s="10" t="n">
        <v>47</v>
      </c>
      <c r="G88" s="12" t="s">
        <v>145</v>
      </c>
      <c r="H88" s="10" t="n">
        <v>2110102</v>
      </c>
      <c r="I88" s="12" t="s">
        <v>146</v>
      </c>
      <c r="J88" s="10" t="n">
        <v>584985</v>
      </c>
      <c r="L88" s="10" t="n">
        <v>7267</v>
      </c>
      <c r="M88" s="12" t="s">
        <v>147</v>
      </c>
      <c r="N88" s="12" t="s">
        <v>34</v>
      </c>
      <c r="P88" s="10" t="n">
        <v>104</v>
      </c>
      <c r="Q88" s="12" t="s">
        <v>148</v>
      </c>
      <c r="R88" s="12" t="s">
        <v>88</v>
      </c>
      <c r="S88" s="10" t="n">
        <v>4210204</v>
      </c>
      <c r="T88" s="12" t="s">
        <v>149</v>
      </c>
      <c r="U88" s="13" t="n">
        <v>165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46105</v>
      </c>
      <c r="C89" s="11" t="n">
        <v>46204</v>
      </c>
      <c r="D89" s="10" t="n">
        <v>1960</v>
      </c>
      <c r="E89" s="12" t="s">
        <v>190</v>
      </c>
      <c r="F89" s="10" t="n">
        <v>47</v>
      </c>
      <c r="G89" s="12" t="s">
        <v>145</v>
      </c>
      <c r="H89" s="10" t="n">
        <v>2110405</v>
      </c>
      <c r="I89" s="12" t="s">
        <v>87</v>
      </c>
      <c r="J89" s="10" t="n">
        <v>846762</v>
      </c>
      <c r="L89" s="10" t="n">
        <v>111500</v>
      </c>
      <c r="M89" s="12" t="s">
        <v>191</v>
      </c>
      <c r="N89" s="12" t="s">
        <v>51</v>
      </c>
      <c r="P89" s="10" t="n">
        <v>113</v>
      </c>
      <c r="Q89" s="12" t="s">
        <v>35</v>
      </c>
      <c r="R89" s="12" t="s">
        <v>88</v>
      </c>
      <c r="S89" s="10" t="n">
        <v>4210227</v>
      </c>
      <c r="T89" s="12" t="s">
        <v>119</v>
      </c>
      <c r="U89" s="13" t="n">
        <v>1630</v>
      </c>
      <c r="W89" s="13" t="n">
        <v>0</v>
      </c>
      <c r="X89" s="12" t="s">
        <v>192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46204</v>
      </c>
      <c r="C90" s="11" t="n">
        <v>46204</v>
      </c>
      <c r="D90" s="10" t="n">
        <v>48</v>
      </c>
      <c r="E90" s="12" t="s">
        <v>78</v>
      </c>
      <c r="F90" s="10" t="n">
        <v>13</v>
      </c>
      <c r="G90" s="12" t="s">
        <v>49</v>
      </c>
      <c r="H90" s="10" t="n">
        <v>2110101</v>
      </c>
      <c r="I90" s="12" t="s">
        <v>32</v>
      </c>
      <c r="J90" s="10" t="n">
        <v>1334970</v>
      </c>
      <c r="L90" s="10" t="n">
        <v>2520</v>
      </c>
      <c r="M90" s="12" t="s">
        <v>33</v>
      </c>
      <c r="N90" s="12" t="s">
        <v>34</v>
      </c>
      <c r="P90" s="10" t="n">
        <v>113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210</v>
      </c>
      <c r="W90" s="13" t="n">
        <v>210</v>
      </c>
      <c r="X90" s="12" t="s">
        <v>193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46190</v>
      </c>
      <c r="C91" s="11" t="n">
        <v>46204</v>
      </c>
      <c r="D91" s="10" t="n">
        <v>1107</v>
      </c>
      <c r="E91" s="12" t="s">
        <v>194</v>
      </c>
      <c r="F91" s="10" t="n">
        <v>24</v>
      </c>
      <c r="G91" s="12" t="s">
        <v>40</v>
      </c>
      <c r="H91" s="10" t="n">
        <v>2110101</v>
      </c>
      <c r="I91" s="12" t="s">
        <v>32</v>
      </c>
      <c r="J91" s="10" t="n">
        <v>1265709</v>
      </c>
      <c r="L91" s="10" t="n">
        <v>416678</v>
      </c>
      <c r="M91" s="12" t="s">
        <v>33</v>
      </c>
      <c r="N91" s="12" t="s">
        <v>34</v>
      </c>
      <c r="P91" s="10" t="n">
        <v>113</v>
      </c>
      <c r="Q91" s="12" t="s">
        <v>35</v>
      </c>
      <c r="R91" s="12" t="s">
        <v>36</v>
      </c>
      <c r="S91" s="10" t="n">
        <v>1130101</v>
      </c>
      <c r="T91" s="12" t="s">
        <v>37</v>
      </c>
      <c r="U91" s="13" t="n">
        <v>61.57</v>
      </c>
      <c r="W91" s="13" t="n">
        <v>0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45992</v>
      </c>
      <c r="C92" s="11" t="n">
        <v>46204</v>
      </c>
      <c r="D92" s="10" t="n">
        <v>983</v>
      </c>
      <c r="E92" s="12" t="s">
        <v>196</v>
      </c>
      <c r="F92" s="10" t="n">
        <v>47</v>
      </c>
      <c r="G92" s="12" t="s">
        <v>145</v>
      </c>
      <c r="H92" s="10" t="n">
        <v>2110101</v>
      </c>
      <c r="I92" s="12" t="s">
        <v>32</v>
      </c>
      <c r="J92" s="10" t="n">
        <v>361903</v>
      </c>
      <c r="L92" s="10" t="n">
        <v>47174</v>
      </c>
      <c r="M92" s="12" t="s">
        <v>197</v>
      </c>
      <c r="N92" s="12" t="s">
        <v>51</v>
      </c>
      <c r="P92" s="10" t="n">
        <v>113</v>
      </c>
      <c r="Q92" s="12" t="s">
        <v>35</v>
      </c>
      <c r="R92" s="12" t="s">
        <v>198</v>
      </c>
      <c r="S92" s="10" t="n">
        <v>1240103</v>
      </c>
      <c r="T92" s="12" t="s">
        <v>199</v>
      </c>
      <c r="U92" s="13" t="n">
        <v>1898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46199</v>
      </c>
      <c r="C93" s="11" t="n">
        <v>46204</v>
      </c>
      <c r="D93" s="10" t="n">
        <v>1899</v>
      </c>
      <c r="E93" s="12" t="s">
        <v>84</v>
      </c>
      <c r="F93" s="10" t="n">
        <v>24</v>
      </c>
      <c r="G93" s="12" t="s">
        <v>40</v>
      </c>
      <c r="H93" s="10" t="n">
        <v>2110101</v>
      </c>
      <c r="I93" s="12" t="s">
        <v>32</v>
      </c>
      <c r="J93" s="10" t="n">
        <v>1310299</v>
      </c>
      <c r="L93" s="10" t="n">
        <v>685</v>
      </c>
      <c r="M93" s="12" t="s">
        <v>33</v>
      </c>
      <c r="N93" s="12" t="s">
        <v>34</v>
      </c>
      <c r="P93" s="10" t="n">
        <v>113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345.65</v>
      </c>
      <c r="W93" s="13" t="n">
        <v>0</v>
      </c>
      <c r="X93" s="12" t="s">
        <v>201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46188</v>
      </c>
      <c r="C94" s="11" t="n">
        <v>46204</v>
      </c>
      <c r="D94" s="10" t="n">
        <v>954</v>
      </c>
      <c r="E94" s="12" t="s">
        <v>202</v>
      </c>
      <c r="F94" s="10" t="n">
        <v>47</v>
      </c>
      <c r="G94" s="12" t="s">
        <v>145</v>
      </c>
      <c r="H94" s="10" t="n">
        <v>2110405</v>
      </c>
      <c r="I94" s="12" t="s">
        <v>87</v>
      </c>
      <c r="J94" s="10" t="n">
        <v>1273154</v>
      </c>
      <c r="L94" s="10" t="n">
        <v>168793</v>
      </c>
      <c r="M94" s="12" t="s">
        <v>33</v>
      </c>
      <c r="N94" s="12" t="s">
        <v>51</v>
      </c>
      <c r="P94" s="10" t="n">
        <v>101</v>
      </c>
      <c r="Q94" s="12" t="s">
        <v>69</v>
      </c>
      <c r="R94" s="12" t="s">
        <v>88</v>
      </c>
      <c r="S94" s="10" t="n">
        <v>4210209</v>
      </c>
      <c r="T94" s="12" t="s">
        <v>157</v>
      </c>
      <c r="U94" s="13" t="n">
        <v>527.8</v>
      </c>
      <c r="W94" s="13" t="n">
        <v>0</v>
      </c>
      <c r="X94" s="12" t="s">
        <v>203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46204</v>
      </c>
      <c r="C95" s="11" t="n">
        <v>46204</v>
      </c>
      <c r="D95" s="10" t="n">
        <v>21</v>
      </c>
      <c r="E95" s="12" t="s">
        <v>204</v>
      </c>
      <c r="F95" s="10" t="n">
        <v>34</v>
      </c>
      <c r="G95" s="12" t="s">
        <v>31</v>
      </c>
      <c r="H95" s="10" t="n">
        <v>2110405</v>
      </c>
      <c r="I95" s="12" t="s">
        <v>87</v>
      </c>
      <c r="J95" s="10" t="n">
        <v>1340186</v>
      </c>
      <c r="L95" s="10" t="n">
        <v>179827</v>
      </c>
      <c r="M95" s="12" t="s">
        <v>33</v>
      </c>
      <c r="N95" s="12" t="s">
        <v>51</v>
      </c>
      <c r="P95" s="10" t="n">
        <v>113</v>
      </c>
      <c r="Q95" s="12" t="s">
        <v>35</v>
      </c>
      <c r="R95" s="12" t="s">
        <v>102</v>
      </c>
      <c r="S95" s="10" t="n">
        <v>4210309</v>
      </c>
      <c r="T95" s="12" t="s">
        <v>167</v>
      </c>
      <c r="U95" s="13" t="n">
        <v>270</v>
      </c>
      <c r="W95" s="13" t="n">
        <v>0</v>
      </c>
      <c r="X95" s="12" t="s">
        <v>168</v>
      </c>
      <c r="Z95" s="1" t="str">
        <f aca="false">IF($T95="","",IFERROR(INDEX('Resumo Grupos'!$AC$3:$AC$200,MATCH($T95,'Resumo Grupos'!$AB$3:$AB$200,0)),"n/d"))</f>
        <v>Salários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46196</v>
      </c>
      <c r="C96" s="11" t="n">
        <v>46204</v>
      </c>
      <c r="D96" s="10" t="n">
        <v>974</v>
      </c>
      <c r="E96" s="12" t="s">
        <v>205</v>
      </c>
      <c r="F96" s="10" t="n">
        <v>47</v>
      </c>
      <c r="G96" s="12" t="s">
        <v>145</v>
      </c>
      <c r="H96" s="10" t="n">
        <v>2110101</v>
      </c>
      <c r="I96" s="12" t="s">
        <v>32</v>
      </c>
      <c r="J96" s="10" t="n">
        <v>1295068</v>
      </c>
      <c r="L96" s="10" t="n">
        <v>173326</v>
      </c>
      <c r="M96" s="12" t="s">
        <v>33</v>
      </c>
      <c r="N96" s="12" t="s">
        <v>51</v>
      </c>
      <c r="P96" s="10" t="n">
        <v>113</v>
      </c>
      <c r="Q96" s="12" t="s">
        <v>35</v>
      </c>
      <c r="R96" s="12" t="s">
        <v>36</v>
      </c>
      <c r="S96" s="10" t="n">
        <v>1130101</v>
      </c>
      <c r="T96" s="12" t="s">
        <v>37</v>
      </c>
      <c r="U96" s="13" t="n">
        <v>1377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46204</v>
      </c>
      <c r="C97" s="11" t="n">
        <v>46204</v>
      </c>
      <c r="D97" s="10" t="n">
        <v>18</v>
      </c>
      <c r="E97" s="12" t="s">
        <v>207</v>
      </c>
      <c r="F97" s="10" t="n">
        <v>34</v>
      </c>
      <c r="G97" s="12" t="s">
        <v>31</v>
      </c>
      <c r="H97" s="10" t="n">
        <v>2110405</v>
      </c>
      <c r="I97" s="12" t="s">
        <v>87</v>
      </c>
      <c r="J97" s="10" t="n">
        <v>1340190</v>
      </c>
      <c r="L97" s="10" t="n">
        <v>179828</v>
      </c>
      <c r="M97" s="12" t="s">
        <v>33</v>
      </c>
      <c r="N97" s="12" t="s">
        <v>51</v>
      </c>
      <c r="P97" s="10" t="n">
        <v>113</v>
      </c>
      <c r="Q97" s="12" t="s">
        <v>35</v>
      </c>
      <c r="R97" s="12" t="s">
        <v>102</v>
      </c>
      <c r="S97" s="10" t="n">
        <v>4210309</v>
      </c>
      <c r="T97" s="12" t="s">
        <v>167</v>
      </c>
      <c r="U97" s="13" t="n">
        <v>270</v>
      </c>
      <c r="W97" s="13" t="n">
        <v>0</v>
      </c>
      <c r="X97" s="12" t="s">
        <v>168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46190</v>
      </c>
      <c r="C98" s="11" t="n">
        <v>46204</v>
      </c>
      <c r="D98" s="10" t="n">
        <v>1745</v>
      </c>
      <c r="E98" s="12" t="s">
        <v>208</v>
      </c>
      <c r="F98" s="10" t="n">
        <v>24</v>
      </c>
      <c r="G98" s="12" t="s">
        <v>40</v>
      </c>
      <c r="H98" s="10" t="n">
        <v>2110101</v>
      </c>
      <c r="I98" s="12" t="s">
        <v>32</v>
      </c>
      <c r="J98" s="10" t="n">
        <v>1266289</v>
      </c>
      <c r="L98" s="10" t="n">
        <v>346452</v>
      </c>
      <c r="M98" s="12" t="s">
        <v>108</v>
      </c>
      <c r="N98" s="12" t="s">
        <v>34</v>
      </c>
      <c r="P98" s="10" t="n">
        <v>113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877.26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46196</v>
      </c>
      <c r="C99" s="11" t="n">
        <v>46204</v>
      </c>
      <c r="D99" s="10" t="n">
        <v>796</v>
      </c>
      <c r="E99" s="12" t="s">
        <v>210</v>
      </c>
      <c r="F99" s="10" t="n">
        <v>47</v>
      </c>
      <c r="G99" s="12" t="s">
        <v>145</v>
      </c>
      <c r="H99" s="10" t="n">
        <v>2110101</v>
      </c>
      <c r="I99" s="12" t="s">
        <v>32</v>
      </c>
      <c r="J99" s="10" t="n">
        <v>1295074</v>
      </c>
      <c r="L99" s="10" t="n">
        <v>173327</v>
      </c>
      <c r="M99" s="12" t="s">
        <v>33</v>
      </c>
      <c r="N99" s="12" t="s">
        <v>51</v>
      </c>
      <c r="P99" s="10" t="n">
        <v>113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683.06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46203</v>
      </c>
      <c r="C100" s="11" t="n">
        <v>46205</v>
      </c>
      <c r="D100" s="10" t="n">
        <v>642</v>
      </c>
      <c r="E100" s="12" t="s">
        <v>97</v>
      </c>
      <c r="F100" s="10" t="n">
        <v>24</v>
      </c>
      <c r="G100" s="12" t="s">
        <v>40</v>
      </c>
      <c r="H100" s="10" t="n">
        <v>2110101</v>
      </c>
      <c r="I100" s="12" t="s">
        <v>32</v>
      </c>
      <c r="J100" s="10" t="n">
        <v>1330382</v>
      </c>
      <c r="L100" s="10" t="n">
        <v>515</v>
      </c>
      <c r="M100" s="12" t="s">
        <v>33</v>
      </c>
      <c r="N100" s="12" t="s">
        <v>34</v>
      </c>
      <c r="P100" s="10" t="n">
        <v>113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180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46191</v>
      </c>
      <c r="C101" s="11" t="n">
        <v>46205</v>
      </c>
      <c r="D101" s="10" t="n">
        <v>1705</v>
      </c>
      <c r="E101" s="12" t="s">
        <v>43</v>
      </c>
      <c r="F101" s="10" t="n">
        <v>24</v>
      </c>
      <c r="G101" s="12" t="s">
        <v>40</v>
      </c>
      <c r="H101" s="10" t="n">
        <v>2110101</v>
      </c>
      <c r="I101" s="12" t="s">
        <v>32</v>
      </c>
      <c r="J101" s="10" t="n">
        <v>1268754</v>
      </c>
      <c r="L101" s="10" t="n">
        <v>1887053</v>
      </c>
      <c r="M101" s="12" t="s">
        <v>33</v>
      </c>
      <c r="N101" s="12" t="s">
        <v>34</v>
      </c>
      <c r="P101" s="10" t="n">
        <v>113</v>
      </c>
      <c r="Q101" s="12" t="s">
        <v>35</v>
      </c>
      <c r="R101" s="12" t="s">
        <v>36</v>
      </c>
      <c r="S101" s="10" t="n">
        <v>1130101</v>
      </c>
      <c r="T101" s="12" t="s">
        <v>37</v>
      </c>
      <c r="U101" s="13" t="n">
        <v>1579.97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46191</v>
      </c>
      <c r="C102" s="11" t="n">
        <v>46205</v>
      </c>
      <c r="D102" s="10" t="n">
        <v>1705</v>
      </c>
      <c r="E102" s="12" t="s">
        <v>43</v>
      </c>
      <c r="F102" s="10" t="n">
        <v>24</v>
      </c>
      <c r="G102" s="12" t="s">
        <v>40</v>
      </c>
      <c r="H102" s="10" t="n">
        <v>2110101</v>
      </c>
      <c r="I102" s="12" t="s">
        <v>32</v>
      </c>
      <c r="J102" s="10" t="n">
        <v>1268786</v>
      </c>
      <c r="L102" s="10" t="n">
        <v>168789</v>
      </c>
      <c r="M102" s="12" t="s">
        <v>33</v>
      </c>
      <c r="N102" s="12" t="s">
        <v>51</v>
      </c>
      <c r="P102" s="10" t="n">
        <v>113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105.91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46184</v>
      </c>
      <c r="C103" s="11" t="n">
        <v>46205</v>
      </c>
      <c r="D103" s="10" t="n">
        <v>1601</v>
      </c>
      <c r="E103" s="12" t="s">
        <v>215</v>
      </c>
      <c r="F103" s="10" t="n">
        <v>24</v>
      </c>
      <c r="G103" s="12" t="s">
        <v>40</v>
      </c>
      <c r="H103" s="10" t="n">
        <v>2110101</v>
      </c>
      <c r="I103" s="12" t="s">
        <v>32</v>
      </c>
      <c r="J103" s="10" t="n">
        <v>1236598</v>
      </c>
      <c r="L103" s="10" t="n">
        <v>843147</v>
      </c>
      <c r="M103" s="12" t="s">
        <v>108</v>
      </c>
      <c r="N103" s="12" t="s">
        <v>34</v>
      </c>
      <c r="P103" s="10" t="n">
        <v>113</v>
      </c>
      <c r="Q103" s="12" t="s">
        <v>35</v>
      </c>
      <c r="R103" s="12" t="s">
        <v>36</v>
      </c>
      <c r="S103" s="10" t="n">
        <v>1130101</v>
      </c>
      <c r="T103" s="12" t="s">
        <v>37</v>
      </c>
      <c r="U103" s="13" t="n">
        <v>844.74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46184</v>
      </c>
      <c r="C104" s="11" t="n">
        <v>46205</v>
      </c>
      <c r="D104" s="10" t="n">
        <v>1636</v>
      </c>
      <c r="E104" s="12" t="s">
        <v>65</v>
      </c>
      <c r="F104" s="10" t="n">
        <v>24</v>
      </c>
      <c r="G104" s="12" t="s">
        <v>40</v>
      </c>
      <c r="H104" s="10" t="n">
        <v>2110101</v>
      </c>
      <c r="I104" s="12" t="s">
        <v>32</v>
      </c>
      <c r="J104" s="10" t="n">
        <v>1236926</v>
      </c>
      <c r="L104" s="10" t="n">
        <v>164815</v>
      </c>
      <c r="M104" s="12" t="s">
        <v>33</v>
      </c>
      <c r="N104" s="12" t="s">
        <v>51</v>
      </c>
      <c r="P104" s="10" t="n">
        <v>113</v>
      </c>
      <c r="Q104" s="12" t="s">
        <v>35</v>
      </c>
      <c r="R104" s="12" t="s">
        <v>36</v>
      </c>
      <c r="S104" s="10" t="n">
        <v>1130101</v>
      </c>
      <c r="T104" s="12" t="s">
        <v>37</v>
      </c>
      <c r="U104" s="13" t="n">
        <v>1105.95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46185</v>
      </c>
      <c r="C105" s="11" t="n">
        <v>46205</v>
      </c>
      <c r="D105" s="10" t="n">
        <v>1616</v>
      </c>
      <c r="E105" s="12" t="s">
        <v>218</v>
      </c>
      <c r="F105" s="10" t="n">
        <v>24</v>
      </c>
      <c r="G105" s="12" t="s">
        <v>40</v>
      </c>
      <c r="H105" s="10" t="n">
        <v>2110101</v>
      </c>
      <c r="I105" s="12" t="s">
        <v>32</v>
      </c>
      <c r="J105" s="10" t="n">
        <v>1241897</v>
      </c>
      <c r="L105" s="10" t="n">
        <v>645628</v>
      </c>
      <c r="M105" s="12" t="s">
        <v>108</v>
      </c>
      <c r="N105" s="12" t="s">
        <v>34</v>
      </c>
      <c r="P105" s="10" t="n">
        <v>113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383.47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46191</v>
      </c>
      <c r="C106" s="11" t="n">
        <v>46205</v>
      </c>
      <c r="D106" s="10" t="n">
        <v>1634</v>
      </c>
      <c r="E106" s="12" t="s">
        <v>220</v>
      </c>
      <c r="F106" s="10" t="n">
        <v>24</v>
      </c>
      <c r="G106" s="12" t="s">
        <v>40</v>
      </c>
      <c r="H106" s="10" t="n">
        <v>2110101</v>
      </c>
      <c r="I106" s="12" t="s">
        <v>32</v>
      </c>
      <c r="J106" s="10" t="n">
        <v>1268848</v>
      </c>
      <c r="L106" s="10" t="n">
        <v>326863</v>
      </c>
      <c r="M106" s="12" t="s">
        <v>33</v>
      </c>
      <c r="N106" s="12" t="s">
        <v>34</v>
      </c>
      <c r="P106" s="10" t="n">
        <v>113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496.2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46205</v>
      </c>
      <c r="C107" s="11" t="n">
        <v>46205</v>
      </c>
      <c r="D107" s="10" t="n">
        <v>10096</v>
      </c>
      <c r="E107" s="12" t="s">
        <v>48</v>
      </c>
      <c r="F107" s="10" t="n">
        <v>13</v>
      </c>
      <c r="G107" s="12" t="s">
        <v>49</v>
      </c>
      <c r="H107" s="10" t="n">
        <v>1110203</v>
      </c>
      <c r="I107" s="12" t="s">
        <v>50</v>
      </c>
      <c r="J107" s="10" t="n">
        <v>1439468</v>
      </c>
      <c r="L107" s="10" t="n">
        <v>194564</v>
      </c>
      <c r="M107" s="12" t="s">
        <v>33</v>
      </c>
      <c r="N107" s="12" t="s">
        <v>51</v>
      </c>
      <c r="P107" s="10" t="n">
        <v>113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140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46205</v>
      </c>
      <c r="C108" s="11" t="n">
        <v>46205</v>
      </c>
      <c r="D108" s="10" t="n">
        <v>515</v>
      </c>
      <c r="E108" s="12" t="s">
        <v>68</v>
      </c>
      <c r="F108" s="10" t="n">
        <v>34</v>
      </c>
      <c r="G108" s="12" t="s">
        <v>31</v>
      </c>
      <c r="H108" s="10" t="n">
        <v>1110203</v>
      </c>
      <c r="I108" s="12" t="s">
        <v>50</v>
      </c>
      <c r="J108" s="10" t="n">
        <v>1345207</v>
      </c>
      <c r="L108" s="10" t="n">
        <v>180658</v>
      </c>
      <c r="M108" s="12" t="s">
        <v>33</v>
      </c>
      <c r="N108" s="12" t="s">
        <v>51</v>
      </c>
      <c r="P108" s="10" t="n">
        <v>102</v>
      </c>
      <c r="Q108" s="12" t="s">
        <v>101</v>
      </c>
      <c r="R108" s="12" t="s">
        <v>223</v>
      </c>
      <c r="S108" s="10" t="n">
        <v>4210504</v>
      </c>
      <c r="T108" s="12" t="s">
        <v>224</v>
      </c>
      <c r="U108" s="13" t="n">
        <v>0.85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46205</v>
      </c>
      <c r="C109" s="11" t="n">
        <v>46205</v>
      </c>
      <c r="D109" s="10" t="n">
        <v>515</v>
      </c>
      <c r="E109" s="12" t="s">
        <v>68</v>
      </c>
      <c r="F109" s="10" t="n">
        <v>34</v>
      </c>
      <c r="G109" s="12" t="s">
        <v>31</v>
      </c>
      <c r="H109" s="10" t="n">
        <v>1110203</v>
      </c>
      <c r="I109" s="12" t="s">
        <v>50</v>
      </c>
      <c r="J109" s="10" t="n">
        <v>1345224</v>
      </c>
      <c r="L109" s="10" t="n">
        <v>180661</v>
      </c>
      <c r="M109" s="12" t="s">
        <v>33</v>
      </c>
      <c r="N109" s="12" t="s">
        <v>51</v>
      </c>
      <c r="P109" s="10" t="n">
        <v>102</v>
      </c>
      <c r="Q109" s="12" t="s">
        <v>101</v>
      </c>
      <c r="R109" s="12" t="s">
        <v>223</v>
      </c>
      <c r="S109" s="10" t="n">
        <v>4210505</v>
      </c>
      <c r="T109" s="12" t="s">
        <v>226</v>
      </c>
      <c r="U109" s="13" t="n">
        <v>135.43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46205</v>
      </c>
      <c r="C110" s="11" t="n">
        <v>46205</v>
      </c>
      <c r="D110" s="10" t="n">
        <v>515</v>
      </c>
      <c r="E110" s="12" t="s">
        <v>68</v>
      </c>
      <c r="F110" s="10" t="n">
        <v>34</v>
      </c>
      <c r="G110" s="12" t="s">
        <v>31</v>
      </c>
      <c r="H110" s="10" t="n">
        <v>1110203</v>
      </c>
      <c r="I110" s="12" t="s">
        <v>50</v>
      </c>
      <c r="J110" s="10" t="n">
        <v>1345255</v>
      </c>
      <c r="L110" s="10" t="n">
        <v>180668</v>
      </c>
      <c r="M110" s="12" t="s">
        <v>33</v>
      </c>
      <c r="N110" s="12" t="s">
        <v>51</v>
      </c>
      <c r="P110" s="10" t="n">
        <v>102</v>
      </c>
      <c r="Q110" s="12" t="s">
        <v>101</v>
      </c>
      <c r="R110" s="12" t="s">
        <v>223</v>
      </c>
      <c r="S110" s="10" t="n">
        <v>4210505</v>
      </c>
      <c r="T110" s="12" t="s">
        <v>226</v>
      </c>
      <c r="U110" s="13" t="n">
        <v>103.81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46205</v>
      </c>
      <c r="C111" s="11" t="n">
        <v>46205</v>
      </c>
      <c r="D111" s="10" t="n">
        <v>515</v>
      </c>
      <c r="E111" s="12" t="s">
        <v>68</v>
      </c>
      <c r="F111" s="10" t="n">
        <v>34</v>
      </c>
      <c r="G111" s="12" t="s">
        <v>31</v>
      </c>
      <c r="H111" s="10" t="n">
        <v>1110203</v>
      </c>
      <c r="I111" s="12" t="s">
        <v>50</v>
      </c>
      <c r="J111" s="10" t="n">
        <v>1345267</v>
      </c>
      <c r="L111" s="10" t="n">
        <v>180674</v>
      </c>
      <c r="M111" s="12" t="s">
        <v>33</v>
      </c>
      <c r="N111" s="12" t="s">
        <v>51</v>
      </c>
      <c r="P111" s="10" t="n">
        <v>102</v>
      </c>
      <c r="Q111" s="12" t="s">
        <v>101</v>
      </c>
      <c r="R111" s="12" t="s">
        <v>223</v>
      </c>
      <c r="S111" s="10" t="n">
        <v>4210504</v>
      </c>
      <c r="T111" s="12" t="s">
        <v>224</v>
      </c>
      <c r="U111" s="13" t="n">
        <v>156.86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46205</v>
      </c>
      <c r="C112" s="11" t="n">
        <v>46205</v>
      </c>
      <c r="D112" s="10" t="n">
        <v>515</v>
      </c>
      <c r="E112" s="12" t="s">
        <v>68</v>
      </c>
      <c r="F112" s="10" t="n">
        <v>34</v>
      </c>
      <c r="G112" s="12" t="s">
        <v>31</v>
      </c>
      <c r="H112" s="10" t="n">
        <v>1110203</v>
      </c>
      <c r="I112" s="12" t="s">
        <v>50</v>
      </c>
      <c r="J112" s="10" t="n">
        <v>1345425</v>
      </c>
      <c r="L112" s="10" t="n">
        <v>180715</v>
      </c>
      <c r="M112" s="12" t="s">
        <v>33</v>
      </c>
      <c r="N112" s="12" t="s">
        <v>51</v>
      </c>
      <c r="P112" s="10" t="n">
        <v>102</v>
      </c>
      <c r="Q112" s="12" t="s">
        <v>101</v>
      </c>
      <c r="R112" s="12" t="s">
        <v>223</v>
      </c>
      <c r="S112" s="10" t="n">
        <v>4210504</v>
      </c>
      <c r="T112" s="12" t="s">
        <v>224</v>
      </c>
      <c r="U112" s="13" t="n">
        <v>370.75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Despesa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46205</v>
      </c>
      <c r="C113" s="11" t="n">
        <v>46205</v>
      </c>
      <c r="D113" s="10" t="n">
        <v>515</v>
      </c>
      <c r="E113" s="12" t="s">
        <v>68</v>
      </c>
      <c r="F113" s="10" t="n">
        <v>34</v>
      </c>
      <c r="G113" s="12" t="s">
        <v>31</v>
      </c>
      <c r="H113" s="10" t="n">
        <v>1110203</v>
      </c>
      <c r="I113" s="12" t="s">
        <v>50</v>
      </c>
      <c r="J113" s="10" t="n">
        <v>1345429</v>
      </c>
      <c r="L113" s="10" t="n">
        <v>180716</v>
      </c>
      <c r="M113" s="12" t="s">
        <v>33</v>
      </c>
      <c r="N113" s="12" t="s">
        <v>51</v>
      </c>
      <c r="P113" s="10" t="n">
        <v>102</v>
      </c>
      <c r="Q113" s="12" t="s">
        <v>101</v>
      </c>
      <c r="R113" s="12" t="s">
        <v>223</v>
      </c>
      <c r="S113" s="10" t="n">
        <v>4210504</v>
      </c>
      <c r="T113" s="12" t="s">
        <v>224</v>
      </c>
      <c r="U113" s="13" t="n">
        <v>487.31</v>
      </c>
      <c r="W113" s="13" t="n">
        <v>0</v>
      </c>
      <c r="X113" s="12" t="s">
        <v>231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46191</v>
      </c>
      <c r="C114" s="11" t="n">
        <v>46205</v>
      </c>
      <c r="D114" s="10" t="n">
        <v>1815</v>
      </c>
      <c r="E114" s="12" t="s">
        <v>175</v>
      </c>
      <c r="F114" s="10" t="n">
        <v>24</v>
      </c>
      <c r="G114" s="12" t="s">
        <v>40</v>
      </c>
      <c r="H114" s="10" t="n">
        <v>2110101</v>
      </c>
      <c r="I114" s="12" t="s">
        <v>32</v>
      </c>
      <c r="J114" s="10" t="n">
        <v>1269162</v>
      </c>
      <c r="L114" s="10" t="n">
        <v>387833</v>
      </c>
      <c r="M114" s="12" t="s">
        <v>108</v>
      </c>
      <c r="N114" s="12" t="s">
        <v>34</v>
      </c>
      <c r="P114" s="10" t="n">
        <v>113</v>
      </c>
      <c r="Q114" s="12" t="s">
        <v>35</v>
      </c>
      <c r="R114" s="12" t="s">
        <v>36</v>
      </c>
      <c r="S114" s="10" t="n">
        <v>1130101</v>
      </c>
      <c r="T114" s="12" t="s">
        <v>37</v>
      </c>
      <c r="U114" s="13" t="n">
        <v>2664.53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46199</v>
      </c>
      <c r="C115" s="11" t="n">
        <v>46205</v>
      </c>
      <c r="D115" s="10" t="n">
        <v>581</v>
      </c>
      <c r="E115" s="12" t="s">
        <v>233</v>
      </c>
      <c r="F115" s="10" t="n">
        <v>24</v>
      </c>
      <c r="G115" s="12" t="s">
        <v>40</v>
      </c>
      <c r="H115" s="10" t="n">
        <v>2110101</v>
      </c>
      <c r="I115" s="12" t="s">
        <v>32</v>
      </c>
      <c r="J115" s="10" t="n">
        <v>1309632</v>
      </c>
      <c r="L115" s="10" t="n">
        <v>31144</v>
      </c>
      <c r="M115" s="12" t="s">
        <v>33</v>
      </c>
      <c r="N115" s="12" t="s">
        <v>34</v>
      </c>
      <c r="P115" s="10" t="n">
        <v>113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199</v>
      </c>
      <c r="W115" s="13" t="n">
        <v>0</v>
      </c>
      <c r="X115" s="12" t="s">
        <v>234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46188</v>
      </c>
      <c r="C116" s="11" t="n">
        <v>46205</v>
      </c>
      <c r="D116" s="10" t="n">
        <v>1611</v>
      </c>
      <c r="E116" s="12" t="s">
        <v>235</v>
      </c>
      <c r="F116" s="10" t="n">
        <v>24</v>
      </c>
      <c r="G116" s="12" t="s">
        <v>40</v>
      </c>
      <c r="H116" s="10" t="n">
        <v>2110101</v>
      </c>
      <c r="I116" s="12" t="s">
        <v>32</v>
      </c>
      <c r="J116" s="10" t="n">
        <v>1255460</v>
      </c>
      <c r="L116" s="10" t="n">
        <v>1771887</v>
      </c>
      <c r="M116" s="12" t="s">
        <v>108</v>
      </c>
      <c r="N116" s="12" t="s">
        <v>34</v>
      </c>
      <c r="P116" s="10" t="n">
        <v>113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613.33</v>
      </c>
      <c r="W116" s="13" t="n">
        <v>0</v>
      </c>
      <c r="X116" s="12" t="s">
        <v>236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46186</v>
      </c>
      <c r="C117" s="11" t="n">
        <v>46205</v>
      </c>
      <c r="D117" s="10" t="n">
        <v>10009</v>
      </c>
      <c r="E117" s="12" t="s">
        <v>76</v>
      </c>
      <c r="F117" s="10" t="n">
        <v>24</v>
      </c>
      <c r="G117" s="12" t="s">
        <v>40</v>
      </c>
      <c r="H117" s="10" t="n">
        <v>2110101</v>
      </c>
      <c r="I117" s="12" t="s">
        <v>32</v>
      </c>
      <c r="J117" s="10" t="n">
        <v>1244221</v>
      </c>
      <c r="L117" s="10" t="n">
        <v>1415530</v>
      </c>
      <c r="M117" s="12" t="s">
        <v>41</v>
      </c>
      <c r="N117" s="12" t="s">
        <v>34</v>
      </c>
      <c r="P117" s="10" t="n">
        <v>113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731.24</v>
      </c>
      <c r="W117" s="13" t="n">
        <v>0</v>
      </c>
      <c r="X117" s="12" t="s">
        <v>237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46188</v>
      </c>
      <c r="C118" s="11" t="n">
        <v>46205</v>
      </c>
      <c r="D118" s="10" t="n">
        <v>10009</v>
      </c>
      <c r="E118" s="12" t="s">
        <v>76</v>
      </c>
      <c r="F118" s="10" t="n">
        <v>24</v>
      </c>
      <c r="G118" s="12" t="s">
        <v>40</v>
      </c>
      <c r="H118" s="10" t="n">
        <v>2110101</v>
      </c>
      <c r="I118" s="12" t="s">
        <v>32</v>
      </c>
      <c r="J118" s="10" t="n">
        <v>1255250</v>
      </c>
      <c r="L118" s="10" t="n">
        <v>1415529</v>
      </c>
      <c r="M118" s="12" t="s">
        <v>41</v>
      </c>
      <c r="N118" s="12" t="s">
        <v>34</v>
      </c>
      <c r="P118" s="10" t="n">
        <v>113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1484.53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46198</v>
      </c>
      <c r="C119" s="11" t="n">
        <v>46205</v>
      </c>
      <c r="D119" s="10" t="n">
        <v>1024</v>
      </c>
      <c r="E119" s="12" t="s">
        <v>239</v>
      </c>
      <c r="F119" s="10" t="n">
        <v>24</v>
      </c>
      <c r="G119" s="12" t="s">
        <v>40</v>
      </c>
      <c r="H119" s="10" t="n">
        <v>2110101</v>
      </c>
      <c r="I119" s="12" t="s">
        <v>32</v>
      </c>
      <c r="J119" s="10" t="n">
        <v>1306154</v>
      </c>
      <c r="L119" s="10" t="n">
        <v>590547</v>
      </c>
      <c r="M119" s="12" t="s">
        <v>33</v>
      </c>
      <c r="N119" s="12" t="s">
        <v>34</v>
      </c>
      <c r="P119" s="10" t="n">
        <v>113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262</v>
      </c>
      <c r="W119" s="13" t="n">
        <v>0</v>
      </c>
      <c r="X119" s="12" t="s">
        <v>240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46189</v>
      </c>
      <c r="C120" s="11" t="n">
        <v>46205</v>
      </c>
      <c r="D120" s="10" t="n">
        <v>1624</v>
      </c>
      <c r="E120" s="12" t="s">
        <v>241</v>
      </c>
      <c r="F120" s="10" t="n">
        <v>24</v>
      </c>
      <c r="G120" s="12" t="s">
        <v>40</v>
      </c>
      <c r="H120" s="10" t="n">
        <v>2110101</v>
      </c>
      <c r="I120" s="12" t="s">
        <v>32</v>
      </c>
      <c r="J120" s="10" t="n">
        <v>1261007</v>
      </c>
      <c r="L120" s="10" t="n">
        <v>658429</v>
      </c>
      <c r="M120" s="12" t="s">
        <v>33</v>
      </c>
      <c r="N120" s="12" t="s">
        <v>34</v>
      </c>
      <c r="P120" s="10" t="n">
        <v>113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550.4</v>
      </c>
      <c r="W120" s="13" t="n">
        <v>0</v>
      </c>
      <c r="X120" s="12" t="s">
        <v>242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46191</v>
      </c>
      <c r="C121" s="11" t="n">
        <v>46205</v>
      </c>
      <c r="D121" s="10" t="n">
        <v>1676</v>
      </c>
      <c r="E121" s="12" t="s">
        <v>243</v>
      </c>
      <c r="F121" s="10" t="n">
        <v>24</v>
      </c>
      <c r="G121" s="12" t="s">
        <v>40</v>
      </c>
      <c r="H121" s="10" t="n">
        <v>2110101</v>
      </c>
      <c r="I121" s="12" t="s">
        <v>32</v>
      </c>
      <c r="J121" s="10" t="n">
        <v>1270149</v>
      </c>
      <c r="L121" s="10" t="n">
        <v>10423</v>
      </c>
      <c r="M121" s="12" t="s">
        <v>33</v>
      </c>
      <c r="N121" s="12" t="s">
        <v>34</v>
      </c>
      <c r="P121" s="10" t="n">
        <v>113</v>
      </c>
      <c r="Q121" s="12" t="s">
        <v>35</v>
      </c>
      <c r="R121" s="12" t="s">
        <v>36</v>
      </c>
      <c r="S121" s="10" t="n">
        <v>1130101</v>
      </c>
      <c r="T121" s="12" t="s">
        <v>37</v>
      </c>
      <c r="U121" s="13" t="n">
        <v>552.38</v>
      </c>
      <c r="W121" s="13" t="n">
        <v>0</v>
      </c>
      <c r="X121" s="12" t="s">
        <v>244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46195</v>
      </c>
      <c r="C122" s="11" t="n">
        <v>46205</v>
      </c>
      <c r="D122" s="10" t="n">
        <v>1643</v>
      </c>
      <c r="E122" s="12" t="s">
        <v>245</v>
      </c>
      <c r="F122" s="10" t="n">
        <v>24</v>
      </c>
      <c r="G122" s="12" t="s">
        <v>40</v>
      </c>
      <c r="H122" s="10" t="n">
        <v>2110101</v>
      </c>
      <c r="I122" s="12" t="s">
        <v>32</v>
      </c>
      <c r="J122" s="10" t="n">
        <v>1289129</v>
      </c>
      <c r="L122" s="10" t="n">
        <v>10605</v>
      </c>
      <c r="M122" s="12" t="s">
        <v>33</v>
      </c>
      <c r="N122" s="12" t="s">
        <v>34</v>
      </c>
      <c r="P122" s="10" t="n">
        <v>113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228</v>
      </c>
      <c r="W122" s="13" t="n">
        <v>0</v>
      </c>
      <c r="X122" s="12" t="s">
        <v>246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46206</v>
      </c>
      <c r="C123" s="11" t="n">
        <v>46206</v>
      </c>
      <c r="D123" s="10" t="n">
        <v>52</v>
      </c>
      <c r="E123" s="12" t="s">
        <v>247</v>
      </c>
      <c r="F123" s="10" t="n">
        <v>34</v>
      </c>
      <c r="G123" s="12" t="s">
        <v>31</v>
      </c>
      <c r="H123" s="10" t="n">
        <v>2110405</v>
      </c>
      <c r="I123" s="12" t="s">
        <v>87</v>
      </c>
      <c r="J123" s="10" t="n">
        <v>1370446</v>
      </c>
      <c r="L123" s="10" t="n">
        <v>184273</v>
      </c>
      <c r="M123" s="12" t="s">
        <v>33</v>
      </c>
      <c r="N123" s="12" t="s">
        <v>51</v>
      </c>
      <c r="P123" s="10" t="n">
        <v>113</v>
      </c>
      <c r="Q123" s="12" t="s">
        <v>35</v>
      </c>
      <c r="R123" s="12" t="s">
        <v>102</v>
      </c>
      <c r="S123" s="10" t="n">
        <v>4210301</v>
      </c>
      <c r="T123" s="12" t="s">
        <v>131</v>
      </c>
      <c r="U123" s="13" t="n">
        <v>609.34</v>
      </c>
      <c r="W123" s="13" t="n">
        <v>0</v>
      </c>
      <c r="X123" s="12" t="s">
        <v>248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46206</v>
      </c>
      <c r="C124" s="11" t="n">
        <v>46206</v>
      </c>
      <c r="D124" s="10" t="n">
        <v>52</v>
      </c>
      <c r="E124" s="12" t="s">
        <v>247</v>
      </c>
      <c r="F124" s="10" t="n">
        <v>7</v>
      </c>
      <c r="G124" s="12" t="s">
        <v>249</v>
      </c>
      <c r="H124" s="10" t="n">
        <v>2110405</v>
      </c>
      <c r="I124" s="12" t="s">
        <v>87</v>
      </c>
      <c r="J124" s="10" t="n">
        <v>1370448</v>
      </c>
      <c r="L124" s="10" t="n">
        <v>184274</v>
      </c>
      <c r="M124" s="12" t="s">
        <v>33</v>
      </c>
      <c r="N124" s="12" t="s">
        <v>51</v>
      </c>
      <c r="P124" s="10" t="n">
        <v>113</v>
      </c>
      <c r="Q124" s="12" t="s">
        <v>35</v>
      </c>
      <c r="R124" s="12" t="s">
        <v>102</v>
      </c>
      <c r="S124" s="10" t="n">
        <v>4210301</v>
      </c>
      <c r="T124" s="12" t="s">
        <v>131</v>
      </c>
      <c r="U124" s="13" t="n">
        <v>399.37</v>
      </c>
      <c r="W124" s="13" t="n">
        <v>0</v>
      </c>
      <c r="X124" s="12" t="s">
        <v>250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46195</v>
      </c>
      <c r="C125" s="11" t="n">
        <v>46206</v>
      </c>
      <c r="D125" s="10" t="n">
        <v>1695</v>
      </c>
      <c r="E125" s="12" t="s">
        <v>39</v>
      </c>
      <c r="F125" s="10" t="n">
        <v>24</v>
      </c>
      <c r="G125" s="12" t="s">
        <v>40</v>
      </c>
      <c r="H125" s="10" t="n">
        <v>2110101</v>
      </c>
      <c r="I125" s="12" t="s">
        <v>32</v>
      </c>
      <c r="J125" s="10" t="n">
        <v>1289973</v>
      </c>
      <c r="L125" s="10" t="n">
        <v>18762</v>
      </c>
      <c r="M125" s="12" t="s">
        <v>108</v>
      </c>
      <c r="N125" s="12" t="s">
        <v>34</v>
      </c>
      <c r="P125" s="10" t="n">
        <v>113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1433.64</v>
      </c>
      <c r="W125" s="13" t="n">
        <v>0</v>
      </c>
      <c r="X125" s="12" t="s">
        <v>251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46200</v>
      </c>
      <c r="C126" s="11" t="n">
        <v>46206</v>
      </c>
      <c r="D126" s="10" t="n">
        <v>1695</v>
      </c>
      <c r="E126" s="12" t="s">
        <v>39</v>
      </c>
      <c r="F126" s="10" t="n">
        <v>24</v>
      </c>
      <c r="G126" s="12" t="s">
        <v>40</v>
      </c>
      <c r="H126" s="10" t="n">
        <v>2110101</v>
      </c>
      <c r="I126" s="12" t="s">
        <v>32</v>
      </c>
      <c r="J126" s="10" t="n">
        <v>1312835</v>
      </c>
      <c r="L126" s="10" t="n">
        <v>18889</v>
      </c>
      <c r="M126" s="12" t="s">
        <v>33</v>
      </c>
      <c r="N126" s="12" t="s">
        <v>34</v>
      </c>
      <c r="P126" s="10" t="n">
        <v>113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796.74</v>
      </c>
      <c r="W126" s="13" t="n">
        <v>0</v>
      </c>
      <c r="X126" s="12" t="s">
        <v>252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46203</v>
      </c>
      <c r="C127" s="11" t="n">
        <v>46206</v>
      </c>
      <c r="D127" s="10" t="n">
        <v>1695</v>
      </c>
      <c r="E127" s="12" t="s">
        <v>39</v>
      </c>
      <c r="F127" s="10" t="n">
        <v>34</v>
      </c>
      <c r="G127" s="12" t="s">
        <v>31</v>
      </c>
      <c r="H127" s="10" t="n">
        <v>2110101</v>
      </c>
      <c r="I127" s="12" t="s">
        <v>32</v>
      </c>
      <c r="J127" s="10" t="n">
        <v>1330221</v>
      </c>
      <c r="L127" s="10" t="n">
        <v>178148</v>
      </c>
      <c r="M127" s="12" t="s">
        <v>33</v>
      </c>
      <c r="N127" s="12" t="s">
        <v>51</v>
      </c>
      <c r="P127" s="10" t="n">
        <v>113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534.44</v>
      </c>
      <c r="W127" s="13" t="n">
        <v>0</v>
      </c>
      <c r="X127" s="12" t="s">
        <v>253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46199</v>
      </c>
      <c r="C128" s="11" t="n">
        <v>46206</v>
      </c>
      <c r="D128" s="10" t="n">
        <v>1642</v>
      </c>
      <c r="E128" s="12" t="s">
        <v>254</v>
      </c>
      <c r="F128" s="10" t="n">
        <v>24</v>
      </c>
      <c r="G128" s="12" t="s">
        <v>40</v>
      </c>
      <c r="H128" s="10" t="n">
        <v>2110101</v>
      </c>
      <c r="I128" s="12" t="s">
        <v>32</v>
      </c>
      <c r="J128" s="10" t="n">
        <v>1309652</v>
      </c>
      <c r="L128" s="10" t="n">
        <v>1029069</v>
      </c>
      <c r="M128" s="12" t="s">
        <v>33</v>
      </c>
      <c r="N128" s="12" t="s">
        <v>34</v>
      </c>
      <c r="P128" s="10" t="n">
        <v>113</v>
      </c>
      <c r="Q128" s="12" t="s">
        <v>35</v>
      </c>
      <c r="R128" s="12" t="s">
        <v>36</v>
      </c>
      <c r="S128" s="10" t="n">
        <v>1130101</v>
      </c>
      <c r="T128" s="12" t="s">
        <v>37</v>
      </c>
      <c r="U128" s="13" t="n">
        <v>305.38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46206</v>
      </c>
      <c r="C129" s="11" t="n">
        <v>46206</v>
      </c>
      <c r="D129" s="10" t="n">
        <v>34</v>
      </c>
      <c r="E129" s="12" t="s">
        <v>256</v>
      </c>
      <c r="F129" s="10" t="n">
        <v>11</v>
      </c>
      <c r="G129" s="12" t="s">
        <v>257</v>
      </c>
      <c r="H129" s="10" t="n">
        <v>2110405</v>
      </c>
      <c r="I129" s="12" t="s">
        <v>87</v>
      </c>
      <c r="J129" s="10" t="n">
        <v>1344469</v>
      </c>
      <c r="L129" s="10" t="n">
        <v>180481</v>
      </c>
      <c r="M129" s="12" t="s">
        <v>33</v>
      </c>
      <c r="N129" s="12" t="s">
        <v>51</v>
      </c>
      <c r="P129" s="10" t="n">
        <v>101</v>
      </c>
      <c r="Q129" s="12" t="s">
        <v>69</v>
      </c>
      <c r="R129" s="12" t="s">
        <v>88</v>
      </c>
      <c r="S129" s="10" t="n">
        <v>4210231</v>
      </c>
      <c r="T129" s="12" t="s">
        <v>258</v>
      </c>
      <c r="U129" s="13" t="n">
        <v>1217.33</v>
      </c>
      <c r="W129" s="13" t="n">
        <v>0</v>
      </c>
      <c r="X129" s="12" t="s">
        <v>259</v>
      </c>
      <c r="Z129" s="1" t="str">
        <f aca="false">IF($T129="","",IFERROR(INDEX('Resumo Grupos'!$AC$3:$AC$200,MATCH($T129,'Resumo Grupos'!$AB$3:$AB$200,0)),"n/d"))</f>
        <v>Despesa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46206</v>
      </c>
      <c r="C130" s="11" t="n">
        <v>46206</v>
      </c>
      <c r="D130" s="10" t="n">
        <v>34</v>
      </c>
      <c r="E130" s="12" t="s">
        <v>256</v>
      </c>
      <c r="F130" s="10" t="n">
        <v>7</v>
      </c>
      <c r="G130" s="12" t="s">
        <v>249</v>
      </c>
      <c r="H130" s="10" t="n">
        <v>2110405</v>
      </c>
      <c r="I130" s="12" t="s">
        <v>87</v>
      </c>
      <c r="J130" s="10" t="n">
        <v>1370577</v>
      </c>
      <c r="L130" s="10" t="n">
        <v>184313</v>
      </c>
      <c r="M130" s="12" t="s">
        <v>33</v>
      </c>
      <c r="N130" s="12" t="s">
        <v>51</v>
      </c>
      <c r="P130" s="10" t="n">
        <v>113</v>
      </c>
      <c r="Q130" s="12" t="s">
        <v>35</v>
      </c>
      <c r="R130" s="12" t="s">
        <v>102</v>
      </c>
      <c r="S130" s="10" t="n">
        <v>4210301</v>
      </c>
      <c r="T130" s="12" t="s">
        <v>131</v>
      </c>
      <c r="U130" s="13" t="n">
        <v>1217.33</v>
      </c>
      <c r="W130" s="13" t="n">
        <v>0</v>
      </c>
      <c r="X130" s="12" t="s">
        <v>250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46202</v>
      </c>
      <c r="C131" s="11" t="n">
        <v>46206</v>
      </c>
      <c r="D131" s="10" t="n">
        <v>1621</v>
      </c>
      <c r="E131" s="12" t="s">
        <v>62</v>
      </c>
      <c r="F131" s="10" t="n">
        <v>24</v>
      </c>
      <c r="G131" s="12" t="s">
        <v>40</v>
      </c>
      <c r="H131" s="10" t="n">
        <v>2110101</v>
      </c>
      <c r="I131" s="12" t="s">
        <v>32</v>
      </c>
      <c r="J131" s="10" t="n">
        <v>1321849</v>
      </c>
      <c r="L131" s="10" t="n">
        <v>877177</v>
      </c>
      <c r="M131" s="12" t="s">
        <v>33</v>
      </c>
      <c r="N131" s="12" t="s">
        <v>34</v>
      </c>
      <c r="P131" s="10" t="n">
        <v>113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2177.83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46202</v>
      </c>
      <c r="C132" s="11" t="n">
        <v>46206</v>
      </c>
      <c r="D132" s="10" t="n">
        <v>1621</v>
      </c>
      <c r="E132" s="12" t="s">
        <v>62</v>
      </c>
      <c r="F132" s="10" t="n">
        <v>24</v>
      </c>
      <c r="G132" s="12" t="s">
        <v>40</v>
      </c>
      <c r="H132" s="10" t="n">
        <v>2110101</v>
      </c>
      <c r="I132" s="12" t="s">
        <v>32</v>
      </c>
      <c r="J132" s="10" t="n">
        <v>1321861</v>
      </c>
      <c r="L132" s="10" t="n">
        <v>175257</v>
      </c>
      <c r="M132" s="12" t="s">
        <v>33</v>
      </c>
      <c r="N132" s="12" t="s">
        <v>51</v>
      </c>
      <c r="P132" s="10" t="n">
        <v>113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1.55</v>
      </c>
      <c r="W132" s="13" t="n">
        <v>0</v>
      </c>
      <c r="X132" s="12" t="s">
        <v>261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46206</v>
      </c>
      <c r="C133" s="11" t="n">
        <v>46206</v>
      </c>
      <c r="D133" s="10" t="n">
        <v>340</v>
      </c>
      <c r="E133" s="12" t="s">
        <v>262</v>
      </c>
      <c r="F133" s="10" t="n">
        <v>34</v>
      </c>
      <c r="G133" s="12" t="s">
        <v>31</v>
      </c>
      <c r="H133" s="10" t="n">
        <v>2110405</v>
      </c>
      <c r="I133" s="12" t="s">
        <v>87</v>
      </c>
      <c r="J133" s="10" t="n">
        <v>1370455</v>
      </c>
      <c r="L133" s="10" t="n">
        <v>184276</v>
      </c>
      <c r="M133" s="12" t="s">
        <v>33</v>
      </c>
      <c r="N133" s="12" t="s">
        <v>51</v>
      </c>
      <c r="P133" s="10" t="n">
        <v>113</v>
      </c>
      <c r="Q133" s="12" t="s">
        <v>35</v>
      </c>
      <c r="R133" s="12" t="s">
        <v>102</v>
      </c>
      <c r="S133" s="10" t="n">
        <v>4210301</v>
      </c>
      <c r="T133" s="12" t="s">
        <v>131</v>
      </c>
      <c r="U133" s="13" t="n">
        <v>1514.86</v>
      </c>
      <c r="W133" s="13" t="n">
        <v>0</v>
      </c>
      <c r="X133" s="12" t="s">
        <v>248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46206</v>
      </c>
      <c r="C134" s="11" t="n">
        <v>46206</v>
      </c>
      <c r="D134" s="10" t="n">
        <v>340</v>
      </c>
      <c r="E134" s="12" t="s">
        <v>262</v>
      </c>
      <c r="F134" s="10" t="n">
        <v>7</v>
      </c>
      <c r="G134" s="12" t="s">
        <v>249</v>
      </c>
      <c r="H134" s="10" t="n">
        <v>2110405</v>
      </c>
      <c r="I134" s="12" t="s">
        <v>87</v>
      </c>
      <c r="J134" s="10" t="n">
        <v>1370456</v>
      </c>
      <c r="L134" s="10" t="n">
        <v>184277</v>
      </c>
      <c r="M134" s="12" t="s">
        <v>33</v>
      </c>
      <c r="N134" s="12" t="s">
        <v>51</v>
      </c>
      <c r="P134" s="10" t="n">
        <v>113</v>
      </c>
      <c r="Q134" s="12" t="s">
        <v>35</v>
      </c>
      <c r="R134" s="12" t="s">
        <v>102</v>
      </c>
      <c r="S134" s="10" t="n">
        <v>4210301</v>
      </c>
      <c r="T134" s="12" t="s">
        <v>131</v>
      </c>
      <c r="U134" s="13" t="n">
        <v>93.06</v>
      </c>
      <c r="W134" s="13" t="n">
        <v>0</v>
      </c>
      <c r="X134" s="12" t="s">
        <v>250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46191</v>
      </c>
      <c r="C135" s="11" t="n">
        <v>46206</v>
      </c>
      <c r="D135" s="10" t="n">
        <v>1718</v>
      </c>
      <c r="E135" s="12" t="s">
        <v>263</v>
      </c>
      <c r="F135" s="10" t="n">
        <v>24</v>
      </c>
      <c r="G135" s="12" t="s">
        <v>40</v>
      </c>
      <c r="H135" s="10" t="n">
        <v>2110101</v>
      </c>
      <c r="I135" s="12" t="s">
        <v>32</v>
      </c>
      <c r="J135" s="10" t="n">
        <v>1269265</v>
      </c>
      <c r="L135" s="10" t="n">
        <v>674938</v>
      </c>
      <c r="M135" s="12" t="s">
        <v>33</v>
      </c>
      <c r="N135" s="12" t="s">
        <v>34</v>
      </c>
      <c r="P135" s="10" t="n">
        <v>113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658.25</v>
      </c>
      <c r="W135" s="13" t="n">
        <v>0</v>
      </c>
      <c r="X135" s="12" t="s">
        <v>264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46191</v>
      </c>
      <c r="C136" s="11" t="n">
        <v>46206</v>
      </c>
      <c r="D136" s="10" t="n">
        <v>1718</v>
      </c>
      <c r="E136" s="12" t="s">
        <v>263</v>
      </c>
      <c r="F136" s="10" t="n">
        <v>24</v>
      </c>
      <c r="G136" s="12" t="s">
        <v>40</v>
      </c>
      <c r="H136" s="10" t="n">
        <v>2110101</v>
      </c>
      <c r="I136" s="12" t="s">
        <v>32</v>
      </c>
      <c r="J136" s="10" t="n">
        <v>1269305</v>
      </c>
      <c r="L136" s="10" t="n">
        <v>674937</v>
      </c>
      <c r="M136" s="12" t="s">
        <v>33</v>
      </c>
      <c r="N136" s="12" t="s">
        <v>34</v>
      </c>
      <c r="P136" s="10" t="n">
        <v>113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1055.34</v>
      </c>
      <c r="W136" s="13" t="n">
        <v>0</v>
      </c>
      <c r="X136" s="12" t="s">
        <v>265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46195</v>
      </c>
      <c r="C137" s="11" t="n">
        <v>46206</v>
      </c>
      <c r="D137" s="10" t="n">
        <v>1608</v>
      </c>
      <c r="E137" s="12" t="s">
        <v>266</v>
      </c>
      <c r="F137" s="10" t="n">
        <v>24</v>
      </c>
      <c r="G137" s="12" t="s">
        <v>40</v>
      </c>
      <c r="H137" s="10" t="n">
        <v>2110101</v>
      </c>
      <c r="I137" s="12" t="s">
        <v>32</v>
      </c>
      <c r="J137" s="10" t="n">
        <v>1289449</v>
      </c>
      <c r="L137" s="10" t="n">
        <v>1676804</v>
      </c>
      <c r="M137" s="12" t="s">
        <v>33</v>
      </c>
      <c r="N137" s="12" t="s">
        <v>34</v>
      </c>
      <c r="P137" s="10" t="n">
        <v>113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1154.89</v>
      </c>
      <c r="W137" s="13" t="n">
        <v>0</v>
      </c>
      <c r="X137" s="12" t="s">
        <v>267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46186</v>
      </c>
      <c r="C138" s="11" t="n">
        <v>46206</v>
      </c>
      <c r="D138" s="10" t="n">
        <v>1636</v>
      </c>
      <c r="E138" s="12" t="s">
        <v>65</v>
      </c>
      <c r="F138" s="10" t="n">
        <v>24</v>
      </c>
      <c r="G138" s="12" t="s">
        <v>40</v>
      </c>
      <c r="H138" s="10" t="n">
        <v>2110101</v>
      </c>
      <c r="I138" s="12" t="s">
        <v>32</v>
      </c>
      <c r="J138" s="10" t="n">
        <v>1244627</v>
      </c>
      <c r="L138" s="10" t="n">
        <v>3201857</v>
      </c>
      <c r="M138" s="12" t="s">
        <v>33</v>
      </c>
      <c r="N138" s="12" t="s">
        <v>34</v>
      </c>
      <c r="P138" s="10" t="n">
        <v>113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892.08</v>
      </c>
      <c r="W138" s="13" t="n">
        <v>0</v>
      </c>
      <c r="X138" s="12" t="s">
        <v>268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46206</v>
      </c>
      <c r="C139" s="11" t="n">
        <v>46206</v>
      </c>
      <c r="D139" s="10" t="n">
        <v>23</v>
      </c>
      <c r="E139" s="12" t="s">
        <v>269</v>
      </c>
      <c r="F139" s="10" t="n">
        <v>7</v>
      </c>
      <c r="G139" s="12" t="s">
        <v>249</v>
      </c>
      <c r="H139" s="10" t="n">
        <v>2110405</v>
      </c>
      <c r="I139" s="12" t="s">
        <v>87</v>
      </c>
      <c r="J139" s="10" t="n">
        <v>1370463</v>
      </c>
      <c r="L139" s="10" t="n">
        <v>184279</v>
      </c>
      <c r="M139" s="12" t="s">
        <v>33</v>
      </c>
      <c r="N139" s="12" t="s">
        <v>51</v>
      </c>
      <c r="P139" s="10" t="n">
        <v>113</v>
      </c>
      <c r="Q139" s="12" t="s">
        <v>35</v>
      </c>
      <c r="R139" s="12" t="s">
        <v>102</v>
      </c>
      <c r="S139" s="10" t="n">
        <v>4210301</v>
      </c>
      <c r="T139" s="12" t="s">
        <v>131</v>
      </c>
      <c r="U139" s="13" t="n">
        <v>999.58</v>
      </c>
      <c r="W139" s="13" t="n">
        <v>0</v>
      </c>
      <c r="X139" s="12" t="s">
        <v>270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46206</v>
      </c>
      <c r="C140" s="11" t="n">
        <v>46206</v>
      </c>
      <c r="D140" s="10" t="n">
        <v>23</v>
      </c>
      <c r="E140" s="12" t="s">
        <v>269</v>
      </c>
      <c r="F140" s="10" t="n">
        <v>34</v>
      </c>
      <c r="G140" s="12" t="s">
        <v>31</v>
      </c>
      <c r="H140" s="10" t="n">
        <v>2110405</v>
      </c>
      <c r="I140" s="12" t="s">
        <v>87</v>
      </c>
      <c r="J140" s="10" t="n">
        <v>1370482</v>
      </c>
      <c r="L140" s="10" t="n">
        <v>184280</v>
      </c>
      <c r="M140" s="12" t="s">
        <v>33</v>
      </c>
      <c r="N140" s="12" t="s">
        <v>51</v>
      </c>
      <c r="P140" s="10" t="n">
        <v>113</v>
      </c>
      <c r="Q140" s="12" t="s">
        <v>35</v>
      </c>
      <c r="R140" s="12" t="s">
        <v>102</v>
      </c>
      <c r="S140" s="10" t="n">
        <v>4210301</v>
      </c>
      <c r="T140" s="12" t="s">
        <v>131</v>
      </c>
      <c r="U140" s="13" t="n">
        <v>350.42</v>
      </c>
      <c r="W140" s="13" t="n">
        <v>0</v>
      </c>
      <c r="X140" s="12" t="s">
        <v>248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46206</v>
      </c>
      <c r="C141" s="11" t="n">
        <v>46206</v>
      </c>
      <c r="D141" s="10" t="n">
        <v>73</v>
      </c>
      <c r="E141" s="12" t="s">
        <v>166</v>
      </c>
      <c r="F141" s="10" t="n">
        <v>34</v>
      </c>
      <c r="G141" s="12" t="s">
        <v>31</v>
      </c>
      <c r="H141" s="10" t="n">
        <v>2110405</v>
      </c>
      <c r="I141" s="12" t="s">
        <v>87</v>
      </c>
      <c r="J141" s="10" t="n">
        <v>1370496</v>
      </c>
      <c r="L141" s="10" t="n">
        <v>184281</v>
      </c>
      <c r="M141" s="12" t="s">
        <v>33</v>
      </c>
      <c r="N141" s="12" t="s">
        <v>51</v>
      </c>
      <c r="P141" s="10" t="n">
        <v>113</v>
      </c>
      <c r="Q141" s="12" t="s">
        <v>35</v>
      </c>
      <c r="R141" s="12" t="s">
        <v>102</v>
      </c>
      <c r="S141" s="10" t="n">
        <v>4210301</v>
      </c>
      <c r="T141" s="12" t="s">
        <v>131</v>
      </c>
      <c r="U141" s="13" t="n">
        <v>1122.72</v>
      </c>
      <c r="W141" s="13" t="n">
        <v>0</v>
      </c>
      <c r="X141" s="12" t="s">
        <v>248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46206</v>
      </c>
      <c r="C142" s="11" t="n">
        <v>46206</v>
      </c>
      <c r="D142" s="10" t="n">
        <v>73</v>
      </c>
      <c r="E142" s="12" t="s">
        <v>166</v>
      </c>
      <c r="F142" s="10" t="n">
        <v>7</v>
      </c>
      <c r="G142" s="12" t="s">
        <v>249</v>
      </c>
      <c r="H142" s="10" t="n">
        <v>2110405</v>
      </c>
      <c r="I142" s="12" t="s">
        <v>87</v>
      </c>
      <c r="J142" s="10" t="n">
        <v>1370502</v>
      </c>
      <c r="L142" s="10" t="n">
        <v>184282</v>
      </c>
      <c r="M142" s="12" t="s">
        <v>33</v>
      </c>
      <c r="N142" s="12" t="s">
        <v>51</v>
      </c>
      <c r="P142" s="10" t="n">
        <v>113</v>
      </c>
      <c r="Q142" s="12" t="s">
        <v>35</v>
      </c>
      <c r="R142" s="12" t="s">
        <v>102</v>
      </c>
      <c r="S142" s="10" t="n">
        <v>4210301</v>
      </c>
      <c r="T142" s="12" t="s">
        <v>131</v>
      </c>
      <c r="U142" s="13" t="n">
        <v>48.67</v>
      </c>
      <c r="W142" s="13" t="n">
        <v>0</v>
      </c>
      <c r="X142" s="12" t="s">
        <v>250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46206</v>
      </c>
      <c r="C143" s="11" t="n">
        <v>46206</v>
      </c>
      <c r="D143" s="10" t="n">
        <v>1037</v>
      </c>
      <c r="E143" s="12" t="s">
        <v>125</v>
      </c>
      <c r="F143" s="10" t="n">
        <v>34</v>
      </c>
      <c r="G143" s="12" t="s">
        <v>31</v>
      </c>
      <c r="H143" s="10" t="n">
        <v>1110203</v>
      </c>
      <c r="I143" s="12" t="s">
        <v>50</v>
      </c>
      <c r="J143" s="10" t="n">
        <v>1345240</v>
      </c>
      <c r="L143" s="10" t="n">
        <v>180664</v>
      </c>
      <c r="M143" s="12" t="s">
        <v>33</v>
      </c>
      <c r="N143" s="12" t="s">
        <v>51</v>
      </c>
      <c r="P143" s="10" t="n">
        <v>102</v>
      </c>
      <c r="Q143" s="12" t="s">
        <v>101</v>
      </c>
      <c r="R143" s="12" t="s">
        <v>271</v>
      </c>
      <c r="S143" s="10" t="n">
        <v>4220199</v>
      </c>
      <c r="T143" s="12" t="s">
        <v>272</v>
      </c>
      <c r="U143" s="13" t="n">
        <v>2875</v>
      </c>
      <c r="W143" s="13" t="n">
        <v>0</v>
      </c>
      <c r="X143" s="12" t="s">
        <v>273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46206</v>
      </c>
      <c r="C144" s="11" t="n">
        <v>46206</v>
      </c>
      <c r="D144" s="10" t="n">
        <v>1037</v>
      </c>
      <c r="E144" s="12" t="s">
        <v>125</v>
      </c>
      <c r="F144" s="10" t="n">
        <v>13</v>
      </c>
      <c r="G144" s="12" t="s">
        <v>49</v>
      </c>
      <c r="H144" s="10" t="n">
        <v>2110101</v>
      </c>
      <c r="I144" s="12" t="s">
        <v>32</v>
      </c>
      <c r="J144" s="10" t="n">
        <v>1345399</v>
      </c>
      <c r="L144" s="10" t="n">
        <v>180710</v>
      </c>
      <c r="M144" s="12" t="s">
        <v>33</v>
      </c>
      <c r="N144" s="12" t="s">
        <v>51</v>
      </c>
      <c r="P144" s="10" t="n">
        <v>113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280</v>
      </c>
      <c r="W144" s="13" t="n">
        <v>0</v>
      </c>
      <c r="X144" s="12" t="s">
        <v>274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46185</v>
      </c>
      <c r="C145" s="11" t="n">
        <v>46206</v>
      </c>
      <c r="D145" s="10" t="n">
        <v>1667</v>
      </c>
      <c r="E145" s="12" t="s">
        <v>67</v>
      </c>
      <c r="F145" s="10" t="n">
        <v>24</v>
      </c>
      <c r="G145" s="12" t="s">
        <v>40</v>
      </c>
      <c r="H145" s="10" t="n">
        <v>2110101</v>
      </c>
      <c r="I145" s="12" t="s">
        <v>32</v>
      </c>
      <c r="J145" s="10" t="n">
        <v>1240610</v>
      </c>
      <c r="L145" s="10" t="n">
        <v>165331</v>
      </c>
      <c r="M145" s="12" t="s">
        <v>33</v>
      </c>
      <c r="N145" s="12" t="s">
        <v>51</v>
      </c>
      <c r="P145" s="10" t="n">
        <v>113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866.36</v>
      </c>
      <c r="W145" s="13" t="n">
        <v>0</v>
      </c>
      <c r="X145" s="12" t="s">
        <v>275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46206</v>
      </c>
      <c r="C146" s="11" t="n">
        <v>46206</v>
      </c>
      <c r="D146" s="10" t="n">
        <v>12</v>
      </c>
      <c r="E146" s="12" t="s">
        <v>130</v>
      </c>
      <c r="F146" s="10" t="n">
        <v>34</v>
      </c>
      <c r="G146" s="12" t="s">
        <v>31</v>
      </c>
      <c r="H146" s="10" t="n">
        <v>2110405</v>
      </c>
      <c r="I146" s="12" t="s">
        <v>87</v>
      </c>
      <c r="J146" s="10" t="n">
        <v>1370507</v>
      </c>
      <c r="L146" s="10" t="n">
        <v>184284</v>
      </c>
      <c r="M146" s="12" t="s">
        <v>33</v>
      </c>
      <c r="N146" s="12" t="s">
        <v>51</v>
      </c>
      <c r="P146" s="10" t="n">
        <v>113</v>
      </c>
      <c r="Q146" s="12" t="s">
        <v>35</v>
      </c>
      <c r="R146" s="12" t="s">
        <v>102</v>
      </c>
      <c r="S146" s="10" t="n">
        <v>4210301</v>
      </c>
      <c r="T146" s="12" t="s">
        <v>131</v>
      </c>
      <c r="U146" s="13" t="n">
        <v>753.77</v>
      </c>
      <c r="W146" s="13" t="n">
        <v>0</v>
      </c>
      <c r="X146" s="12" t="s">
        <v>248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46206</v>
      </c>
      <c r="C147" s="11" t="n">
        <v>46206</v>
      </c>
      <c r="D147" s="10" t="n">
        <v>12</v>
      </c>
      <c r="E147" s="12" t="s">
        <v>130</v>
      </c>
      <c r="F147" s="10" t="n">
        <v>7</v>
      </c>
      <c r="G147" s="12" t="s">
        <v>249</v>
      </c>
      <c r="H147" s="10" t="n">
        <v>2110405</v>
      </c>
      <c r="I147" s="12" t="s">
        <v>87</v>
      </c>
      <c r="J147" s="10" t="n">
        <v>1370511</v>
      </c>
      <c r="L147" s="10" t="n">
        <v>184286</v>
      </c>
      <c r="M147" s="12" t="s">
        <v>33</v>
      </c>
      <c r="N147" s="12" t="s">
        <v>51</v>
      </c>
      <c r="P147" s="10" t="n">
        <v>113</v>
      </c>
      <c r="Q147" s="12" t="s">
        <v>35</v>
      </c>
      <c r="R147" s="12" t="s">
        <v>102</v>
      </c>
      <c r="S147" s="10" t="n">
        <v>4210301</v>
      </c>
      <c r="T147" s="12" t="s">
        <v>131</v>
      </c>
      <c r="U147" s="13" t="n">
        <v>615.49</v>
      </c>
      <c r="W147" s="13" t="n">
        <v>0</v>
      </c>
      <c r="X147" s="12" t="s">
        <v>276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46206</v>
      </c>
      <c r="C148" s="11" t="n">
        <v>46206</v>
      </c>
      <c r="D148" s="10" t="n">
        <v>10096</v>
      </c>
      <c r="E148" s="12" t="s">
        <v>48</v>
      </c>
      <c r="F148" s="10" t="n">
        <v>13</v>
      </c>
      <c r="G148" s="12" t="s">
        <v>49</v>
      </c>
      <c r="H148" s="10" t="n">
        <v>1110203</v>
      </c>
      <c r="I148" s="12" t="s">
        <v>50</v>
      </c>
      <c r="J148" s="10" t="n">
        <v>1428689</v>
      </c>
      <c r="L148" s="10" t="n">
        <v>191305</v>
      </c>
      <c r="M148" s="12" t="s">
        <v>33</v>
      </c>
      <c r="N148" s="12" t="s">
        <v>51</v>
      </c>
      <c r="P148" s="10" t="n">
        <v>113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120</v>
      </c>
      <c r="W148" s="13" t="n">
        <v>0</v>
      </c>
      <c r="X148" s="12" t="s">
        <v>277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46206</v>
      </c>
      <c r="C149" s="11" t="n">
        <v>46206</v>
      </c>
      <c r="D149" s="10" t="n">
        <v>22</v>
      </c>
      <c r="E149" s="12" t="s">
        <v>278</v>
      </c>
      <c r="F149" s="10" t="n">
        <v>34</v>
      </c>
      <c r="G149" s="12" t="s">
        <v>31</v>
      </c>
      <c r="H149" s="10" t="n">
        <v>2110405</v>
      </c>
      <c r="I149" s="12" t="s">
        <v>87</v>
      </c>
      <c r="J149" s="10" t="n">
        <v>1370526</v>
      </c>
      <c r="L149" s="10" t="n">
        <v>184292</v>
      </c>
      <c r="M149" s="12" t="s">
        <v>33</v>
      </c>
      <c r="N149" s="12" t="s">
        <v>51</v>
      </c>
      <c r="P149" s="10" t="n">
        <v>113</v>
      </c>
      <c r="Q149" s="12" t="s">
        <v>35</v>
      </c>
      <c r="R149" s="12" t="s">
        <v>102</v>
      </c>
      <c r="S149" s="10" t="n">
        <v>4210301</v>
      </c>
      <c r="T149" s="12" t="s">
        <v>131</v>
      </c>
      <c r="U149" s="13" t="n">
        <v>988.46</v>
      </c>
      <c r="W149" s="13" t="n">
        <v>0</v>
      </c>
      <c r="X149" s="12" t="s">
        <v>248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46206</v>
      </c>
      <c r="C150" s="11" t="n">
        <v>46206</v>
      </c>
      <c r="D150" s="10" t="n">
        <v>22</v>
      </c>
      <c r="E150" s="12" t="s">
        <v>278</v>
      </c>
      <c r="F150" s="10" t="n">
        <v>7</v>
      </c>
      <c r="G150" s="12" t="s">
        <v>249</v>
      </c>
      <c r="H150" s="10" t="n">
        <v>2110405</v>
      </c>
      <c r="I150" s="12" t="s">
        <v>87</v>
      </c>
      <c r="J150" s="10" t="n">
        <v>1370530</v>
      </c>
      <c r="L150" s="10" t="n">
        <v>184295</v>
      </c>
      <c r="M150" s="12" t="s">
        <v>33</v>
      </c>
      <c r="N150" s="12" t="s">
        <v>51</v>
      </c>
      <c r="P150" s="10" t="n">
        <v>113</v>
      </c>
      <c r="Q150" s="12" t="s">
        <v>35</v>
      </c>
      <c r="R150" s="12" t="s">
        <v>102</v>
      </c>
      <c r="S150" s="10" t="n">
        <v>4210301</v>
      </c>
      <c r="T150" s="12" t="s">
        <v>131</v>
      </c>
      <c r="U150" s="13" t="n">
        <v>369.07</v>
      </c>
      <c r="W150" s="13" t="n">
        <v>0</v>
      </c>
      <c r="X150" s="12" t="s">
        <v>279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46202</v>
      </c>
      <c r="C151" s="11" t="n">
        <v>46206</v>
      </c>
      <c r="D151" s="10" t="n">
        <v>1815</v>
      </c>
      <c r="E151" s="12" t="s">
        <v>175</v>
      </c>
      <c r="F151" s="10" t="n">
        <v>24</v>
      </c>
      <c r="G151" s="12" t="s">
        <v>40</v>
      </c>
      <c r="H151" s="10" t="n">
        <v>2110101</v>
      </c>
      <c r="I151" s="12" t="s">
        <v>32</v>
      </c>
      <c r="J151" s="10" t="n">
        <v>1321695</v>
      </c>
      <c r="L151" s="10" t="n">
        <v>175255</v>
      </c>
      <c r="M151" s="12" t="s">
        <v>33</v>
      </c>
      <c r="N151" s="12" t="s">
        <v>51</v>
      </c>
      <c r="P151" s="10" t="n">
        <v>113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371.88</v>
      </c>
      <c r="W151" s="13" t="n">
        <v>0</v>
      </c>
      <c r="X151" s="12" t="s">
        <v>280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46199</v>
      </c>
      <c r="C152" s="11" t="n">
        <v>46206</v>
      </c>
      <c r="D152" s="10" t="n">
        <v>1699</v>
      </c>
      <c r="E152" s="12" t="s">
        <v>74</v>
      </c>
      <c r="F152" s="10" t="n">
        <v>24</v>
      </c>
      <c r="G152" s="12" t="s">
        <v>40</v>
      </c>
      <c r="H152" s="10" t="n">
        <v>2110101</v>
      </c>
      <c r="I152" s="12" t="s">
        <v>32</v>
      </c>
      <c r="J152" s="10" t="n">
        <v>1310401</v>
      </c>
      <c r="L152" s="10" t="n">
        <v>305929</v>
      </c>
      <c r="M152" s="12" t="s">
        <v>33</v>
      </c>
      <c r="N152" s="12" t="s">
        <v>34</v>
      </c>
      <c r="P152" s="10" t="n">
        <v>113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1184.07</v>
      </c>
      <c r="W152" s="13" t="n">
        <v>0</v>
      </c>
      <c r="X152" s="12" t="s">
        <v>281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46206</v>
      </c>
      <c r="C153" s="11" t="n">
        <v>46206</v>
      </c>
      <c r="D153" s="10" t="n">
        <v>1979</v>
      </c>
      <c r="E153" s="12" t="s">
        <v>282</v>
      </c>
      <c r="F153" s="10" t="n">
        <v>34</v>
      </c>
      <c r="G153" s="12" t="s">
        <v>31</v>
      </c>
      <c r="H153" s="10" t="n">
        <v>2110405</v>
      </c>
      <c r="I153" s="12" t="s">
        <v>87</v>
      </c>
      <c r="J153" s="10" t="n">
        <v>1370543</v>
      </c>
      <c r="L153" s="10" t="n">
        <v>184299</v>
      </c>
      <c r="M153" s="12" t="s">
        <v>33</v>
      </c>
      <c r="N153" s="12" t="s">
        <v>51</v>
      </c>
      <c r="P153" s="10" t="n">
        <v>113</v>
      </c>
      <c r="Q153" s="12" t="s">
        <v>35</v>
      </c>
      <c r="R153" s="12" t="s">
        <v>102</v>
      </c>
      <c r="S153" s="10" t="n">
        <v>4210301</v>
      </c>
      <c r="T153" s="12" t="s">
        <v>131</v>
      </c>
      <c r="U153" s="13" t="n">
        <v>986.6</v>
      </c>
      <c r="W153" s="13" t="n">
        <v>0</v>
      </c>
      <c r="X153" s="12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46206</v>
      </c>
      <c r="C154" s="11" t="n">
        <v>46206</v>
      </c>
      <c r="D154" s="10" t="n">
        <v>1979</v>
      </c>
      <c r="E154" s="12" t="s">
        <v>282</v>
      </c>
      <c r="F154" s="10" t="n">
        <v>7</v>
      </c>
      <c r="G154" s="12" t="s">
        <v>249</v>
      </c>
      <c r="H154" s="10" t="n">
        <v>2110405</v>
      </c>
      <c r="I154" s="12" t="s">
        <v>87</v>
      </c>
      <c r="J154" s="10" t="n">
        <v>1370547</v>
      </c>
      <c r="L154" s="10" t="n">
        <v>184300</v>
      </c>
      <c r="M154" s="12" t="s">
        <v>33</v>
      </c>
      <c r="N154" s="12" t="s">
        <v>51</v>
      </c>
      <c r="P154" s="10" t="n">
        <v>113</v>
      </c>
      <c r="Q154" s="12" t="s">
        <v>35</v>
      </c>
      <c r="R154" s="12" t="s">
        <v>102</v>
      </c>
      <c r="S154" s="10" t="n">
        <v>4210301</v>
      </c>
      <c r="T154" s="12" t="s">
        <v>131</v>
      </c>
      <c r="U154" s="13" t="n">
        <v>226.5</v>
      </c>
      <c r="W154" s="13" t="n">
        <v>0</v>
      </c>
      <c r="X154" s="12" t="s">
        <v>250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46200</v>
      </c>
      <c r="C155" s="11" t="n">
        <v>46206</v>
      </c>
      <c r="D155" s="10" t="n">
        <v>1625</v>
      </c>
      <c r="E155" s="12" t="s">
        <v>283</v>
      </c>
      <c r="F155" s="10" t="n">
        <v>24</v>
      </c>
      <c r="G155" s="12" t="s">
        <v>40</v>
      </c>
      <c r="H155" s="10" t="n">
        <v>2110101</v>
      </c>
      <c r="I155" s="12" t="s">
        <v>32</v>
      </c>
      <c r="J155" s="10" t="n">
        <v>1313051</v>
      </c>
      <c r="L155" s="10" t="n">
        <v>14560</v>
      </c>
      <c r="M155" s="12" t="s">
        <v>33</v>
      </c>
      <c r="N155" s="12" t="s">
        <v>34</v>
      </c>
      <c r="P155" s="10" t="n">
        <v>113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1997.03</v>
      </c>
      <c r="W155" s="13" t="n">
        <v>0</v>
      </c>
      <c r="X155" s="12" t="s">
        <v>284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46206</v>
      </c>
      <c r="C156" s="11" t="n">
        <v>46206</v>
      </c>
      <c r="D156" s="10" t="n">
        <v>48</v>
      </c>
      <c r="E156" s="12" t="s">
        <v>78</v>
      </c>
      <c r="F156" s="10" t="n">
        <v>13</v>
      </c>
      <c r="G156" s="12" t="s">
        <v>49</v>
      </c>
      <c r="H156" s="10" t="n">
        <v>2110101</v>
      </c>
      <c r="I156" s="12" t="s">
        <v>32</v>
      </c>
      <c r="J156" s="10" t="n">
        <v>1344644</v>
      </c>
      <c r="L156" s="10" t="n">
        <v>2521</v>
      </c>
      <c r="M156" s="12" t="s">
        <v>33</v>
      </c>
      <c r="N156" s="12" t="s">
        <v>34</v>
      </c>
      <c r="P156" s="10" t="n">
        <v>113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280</v>
      </c>
      <c r="W156" s="13" t="n">
        <v>280</v>
      </c>
      <c r="X156" s="12" t="s">
        <v>285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46206</v>
      </c>
      <c r="C157" s="11" t="n">
        <v>46206</v>
      </c>
      <c r="D157" s="10" t="n">
        <v>48</v>
      </c>
      <c r="E157" s="12" t="s">
        <v>78</v>
      </c>
      <c r="F157" s="10" t="n">
        <v>13</v>
      </c>
      <c r="G157" s="12" t="s">
        <v>49</v>
      </c>
      <c r="H157" s="10" t="n">
        <v>2110101</v>
      </c>
      <c r="I157" s="12" t="s">
        <v>32</v>
      </c>
      <c r="J157" s="10" t="n">
        <v>1345376</v>
      </c>
      <c r="L157" s="10" t="n">
        <v>2522</v>
      </c>
      <c r="M157" s="12" t="s">
        <v>33</v>
      </c>
      <c r="N157" s="12" t="s">
        <v>34</v>
      </c>
      <c r="P157" s="10" t="n">
        <v>113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1082.6</v>
      </c>
      <c r="W157" s="13" t="n">
        <v>0</v>
      </c>
      <c r="X157" s="12" t="s">
        <v>286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46206</v>
      </c>
      <c r="C158" s="11" t="n">
        <v>46206</v>
      </c>
      <c r="D158" s="10" t="n">
        <v>17</v>
      </c>
      <c r="E158" s="12" t="s">
        <v>287</v>
      </c>
      <c r="F158" s="10" t="n">
        <v>7</v>
      </c>
      <c r="G158" s="12" t="s">
        <v>249</v>
      </c>
      <c r="H158" s="10" t="n">
        <v>2110405</v>
      </c>
      <c r="I158" s="12" t="s">
        <v>87</v>
      </c>
      <c r="J158" s="10" t="n">
        <v>1370574</v>
      </c>
      <c r="L158" s="10" t="n">
        <v>184312</v>
      </c>
      <c r="M158" s="12" t="s">
        <v>33</v>
      </c>
      <c r="N158" s="12" t="s">
        <v>51</v>
      </c>
      <c r="P158" s="10" t="n">
        <v>113</v>
      </c>
      <c r="Q158" s="12" t="s">
        <v>35</v>
      </c>
      <c r="R158" s="12" t="s">
        <v>102</v>
      </c>
      <c r="S158" s="10" t="n">
        <v>4210301</v>
      </c>
      <c r="T158" s="12" t="s">
        <v>131</v>
      </c>
      <c r="U158" s="13" t="n">
        <v>6.99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46195</v>
      </c>
      <c r="C159" s="11" t="n">
        <v>46206</v>
      </c>
      <c r="D159" s="10" t="n">
        <v>1107</v>
      </c>
      <c r="E159" s="12" t="s">
        <v>194</v>
      </c>
      <c r="F159" s="10" t="n">
        <v>24</v>
      </c>
      <c r="G159" s="12" t="s">
        <v>40</v>
      </c>
      <c r="H159" s="10" t="n">
        <v>2110101</v>
      </c>
      <c r="I159" s="12" t="s">
        <v>32</v>
      </c>
      <c r="J159" s="10" t="n">
        <v>1289284</v>
      </c>
      <c r="L159" s="10" t="n">
        <v>419092</v>
      </c>
      <c r="M159" s="12" t="s">
        <v>33</v>
      </c>
      <c r="N159" s="12" t="s">
        <v>34</v>
      </c>
      <c r="P159" s="10" t="n">
        <v>113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619.99</v>
      </c>
      <c r="W159" s="13" t="n">
        <v>0</v>
      </c>
      <c r="X159" s="12" t="s">
        <v>288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46206</v>
      </c>
      <c r="C160" s="11" t="n">
        <v>46206</v>
      </c>
      <c r="D160" s="10" t="n">
        <v>33</v>
      </c>
      <c r="E160" s="12" t="s">
        <v>289</v>
      </c>
      <c r="F160" s="10" t="n">
        <v>34</v>
      </c>
      <c r="G160" s="12" t="s">
        <v>31</v>
      </c>
      <c r="H160" s="10" t="n">
        <v>1110203</v>
      </c>
      <c r="I160" s="12" t="s">
        <v>50</v>
      </c>
      <c r="J160" s="10" t="n">
        <v>1345306</v>
      </c>
      <c r="L160" s="10" t="n">
        <v>180688</v>
      </c>
      <c r="M160" s="12" t="s">
        <v>33</v>
      </c>
      <c r="N160" s="12" t="s">
        <v>51</v>
      </c>
      <c r="P160" s="10" t="n">
        <v>101</v>
      </c>
      <c r="Q160" s="12" t="s">
        <v>69</v>
      </c>
      <c r="R160" s="12" t="s">
        <v>88</v>
      </c>
      <c r="S160" s="10" t="n">
        <v>4210203</v>
      </c>
      <c r="T160" s="12" t="s">
        <v>290</v>
      </c>
      <c r="U160" s="13" t="n">
        <v>741.81</v>
      </c>
      <c r="W160" s="13" t="n">
        <v>0</v>
      </c>
      <c r="X160" s="12" t="s">
        <v>291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46206</v>
      </c>
      <c r="C161" s="11" t="n">
        <v>46206</v>
      </c>
      <c r="D161" s="10" t="n">
        <v>16</v>
      </c>
      <c r="E161" s="12" t="s">
        <v>292</v>
      </c>
      <c r="F161" s="10" t="n">
        <v>7</v>
      </c>
      <c r="G161" s="12" t="s">
        <v>249</v>
      </c>
      <c r="H161" s="10" t="n">
        <v>2110405</v>
      </c>
      <c r="I161" s="12" t="s">
        <v>87</v>
      </c>
      <c r="J161" s="10" t="n">
        <v>1370572</v>
      </c>
      <c r="L161" s="10" t="n">
        <v>184311</v>
      </c>
      <c r="M161" s="12" t="s">
        <v>33</v>
      </c>
      <c r="N161" s="12" t="s">
        <v>51</v>
      </c>
      <c r="P161" s="10" t="n">
        <v>113</v>
      </c>
      <c r="Q161" s="12" t="s">
        <v>35</v>
      </c>
      <c r="R161" s="12" t="s">
        <v>102</v>
      </c>
      <c r="S161" s="10" t="n">
        <v>4210301</v>
      </c>
      <c r="T161" s="12" t="s">
        <v>131</v>
      </c>
      <c r="U161" s="13" t="n">
        <v>729.05</v>
      </c>
      <c r="W161" s="13" t="n">
        <v>0</v>
      </c>
      <c r="X161" s="12" t="s">
        <v>250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46206</v>
      </c>
      <c r="C162" s="11" t="n">
        <v>46206</v>
      </c>
      <c r="D162" s="10" t="n">
        <v>21</v>
      </c>
      <c r="E162" s="12" t="s">
        <v>204</v>
      </c>
      <c r="F162" s="10" t="n">
        <v>34</v>
      </c>
      <c r="G162" s="12" t="s">
        <v>31</v>
      </c>
      <c r="H162" s="10" t="n">
        <v>2110405</v>
      </c>
      <c r="I162" s="12" t="s">
        <v>87</v>
      </c>
      <c r="J162" s="10" t="n">
        <v>1370552</v>
      </c>
      <c r="L162" s="10" t="n">
        <v>184302</v>
      </c>
      <c r="M162" s="12" t="s">
        <v>33</v>
      </c>
      <c r="N162" s="12" t="s">
        <v>51</v>
      </c>
      <c r="P162" s="10" t="n">
        <v>113</v>
      </c>
      <c r="Q162" s="12" t="s">
        <v>35</v>
      </c>
      <c r="R162" s="12" t="s">
        <v>102</v>
      </c>
      <c r="S162" s="10" t="n">
        <v>4210301</v>
      </c>
      <c r="T162" s="12" t="s">
        <v>131</v>
      </c>
      <c r="U162" s="13" t="n">
        <v>451.03</v>
      </c>
      <c r="W162" s="13" t="n">
        <v>0</v>
      </c>
      <c r="X162" s="12" t="s">
        <v>248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46206</v>
      </c>
      <c r="C163" s="11" t="n">
        <v>46206</v>
      </c>
      <c r="D163" s="10" t="n">
        <v>21</v>
      </c>
      <c r="E163" s="12" t="s">
        <v>204</v>
      </c>
      <c r="F163" s="10" t="n">
        <v>7</v>
      </c>
      <c r="G163" s="12" t="s">
        <v>249</v>
      </c>
      <c r="H163" s="10" t="n">
        <v>2110405</v>
      </c>
      <c r="I163" s="12" t="s">
        <v>87</v>
      </c>
      <c r="J163" s="10" t="n">
        <v>1370555</v>
      </c>
      <c r="L163" s="10" t="n">
        <v>184304</v>
      </c>
      <c r="M163" s="12" t="s">
        <v>33</v>
      </c>
      <c r="N163" s="12" t="s">
        <v>51</v>
      </c>
      <c r="P163" s="10" t="n">
        <v>113</v>
      </c>
      <c r="Q163" s="12" t="s">
        <v>35</v>
      </c>
      <c r="R163" s="12" t="s">
        <v>102</v>
      </c>
      <c r="S163" s="10" t="n">
        <v>4210301</v>
      </c>
      <c r="T163" s="12" t="s">
        <v>131</v>
      </c>
      <c r="U163" s="13" t="n">
        <v>291.6</v>
      </c>
      <c r="W163" s="13" t="n">
        <v>0</v>
      </c>
      <c r="X163" s="12" t="s">
        <v>250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46206</v>
      </c>
      <c r="C164" s="11" t="n">
        <v>46206</v>
      </c>
      <c r="D164" s="10" t="n">
        <v>514</v>
      </c>
      <c r="E164" s="12" t="s">
        <v>293</v>
      </c>
      <c r="F164" s="10" t="n">
        <v>34</v>
      </c>
      <c r="G164" s="12" t="s">
        <v>31</v>
      </c>
      <c r="H164" s="10" t="n">
        <v>1110202</v>
      </c>
      <c r="I164" s="12" t="s">
        <v>179</v>
      </c>
      <c r="J164" s="10" t="n">
        <v>1374654</v>
      </c>
      <c r="L164" s="10" t="n">
        <v>184904</v>
      </c>
      <c r="M164" s="12" t="s">
        <v>33</v>
      </c>
      <c r="N164" s="12" t="s">
        <v>51</v>
      </c>
      <c r="P164" s="10" t="n">
        <v>102</v>
      </c>
      <c r="Q164" s="12" t="s">
        <v>101</v>
      </c>
      <c r="R164" s="12" t="s">
        <v>271</v>
      </c>
      <c r="S164" s="10" t="n">
        <v>4220199</v>
      </c>
      <c r="T164" s="12" t="s">
        <v>272</v>
      </c>
      <c r="U164" s="13" t="n">
        <v>110</v>
      </c>
      <c r="W164" s="13" t="n">
        <v>0</v>
      </c>
      <c r="X164" s="12" t="s">
        <v>294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46200</v>
      </c>
      <c r="C165" s="11" t="n">
        <v>46206</v>
      </c>
      <c r="D165" s="10" t="n">
        <v>1666</v>
      </c>
      <c r="E165" s="12" t="s">
        <v>93</v>
      </c>
      <c r="F165" s="10" t="n">
        <v>24</v>
      </c>
      <c r="G165" s="12" t="s">
        <v>40</v>
      </c>
      <c r="H165" s="10" t="n">
        <v>2110101</v>
      </c>
      <c r="I165" s="12" t="s">
        <v>32</v>
      </c>
      <c r="J165" s="10" t="n">
        <v>1312641</v>
      </c>
      <c r="L165" s="10" t="n">
        <v>175251</v>
      </c>
      <c r="M165" s="12" t="s">
        <v>33</v>
      </c>
      <c r="N165" s="12" t="s">
        <v>51</v>
      </c>
      <c r="P165" s="10" t="n">
        <v>113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5761.35</v>
      </c>
      <c r="W165" s="13" t="n">
        <v>0</v>
      </c>
      <c r="X165" s="12" t="s">
        <v>295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46206</v>
      </c>
      <c r="C166" s="11" t="n">
        <v>46206</v>
      </c>
      <c r="D166" s="10" t="n">
        <v>18</v>
      </c>
      <c r="E166" s="12" t="s">
        <v>207</v>
      </c>
      <c r="F166" s="10" t="n">
        <v>34</v>
      </c>
      <c r="G166" s="12" t="s">
        <v>31</v>
      </c>
      <c r="H166" s="10" t="n">
        <v>2110405</v>
      </c>
      <c r="I166" s="12" t="s">
        <v>87</v>
      </c>
      <c r="J166" s="10" t="n">
        <v>1370560</v>
      </c>
      <c r="L166" s="10" t="n">
        <v>184306</v>
      </c>
      <c r="M166" s="12" t="s">
        <v>33</v>
      </c>
      <c r="N166" s="12" t="s">
        <v>51</v>
      </c>
      <c r="P166" s="10" t="n">
        <v>113</v>
      </c>
      <c r="Q166" s="12" t="s">
        <v>35</v>
      </c>
      <c r="R166" s="12" t="s">
        <v>102</v>
      </c>
      <c r="S166" s="10" t="n">
        <v>4210301</v>
      </c>
      <c r="T166" s="12" t="s">
        <v>131</v>
      </c>
      <c r="U166" s="13" t="n">
        <v>272.38</v>
      </c>
      <c r="W166" s="13" t="n">
        <v>0</v>
      </c>
      <c r="X166" s="12" t="s">
        <v>248</v>
      </c>
      <c r="Z166" s="1" t="str">
        <f aca="false">IF($T166="","",IFERROR(INDEX('Resumo Grupos'!$AC$3:$AC$200,MATCH($T166,'Resumo Grupos'!$AB$3:$AB$200,0)),"n/d"))</f>
        <v>Salários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46206</v>
      </c>
      <c r="C167" s="11" t="n">
        <v>46206</v>
      </c>
      <c r="D167" s="10" t="n">
        <v>18</v>
      </c>
      <c r="E167" s="12" t="s">
        <v>207</v>
      </c>
      <c r="F167" s="10" t="n">
        <v>7</v>
      </c>
      <c r="G167" s="12" t="s">
        <v>249</v>
      </c>
      <c r="H167" s="10" t="n">
        <v>2110405</v>
      </c>
      <c r="I167" s="12" t="s">
        <v>87</v>
      </c>
      <c r="J167" s="10" t="n">
        <v>1370570</v>
      </c>
      <c r="L167" s="10" t="n">
        <v>184307</v>
      </c>
      <c r="M167" s="12" t="s">
        <v>33</v>
      </c>
      <c r="N167" s="12" t="s">
        <v>51</v>
      </c>
      <c r="P167" s="10" t="n">
        <v>113</v>
      </c>
      <c r="Q167" s="12" t="s">
        <v>35</v>
      </c>
      <c r="R167" s="12" t="s">
        <v>102</v>
      </c>
      <c r="S167" s="10" t="n">
        <v>4210301</v>
      </c>
      <c r="T167" s="12" t="s">
        <v>131</v>
      </c>
      <c r="U167" s="13" t="n">
        <v>353.47</v>
      </c>
      <c r="W167" s="13" t="n">
        <v>0</v>
      </c>
      <c r="X167" s="12" t="s">
        <v>250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46195</v>
      </c>
      <c r="C168" s="11" t="n">
        <v>46207</v>
      </c>
      <c r="D168" s="10" t="n">
        <v>1705</v>
      </c>
      <c r="E168" s="12" t="s">
        <v>43</v>
      </c>
      <c r="F168" s="10" t="n">
        <v>24</v>
      </c>
      <c r="G168" s="12" t="s">
        <v>40</v>
      </c>
      <c r="H168" s="10" t="n">
        <v>2110101</v>
      </c>
      <c r="I168" s="12" t="s">
        <v>32</v>
      </c>
      <c r="J168" s="10" t="n">
        <v>1290006</v>
      </c>
      <c r="L168" s="10" t="n">
        <v>1169404</v>
      </c>
      <c r="M168" s="12" t="s">
        <v>33</v>
      </c>
      <c r="N168" s="12" t="s">
        <v>34</v>
      </c>
      <c r="P168" s="10" t="n">
        <v>113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50.85</v>
      </c>
      <c r="W168" s="13" t="n">
        <v>0</v>
      </c>
      <c r="X168" s="12" t="s">
        <v>296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46195</v>
      </c>
      <c r="C169" s="11" t="n">
        <v>46207</v>
      </c>
      <c r="D169" s="10" t="n">
        <v>1705</v>
      </c>
      <c r="E169" s="12" t="s">
        <v>43</v>
      </c>
      <c r="F169" s="10" t="n">
        <v>24</v>
      </c>
      <c r="G169" s="12" t="s">
        <v>40</v>
      </c>
      <c r="H169" s="10" t="n">
        <v>2110101</v>
      </c>
      <c r="I169" s="12" t="s">
        <v>32</v>
      </c>
      <c r="J169" s="10" t="n">
        <v>1290023</v>
      </c>
      <c r="L169" s="10" t="n">
        <v>172326</v>
      </c>
      <c r="M169" s="12" t="s">
        <v>33</v>
      </c>
      <c r="N169" s="12" t="s">
        <v>51</v>
      </c>
      <c r="P169" s="10" t="n">
        <v>113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467.76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46198</v>
      </c>
      <c r="C170" s="11" t="n">
        <v>46207</v>
      </c>
      <c r="D170" s="10" t="n">
        <v>1723</v>
      </c>
      <c r="E170" s="12" t="s">
        <v>298</v>
      </c>
      <c r="F170" s="10" t="n">
        <v>24</v>
      </c>
      <c r="G170" s="12" t="s">
        <v>40</v>
      </c>
      <c r="H170" s="10" t="n">
        <v>2110101</v>
      </c>
      <c r="I170" s="12" t="s">
        <v>32</v>
      </c>
      <c r="J170" s="10" t="n">
        <v>1305206</v>
      </c>
      <c r="L170" s="10" t="n">
        <v>172089</v>
      </c>
      <c r="M170" s="12" t="s">
        <v>33</v>
      </c>
      <c r="N170" s="12" t="s">
        <v>34</v>
      </c>
      <c r="P170" s="10" t="n">
        <v>113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4001</v>
      </c>
      <c r="W170" s="13" t="n">
        <v>0</v>
      </c>
      <c r="X170" s="12" t="s">
        <v>299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46207</v>
      </c>
      <c r="C171" s="11" t="n">
        <v>46207</v>
      </c>
      <c r="D171" s="10" t="n">
        <v>10096</v>
      </c>
      <c r="E171" s="12" t="s">
        <v>48</v>
      </c>
      <c r="F171" s="10" t="n">
        <v>13</v>
      </c>
      <c r="G171" s="12" t="s">
        <v>49</v>
      </c>
      <c r="H171" s="10" t="n">
        <v>1110203</v>
      </c>
      <c r="I171" s="12" t="s">
        <v>50</v>
      </c>
      <c r="J171" s="10" t="n">
        <v>1439471</v>
      </c>
      <c r="L171" s="10" t="n">
        <v>194566</v>
      </c>
      <c r="M171" s="12" t="s">
        <v>33</v>
      </c>
      <c r="N171" s="12" t="s">
        <v>51</v>
      </c>
      <c r="P171" s="10" t="n">
        <v>113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140</v>
      </c>
      <c r="W171" s="13" t="n">
        <v>0</v>
      </c>
      <c r="X171" s="12" t="s">
        <v>300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46202</v>
      </c>
      <c r="C172" s="11" t="n">
        <v>46207</v>
      </c>
      <c r="D172" s="10" t="n">
        <v>1625</v>
      </c>
      <c r="E172" s="12" t="s">
        <v>283</v>
      </c>
      <c r="F172" s="10" t="n">
        <v>24</v>
      </c>
      <c r="G172" s="12" t="s">
        <v>40</v>
      </c>
      <c r="H172" s="10" t="n">
        <v>2110101</v>
      </c>
      <c r="I172" s="12" t="s">
        <v>32</v>
      </c>
      <c r="J172" s="10" t="n">
        <v>1322010</v>
      </c>
      <c r="L172" s="10" t="n">
        <v>14569</v>
      </c>
      <c r="M172" s="12" t="s">
        <v>33</v>
      </c>
      <c r="N172" s="12" t="s">
        <v>34</v>
      </c>
      <c r="P172" s="10" t="n">
        <v>113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2606.5</v>
      </c>
      <c r="W172" s="13" t="n">
        <v>0</v>
      </c>
      <c r="X172" s="12" t="s">
        <v>301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46207</v>
      </c>
      <c r="D173" s="10" t="n">
        <v>10011</v>
      </c>
      <c r="E173" s="12" t="s">
        <v>302</v>
      </c>
      <c r="F173" s="10" t="n">
        <v>24</v>
      </c>
      <c r="G173" s="12" t="s">
        <v>40</v>
      </c>
      <c r="H173" s="10" t="n">
        <v>2110101</v>
      </c>
      <c r="I173" s="12" t="s">
        <v>32</v>
      </c>
      <c r="J173" s="10" t="n">
        <v>1151538</v>
      </c>
      <c r="L173" s="10" t="n">
        <v>33745</v>
      </c>
      <c r="M173" s="12" t="s">
        <v>41</v>
      </c>
      <c r="N173" s="12" t="s">
        <v>34</v>
      </c>
      <c r="P173" s="10" t="n">
        <v>113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938.27</v>
      </c>
      <c r="W173" s="13" t="n">
        <v>0</v>
      </c>
      <c r="X173" s="12" t="s">
        <v>303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46200</v>
      </c>
      <c r="C174" s="11" t="n">
        <v>46207</v>
      </c>
      <c r="D174" s="10" t="n">
        <v>10006</v>
      </c>
      <c r="E174" s="12" t="s">
        <v>86</v>
      </c>
      <c r="F174" s="10" t="n">
        <v>24</v>
      </c>
      <c r="G174" s="12" t="s">
        <v>40</v>
      </c>
      <c r="H174" s="10" t="n">
        <v>2110405</v>
      </c>
      <c r="I174" s="12" t="s">
        <v>87</v>
      </c>
      <c r="J174" s="10" t="n">
        <v>1312832</v>
      </c>
      <c r="L174" s="10" t="n">
        <v>175254</v>
      </c>
      <c r="M174" s="12" t="s">
        <v>33</v>
      </c>
      <c r="N174" s="12" t="s">
        <v>51</v>
      </c>
      <c r="P174" s="10" t="n">
        <v>101</v>
      </c>
      <c r="Q174" s="12" t="s">
        <v>69</v>
      </c>
      <c r="R174" s="12" t="s">
        <v>88</v>
      </c>
      <c r="S174" s="10" t="n">
        <v>4210233</v>
      </c>
      <c r="T174" s="12" t="s">
        <v>304</v>
      </c>
      <c r="U174" s="13" t="n">
        <v>258</v>
      </c>
      <c r="W174" s="13" t="n">
        <v>0</v>
      </c>
      <c r="X174" s="12" t="s">
        <v>305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46189</v>
      </c>
      <c r="C175" s="11" t="n">
        <v>46208</v>
      </c>
      <c r="D175" s="10" t="n">
        <v>530</v>
      </c>
      <c r="E175" s="12" t="s">
        <v>306</v>
      </c>
      <c r="F175" s="10" t="n">
        <v>24</v>
      </c>
      <c r="G175" s="12" t="s">
        <v>40</v>
      </c>
      <c r="H175" s="10" t="n">
        <v>2110405</v>
      </c>
      <c r="I175" s="12" t="s">
        <v>87</v>
      </c>
      <c r="J175" s="10" t="n">
        <v>1260994</v>
      </c>
      <c r="L175" s="10" t="n">
        <v>168220</v>
      </c>
      <c r="M175" s="12" t="s">
        <v>33</v>
      </c>
      <c r="N175" s="12" t="s">
        <v>51</v>
      </c>
      <c r="P175" s="10" t="n">
        <v>113</v>
      </c>
      <c r="Q175" s="12" t="s">
        <v>35</v>
      </c>
      <c r="R175" s="12" t="s">
        <v>307</v>
      </c>
      <c r="S175" s="10" t="n">
        <v>2110714</v>
      </c>
      <c r="T175" s="12" t="s">
        <v>308</v>
      </c>
      <c r="U175" s="13" t="n">
        <v>573.02</v>
      </c>
      <c r="W175" s="13" t="n">
        <v>0</v>
      </c>
      <c r="X175" s="12" t="s">
        <v>309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46188</v>
      </c>
      <c r="C176" s="11" t="n">
        <v>46209</v>
      </c>
      <c r="D176" s="10" t="n">
        <v>1659</v>
      </c>
      <c r="E176" s="12" t="s">
        <v>60</v>
      </c>
      <c r="F176" s="10" t="n">
        <v>24</v>
      </c>
      <c r="G176" s="12" t="s">
        <v>40</v>
      </c>
      <c r="H176" s="10" t="n">
        <v>2110101</v>
      </c>
      <c r="I176" s="12" t="s">
        <v>32</v>
      </c>
      <c r="J176" s="10" t="n">
        <v>1255113</v>
      </c>
      <c r="L176" s="10" t="n">
        <v>878392</v>
      </c>
      <c r="M176" s="12" t="s">
        <v>108</v>
      </c>
      <c r="N176" s="12" t="s">
        <v>34</v>
      </c>
      <c r="P176" s="10" t="n">
        <v>113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791.31</v>
      </c>
      <c r="W176" s="13" t="n">
        <v>0</v>
      </c>
      <c r="X176" s="12" t="s">
        <v>61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46189</v>
      </c>
      <c r="C177" s="11" t="n">
        <v>46209</v>
      </c>
      <c r="D177" s="10" t="n">
        <v>1636</v>
      </c>
      <c r="E177" s="12" t="s">
        <v>65</v>
      </c>
      <c r="F177" s="10" t="n">
        <v>24</v>
      </c>
      <c r="G177" s="12" t="s">
        <v>40</v>
      </c>
      <c r="H177" s="10" t="n">
        <v>2110101</v>
      </c>
      <c r="I177" s="12" t="s">
        <v>32</v>
      </c>
      <c r="J177" s="10" t="n">
        <v>1260909</v>
      </c>
      <c r="L177" s="10" t="n">
        <v>168210</v>
      </c>
      <c r="M177" s="12" t="s">
        <v>33</v>
      </c>
      <c r="N177" s="12" t="s">
        <v>51</v>
      </c>
      <c r="P177" s="10" t="n">
        <v>113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643.05</v>
      </c>
      <c r="W177" s="13" t="n">
        <v>0</v>
      </c>
      <c r="X177" s="12" t="s">
        <v>66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46196</v>
      </c>
      <c r="C178" s="11" t="n">
        <v>46209</v>
      </c>
      <c r="D178" s="10" t="n">
        <v>1616</v>
      </c>
      <c r="E178" s="12" t="s">
        <v>218</v>
      </c>
      <c r="F178" s="10" t="n">
        <v>24</v>
      </c>
      <c r="G178" s="12" t="s">
        <v>40</v>
      </c>
      <c r="H178" s="10" t="n">
        <v>2110101</v>
      </c>
      <c r="I178" s="12" t="s">
        <v>32</v>
      </c>
      <c r="J178" s="10" t="n">
        <v>1293976</v>
      </c>
      <c r="L178" s="10" t="n">
        <v>646732</v>
      </c>
      <c r="M178" s="12" t="s">
        <v>33</v>
      </c>
      <c r="N178" s="12" t="s">
        <v>34</v>
      </c>
      <c r="P178" s="10" t="n">
        <v>113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347.17</v>
      </c>
      <c r="W178" s="13" t="n">
        <v>0</v>
      </c>
      <c r="X178" s="12" t="s">
        <v>310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46196</v>
      </c>
      <c r="C179" s="11" t="n">
        <v>46209</v>
      </c>
      <c r="D179" s="10" t="n">
        <v>794</v>
      </c>
      <c r="E179" s="12" t="s">
        <v>311</v>
      </c>
      <c r="F179" s="10" t="n">
        <v>24</v>
      </c>
      <c r="G179" s="12" t="s">
        <v>40</v>
      </c>
      <c r="H179" s="10" t="n">
        <v>2110405</v>
      </c>
      <c r="I179" s="12" t="s">
        <v>87</v>
      </c>
      <c r="J179" s="10" t="n">
        <v>1294326</v>
      </c>
      <c r="L179" s="10" t="n">
        <v>173122</v>
      </c>
      <c r="M179" s="12" t="s">
        <v>33</v>
      </c>
      <c r="N179" s="12" t="s">
        <v>51</v>
      </c>
      <c r="P179" s="10" t="n">
        <v>113</v>
      </c>
      <c r="Q179" s="12" t="s">
        <v>35</v>
      </c>
      <c r="R179" s="12" t="s">
        <v>88</v>
      </c>
      <c r="S179" s="10" t="n">
        <v>4210299</v>
      </c>
      <c r="T179" s="12" t="s">
        <v>312</v>
      </c>
      <c r="U179" s="13" t="n">
        <v>737.43</v>
      </c>
      <c r="W179" s="13" t="n">
        <v>0</v>
      </c>
      <c r="X179" s="12" t="s">
        <v>313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46205</v>
      </c>
      <c r="C180" s="11" t="n">
        <v>46209</v>
      </c>
      <c r="D180" s="10" t="n">
        <v>1217</v>
      </c>
      <c r="E180" s="12" t="s">
        <v>314</v>
      </c>
      <c r="F180" s="10" t="n">
        <v>24</v>
      </c>
      <c r="G180" s="12" t="s">
        <v>40</v>
      </c>
      <c r="H180" s="10" t="n">
        <v>2110101</v>
      </c>
      <c r="I180" s="12" t="s">
        <v>32</v>
      </c>
      <c r="J180" s="10" t="n">
        <v>1339965</v>
      </c>
      <c r="L180" s="10" t="n">
        <v>4467</v>
      </c>
      <c r="M180" s="12" t="s">
        <v>33</v>
      </c>
      <c r="N180" s="12" t="s">
        <v>34</v>
      </c>
      <c r="P180" s="10" t="n">
        <v>113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819.53</v>
      </c>
      <c r="W180" s="13" t="n">
        <v>0</v>
      </c>
      <c r="X180" s="12" t="s">
        <v>315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46195</v>
      </c>
      <c r="C181" s="11" t="n">
        <v>46209</v>
      </c>
      <c r="D181" s="10" t="n">
        <v>1626</v>
      </c>
      <c r="E181" s="12" t="s">
        <v>67</v>
      </c>
      <c r="F181" s="10" t="n">
        <v>24</v>
      </c>
      <c r="G181" s="12" t="s">
        <v>40</v>
      </c>
      <c r="H181" s="10" t="n">
        <v>2110101</v>
      </c>
      <c r="I181" s="12" t="s">
        <v>32</v>
      </c>
      <c r="J181" s="10" t="n">
        <v>1290923</v>
      </c>
      <c r="L181" s="10" t="n">
        <v>172706</v>
      </c>
      <c r="M181" s="12" t="s">
        <v>33</v>
      </c>
      <c r="N181" s="12" t="s">
        <v>51</v>
      </c>
      <c r="P181" s="10" t="n">
        <v>113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675.35</v>
      </c>
      <c r="W181" s="13" t="n">
        <v>0</v>
      </c>
      <c r="X181" s="12" t="s">
        <v>316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46209</v>
      </c>
      <c r="C182" s="11" t="n">
        <v>46209</v>
      </c>
      <c r="D182" s="10" t="n">
        <v>12</v>
      </c>
      <c r="E182" s="12" t="s">
        <v>130</v>
      </c>
      <c r="F182" s="10" t="n">
        <v>34</v>
      </c>
      <c r="G182" s="12" t="s">
        <v>31</v>
      </c>
      <c r="H182" s="10" t="n">
        <v>2110405</v>
      </c>
      <c r="I182" s="12" t="s">
        <v>87</v>
      </c>
      <c r="J182" s="10" t="n">
        <v>1402874</v>
      </c>
      <c r="L182" s="10" t="n">
        <v>188827</v>
      </c>
      <c r="M182" s="12" t="s">
        <v>33</v>
      </c>
      <c r="N182" s="12" t="s">
        <v>51</v>
      </c>
      <c r="P182" s="10" t="n">
        <v>113</v>
      </c>
      <c r="Q182" s="12" t="s">
        <v>35</v>
      </c>
      <c r="R182" s="12" t="s">
        <v>102</v>
      </c>
      <c r="S182" s="10" t="n">
        <v>4210301</v>
      </c>
      <c r="T182" s="12" t="s">
        <v>131</v>
      </c>
      <c r="U182" s="13" t="n">
        <v>600</v>
      </c>
      <c r="W182" s="13" t="n">
        <v>0</v>
      </c>
      <c r="X182" s="12" t="s">
        <v>317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46209</v>
      </c>
      <c r="C183" s="11" t="n">
        <v>46209</v>
      </c>
      <c r="D183" s="10" t="n">
        <v>1768</v>
      </c>
      <c r="E183" s="12" t="s">
        <v>318</v>
      </c>
      <c r="F183" s="10" t="n">
        <v>34</v>
      </c>
      <c r="G183" s="12" t="s">
        <v>31</v>
      </c>
      <c r="H183" s="10" t="n">
        <v>1110202</v>
      </c>
      <c r="I183" s="12" t="s">
        <v>179</v>
      </c>
      <c r="J183" s="10" t="n">
        <v>628286</v>
      </c>
      <c r="L183" s="10" t="n">
        <v>81552</v>
      </c>
      <c r="M183" s="12" t="s">
        <v>182</v>
      </c>
      <c r="N183" s="12" t="s">
        <v>51</v>
      </c>
      <c r="P183" s="10" t="n">
        <v>102</v>
      </c>
      <c r="Q183" s="12" t="s">
        <v>101</v>
      </c>
      <c r="R183" s="12" t="s">
        <v>88</v>
      </c>
      <c r="S183" s="10" t="n">
        <v>4210202</v>
      </c>
      <c r="T183" s="12" t="s">
        <v>319</v>
      </c>
      <c r="U183" s="13" t="n">
        <v>2431.5</v>
      </c>
      <c r="W183" s="13" t="n">
        <v>0</v>
      </c>
      <c r="X183" s="12" t="s">
        <v>320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46209</v>
      </c>
      <c r="C184" s="11" t="n">
        <v>46209</v>
      </c>
      <c r="D184" s="10" t="n">
        <v>515</v>
      </c>
      <c r="E184" s="12" t="s">
        <v>68</v>
      </c>
      <c r="F184" s="10" t="n">
        <v>34</v>
      </c>
      <c r="G184" s="12" t="s">
        <v>31</v>
      </c>
      <c r="H184" s="10" t="n">
        <v>1110203</v>
      </c>
      <c r="I184" s="12" t="s">
        <v>50</v>
      </c>
      <c r="J184" s="10" t="n">
        <v>1374828</v>
      </c>
      <c r="L184" s="10" t="n">
        <v>184926</v>
      </c>
      <c r="M184" s="12" t="s">
        <v>33</v>
      </c>
      <c r="N184" s="12" t="s">
        <v>51</v>
      </c>
      <c r="P184" s="10" t="n">
        <v>102</v>
      </c>
      <c r="Q184" s="12" t="s">
        <v>101</v>
      </c>
      <c r="R184" s="12" t="s">
        <v>223</v>
      </c>
      <c r="S184" s="10" t="n">
        <v>4210504</v>
      </c>
      <c r="T184" s="12" t="s">
        <v>224</v>
      </c>
      <c r="U184" s="13" t="n">
        <v>839.14</v>
      </c>
      <c r="W184" s="13" t="n">
        <v>0</v>
      </c>
      <c r="X184" s="12" t="s">
        <v>321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46206</v>
      </c>
      <c r="C185" s="11" t="n">
        <v>46209</v>
      </c>
      <c r="D185" s="10" t="n">
        <v>10035</v>
      </c>
      <c r="E185" s="12" t="s">
        <v>72</v>
      </c>
      <c r="F185" s="10" t="n">
        <v>34</v>
      </c>
      <c r="G185" s="12" t="s">
        <v>31</v>
      </c>
      <c r="H185" s="10" t="n">
        <v>2110101</v>
      </c>
      <c r="I185" s="12" t="s">
        <v>32</v>
      </c>
      <c r="J185" s="10" t="n">
        <v>1344684</v>
      </c>
      <c r="L185" s="10" t="n">
        <v>337</v>
      </c>
      <c r="M185" s="12" t="s">
        <v>33</v>
      </c>
      <c r="N185" s="12" t="s">
        <v>34</v>
      </c>
      <c r="P185" s="10" t="n">
        <v>113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398</v>
      </c>
      <c r="W185" s="13" t="n">
        <v>0</v>
      </c>
      <c r="X185" s="12" t="s">
        <v>322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46209</v>
      </c>
      <c r="C186" s="11" t="n">
        <v>46209</v>
      </c>
      <c r="D186" s="10" t="n">
        <v>1783</v>
      </c>
      <c r="E186" s="12" t="s">
        <v>323</v>
      </c>
      <c r="F186" s="10" t="n">
        <v>13</v>
      </c>
      <c r="G186" s="12" t="s">
        <v>49</v>
      </c>
      <c r="H186" s="10" t="n">
        <v>2110101</v>
      </c>
      <c r="I186" s="12" t="s">
        <v>32</v>
      </c>
      <c r="J186" s="10" t="n">
        <v>1365085</v>
      </c>
      <c r="L186" s="10" t="n">
        <v>512</v>
      </c>
      <c r="M186" s="12" t="s">
        <v>33</v>
      </c>
      <c r="N186" s="12" t="s">
        <v>34</v>
      </c>
      <c r="P186" s="10" t="n">
        <v>113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160.32</v>
      </c>
      <c r="W186" s="13" t="n">
        <v>160.32</v>
      </c>
      <c r="X186" s="12" t="s">
        <v>324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46209</v>
      </c>
      <c r="C187" s="11" t="n">
        <v>46209</v>
      </c>
      <c r="D187" s="10" t="n">
        <v>48</v>
      </c>
      <c r="E187" s="12" t="s">
        <v>78</v>
      </c>
      <c r="F187" s="10" t="n">
        <v>13</v>
      </c>
      <c r="G187" s="12" t="s">
        <v>49</v>
      </c>
      <c r="H187" s="10" t="n">
        <v>2110101</v>
      </c>
      <c r="I187" s="12" t="s">
        <v>32</v>
      </c>
      <c r="J187" s="10" t="n">
        <v>1361277</v>
      </c>
      <c r="L187" s="10" t="n">
        <v>2527</v>
      </c>
      <c r="M187" s="12" t="s">
        <v>33</v>
      </c>
      <c r="N187" s="12" t="s">
        <v>34</v>
      </c>
      <c r="P187" s="10" t="n">
        <v>113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210</v>
      </c>
      <c r="W187" s="13" t="n">
        <v>210</v>
      </c>
      <c r="X187" s="12" t="s">
        <v>325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46204</v>
      </c>
      <c r="C188" s="11" t="n">
        <v>46209</v>
      </c>
      <c r="D188" s="10" t="n">
        <v>1899</v>
      </c>
      <c r="E188" s="12" t="s">
        <v>84</v>
      </c>
      <c r="F188" s="10" t="n">
        <v>24</v>
      </c>
      <c r="G188" s="12" t="s">
        <v>40</v>
      </c>
      <c r="H188" s="10" t="n">
        <v>2110101</v>
      </c>
      <c r="I188" s="12" t="s">
        <v>32</v>
      </c>
      <c r="J188" s="10" t="n">
        <v>1333879</v>
      </c>
      <c r="L188" s="10" t="n">
        <v>690</v>
      </c>
      <c r="M188" s="12" t="s">
        <v>33</v>
      </c>
      <c r="N188" s="12" t="s">
        <v>34</v>
      </c>
      <c r="P188" s="10" t="n">
        <v>113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304.75</v>
      </c>
      <c r="W188" s="13" t="n">
        <v>0</v>
      </c>
      <c r="X188" s="12" t="s">
        <v>326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46212</v>
      </c>
      <c r="C189" s="11" t="n">
        <v>46209</v>
      </c>
      <c r="D189" s="10" t="n">
        <v>33</v>
      </c>
      <c r="E189" s="12" t="s">
        <v>289</v>
      </c>
      <c r="F189" s="10" t="n">
        <v>34</v>
      </c>
      <c r="G189" s="12" t="s">
        <v>31</v>
      </c>
      <c r="H189" s="10" t="n">
        <v>1110203</v>
      </c>
      <c r="I189" s="12" t="s">
        <v>50</v>
      </c>
      <c r="J189" s="10" t="n">
        <v>910921</v>
      </c>
      <c r="L189" s="10" t="n">
        <v>120198</v>
      </c>
      <c r="M189" s="12" t="s">
        <v>41</v>
      </c>
      <c r="N189" s="12" t="s">
        <v>51</v>
      </c>
      <c r="P189" s="10" t="n">
        <v>102</v>
      </c>
      <c r="Q189" s="12" t="s">
        <v>101</v>
      </c>
      <c r="R189" s="12" t="s">
        <v>102</v>
      </c>
      <c r="S189" s="10" t="n">
        <v>4210301</v>
      </c>
      <c r="T189" s="12" t="s">
        <v>131</v>
      </c>
      <c r="U189" s="13" t="n">
        <v>222.91</v>
      </c>
      <c r="W189" s="13" t="n">
        <v>0</v>
      </c>
      <c r="X189" s="12" t="s">
        <v>327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46209</v>
      </c>
      <c r="C190" s="11" t="n">
        <v>46209</v>
      </c>
      <c r="D190" s="10" t="n">
        <v>16</v>
      </c>
      <c r="E190" s="12" t="s">
        <v>292</v>
      </c>
      <c r="F190" s="10" t="n">
        <v>34</v>
      </c>
      <c r="G190" s="12" t="s">
        <v>31</v>
      </c>
      <c r="H190" s="10" t="n">
        <v>1110203</v>
      </c>
      <c r="I190" s="12" t="s">
        <v>50</v>
      </c>
      <c r="J190" s="10" t="n">
        <v>1374894</v>
      </c>
      <c r="L190" s="10" t="n">
        <v>184938</v>
      </c>
      <c r="M190" s="12" t="s">
        <v>33</v>
      </c>
      <c r="N190" s="12" t="s">
        <v>51</v>
      </c>
      <c r="P190" s="10" t="n">
        <v>102</v>
      </c>
      <c r="Q190" s="12" t="s">
        <v>101</v>
      </c>
      <c r="R190" s="12" t="s">
        <v>102</v>
      </c>
      <c r="S190" s="10" t="n">
        <v>4210301</v>
      </c>
      <c r="T190" s="12" t="s">
        <v>131</v>
      </c>
      <c r="U190" s="13" t="n">
        <v>500</v>
      </c>
      <c r="W190" s="13" t="n">
        <v>0</v>
      </c>
      <c r="X190" s="12" t="s">
        <v>328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46195</v>
      </c>
      <c r="C191" s="11" t="n">
        <v>46209</v>
      </c>
      <c r="D191" s="10" t="n">
        <v>1697</v>
      </c>
      <c r="E191" s="12" t="s">
        <v>329</v>
      </c>
      <c r="F191" s="10" t="n">
        <v>24</v>
      </c>
      <c r="G191" s="12" t="s">
        <v>40</v>
      </c>
      <c r="H191" s="10" t="n">
        <v>2110101</v>
      </c>
      <c r="I191" s="12" t="s">
        <v>32</v>
      </c>
      <c r="J191" s="10" t="n">
        <v>1289570</v>
      </c>
      <c r="L191" s="10" t="n">
        <v>207912</v>
      </c>
      <c r="M191" s="12" t="s">
        <v>33</v>
      </c>
      <c r="N191" s="12" t="s">
        <v>34</v>
      </c>
      <c r="P191" s="10" t="n">
        <v>113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591.51</v>
      </c>
      <c r="W191" s="13" t="n">
        <v>0</v>
      </c>
      <c r="X191" s="12" t="s">
        <v>330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46207</v>
      </c>
      <c r="C192" s="11" t="n">
        <v>46210</v>
      </c>
      <c r="D192" s="10" t="n">
        <v>642</v>
      </c>
      <c r="E192" s="12" t="s">
        <v>97</v>
      </c>
      <c r="F192" s="10" t="n">
        <v>24</v>
      </c>
      <c r="G192" s="12" t="s">
        <v>40</v>
      </c>
      <c r="H192" s="10" t="n">
        <v>2110101</v>
      </c>
      <c r="I192" s="12" t="s">
        <v>32</v>
      </c>
      <c r="J192" s="10" t="n">
        <v>1348633</v>
      </c>
      <c r="L192" s="10" t="n">
        <v>520</v>
      </c>
      <c r="M192" s="12" t="s">
        <v>33</v>
      </c>
      <c r="N192" s="12" t="s">
        <v>34</v>
      </c>
      <c r="P192" s="10" t="n">
        <v>113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240</v>
      </c>
      <c r="W192" s="13" t="n">
        <v>0</v>
      </c>
      <c r="X192" s="12" t="s">
        <v>331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46210</v>
      </c>
      <c r="D193" s="10" t="n">
        <v>1921</v>
      </c>
      <c r="E193" s="12" t="s">
        <v>107</v>
      </c>
      <c r="F193" s="10" t="n">
        <v>24</v>
      </c>
      <c r="G193" s="12" t="s">
        <v>40</v>
      </c>
      <c r="H193" s="10" t="n">
        <v>2110101</v>
      </c>
      <c r="I193" s="12" t="s">
        <v>32</v>
      </c>
      <c r="J193" s="10" t="n">
        <v>1227446</v>
      </c>
      <c r="L193" s="10" t="n">
        <v>20868</v>
      </c>
      <c r="M193" s="12" t="s">
        <v>41</v>
      </c>
      <c r="N193" s="12" t="s">
        <v>34</v>
      </c>
      <c r="P193" s="10" t="n">
        <v>113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303.19</v>
      </c>
      <c r="W193" s="13" t="n">
        <v>0</v>
      </c>
      <c r="X193" s="12" t="s">
        <v>109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46210</v>
      </c>
      <c r="D194" s="10" t="n">
        <v>1635</v>
      </c>
      <c r="E194" s="12" t="s">
        <v>110</v>
      </c>
      <c r="F194" s="10" t="n">
        <v>24</v>
      </c>
      <c r="G194" s="12" t="s">
        <v>40</v>
      </c>
      <c r="H194" s="10" t="n">
        <v>2110101</v>
      </c>
      <c r="I194" s="12" t="s">
        <v>32</v>
      </c>
      <c r="J194" s="10" t="n">
        <v>1231128</v>
      </c>
      <c r="L194" s="10" t="n">
        <v>518105</v>
      </c>
      <c r="M194" s="12" t="s">
        <v>41</v>
      </c>
      <c r="N194" s="12" t="s">
        <v>34</v>
      </c>
      <c r="P194" s="10" t="n">
        <v>113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642.4</v>
      </c>
      <c r="W194" s="13" t="n">
        <v>0</v>
      </c>
      <c r="X194" s="12" t="s">
        <v>111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46190</v>
      </c>
      <c r="C195" s="11" t="n">
        <v>46210</v>
      </c>
      <c r="D195" s="10" t="n">
        <v>1635</v>
      </c>
      <c r="E195" s="12" t="s">
        <v>110</v>
      </c>
      <c r="F195" s="10" t="n">
        <v>24</v>
      </c>
      <c r="G195" s="12" t="s">
        <v>40</v>
      </c>
      <c r="H195" s="10" t="n">
        <v>2110101</v>
      </c>
      <c r="I195" s="12" t="s">
        <v>32</v>
      </c>
      <c r="J195" s="10" t="n">
        <v>1264969</v>
      </c>
      <c r="L195" s="10" t="n">
        <v>518753</v>
      </c>
      <c r="M195" s="12" t="s">
        <v>33</v>
      </c>
      <c r="N195" s="12" t="s">
        <v>34</v>
      </c>
      <c r="P195" s="10" t="n">
        <v>113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684</v>
      </c>
      <c r="W195" s="13" t="n">
        <v>0</v>
      </c>
      <c r="X195" s="12" t="s">
        <v>332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46195</v>
      </c>
      <c r="C196" s="11" t="n">
        <v>46210</v>
      </c>
      <c r="D196" s="10" t="n">
        <v>1705</v>
      </c>
      <c r="E196" s="12" t="s">
        <v>43</v>
      </c>
      <c r="F196" s="10" t="n">
        <v>24</v>
      </c>
      <c r="G196" s="12" t="s">
        <v>40</v>
      </c>
      <c r="H196" s="10" t="n">
        <v>2110101</v>
      </c>
      <c r="I196" s="12" t="s">
        <v>32</v>
      </c>
      <c r="J196" s="10" t="n">
        <v>1290071</v>
      </c>
      <c r="L196" s="10" t="n">
        <v>1170564</v>
      </c>
      <c r="M196" s="12" t="s">
        <v>33</v>
      </c>
      <c r="N196" s="12" t="s">
        <v>34</v>
      </c>
      <c r="P196" s="10" t="n">
        <v>113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22.95</v>
      </c>
      <c r="W196" s="13" t="n">
        <v>0</v>
      </c>
      <c r="X196" s="12" t="s">
        <v>333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46195</v>
      </c>
      <c r="C197" s="11" t="n">
        <v>46210</v>
      </c>
      <c r="D197" s="10" t="n">
        <v>1705</v>
      </c>
      <c r="E197" s="12" t="s">
        <v>43</v>
      </c>
      <c r="F197" s="10" t="n">
        <v>24</v>
      </c>
      <c r="G197" s="12" t="s">
        <v>40</v>
      </c>
      <c r="H197" s="10" t="n">
        <v>2110101</v>
      </c>
      <c r="I197" s="12" t="s">
        <v>32</v>
      </c>
      <c r="J197" s="10" t="n">
        <v>1290089</v>
      </c>
      <c r="L197" s="10" t="n">
        <v>1893322</v>
      </c>
      <c r="M197" s="12" t="s">
        <v>33</v>
      </c>
      <c r="N197" s="12" t="s">
        <v>34</v>
      </c>
      <c r="P197" s="10" t="n">
        <v>113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840.06</v>
      </c>
      <c r="W197" s="13" t="n">
        <v>0</v>
      </c>
      <c r="X197" s="12" t="s">
        <v>334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46195</v>
      </c>
      <c r="C198" s="11" t="n">
        <v>46210</v>
      </c>
      <c r="D198" s="10" t="n">
        <v>1705</v>
      </c>
      <c r="E198" s="12" t="s">
        <v>43</v>
      </c>
      <c r="F198" s="10" t="n">
        <v>24</v>
      </c>
      <c r="G198" s="12" t="s">
        <v>40</v>
      </c>
      <c r="H198" s="10" t="n">
        <v>2110101</v>
      </c>
      <c r="I198" s="12" t="s">
        <v>32</v>
      </c>
      <c r="J198" s="10" t="n">
        <v>1290102</v>
      </c>
      <c r="L198" s="10" t="n">
        <v>1171501</v>
      </c>
      <c r="M198" s="12" t="s">
        <v>33</v>
      </c>
      <c r="N198" s="12" t="s">
        <v>34</v>
      </c>
      <c r="P198" s="10" t="n">
        <v>113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2287.85</v>
      </c>
      <c r="W198" s="13" t="n">
        <v>0</v>
      </c>
      <c r="X198" s="12" t="s">
        <v>335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46195</v>
      </c>
      <c r="C199" s="11" t="n">
        <v>46210</v>
      </c>
      <c r="D199" s="10" t="n">
        <v>1705</v>
      </c>
      <c r="E199" s="12" t="s">
        <v>43</v>
      </c>
      <c r="F199" s="10" t="n">
        <v>24</v>
      </c>
      <c r="G199" s="12" t="s">
        <v>40</v>
      </c>
      <c r="H199" s="10" t="n">
        <v>2110101</v>
      </c>
      <c r="I199" s="12" t="s">
        <v>32</v>
      </c>
      <c r="J199" s="10" t="n">
        <v>1290130</v>
      </c>
      <c r="L199" s="10" t="n">
        <v>172327</v>
      </c>
      <c r="M199" s="12" t="s">
        <v>33</v>
      </c>
      <c r="N199" s="12" t="s">
        <v>51</v>
      </c>
      <c r="P199" s="10" t="n">
        <v>113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97.97</v>
      </c>
      <c r="W199" s="13" t="n">
        <v>0</v>
      </c>
      <c r="X199" s="12"/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46210</v>
      </c>
      <c r="C200" s="11" t="n">
        <v>46210</v>
      </c>
      <c r="D200" s="10" t="n">
        <v>1037</v>
      </c>
      <c r="E200" s="12" t="s">
        <v>125</v>
      </c>
      <c r="F200" s="10" t="n">
        <v>34</v>
      </c>
      <c r="G200" s="12" t="s">
        <v>31</v>
      </c>
      <c r="H200" s="10" t="n">
        <v>2110101</v>
      </c>
      <c r="I200" s="12" t="s">
        <v>32</v>
      </c>
      <c r="J200" s="10" t="n">
        <v>1365898</v>
      </c>
      <c r="L200" s="10" t="n">
        <v>183595</v>
      </c>
      <c r="M200" s="12" t="s">
        <v>33</v>
      </c>
      <c r="N200" s="12" t="s">
        <v>51</v>
      </c>
      <c r="P200" s="10" t="n">
        <v>113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220</v>
      </c>
      <c r="W200" s="13" t="n">
        <v>0</v>
      </c>
      <c r="X200" s="12" t="s">
        <v>336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46210</v>
      </c>
      <c r="C201" s="11" t="n">
        <v>46210</v>
      </c>
      <c r="D201" s="10" t="n">
        <v>10096</v>
      </c>
      <c r="E201" s="12" t="s">
        <v>48</v>
      </c>
      <c r="F201" s="10" t="n">
        <v>13</v>
      </c>
      <c r="G201" s="12" t="s">
        <v>49</v>
      </c>
      <c r="H201" s="10" t="n">
        <v>1110203</v>
      </c>
      <c r="I201" s="12" t="s">
        <v>50</v>
      </c>
      <c r="J201" s="10" t="n">
        <v>1428699</v>
      </c>
      <c r="L201" s="10" t="n">
        <v>191311</v>
      </c>
      <c r="M201" s="12" t="s">
        <v>33</v>
      </c>
      <c r="N201" s="12" t="s">
        <v>51</v>
      </c>
      <c r="P201" s="10" t="n">
        <v>113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120</v>
      </c>
      <c r="W201" s="13" t="n">
        <v>0</v>
      </c>
      <c r="X201" s="12" t="s">
        <v>337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46200</v>
      </c>
      <c r="C202" s="11" t="n">
        <v>46210</v>
      </c>
      <c r="D202" s="10" t="n">
        <v>1609</v>
      </c>
      <c r="E202" s="12" t="s">
        <v>338</v>
      </c>
      <c r="F202" s="10" t="n">
        <v>24</v>
      </c>
      <c r="G202" s="12" t="s">
        <v>40</v>
      </c>
      <c r="H202" s="10" t="n">
        <v>2110101</v>
      </c>
      <c r="I202" s="12" t="s">
        <v>32</v>
      </c>
      <c r="J202" s="10" t="n">
        <v>1312583</v>
      </c>
      <c r="L202" s="10" t="n">
        <v>5720</v>
      </c>
      <c r="M202" s="12" t="s">
        <v>33</v>
      </c>
      <c r="N202" s="12" t="s">
        <v>34</v>
      </c>
      <c r="P202" s="10" t="n">
        <v>113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358.65</v>
      </c>
      <c r="W202" s="13" t="n">
        <v>0</v>
      </c>
      <c r="X202" s="12" t="s">
        <v>339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46189</v>
      </c>
      <c r="C203" s="11" t="n">
        <v>46210</v>
      </c>
      <c r="D203" s="10" t="n">
        <v>10033</v>
      </c>
      <c r="E203" s="12" t="s">
        <v>136</v>
      </c>
      <c r="F203" s="10" t="n">
        <v>24</v>
      </c>
      <c r="G203" s="12" t="s">
        <v>40</v>
      </c>
      <c r="H203" s="10" t="n">
        <v>2110101</v>
      </c>
      <c r="I203" s="12" t="s">
        <v>32</v>
      </c>
      <c r="J203" s="10" t="n">
        <v>1260463</v>
      </c>
      <c r="L203" s="10" t="n">
        <v>102727</v>
      </c>
      <c r="M203" s="12" t="s">
        <v>108</v>
      </c>
      <c r="N203" s="12" t="s">
        <v>34</v>
      </c>
      <c r="P203" s="10" t="n">
        <v>113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360.24</v>
      </c>
      <c r="W203" s="13" t="n">
        <v>0</v>
      </c>
      <c r="X203" s="12" t="s">
        <v>137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46203</v>
      </c>
      <c r="C204" s="11" t="n">
        <v>46210</v>
      </c>
      <c r="D204" s="10" t="n">
        <v>1363</v>
      </c>
      <c r="E204" s="12" t="s">
        <v>340</v>
      </c>
      <c r="F204" s="10" t="n">
        <v>24</v>
      </c>
      <c r="G204" s="12" t="s">
        <v>40</v>
      </c>
      <c r="H204" s="10" t="n">
        <v>2110101</v>
      </c>
      <c r="I204" s="12" t="s">
        <v>32</v>
      </c>
      <c r="J204" s="10" t="n">
        <v>1330369</v>
      </c>
      <c r="L204" s="10" t="n">
        <v>3453</v>
      </c>
      <c r="M204" s="12" t="s">
        <v>33</v>
      </c>
      <c r="N204" s="12" t="s">
        <v>34</v>
      </c>
      <c r="P204" s="10" t="n">
        <v>113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122</v>
      </c>
      <c r="W204" s="13" t="n">
        <v>0</v>
      </c>
      <c r="X204" s="12" t="s">
        <v>341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46191</v>
      </c>
      <c r="C205" s="11" t="n">
        <v>46210</v>
      </c>
      <c r="D205" s="10" t="n">
        <v>1668</v>
      </c>
      <c r="E205" s="12" t="s">
        <v>138</v>
      </c>
      <c r="F205" s="10" t="n">
        <v>24</v>
      </c>
      <c r="G205" s="12" t="s">
        <v>40</v>
      </c>
      <c r="H205" s="10" t="n">
        <v>2110101</v>
      </c>
      <c r="I205" s="12" t="s">
        <v>32</v>
      </c>
      <c r="J205" s="10" t="n">
        <v>1269061</v>
      </c>
      <c r="L205" s="10" t="n">
        <v>729265</v>
      </c>
      <c r="M205" s="12" t="s">
        <v>41</v>
      </c>
      <c r="N205" s="12" t="s">
        <v>34</v>
      </c>
      <c r="P205" s="10" t="n">
        <v>113</v>
      </c>
      <c r="Q205" s="12" t="s">
        <v>35</v>
      </c>
      <c r="R205" s="12" t="s">
        <v>36</v>
      </c>
      <c r="S205" s="10" t="n">
        <v>1130101</v>
      </c>
      <c r="T205" s="12" t="s">
        <v>37</v>
      </c>
      <c r="U205" s="13" t="n">
        <v>326.84</v>
      </c>
      <c r="W205" s="13" t="n">
        <v>0</v>
      </c>
      <c r="X205" s="12" t="s">
        <v>140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46199</v>
      </c>
      <c r="C206" s="11" t="n">
        <v>46210</v>
      </c>
      <c r="D206" s="10" t="n">
        <v>10009</v>
      </c>
      <c r="E206" s="12" t="s">
        <v>76</v>
      </c>
      <c r="F206" s="10" t="n">
        <v>24</v>
      </c>
      <c r="G206" s="12" t="s">
        <v>40</v>
      </c>
      <c r="H206" s="10" t="n">
        <v>2110101</v>
      </c>
      <c r="I206" s="12" t="s">
        <v>32</v>
      </c>
      <c r="J206" s="10" t="n">
        <v>1310309</v>
      </c>
      <c r="L206" s="10" t="n">
        <v>1420058</v>
      </c>
      <c r="M206" s="12" t="s">
        <v>33</v>
      </c>
      <c r="N206" s="12" t="s">
        <v>34</v>
      </c>
      <c r="P206" s="10" t="n">
        <v>113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418.83</v>
      </c>
      <c r="W206" s="13" t="n">
        <v>0</v>
      </c>
      <c r="X206" s="12" t="s">
        <v>342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46210</v>
      </c>
      <c r="C207" s="11" t="n">
        <v>46210</v>
      </c>
      <c r="D207" s="10" t="n">
        <v>48</v>
      </c>
      <c r="E207" s="12" t="s">
        <v>78</v>
      </c>
      <c r="F207" s="10" t="n">
        <v>34</v>
      </c>
      <c r="G207" s="12" t="s">
        <v>31</v>
      </c>
      <c r="H207" s="10" t="n">
        <v>2110101</v>
      </c>
      <c r="I207" s="12" t="s">
        <v>32</v>
      </c>
      <c r="J207" s="10" t="n">
        <v>1365847</v>
      </c>
      <c r="L207" s="10" t="n">
        <v>2528</v>
      </c>
      <c r="M207" s="12" t="s">
        <v>33</v>
      </c>
      <c r="N207" s="12" t="s">
        <v>34</v>
      </c>
      <c r="P207" s="10" t="n">
        <v>113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2024.65</v>
      </c>
      <c r="W207" s="13" t="n">
        <v>0</v>
      </c>
      <c r="X207" s="12" t="s">
        <v>343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46204</v>
      </c>
      <c r="C208" s="11" t="n">
        <v>46210</v>
      </c>
      <c r="D208" s="10" t="n">
        <v>1328</v>
      </c>
      <c r="E208" s="12" t="s">
        <v>80</v>
      </c>
      <c r="F208" s="10" t="n">
        <v>24</v>
      </c>
      <c r="G208" s="12" t="s">
        <v>40</v>
      </c>
      <c r="H208" s="10" t="n">
        <v>2110101</v>
      </c>
      <c r="I208" s="12" t="s">
        <v>32</v>
      </c>
      <c r="J208" s="10" t="n">
        <v>1335310</v>
      </c>
      <c r="L208" s="10" t="n">
        <v>3933</v>
      </c>
      <c r="M208" s="12" t="s">
        <v>33</v>
      </c>
      <c r="N208" s="12" t="s">
        <v>34</v>
      </c>
      <c r="P208" s="10" t="n">
        <v>113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236.18</v>
      </c>
      <c r="W208" s="13" t="n">
        <v>0</v>
      </c>
      <c r="X208" s="12" t="s">
        <v>344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46219</v>
      </c>
      <c r="C209" s="11" t="n">
        <v>46210</v>
      </c>
      <c r="D209" s="10" t="n">
        <v>1932</v>
      </c>
      <c r="E209" s="12" t="s">
        <v>345</v>
      </c>
      <c r="F209" s="10" t="n">
        <v>34</v>
      </c>
      <c r="G209" s="12" t="s">
        <v>31</v>
      </c>
      <c r="H209" s="10" t="n">
        <v>1110203</v>
      </c>
      <c r="I209" s="12" t="s">
        <v>50</v>
      </c>
      <c r="J209" s="10" t="n">
        <v>460357</v>
      </c>
      <c r="L209" s="10" t="n">
        <v>59537</v>
      </c>
      <c r="M209" s="12" t="s">
        <v>108</v>
      </c>
      <c r="N209" s="12" t="s">
        <v>51</v>
      </c>
      <c r="P209" s="10" t="n">
        <v>102</v>
      </c>
      <c r="Q209" s="12" t="s">
        <v>101</v>
      </c>
      <c r="R209" s="12" t="s">
        <v>102</v>
      </c>
      <c r="S209" s="10" t="n">
        <v>4210315</v>
      </c>
      <c r="T209" s="12" t="s">
        <v>346</v>
      </c>
      <c r="U209" s="13" t="n">
        <v>119.97</v>
      </c>
      <c r="W209" s="13" t="n">
        <v>0</v>
      </c>
      <c r="X209" s="12" t="s">
        <v>347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46196</v>
      </c>
      <c r="C210" s="11" t="n">
        <v>46210</v>
      </c>
      <c r="D210" s="10" t="n">
        <v>1266</v>
      </c>
      <c r="E210" s="12" t="s">
        <v>348</v>
      </c>
      <c r="F210" s="10" t="n">
        <v>24</v>
      </c>
      <c r="G210" s="12" t="s">
        <v>40</v>
      </c>
      <c r="H210" s="10" t="n">
        <v>2110405</v>
      </c>
      <c r="I210" s="12" t="s">
        <v>87</v>
      </c>
      <c r="J210" s="10" t="n">
        <v>1295173</v>
      </c>
      <c r="L210" s="10" t="n">
        <v>173362</v>
      </c>
      <c r="M210" s="12" t="s">
        <v>33</v>
      </c>
      <c r="N210" s="12" t="s">
        <v>51</v>
      </c>
      <c r="P210" s="10" t="n">
        <v>113</v>
      </c>
      <c r="Q210" s="12" t="s">
        <v>35</v>
      </c>
      <c r="R210" s="12" t="s">
        <v>88</v>
      </c>
      <c r="S210" s="10" t="n">
        <v>4210227</v>
      </c>
      <c r="T210" s="12" t="s">
        <v>119</v>
      </c>
      <c r="U210" s="13" t="n">
        <v>317.66</v>
      </c>
      <c r="W210" s="13" t="n">
        <v>0</v>
      </c>
      <c r="X210" s="12" t="s">
        <v>349</v>
      </c>
      <c r="Z210" s="1" t="str">
        <f aca="false">IF($T210="","",IFERROR(INDEX('Resumo Grupos'!$AC$3:$AC$200,MATCH($T210,'Resumo Grupos'!$AB$3:$AB$200,0)),"n/d"))</f>
        <v>Despesa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46204</v>
      </c>
      <c r="C211" s="11" t="n">
        <v>46210</v>
      </c>
      <c r="D211" s="10" t="n">
        <v>1292</v>
      </c>
      <c r="E211" s="12" t="s">
        <v>91</v>
      </c>
      <c r="F211" s="10" t="n">
        <v>24</v>
      </c>
      <c r="G211" s="12" t="s">
        <v>40</v>
      </c>
      <c r="H211" s="10" t="n">
        <v>2110101</v>
      </c>
      <c r="I211" s="12" t="s">
        <v>32</v>
      </c>
      <c r="J211" s="10" t="n">
        <v>1333861</v>
      </c>
      <c r="L211" s="10" t="n">
        <v>3507</v>
      </c>
      <c r="M211" s="12" t="s">
        <v>33</v>
      </c>
      <c r="N211" s="12" t="s">
        <v>34</v>
      </c>
      <c r="P211" s="10" t="n">
        <v>113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589.5</v>
      </c>
      <c r="W211" s="13" t="n">
        <v>0</v>
      </c>
      <c r="X211" s="12" t="s">
        <v>350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46204</v>
      </c>
      <c r="C212" s="11" t="n">
        <v>46210</v>
      </c>
      <c r="D212" s="10" t="n">
        <v>754</v>
      </c>
      <c r="E212" s="12" t="s">
        <v>55</v>
      </c>
      <c r="F212" s="10" t="n">
        <v>24</v>
      </c>
      <c r="G212" s="12" t="s">
        <v>40</v>
      </c>
      <c r="H212" s="10" t="n">
        <v>2110101</v>
      </c>
      <c r="I212" s="12" t="s">
        <v>32</v>
      </c>
      <c r="J212" s="10" t="n">
        <v>1334341</v>
      </c>
      <c r="L212" s="10" t="n">
        <v>31492</v>
      </c>
      <c r="M212" s="12" t="s">
        <v>33</v>
      </c>
      <c r="N212" s="12" t="s">
        <v>34</v>
      </c>
      <c r="P212" s="10" t="n">
        <v>113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3140</v>
      </c>
      <c r="W212" s="13" t="n">
        <v>0</v>
      </c>
      <c r="X212" s="12" t="s">
        <v>351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46188</v>
      </c>
      <c r="C213" s="11" t="n">
        <v>46211</v>
      </c>
      <c r="D213" s="10" t="n">
        <v>1659</v>
      </c>
      <c r="E213" s="12" t="s">
        <v>60</v>
      </c>
      <c r="F213" s="10" t="n">
        <v>24</v>
      </c>
      <c r="G213" s="12" t="s">
        <v>40</v>
      </c>
      <c r="H213" s="10" t="n">
        <v>2110101</v>
      </c>
      <c r="I213" s="12" t="s">
        <v>32</v>
      </c>
      <c r="J213" s="10" t="n">
        <v>1257254</v>
      </c>
      <c r="L213" s="10" t="n">
        <v>878758</v>
      </c>
      <c r="M213" s="12" t="s">
        <v>108</v>
      </c>
      <c r="N213" s="12" t="s">
        <v>34</v>
      </c>
      <c r="P213" s="10" t="n">
        <v>113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589.08</v>
      </c>
      <c r="W213" s="13" t="n">
        <v>0</v>
      </c>
      <c r="X213" s="12" t="s">
        <v>153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46191</v>
      </c>
      <c r="C214" s="11" t="n">
        <v>46211</v>
      </c>
      <c r="D214" s="10" t="n">
        <v>10029</v>
      </c>
      <c r="E214" s="12" t="s">
        <v>154</v>
      </c>
      <c r="F214" s="10" t="n">
        <v>24</v>
      </c>
      <c r="G214" s="12" t="s">
        <v>40</v>
      </c>
      <c r="H214" s="10" t="n">
        <v>2110405</v>
      </c>
      <c r="I214" s="12" t="s">
        <v>87</v>
      </c>
      <c r="J214" s="10" t="n">
        <v>1268814</v>
      </c>
      <c r="L214" s="10" t="n">
        <v>168791</v>
      </c>
      <c r="M214" s="12" t="s">
        <v>33</v>
      </c>
      <c r="N214" s="12" t="s">
        <v>51</v>
      </c>
      <c r="P214" s="10" t="n">
        <v>113</v>
      </c>
      <c r="Q214" s="12" t="s">
        <v>35</v>
      </c>
      <c r="R214" s="12" t="s">
        <v>88</v>
      </c>
      <c r="S214" s="10" t="n">
        <v>4210227</v>
      </c>
      <c r="T214" s="12" t="s">
        <v>119</v>
      </c>
      <c r="U214" s="13" t="n">
        <v>920</v>
      </c>
      <c r="W214" s="13" t="n">
        <v>0</v>
      </c>
      <c r="X214" s="12" t="s">
        <v>155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46195</v>
      </c>
      <c r="C215" s="11" t="n">
        <v>46211</v>
      </c>
      <c r="D215" s="10" t="n">
        <v>1613</v>
      </c>
      <c r="E215" s="12" t="s">
        <v>159</v>
      </c>
      <c r="F215" s="10" t="n">
        <v>24</v>
      </c>
      <c r="G215" s="12" t="s">
        <v>40</v>
      </c>
      <c r="H215" s="10" t="n">
        <v>2110101</v>
      </c>
      <c r="I215" s="12" t="s">
        <v>32</v>
      </c>
      <c r="J215" s="10" t="n">
        <v>1289535</v>
      </c>
      <c r="L215" s="10" t="n">
        <v>1598763</v>
      </c>
      <c r="M215" s="12" t="s">
        <v>108</v>
      </c>
      <c r="N215" s="12" t="s">
        <v>34</v>
      </c>
      <c r="P215" s="10" t="n">
        <v>113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671.15</v>
      </c>
      <c r="W215" s="13" t="n">
        <v>0</v>
      </c>
      <c r="X215" s="12" t="s">
        <v>161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46199</v>
      </c>
      <c r="C216" s="11" t="n">
        <v>46211</v>
      </c>
      <c r="D216" s="10" t="n">
        <v>1613</v>
      </c>
      <c r="E216" s="12" t="s">
        <v>159</v>
      </c>
      <c r="F216" s="10" t="n">
        <v>24</v>
      </c>
      <c r="G216" s="12" t="s">
        <v>40</v>
      </c>
      <c r="H216" s="10" t="n">
        <v>2110101</v>
      </c>
      <c r="I216" s="12" t="s">
        <v>32</v>
      </c>
      <c r="J216" s="10" t="n">
        <v>1309874</v>
      </c>
      <c r="L216" s="10" t="n">
        <v>1600681</v>
      </c>
      <c r="M216" s="12" t="s">
        <v>33</v>
      </c>
      <c r="N216" s="12" t="s">
        <v>34</v>
      </c>
      <c r="P216" s="10" t="n">
        <v>113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1881.47</v>
      </c>
      <c r="W216" s="13" t="n">
        <v>0</v>
      </c>
      <c r="X216" s="12" t="s">
        <v>352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46191</v>
      </c>
      <c r="C217" s="11" t="n">
        <v>46211</v>
      </c>
      <c r="D217" s="10" t="n">
        <v>10085</v>
      </c>
      <c r="E217" s="12" t="s">
        <v>353</v>
      </c>
      <c r="F217" s="10" t="n">
        <v>24</v>
      </c>
      <c r="G217" s="12" t="s">
        <v>40</v>
      </c>
      <c r="H217" s="10" t="n">
        <v>2110101</v>
      </c>
      <c r="I217" s="12" t="s">
        <v>32</v>
      </c>
      <c r="J217" s="10" t="n">
        <v>1269959</v>
      </c>
      <c r="L217" s="10" t="n">
        <v>252</v>
      </c>
      <c r="M217" s="12" t="s">
        <v>33</v>
      </c>
      <c r="N217" s="12" t="s">
        <v>34</v>
      </c>
      <c r="P217" s="10" t="n">
        <v>113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324.43</v>
      </c>
      <c r="W217" s="13" t="n">
        <v>0</v>
      </c>
      <c r="X217" s="12" t="s">
        <v>354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46197</v>
      </c>
      <c r="C218" s="11" t="n">
        <v>46211</v>
      </c>
      <c r="D218" s="10" t="n">
        <v>1152</v>
      </c>
      <c r="E218" s="12" t="s">
        <v>355</v>
      </c>
      <c r="F218" s="10" t="n">
        <v>24</v>
      </c>
      <c r="G218" s="12" t="s">
        <v>40</v>
      </c>
      <c r="H218" s="10" t="n">
        <v>2110101</v>
      </c>
      <c r="I218" s="12" t="s">
        <v>32</v>
      </c>
      <c r="J218" s="10" t="n">
        <v>1299537</v>
      </c>
      <c r="L218" s="10" t="n">
        <v>253</v>
      </c>
      <c r="M218" s="12" t="s">
        <v>33</v>
      </c>
      <c r="N218" s="12" t="s">
        <v>34</v>
      </c>
      <c r="P218" s="10" t="n">
        <v>113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845</v>
      </c>
      <c r="W218" s="13" t="n">
        <v>0</v>
      </c>
      <c r="X218" s="12" t="s">
        <v>356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46189</v>
      </c>
      <c r="C219" s="11" t="n">
        <v>46211</v>
      </c>
      <c r="D219" s="10" t="n">
        <v>957</v>
      </c>
      <c r="E219" s="12" t="s">
        <v>58</v>
      </c>
      <c r="F219" s="10" t="n">
        <v>24</v>
      </c>
      <c r="G219" s="12" t="s">
        <v>40</v>
      </c>
      <c r="H219" s="10" t="n">
        <v>2110101</v>
      </c>
      <c r="I219" s="12" t="s">
        <v>32</v>
      </c>
      <c r="J219" s="10" t="n">
        <v>1261052</v>
      </c>
      <c r="L219" s="10" t="n">
        <v>20499</v>
      </c>
      <c r="M219" s="12" t="s">
        <v>108</v>
      </c>
      <c r="N219" s="12" t="s">
        <v>34</v>
      </c>
      <c r="P219" s="10" t="n">
        <v>113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1589.28</v>
      </c>
      <c r="W219" s="13" t="n">
        <v>0</v>
      </c>
      <c r="X219" s="12" t="s">
        <v>59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46197</v>
      </c>
      <c r="C220" s="11" t="n">
        <v>46211</v>
      </c>
      <c r="D220" s="10" t="n">
        <v>1815</v>
      </c>
      <c r="E220" s="12" t="s">
        <v>175</v>
      </c>
      <c r="F220" s="10" t="n">
        <v>24</v>
      </c>
      <c r="G220" s="12" t="s">
        <v>40</v>
      </c>
      <c r="H220" s="10" t="n">
        <v>2110101</v>
      </c>
      <c r="I220" s="12" t="s">
        <v>32</v>
      </c>
      <c r="J220" s="10" t="n">
        <v>1300169</v>
      </c>
      <c r="L220" s="10" t="n">
        <v>388857</v>
      </c>
      <c r="M220" s="12" t="s">
        <v>108</v>
      </c>
      <c r="N220" s="12" t="s">
        <v>34</v>
      </c>
      <c r="P220" s="10" t="n">
        <v>113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314.44</v>
      </c>
      <c r="W220" s="13" t="n">
        <v>0</v>
      </c>
      <c r="X220" s="12" t="s">
        <v>176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46211</v>
      </c>
      <c r="C221" s="11" t="n">
        <v>46211</v>
      </c>
      <c r="D221" s="10" t="n">
        <v>10092</v>
      </c>
      <c r="E221" s="12" t="s">
        <v>357</v>
      </c>
      <c r="F221" s="10" t="n">
        <v>13</v>
      </c>
      <c r="G221" s="12" t="s">
        <v>49</v>
      </c>
      <c r="H221" s="10" t="n">
        <v>2110101</v>
      </c>
      <c r="I221" s="12" t="s">
        <v>32</v>
      </c>
      <c r="J221" s="10" t="n">
        <v>1369398</v>
      </c>
      <c r="L221" s="10" t="n">
        <v>294</v>
      </c>
      <c r="M221" s="12" t="s">
        <v>33</v>
      </c>
      <c r="N221" s="12" t="s">
        <v>34</v>
      </c>
      <c r="P221" s="10" t="n">
        <v>113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164.5</v>
      </c>
      <c r="W221" s="13" t="n">
        <v>164.5</v>
      </c>
      <c r="X221" s="12" t="s">
        <v>358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46191</v>
      </c>
      <c r="C222" s="11" t="n">
        <v>46211</v>
      </c>
      <c r="D222" s="10" t="n">
        <v>1668</v>
      </c>
      <c r="E222" s="12" t="s">
        <v>138</v>
      </c>
      <c r="F222" s="10" t="n">
        <v>24</v>
      </c>
      <c r="G222" s="12" t="s">
        <v>40</v>
      </c>
      <c r="H222" s="10" t="n">
        <v>2110101</v>
      </c>
      <c r="I222" s="12" t="s">
        <v>32</v>
      </c>
      <c r="J222" s="10" t="n">
        <v>1269854</v>
      </c>
      <c r="L222" s="10" t="n">
        <v>729799</v>
      </c>
      <c r="M222" s="12" t="s">
        <v>33</v>
      </c>
      <c r="N222" s="12" t="s">
        <v>34</v>
      </c>
      <c r="P222" s="10" t="n">
        <v>113</v>
      </c>
      <c r="Q222" s="12" t="s">
        <v>35</v>
      </c>
      <c r="R222" s="12" t="s">
        <v>36</v>
      </c>
      <c r="S222" s="10" t="n">
        <v>1130101</v>
      </c>
      <c r="T222" s="12" t="s">
        <v>37</v>
      </c>
      <c r="U222" s="13" t="n">
        <v>381.51</v>
      </c>
      <c r="W222" s="13" t="n">
        <v>0</v>
      </c>
      <c r="X222" s="12" t="s">
        <v>359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46190</v>
      </c>
      <c r="C223" s="11" t="n">
        <v>46211</v>
      </c>
      <c r="D223" s="10" t="n">
        <v>1107</v>
      </c>
      <c r="E223" s="12" t="s">
        <v>194</v>
      </c>
      <c r="F223" s="10" t="n">
        <v>24</v>
      </c>
      <c r="G223" s="12" t="s">
        <v>40</v>
      </c>
      <c r="H223" s="10" t="n">
        <v>2110101</v>
      </c>
      <c r="I223" s="12" t="s">
        <v>32</v>
      </c>
      <c r="J223" s="10" t="n">
        <v>1265709</v>
      </c>
      <c r="L223" s="10" t="n">
        <v>416678</v>
      </c>
      <c r="M223" s="12" t="s">
        <v>108</v>
      </c>
      <c r="N223" s="12" t="s">
        <v>34</v>
      </c>
      <c r="P223" s="10" t="n">
        <v>113</v>
      </c>
      <c r="Q223" s="12" t="s">
        <v>35</v>
      </c>
      <c r="R223" s="12" t="s">
        <v>36</v>
      </c>
      <c r="S223" s="10" t="n">
        <v>1130101</v>
      </c>
      <c r="T223" s="12" t="s">
        <v>37</v>
      </c>
      <c r="U223" s="13" t="n">
        <v>61.58</v>
      </c>
      <c r="W223" s="13" t="n">
        <v>0</v>
      </c>
      <c r="X223" s="12" t="s">
        <v>195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46198</v>
      </c>
      <c r="C224" s="11" t="n">
        <v>46211</v>
      </c>
      <c r="D224" s="10" t="n">
        <v>1749</v>
      </c>
      <c r="E224" s="12" t="s">
        <v>142</v>
      </c>
      <c r="F224" s="10" t="n">
        <v>24</v>
      </c>
      <c r="G224" s="12" t="s">
        <v>40</v>
      </c>
      <c r="H224" s="10" t="n">
        <v>2110101</v>
      </c>
      <c r="I224" s="12" t="s">
        <v>32</v>
      </c>
      <c r="J224" s="10" t="n">
        <v>1304877</v>
      </c>
      <c r="L224" s="10" t="n">
        <v>1996</v>
      </c>
      <c r="M224" s="12" t="s">
        <v>33</v>
      </c>
      <c r="N224" s="12" t="s">
        <v>34</v>
      </c>
      <c r="P224" s="10" t="n">
        <v>113</v>
      </c>
      <c r="Q224" s="12" t="s">
        <v>35</v>
      </c>
      <c r="R224" s="12" t="s">
        <v>36</v>
      </c>
      <c r="S224" s="10" t="n">
        <v>1130101</v>
      </c>
      <c r="T224" s="12" t="s">
        <v>37</v>
      </c>
      <c r="U224" s="13" t="n">
        <v>1159.5</v>
      </c>
      <c r="W224" s="13" t="n">
        <v>0</v>
      </c>
      <c r="X224" s="12" t="s">
        <v>360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46207</v>
      </c>
      <c r="C225" s="11" t="n">
        <v>46211</v>
      </c>
      <c r="D225" s="10" t="n">
        <v>1899</v>
      </c>
      <c r="E225" s="12" t="s">
        <v>84</v>
      </c>
      <c r="F225" s="10" t="n">
        <v>24</v>
      </c>
      <c r="G225" s="12" t="s">
        <v>40</v>
      </c>
      <c r="H225" s="10" t="n">
        <v>2110101</v>
      </c>
      <c r="I225" s="12" t="s">
        <v>32</v>
      </c>
      <c r="J225" s="10" t="n">
        <v>1348260</v>
      </c>
      <c r="L225" s="10" t="n">
        <v>698</v>
      </c>
      <c r="M225" s="12" t="s">
        <v>33</v>
      </c>
      <c r="N225" s="12" t="s">
        <v>34</v>
      </c>
      <c r="P225" s="10" t="n">
        <v>113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379.6</v>
      </c>
      <c r="W225" s="13" t="n">
        <v>0</v>
      </c>
      <c r="X225" s="12" t="s">
        <v>361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46211</v>
      </c>
      <c r="C226" s="11" t="n">
        <v>46211</v>
      </c>
      <c r="D226" s="10" t="n">
        <v>218</v>
      </c>
      <c r="E226" s="12" t="s">
        <v>362</v>
      </c>
      <c r="F226" s="10" t="n">
        <v>34</v>
      </c>
      <c r="G226" s="12" t="s">
        <v>31</v>
      </c>
      <c r="H226" s="10" t="n">
        <v>1110203</v>
      </c>
      <c r="I226" s="12" t="s">
        <v>50</v>
      </c>
      <c r="J226" s="10" t="n">
        <v>1369192</v>
      </c>
      <c r="L226" s="10" t="n">
        <v>184047</v>
      </c>
      <c r="M226" s="12" t="s">
        <v>33</v>
      </c>
      <c r="N226" s="12" t="s">
        <v>51</v>
      </c>
      <c r="P226" s="10" t="n">
        <v>101</v>
      </c>
      <c r="Q226" s="12" t="s">
        <v>69</v>
      </c>
      <c r="R226" s="12" t="s">
        <v>88</v>
      </c>
      <c r="S226" s="10" t="n">
        <v>4210227</v>
      </c>
      <c r="T226" s="12" t="s">
        <v>119</v>
      </c>
      <c r="U226" s="13" t="n">
        <v>96.97</v>
      </c>
      <c r="W226" s="13" t="n">
        <v>0</v>
      </c>
      <c r="X226" s="12" t="s">
        <v>363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46190</v>
      </c>
      <c r="C227" s="11" t="n">
        <v>46211</v>
      </c>
      <c r="D227" s="10" t="n">
        <v>1745</v>
      </c>
      <c r="E227" s="12" t="s">
        <v>208</v>
      </c>
      <c r="F227" s="10" t="n">
        <v>24</v>
      </c>
      <c r="G227" s="12" t="s">
        <v>40</v>
      </c>
      <c r="H227" s="10" t="n">
        <v>2110101</v>
      </c>
      <c r="I227" s="12" t="s">
        <v>32</v>
      </c>
      <c r="J227" s="10" t="n">
        <v>1266289</v>
      </c>
      <c r="L227" s="10" t="n">
        <v>346452</v>
      </c>
      <c r="M227" s="12" t="s">
        <v>41</v>
      </c>
      <c r="N227" s="12" t="s">
        <v>34</v>
      </c>
      <c r="P227" s="10" t="n">
        <v>113</v>
      </c>
      <c r="Q227" s="12" t="s">
        <v>35</v>
      </c>
      <c r="R227" s="12" t="s">
        <v>36</v>
      </c>
      <c r="S227" s="10" t="n">
        <v>1130101</v>
      </c>
      <c r="T227" s="12" t="s">
        <v>37</v>
      </c>
      <c r="U227" s="13" t="n">
        <v>877.29</v>
      </c>
      <c r="W227" s="13" t="n">
        <v>0</v>
      </c>
      <c r="X227" s="12" t="s">
        <v>209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46211</v>
      </c>
      <c r="C228" s="11" t="n">
        <v>46212</v>
      </c>
      <c r="D228" s="10" t="n">
        <v>642</v>
      </c>
      <c r="E228" s="12" t="s">
        <v>97</v>
      </c>
      <c r="F228" s="10" t="n">
        <v>24</v>
      </c>
      <c r="G228" s="12" t="s">
        <v>40</v>
      </c>
      <c r="H228" s="10" t="n">
        <v>2110101</v>
      </c>
      <c r="I228" s="12" t="s">
        <v>32</v>
      </c>
      <c r="J228" s="10" t="n">
        <v>1370587</v>
      </c>
      <c r="L228" s="10" t="n">
        <v>524</v>
      </c>
      <c r="M228" s="12" t="s">
        <v>33</v>
      </c>
      <c r="N228" s="12" t="s">
        <v>34</v>
      </c>
      <c r="P228" s="10" t="n">
        <v>113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240</v>
      </c>
      <c r="W228" s="13" t="n">
        <v>0</v>
      </c>
      <c r="X228" s="12" t="s">
        <v>364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46200</v>
      </c>
      <c r="C229" s="11" t="n">
        <v>46212</v>
      </c>
      <c r="D229" s="10" t="n">
        <v>1664</v>
      </c>
      <c r="E229" s="12" t="s">
        <v>365</v>
      </c>
      <c r="F229" s="10" t="n">
        <v>24</v>
      </c>
      <c r="G229" s="12" t="s">
        <v>40</v>
      </c>
      <c r="H229" s="10" t="n">
        <v>2110101</v>
      </c>
      <c r="I229" s="12" t="s">
        <v>32</v>
      </c>
      <c r="J229" s="10" t="n">
        <v>1312612</v>
      </c>
      <c r="L229" s="10" t="n">
        <v>77922</v>
      </c>
      <c r="M229" s="12" t="s">
        <v>33</v>
      </c>
      <c r="N229" s="12" t="s">
        <v>34</v>
      </c>
      <c r="P229" s="10" t="n">
        <v>113</v>
      </c>
      <c r="Q229" s="12" t="s">
        <v>35</v>
      </c>
      <c r="R229" s="12" t="s">
        <v>36</v>
      </c>
      <c r="S229" s="10" t="n">
        <v>1130101</v>
      </c>
      <c r="T229" s="12" t="s">
        <v>37</v>
      </c>
      <c r="U229" s="13" t="n">
        <v>155.16</v>
      </c>
      <c r="W229" s="13" t="n">
        <v>0</v>
      </c>
      <c r="X229" s="12" t="s">
        <v>366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46206</v>
      </c>
      <c r="C230" s="11" t="n">
        <v>46212</v>
      </c>
      <c r="D230" s="10" t="n">
        <v>1695</v>
      </c>
      <c r="E230" s="12" t="s">
        <v>39</v>
      </c>
      <c r="F230" s="10" t="n">
        <v>24</v>
      </c>
      <c r="G230" s="12" t="s">
        <v>40</v>
      </c>
      <c r="H230" s="10" t="n">
        <v>2110101</v>
      </c>
      <c r="I230" s="12" t="s">
        <v>32</v>
      </c>
      <c r="J230" s="10" t="n">
        <v>1345083</v>
      </c>
      <c r="L230" s="10" t="n">
        <v>18998</v>
      </c>
      <c r="M230" s="12" t="s">
        <v>33</v>
      </c>
      <c r="N230" s="12" t="s">
        <v>34</v>
      </c>
      <c r="P230" s="10" t="n">
        <v>113</v>
      </c>
      <c r="Q230" s="12" t="s">
        <v>35</v>
      </c>
      <c r="R230" s="12" t="s">
        <v>36</v>
      </c>
      <c r="S230" s="10" t="n">
        <v>1130101</v>
      </c>
      <c r="T230" s="12" t="s">
        <v>37</v>
      </c>
      <c r="U230" s="13" t="n">
        <v>1073.2</v>
      </c>
      <c r="W230" s="13" t="n">
        <v>0</v>
      </c>
      <c r="X230" s="12" t="s">
        <v>367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46198</v>
      </c>
      <c r="C231" s="11" t="n">
        <v>46212</v>
      </c>
      <c r="D231" s="10" t="n">
        <v>1705</v>
      </c>
      <c r="E231" s="12" t="s">
        <v>43</v>
      </c>
      <c r="F231" s="10" t="n">
        <v>24</v>
      </c>
      <c r="G231" s="12" t="s">
        <v>40</v>
      </c>
      <c r="H231" s="10" t="n">
        <v>2110101</v>
      </c>
      <c r="I231" s="12" t="s">
        <v>32</v>
      </c>
      <c r="J231" s="10" t="n">
        <v>1304701</v>
      </c>
      <c r="L231" s="10" t="n">
        <v>1899276</v>
      </c>
      <c r="M231" s="12" t="s">
        <v>33</v>
      </c>
      <c r="N231" s="12" t="s">
        <v>34</v>
      </c>
      <c r="P231" s="10" t="n">
        <v>113</v>
      </c>
      <c r="Q231" s="12" t="s">
        <v>35</v>
      </c>
      <c r="R231" s="12" t="s">
        <v>36</v>
      </c>
      <c r="S231" s="10" t="n">
        <v>1130101</v>
      </c>
      <c r="T231" s="12" t="s">
        <v>37</v>
      </c>
      <c r="U231" s="13" t="n">
        <v>1547.44</v>
      </c>
      <c r="W231" s="13" t="n">
        <v>0</v>
      </c>
      <c r="X231" s="12" t="s">
        <v>368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46198</v>
      </c>
      <c r="C232" s="11" t="n">
        <v>46212</v>
      </c>
      <c r="D232" s="10" t="n">
        <v>1705</v>
      </c>
      <c r="E232" s="12" t="s">
        <v>43</v>
      </c>
      <c r="F232" s="10" t="n">
        <v>24</v>
      </c>
      <c r="G232" s="12" t="s">
        <v>40</v>
      </c>
      <c r="H232" s="10" t="n">
        <v>2110101</v>
      </c>
      <c r="I232" s="12" t="s">
        <v>32</v>
      </c>
      <c r="J232" s="10" t="n">
        <v>1304730</v>
      </c>
      <c r="L232" s="10" t="n">
        <v>174800</v>
      </c>
      <c r="M232" s="12" t="s">
        <v>33</v>
      </c>
      <c r="N232" s="12" t="s">
        <v>51</v>
      </c>
      <c r="P232" s="10" t="n">
        <v>113</v>
      </c>
      <c r="Q232" s="12" t="s">
        <v>35</v>
      </c>
      <c r="R232" s="12" t="s">
        <v>36</v>
      </c>
      <c r="S232" s="10" t="n">
        <v>1130101</v>
      </c>
      <c r="T232" s="12" t="s">
        <v>37</v>
      </c>
      <c r="U232" s="13" t="n">
        <v>124.47</v>
      </c>
      <c r="W232" s="13" t="n">
        <v>0</v>
      </c>
      <c r="X232" s="12" t="s">
        <v>369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46184</v>
      </c>
      <c r="C233" s="11" t="n">
        <v>46212</v>
      </c>
      <c r="D233" s="10" t="n">
        <v>1608</v>
      </c>
      <c r="E233" s="12" t="s">
        <v>266</v>
      </c>
      <c r="F233" s="10" t="n">
        <v>24</v>
      </c>
      <c r="G233" s="12" t="s">
        <v>40</v>
      </c>
      <c r="H233" s="10" t="n">
        <v>2110101</v>
      </c>
      <c r="I233" s="12" t="s">
        <v>32</v>
      </c>
      <c r="J233" s="10" t="n">
        <v>1234920</v>
      </c>
      <c r="L233" s="10" t="n">
        <v>1671078</v>
      </c>
      <c r="M233" s="12" t="s">
        <v>33</v>
      </c>
      <c r="N233" s="12" t="s">
        <v>34</v>
      </c>
      <c r="P233" s="10" t="n">
        <v>113</v>
      </c>
      <c r="Q233" s="12" t="s">
        <v>35</v>
      </c>
      <c r="R233" s="12" t="s">
        <v>36</v>
      </c>
      <c r="S233" s="10" t="n">
        <v>1130101</v>
      </c>
      <c r="T233" s="12" t="s">
        <v>37</v>
      </c>
      <c r="U233" s="13" t="n">
        <v>478.8</v>
      </c>
      <c r="W233" s="13" t="n">
        <v>0</v>
      </c>
      <c r="X233" s="12" t="s">
        <v>370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46184</v>
      </c>
      <c r="C234" s="11" t="n">
        <v>46212</v>
      </c>
      <c r="D234" s="10" t="n">
        <v>1636</v>
      </c>
      <c r="E234" s="12" t="s">
        <v>65</v>
      </c>
      <c r="F234" s="10" t="n">
        <v>24</v>
      </c>
      <c r="G234" s="12" t="s">
        <v>40</v>
      </c>
      <c r="H234" s="10" t="n">
        <v>2110101</v>
      </c>
      <c r="I234" s="12" t="s">
        <v>32</v>
      </c>
      <c r="J234" s="10" t="n">
        <v>1236940</v>
      </c>
      <c r="L234" s="10" t="n">
        <v>164816</v>
      </c>
      <c r="M234" s="12" t="s">
        <v>33</v>
      </c>
      <c r="N234" s="12" t="s">
        <v>51</v>
      </c>
      <c r="P234" s="10" t="n">
        <v>113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1105.95</v>
      </c>
      <c r="W234" s="13" t="n">
        <v>0</v>
      </c>
      <c r="X234" s="12" t="s">
        <v>217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46185</v>
      </c>
      <c r="C235" s="11" t="n">
        <v>46212</v>
      </c>
      <c r="D235" s="10" t="n">
        <v>1616</v>
      </c>
      <c r="E235" s="12" t="s">
        <v>218</v>
      </c>
      <c r="F235" s="10" t="n">
        <v>24</v>
      </c>
      <c r="G235" s="12" t="s">
        <v>40</v>
      </c>
      <c r="H235" s="10" t="n">
        <v>2110101</v>
      </c>
      <c r="I235" s="12" t="s">
        <v>32</v>
      </c>
      <c r="J235" s="10" t="n">
        <v>1241897</v>
      </c>
      <c r="L235" s="10" t="n">
        <v>645628</v>
      </c>
      <c r="M235" s="12" t="s">
        <v>41</v>
      </c>
      <c r="N235" s="12" t="s">
        <v>34</v>
      </c>
      <c r="P235" s="10" t="n">
        <v>113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383.47</v>
      </c>
      <c r="W235" s="13" t="n">
        <v>0</v>
      </c>
      <c r="X235" s="12" t="s">
        <v>219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46191</v>
      </c>
      <c r="C236" s="11" t="n">
        <v>46212</v>
      </c>
      <c r="D236" s="10" t="n">
        <v>1634</v>
      </c>
      <c r="E236" s="12" t="s">
        <v>220</v>
      </c>
      <c r="F236" s="10" t="n">
        <v>24</v>
      </c>
      <c r="G236" s="12" t="s">
        <v>40</v>
      </c>
      <c r="H236" s="10" t="n">
        <v>2110101</v>
      </c>
      <c r="I236" s="12" t="s">
        <v>32</v>
      </c>
      <c r="J236" s="10" t="n">
        <v>1268848</v>
      </c>
      <c r="L236" s="10" t="n">
        <v>326863</v>
      </c>
      <c r="M236" s="12" t="s">
        <v>108</v>
      </c>
      <c r="N236" s="12" t="s">
        <v>34</v>
      </c>
      <c r="P236" s="10" t="n">
        <v>113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496.2</v>
      </c>
      <c r="W236" s="13" t="n">
        <v>0</v>
      </c>
      <c r="X236" s="12" t="s">
        <v>221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46191</v>
      </c>
      <c r="C237" s="11" t="n">
        <v>46212</v>
      </c>
      <c r="D237" s="10" t="n">
        <v>1815</v>
      </c>
      <c r="E237" s="12" t="s">
        <v>175</v>
      </c>
      <c r="F237" s="10" t="n">
        <v>24</v>
      </c>
      <c r="G237" s="12" t="s">
        <v>40</v>
      </c>
      <c r="H237" s="10" t="n">
        <v>2110101</v>
      </c>
      <c r="I237" s="12" t="s">
        <v>32</v>
      </c>
      <c r="J237" s="10" t="n">
        <v>1269162</v>
      </c>
      <c r="L237" s="10" t="n">
        <v>387833</v>
      </c>
      <c r="M237" s="12" t="s">
        <v>41</v>
      </c>
      <c r="N237" s="12" t="s">
        <v>34</v>
      </c>
      <c r="P237" s="10" t="n">
        <v>113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2664.54</v>
      </c>
      <c r="W237" s="13" t="n">
        <v>0</v>
      </c>
      <c r="X237" s="12" t="s">
        <v>232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46205</v>
      </c>
      <c r="C238" s="11" t="n">
        <v>46212</v>
      </c>
      <c r="D238" s="10" t="n">
        <v>1815</v>
      </c>
      <c r="E238" s="12" t="s">
        <v>175</v>
      </c>
      <c r="F238" s="10" t="n">
        <v>24</v>
      </c>
      <c r="G238" s="12" t="s">
        <v>40</v>
      </c>
      <c r="H238" s="10" t="n">
        <v>2110101</v>
      </c>
      <c r="I238" s="12" t="s">
        <v>32</v>
      </c>
      <c r="J238" s="10" t="n">
        <v>1339618</v>
      </c>
      <c r="L238" s="10" t="n">
        <v>390211</v>
      </c>
      <c r="M238" s="12" t="s">
        <v>33</v>
      </c>
      <c r="N238" s="12" t="s">
        <v>34</v>
      </c>
      <c r="P238" s="10" t="n">
        <v>113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2005.45</v>
      </c>
      <c r="W238" s="13" t="n">
        <v>0</v>
      </c>
      <c r="X238" s="12" t="s">
        <v>371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46188</v>
      </c>
      <c r="C239" s="11" t="n">
        <v>46212</v>
      </c>
      <c r="D239" s="10" t="n">
        <v>1611</v>
      </c>
      <c r="E239" s="12" t="s">
        <v>235</v>
      </c>
      <c r="F239" s="10" t="n">
        <v>24</v>
      </c>
      <c r="G239" s="12" t="s">
        <v>40</v>
      </c>
      <c r="H239" s="10" t="n">
        <v>2110101</v>
      </c>
      <c r="I239" s="12" t="s">
        <v>32</v>
      </c>
      <c r="J239" s="10" t="n">
        <v>1255460</v>
      </c>
      <c r="L239" s="10" t="n">
        <v>1771887</v>
      </c>
      <c r="M239" s="12" t="s">
        <v>41</v>
      </c>
      <c r="N239" s="12" t="s">
        <v>34</v>
      </c>
      <c r="P239" s="10" t="n">
        <v>113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613.33</v>
      </c>
      <c r="W239" s="13" t="n">
        <v>0</v>
      </c>
      <c r="X239" s="12" t="s">
        <v>236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46212</v>
      </c>
      <c r="C240" s="11" t="n">
        <v>46212</v>
      </c>
      <c r="D240" s="10" t="n">
        <v>48</v>
      </c>
      <c r="E240" s="12" t="s">
        <v>78</v>
      </c>
      <c r="F240" s="10" t="n">
        <v>13</v>
      </c>
      <c r="G240" s="12" t="s">
        <v>49</v>
      </c>
      <c r="H240" s="10" t="n">
        <v>2110101</v>
      </c>
      <c r="I240" s="12" t="s">
        <v>32</v>
      </c>
      <c r="J240" s="10" t="n">
        <v>1374877</v>
      </c>
      <c r="L240" s="10" t="n">
        <v>2535</v>
      </c>
      <c r="M240" s="12" t="s">
        <v>33</v>
      </c>
      <c r="N240" s="12" t="s">
        <v>34</v>
      </c>
      <c r="P240" s="10" t="n">
        <v>113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210</v>
      </c>
      <c r="W240" s="13" t="n">
        <v>210</v>
      </c>
      <c r="X240" s="12" t="s">
        <v>372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46189</v>
      </c>
      <c r="C241" s="11" t="n">
        <v>46212</v>
      </c>
      <c r="D241" s="10" t="n">
        <v>1624</v>
      </c>
      <c r="E241" s="12" t="s">
        <v>241</v>
      </c>
      <c r="F241" s="10" t="n">
        <v>24</v>
      </c>
      <c r="G241" s="12" t="s">
        <v>40</v>
      </c>
      <c r="H241" s="10" t="n">
        <v>2110101</v>
      </c>
      <c r="I241" s="12" t="s">
        <v>32</v>
      </c>
      <c r="J241" s="10" t="n">
        <v>1261007</v>
      </c>
      <c r="L241" s="10" t="n">
        <v>658429</v>
      </c>
      <c r="M241" s="12" t="s">
        <v>108</v>
      </c>
      <c r="N241" s="12" t="s">
        <v>34</v>
      </c>
      <c r="P241" s="10" t="n">
        <v>113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550.4</v>
      </c>
      <c r="W241" s="13" t="n">
        <v>0</v>
      </c>
      <c r="X241" s="12" t="s">
        <v>242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46195</v>
      </c>
      <c r="C242" s="11" t="n">
        <v>46212</v>
      </c>
      <c r="D242" s="10" t="n">
        <v>10012</v>
      </c>
      <c r="E242" s="12" t="s">
        <v>373</v>
      </c>
      <c r="F242" s="10" t="n">
        <v>24</v>
      </c>
      <c r="G242" s="12" t="s">
        <v>40</v>
      </c>
      <c r="H242" s="10" t="n">
        <v>2110101</v>
      </c>
      <c r="I242" s="12" t="s">
        <v>32</v>
      </c>
      <c r="J242" s="10" t="n">
        <v>1289819</v>
      </c>
      <c r="L242" s="10" t="n">
        <v>1959276</v>
      </c>
      <c r="M242" s="12" t="s">
        <v>33</v>
      </c>
      <c r="N242" s="12" t="s">
        <v>34</v>
      </c>
      <c r="P242" s="10" t="n">
        <v>113</v>
      </c>
      <c r="Q242" s="12" t="s">
        <v>35</v>
      </c>
      <c r="R242" s="12" t="s">
        <v>36</v>
      </c>
      <c r="S242" s="10" t="n">
        <v>1130101</v>
      </c>
      <c r="T242" s="12" t="s">
        <v>37</v>
      </c>
      <c r="U242" s="13" t="n">
        <v>653.65</v>
      </c>
      <c r="W242" s="13" t="n">
        <v>0</v>
      </c>
      <c r="X242" s="12" t="s">
        <v>374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46191</v>
      </c>
      <c r="C243" s="11" t="n">
        <v>46212</v>
      </c>
      <c r="D243" s="10" t="n">
        <v>1676</v>
      </c>
      <c r="E243" s="12" t="s">
        <v>243</v>
      </c>
      <c r="F243" s="10" t="n">
        <v>24</v>
      </c>
      <c r="G243" s="12" t="s">
        <v>40</v>
      </c>
      <c r="H243" s="10" t="n">
        <v>2110101</v>
      </c>
      <c r="I243" s="12" t="s">
        <v>32</v>
      </c>
      <c r="J243" s="10" t="n">
        <v>1270149</v>
      </c>
      <c r="L243" s="10" t="n">
        <v>10423</v>
      </c>
      <c r="M243" s="12" t="s">
        <v>108</v>
      </c>
      <c r="N243" s="12" t="s">
        <v>34</v>
      </c>
      <c r="P243" s="10" t="n">
        <v>113</v>
      </c>
      <c r="Q243" s="12" t="s">
        <v>35</v>
      </c>
      <c r="R243" s="12" t="s">
        <v>36</v>
      </c>
      <c r="S243" s="10" t="n">
        <v>1130101</v>
      </c>
      <c r="T243" s="12" t="s">
        <v>37</v>
      </c>
      <c r="U243" s="13" t="n">
        <v>552.37</v>
      </c>
      <c r="W243" s="13" t="n">
        <v>0</v>
      </c>
      <c r="X243" s="12" t="s">
        <v>244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46190</v>
      </c>
      <c r="C244" s="11" t="n">
        <v>46212</v>
      </c>
      <c r="D244" s="10" t="n">
        <v>10010</v>
      </c>
      <c r="E244" s="12" t="s">
        <v>375</v>
      </c>
      <c r="F244" s="10" t="n">
        <v>24</v>
      </c>
      <c r="G244" s="12" t="s">
        <v>40</v>
      </c>
      <c r="H244" s="10" t="n">
        <v>2110101</v>
      </c>
      <c r="I244" s="12" t="s">
        <v>32</v>
      </c>
      <c r="J244" s="10" t="n">
        <v>1265758</v>
      </c>
      <c r="L244" s="10" t="n">
        <v>41243</v>
      </c>
      <c r="M244" s="12" t="s">
        <v>33</v>
      </c>
      <c r="N244" s="12" t="s">
        <v>34</v>
      </c>
      <c r="P244" s="10" t="n">
        <v>113</v>
      </c>
      <c r="Q244" s="12" t="s">
        <v>35</v>
      </c>
      <c r="R244" s="12" t="s">
        <v>36</v>
      </c>
      <c r="S244" s="10" t="n">
        <v>1130101</v>
      </c>
      <c r="T244" s="12" t="s">
        <v>37</v>
      </c>
      <c r="U244" s="13" t="n">
        <v>1222.04</v>
      </c>
      <c r="W244" s="13" t="n">
        <v>0</v>
      </c>
      <c r="X244" s="12" t="s">
        <v>376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46153</v>
      </c>
      <c r="C245" s="11" t="n">
        <v>46213</v>
      </c>
      <c r="D245" s="10" t="n">
        <v>1176</v>
      </c>
      <c r="E245" s="12" t="s">
        <v>377</v>
      </c>
      <c r="F245" s="10" t="n">
        <v>24</v>
      </c>
      <c r="G245" s="12" t="s">
        <v>40</v>
      </c>
      <c r="H245" s="10" t="n">
        <v>1110203</v>
      </c>
      <c r="I245" s="12" t="s">
        <v>50</v>
      </c>
      <c r="J245" s="10" t="n">
        <v>1083394</v>
      </c>
      <c r="L245" s="10" t="n">
        <v>143444</v>
      </c>
      <c r="M245" s="12" t="s">
        <v>41</v>
      </c>
      <c r="N245" s="12" t="s">
        <v>51</v>
      </c>
      <c r="P245" s="10" t="n">
        <v>101</v>
      </c>
      <c r="Q245" s="12" t="s">
        <v>69</v>
      </c>
      <c r="R245" s="12" t="s">
        <v>378</v>
      </c>
      <c r="S245" s="10" t="n">
        <v>2110901</v>
      </c>
      <c r="T245" s="12" t="s">
        <v>379</v>
      </c>
      <c r="U245" s="13" t="n">
        <v>2336.36</v>
      </c>
      <c r="W245" s="13" t="n">
        <v>0</v>
      </c>
      <c r="X245" s="12" t="s">
        <v>380</v>
      </c>
      <c r="Z245" s="1" t="str">
        <f aca="false">IF($T245="","",IFERROR(INDEX('Resumo Grupos'!$AC$3:$AC$200,MATCH($T245,'Resumo Grupos'!$AB$3:$AB$200,0)),"n/d"))</f>
        <v>Empréstimo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46195</v>
      </c>
      <c r="C246" s="11" t="n">
        <v>46213</v>
      </c>
      <c r="D246" s="10" t="n">
        <v>1678</v>
      </c>
      <c r="E246" s="12" t="s">
        <v>381</v>
      </c>
      <c r="F246" s="10" t="n">
        <v>24</v>
      </c>
      <c r="G246" s="12" t="s">
        <v>40</v>
      </c>
      <c r="H246" s="10" t="n">
        <v>2110101</v>
      </c>
      <c r="I246" s="12" t="s">
        <v>32</v>
      </c>
      <c r="J246" s="10" t="n">
        <v>1290565</v>
      </c>
      <c r="L246" s="10" t="n">
        <v>161137</v>
      </c>
      <c r="M246" s="12" t="s">
        <v>33</v>
      </c>
      <c r="N246" s="12" t="s">
        <v>34</v>
      </c>
      <c r="P246" s="10" t="n">
        <v>113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592.5</v>
      </c>
      <c r="W246" s="13" t="n">
        <v>0</v>
      </c>
      <c r="X246" s="12" t="s">
        <v>382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46195</v>
      </c>
      <c r="C247" s="11" t="n">
        <v>46213</v>
      </c>
      <c r="D247" s="10" t="n">
        <v>1720</v>
      </c>
      <c r="E247" s="12" t="s">
        <v>383</v>
      </c>
      <c r="F247" s="10" t="n">
        <v>24</v>
      </c>
      <c r="G247" s="12" t="s">
        <v>40</v>
      </c>
      <c r="H247" s="10" t="n">
        <v>2110101</v>
      </c>
      <c r="I247" s="12" t="s">
        <v>32</v>
      </c>
      <c r="J247" s="10" t="n">
        <v>1290433</v>
      </c>
      <c r="L247" s="10" t="n">
        <v>47502</v>
      </c>
      <c r="M247" s="12" t="s">
        <v>33</v>
      </c>
      <c r="N247" s="12" t="s">
        <v>34</v>
      </c>
      <c r="P247" s="10" t="n">
        <v>113</v>
      </c>
      <c r="Q247" s="12" t="s">
        <v>35</v>
      </c>
      <c r="R247" s="12" t="s">
        <v>36</v>
      </c>
      <c r="S247" s="10" t="n">
        <v>1130101</v>
      </c>
      <c r="T247" s="12" t="s">
        <v>37</v>
      </c>
      <c r="U247" s="13" t="n">
        <v>603.5</v>
      </c>
      <c r="W247" s="13" t="n">
        <v>0</v>
      </c>
      <c r="X247" s="12" t="s">
        <v>384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46195</v>
      </c>
      <c r="C248" s="11" t="n">
        <v>46213</v>
      </c>
      <c r="D248" s="10" t="n">
        <v>1695</v>
      </c>
      <c r="E248" s="12" t="s">
        <v>39</v>
      </c>
      <c r="F248" s="10" t="n">
        <v>24</v>
      </c>
      <c r="G248" s="12" t="s">
        <v>40</v>
      </c>
      <c r="H248" s="10" t="n">
        <v>2110101</v>
      </c>
      <c r="I248" s="12" t="s">
        <v>32</v>
      </c>
      <c r="J248" s="10" t="n">
        <v>1289973</v>
      </c>
      <c r="L248" s="10" t="n">
        <v>18762</v>
      </c>
      <c r="M248" s="12" t="s">
        <v>41</v>
      </c>
      <c r="N248" s="12" t="s">
        <v>34</v>
      </c>
      <c r="P248" s="10" t="n">
        <v>113</v>
      </c>
      <c r="Q248" s="12" t="s">
        <v>35</v>
      </c>
      <c r="R248" s="12" t="s">
        <v>36</v>
      </c>
      <c r="S248" s="10" t="n">
        <v>1130101</v>
      </c>
      <c r="T248" s="12" t="s">
        <v>37</v>
      </c>
      <c r="U248" s="13" t="n">
        <v>1433.64</v>
      </c>
      <c r="W248" s="13" t="n">
        <v>0</v>
      </c>
      <c r="X248" s="12" t="s">
        <v>251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46210</v>
      </c>
      <c r="C249" s="11" t="n">
        <v>46213</v>
      </c>
      <c r="D249" s="10" t="n">
        <v>1695</v>
      </c>
      <c r="E249" s="12" t="s">
        <v>39</v>
      </c>
      <c r="F249" s="10" t="n">
        <v>34</v>
      </c>
      <c r="G249" s="12" t="s">
        <v>31</v>
      </c>
      <c r="H249" s="10" t="n">
        <v>2110101</v>
      </c>
      <c r="I249" s="12" t="s">
        <v>32</v>
      </c>
      <c r="J249" s="10" t="n">
        <v>1366121</v>
      </c>
      <c r="L249" s="10" t="n">
        <v>183613</v>
      </c>
      <c r="M249" s="12" t="s">
        <v>33</v>
      </c>
      <c r="N249" s="12" t="s">
        <v>51</v>
      </c>
      <c r="P249" s="10" t="n">
        <v>113</v>
      </c>
      <c r="Q249" s="12" t="s">
        <v>35</v>
      </c>
      <c r="R249" s="12" t="s">
        <v>36</v>
      </c>
      <c r="S249" s="10" t="n">
        <v>1130101</v>
      </c>
      <c r="T249" s="12" t="s">
        <v>37</v>
      </c>
      <c r="U249" s="13" t="n">
        <v>148.2</v>
      </c>
      <c r="W249" s="13" t="n">
        <v>0</v>
      </c>
      <c r="X249" s="12" t="s">
        <v>385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46206</v>
      </c>
      <c r="C250" s="11" t="n">
        <v>46213</v>
      </c>
      <c r="D250" s="10" t="n">
        <v>1642</v>
      </c>
      <c r="E250" s="12" t="s">
        <v>254</v>
      </c>
      <c r="F250" s="10" t="n">
        <v>24</v>
      </c>
      <c r="G250" s="12" t="s">
        <v>40</v>
      </c>
      <c r="H250" s="10" t="n">
        <v>2110101</v>
      </c>
      <c r="I250" s="12" t="s">
        <v>32</v>
      </c>
      <c r="J250" s="10" t="n">
        <v>1343794</v>
      </c>
      <c r="L250" s="10" t="n">
        <v>1030058</v>
      </c>
      <c r="M250" s="12" t="s">
        <v>33</v>
      </c>
      <c r="N250" s="12" t="s">
        <v>34</v>
      </c>
      <c r="P250" s="10" t="n">
        <v>113</v>
      </c>
      <c r="Q250" s="12" t="s">
        <v>35</v>
      </c>
      <c r="R250" s="12" t="s">
        <v>36</v>
      </c>
      <c r="S250" s="10" t="n">
        <v>1130101</v>
      </c>
      <c r="T250" s="12" t="s">
        <v>37</v>
      </c>
      <c r="U250" s="13" t="n">
        <v>279.82</v>
      </c>
      <c r="W250" s="13" t="n">
        <v>0</v>
      </c>
      <c r="X250" s="12" t="s">
        <v>386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46150</v>
      </c>
      <c r="C251" s="11" t="n">
        <v>46213</v>
      </c>
      <c r="D251" s="10" t="n">
        <v>1100</v>
      </c>
      <c r="E251" s="12" t="s">
        <v>387</v>
      </c>
      <c r="F251" s="10" t="n">
        <v>46</v>
      </c>
      <c r="G251" s="12" t="s">
        <v>388</v>
      </c>
      <c r="H251" s="10" t="n">
        <v>2110405</v>
      </c>
      <c r="I251" s="12" t="s">
        <v>87</v>
      </c>
      <c r="J251" s="10" t="n">
        <v>1067484</v>
      </c>
      <c r="L251" s="10" t="n">
        <v>139909</v>
      </c>
      <c r="M251" s="12" t="s">
        <v>108</v>
      </c>
      <c r="N251" s="12" t="s">
        <v>51</v>
      </c>
      <c r="P251" s="10" t="n">
        <v>113</v>
      </c>
      <c r="Q251" s="12" t="s">
        <v>35</v>
      </c>
      <c r="R251" s="12" t="s">
        <v>88</v>
      </c>
      <c r="S251" s="10" t="n">
        <v>4210227</v>
      </c>
      <c r="T251" s="12" t="s">
        <v>119</v>
      </c>
      <c r="U251" s="13" t="n">
        <v>340</v>
      </c>
      <c r="W251" s="13" t="n">
        <v>340</v>
      </c>
      <c r="X251" s="12" t="s">
        <v>389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46183</v>
      </c>
      <c r="C252" s="11" t="n">
        <v>46213</v>
      </c>
      <c r="D252" s="10" t="n">
        <v>1100</v>
      </c>
      <c r="E252" s="12" t="s">
        <v>387</v>
      </c>
      <c r="F252" s="10" t="n">
        <v>46</v>
      </c>
      <c r="G252" s="12" t="s">
        <v>388</v>
      </c>
      <c r="H252" s="10" t="n">
        <v>2110101</v>
      </c>
      <c r="I252" s="12" t="s">
        <v>32</v>
      </c>
      <c r="J252" s="10" t="n">
        <v>1230732</v>
      </c>
      <c r="L252" s="10" t="n">
        <v>1399</v>
      </c>
      <c r="M252" s="12" t="s">
        <v>108</v>
      </c>
      <c r="N252" s="12" t="s">
        <v>390</v>
      </c>
      <c r="P252" s="10" t="n">
        <v>101</v>
      </c>
      <c r="Q252" s="12" t="s">
        <v>69</v>
      </c>
      <c r="R252" s="12" t="s">
        <v>391</v>
      </c>
      <c r="S252" s="10" t="n">
        <v>2110101</v>
      </c>
      <c r="T252" s="12" t="s">
        <v>32</v>
      </c>
      <c r="U252" s="13" t="n">
        <v>226.67</v>
      </c>
      <c r="W252" s="13" t="n">
        <v>0</v>
      </c>
      <c r="X252" s="12" t="s">
        <v>392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46078</v>
      </c>
      <c r="C253" s="11" t="n">
        <v>46213</v>
      </c>
      <c r="D253" s="10" t="n">
        <v>1869</v>
      </c>
      <c r="E253" s="12" t="s">
        <v>393</v>
      </c>
      <c r="F253" s="10" t="n">
        <v>46</v>
      </c>
      <c r="G253" s="12" t="s">
        <v>388</v>
      </c>
      <c r="H253" s="10" t="n">
        <v>2110101</v>
      </c>
      <c r="I253" s="12" t="s">
        <v>32</v>
      </c>
      <c r="J253" s="10" t="n">
        <v>717667</v>
      </c>
      <c r="L253" s="10" t="n">
        <v>93850</v>
      </c>
      <c r="M253" s="12" t="s">
        <v>182</v>
      </c>
      <c r="N253" s="12" t="s">
        <v>51</v>
      </c>
      <c r="P253" s="10" t="n">
        <v>113</v>
      </c>
      <c r="Q253" s="12" t="s">
        <v>35</v>
      </c>
      <c r="R253" s="12" t="s">
        <v>88</v>
      </c>
      <c r="S253" s="10" t="n">
        <v>4210227</v>
      </c>
      <c r="T253" s="12" t="s">
        <v>119</v>
      </c>
      <c r="U253" s="13" t="n">
        <v>283.67</v>
      </c>
      <c r="W253" s="13" t="n">
        <v>0</v>
      </c>
      <c r="X253" s="12" t="s">
        <v>394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46206</v>
      </c>
      <c r="C254" s="11" t="n">
        <v>46213</v>
      </c>
      <c r="D254" s="10" t="n">
        <v>1621</v>
      </c>
      <c r="E254" s="12" t="s">
        <v>62</v>
      </c>
      <c r="F254" s="10" t="n">
        <v>24</v>
      </c>
      <c r="G254" s="12" t="s">
        <v>40</v>
      </c>
      <c r="H254" s="10" t="n">
        <v>2110101</v>
      </c>
      <c r="I254" s="12" t="s">
        <v>32</v>
      </c>
      <c r="J254" s="10" t="n">
        <v>1345469</v>
      </c>
      <c r="L254" s="10" t="n">
        <v>888702</v>
      </c>
      <c r="M254" s="12" t="s">
        <v>33</v>
      </c>
      <c r="N254" s="12" t="s">
        <v>34</v>
      </c>
      <c r="P254" s="10" t="n">
        <v>113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2293.67</v>
      </c>
      <c r="W254" s="13" t="n">
        <v>0</v>
      </c>
      <c r="X254" s="12" t="s">
        <v>395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46206</v>
      </c>
      <c r="C255" s="11" t="n">
        <v>46213</v>
      </c>
      <c r="D255" s="10" t="n">
        <v>1621</v>
      </c>
      <c r="E255" s="12" t="s">
        <v>62</v>
      </c>
      <c r="F255" s="10" t="n">
        <v>24</v>
      </c>
      <c r="G255" s="12" t="s">
        <v>40</v>
      </c>
      <c r="H255" s="10" t="n">
        <v>2110101</v>
      </c>
      <c r="I255" s="12" t="s">
        <v>32</v>
      </c>
      <c r="J255" s="10" t="n">
        <v>1345477</v>
      </c>
      <c r="L255" s="10" t="n">
        <v>180727</v>
      </c>
      <c r="M255" s="12" t="s">
        <v>33</v>
      </c>
      <c r="N255" s="12" t="s">
        <v>51</v>
      </c>
      <c r="P255" s="10" t="n">
        <v>113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1.55</v>
      </c>
      <c r="W255" s="13" t="n">
        <v>0</v>
      </c>
      <c r="X255" s="12" t="s">
        <v>396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46191</v>
      </c>
      <c r="C256" s="11" t="n">
        <v>46213</v>
      </c>
      <c r="D256" s="10" t="n">
        <v>1718</v>
      </c>
      <c r="E256" s="12" t="s">
        <v>263</v>
      </c>
      <c r="F256" s="10" t="n">
        <v>24</v>
      </c>
      <c r="G256" s="12" t="s">
        <v>40</v>
      </c>
      <c r="H256" s="10" t="n">
        <v>2110101</v>
      </c>
      <c r="I256" s="12" t="s">
        <v>32</v>
      </c>
      <c r="J256" s="10" t="n">
        <v>1269305</v>
      </c>
      <c r="L256" s="10" t="n">
        <v>674937</v>
      </c>
      <c r="M256" s="12" t="s">
        <v>108</v>
      </c>
      <c r="N256" s="12" t="s">
        <v>34</v>
      </c>
      <c r="P256" s="10" t="n">
        <v>113</v>
      </c>
      <c r="Q256" s="12" t="s">
        <v>35</v>
      </c>
      <c r="R256" s="12" t="s">
        <v>36</v>
      </c>
      <c r="S256" s="10" t="n">
        <v>1130101</v>
      </c>
      <c r="T256" s="12" t="s">
        <v>37</v>
      </c>
      <c r="U256" s="13" t="n">
        <v>1055.34</v>
      </c>
      <c r="W256" s="13" t="n">
        <v>0</v>
      </c>
      <c r="X256" s="12" t="s">
        <v>265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46195</v>
      </c>
      <c r="C257" s="11" t="n">
        <v>46213</v>
      </c>
      <c r="D257" s="10" t="n">
        <v>1608</v>
      </c>
      <c r="E257" s="12" t="s">
        <v>266</v>
      </c>
      <c r="F257" s="10" t="n">
        <v>24</v>
      </c>
      <c r="G257" s="12" t="s">
        <v>40</v>
      </c>
      <c r="H257" s="10" t="n">
        <v>2110101</v>
      </c>
      <c r="I257" s="12" t="s">
        <v>32</v>
      </c>
      <c r="J257" s="10" t="n">
        <v>1289449</v>
      </c>
      <c r="L257" s="10" t="n">
        <v>1676804</v>
      </c>
      <c r="M257" s="12" t="s">
        <v>108</v>
      </c>
      <c r="N257" s="12" t="s">
        <v>34</v>
      </c>
      <c r="P257" s="10" t="n">
        <v>113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1154.88</v>
      </c>
      <c r="W257" s="13" t="n">
        <v>0</v>
      </c>
      <c r="X257" s="12" t="s">
        <v>267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46198</v>
      </c>
      <c r="C258" s="11" t="n">
        <v>46213</v>
      </c>
      <c r="D258" s="10" t="n">
        <v>1218</v>
      </c>
      <c r="E258" s="12" t="s">
        <v>121</v>
      </c>
      <c r="F258" s="10" t="n">
        <v>24</v>
      </c>
      <c r="G258" s="12" t="s">
        <v>40</v>
      </c>
      <c r="H258" s="10" t="n">
        <v>2110101</v>
      </c>
      <c r="I258" s="12" t="s">
        <v>32</v>
      </c>
      <c r="J258" s="10" t="n">
        <v>1305945</v>
      </c>
      <c r="L258" s="10" t="n">
        <v>9495</v>
      </c>
      <c r="M258" s="12" t="s">
        <v>108</v>
      </c>
      <c r="N258" s="12" t="s">
        <v>34</v>
      </c>
      <c r="P258" s="10" t="n">
        <v>113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531.2</v>
      </c>
      <c r="W258" s="13" t="n">
        <v>0</v>
      </c>
      <c r="X258" s="12" t="s">
        <v>122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46206</v>
      </c>
      <c r="C259" s="11" t="n">
        <v>46213</v>
      </c>
      <c r="D259" s="10" t="n">
        <v>1650</v>
      </c>
      <c r="E259" s="12" t="s">
        <v>397</v>
      </c>
      <c r="F259" s="10" t="n">
        <v>24</v>
      </c>
      <c r="G259" s="12" t="s">
        <v>40</v>
      </c>
      <c r="H259" s="10" t="n">
        <v>2110101</v>
      </c>
      <c r="I259" s="12" t="s">
        <v>32</v>
      </c>
      <c r="J259" s="10" t="n">
        <v>1345530</v>
      </c>
      <c r="L259" s="10" t="n">
        <v>225160</v>
      </c>
      <c r="M259" s="12" t="s">
        <v>33</v>
      </c>
      <c r="N259" s="12" t="s">
        <v>34</v>
      </c>
      <c r="P259" s="10" t="n">
        <v>113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393.86</v>
      </c>
      <c r="W259" s="13" t="n">
        <v>0</v>
      </c>
      <c r="X259" s="12" t="s">
        <v>398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46206</v>
      </c>
      <c r="C260" s="11" t="n">
        <v>46213</v>
      </c>
      <c r="D260" s="10" t="n">
        <v>10089</v>
      </c>
      <c r="E260" s="12" t="s">
        <v>399</v>
      </c>
      <c r="F260" s="10" t="n">
        <v>24</v>
      </c>
      <c r="G260" s="12" t="s">
        <v>40</v>
      </c>
      <c r="H260" s="10" t="n">
        <v>2110101</v>
      </c>
      <c r="I260" s="12" t="s">
        <v>32</v>
      </c>
      <c r="J260" s="10" t="n">
        <v>1345178</v>
      </c>
      <c r="L260" s="10" t="n">
        <v>890</v>
      </c>
      <c r="M260" s="12" t="s">
        <v>33</v>
      </c>
      <c r="N260" s="12" t="s">
        <v>34</v>
      </c>
      <c r="P260" s="10" t="n">
        <v>113</v>
      </c>
      <c r="Q260" s="12" t="s">
        <v>35</v>
      </c>
      <c r="R260" s="12" t="s">
        <v>36</v>
      </c>
      <c r="S260" s="10" t="n">
        <v>1130101</v>
      </c>
      <c r="T260" s="12" t="s">
        <v>37</v>
      </c>
      <c r="U260" s="13" t="n">
        <v>368.4</v>
      </c>
      <c r="W260" s="13" t="n">
        <v>0</v>
      </c>
      <c r="X260" s="12" t="s">
        <v>400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46199</v>
      </c>
      <c r="C261" s="11" t="n">
        <v>46213</v>
      </c>
      <c r="D261" s="10" t="n">
        <v>1242</v>
      </c>
      <c r="E261" s="12" t="s">
        <v>401</v>
      </c>
      <c r="F261" s="10" t="n">
        <v>46</v>
      </c>
      <c r="G261" s="12" t="s">
        <v>388</v>
      </c>
      <c r="H261" s="10" t="n">
        <v>2110405</v>
      </c>
      <c r="I261" s="12" t="s">
        <v>87</v>
      </c>
      <c r="J261" s="10" t="n">
        <v>1309772</v>
      </c>
      <c r="L261" s="10" t="n">
        <v>6022</v>
      </c>
      <c r="M261" s="12" t="s">
        <v>33</v>
      </c>
      <c r="N261" s="12" t="s">
        <v>51</v>
      </c>
      <c r="P261" s="10" t="n">
        <v>101</v>
      </c>
      <c r="Q261" s="12" t="s">
        <v>69</v>
      </c>
      <c r="R261" s="12" t="s">
        <v>102</v>
      </c>
      <c r="S261" s="10" t="n">
        <v>4210317</v>
      </c>
      <c r="T261" s="12" t="s">
        <v>402</v>
      </c>
      <c r="U261" s="13" t="n">
        <v>160</v>
      </c>
      <c r="W261" s="13" t="n">
        <v>0</v>
      </c>
      <c r="X261" s="12" t="s">
        <v>403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46213</v>
      </c>
      <c r="C262" s="11" t="n">
        <v>46213</v>
      </c>
      <c r="D262" s="10" t="n">
        <v>10096</v>
      </c>
      <c r="E262" s="12" t="s">
        <v>48</v>
      </c>
      <c r="F262" s="10" t="n">
        <v>13</v>
      </c>
      <c r="G262" s="12" t="s">
        <v>49</v>
      </c>
      <c r="H262" s="10" t="n">
        <v>1110203</v>
      </c>
      <c r="I262" s="12" t="s">
        <v>50</v>
      </c>
      <c r="J262" s="10" t="n">
        <v>1428708</v>
      </c>
      <c r="L262" s="10" t="n">
        <v>191317</v>
      </c>
      <c r="M262" s="12" t="s">
        <v>33</v>
      </c>
      <c r="N262" s="12" t="s">
        <v>51</v>
      </c>
      <c r="P262" s="10" t="n">
        <v>113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200</v>
      </c>
      <c r="W262" s="13" t="n">
        <v>0</v>
      </c>
      <c r="X262" s="12" t="s">
        <v>404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46206</v>
      </c>
      <c r="C263" s="11" t="n">
        <v>46213</v>
      </c>
      <c r="D263" s="10" t="n">
        <v>1609</v>
      </c>
      <c r="E263" s="12" t="s">
        <v>338</v>
      </c>
      <c r="F263" s="10" t="n">
        <v>24</v>
      </c>
      <c r="G263" s="12" t="s">
        <v>40</v>
      </c>
      <c r="H263" s="10" t="n">
        <v>2110101</v>
      </c>
      <c r="I263" s="12" t="s">
        <v>32</v>
      </c>
      <c r="J263" s="10" t="n">
        <v>1344581</v>
      </c>
      <c r="L263" s="10" t="n">
        <v>5765</v>
      </c>
      <c r="M263" s="12" t="s">
        <v>33</v>
      </c>
      <c r="N263" s="12" t="s">
        <v>34</v>
      </c>
      <c r="P263" s="10" t="n">
        <v>113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430.3</v>
      </c>
      <c r="W263" s="13" t="n">
        <v>0</v>
      </c>
      <c r="X263" s="12" t="s">
        <v>405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46202</v>
      </c>
      <c r="C264" s="11" t="n">
        <v>46213</v>
      </c>
      <c r="D264" s="10" t="n">
        <v>1815</v>
      </c>
      <c r="E264" s="12" t="s">
        <v>175</v>
      </c>
      <c r="F264" s="10" t="n">
        <v>24</v>
      </c>
      <c r="G264" s="12" t="s">
        <v>40</v>
      </c>
      <c r="H264" s="10" t="n">
        <v>2110101</v>
      </c>
      <c r="I264" s="12" t="s">
        <v>32</v>
      </c>
      <c r="J264" s="10" t="n">
        <v>1321697</v>
      </c>
      <c r="L264" s="10" t="n">
        <v>175256</v>
      </c>
      <c r="M264" s="12" t="s">
        <v>33</v>
      </c>
      <c r="N264" s="12" t="s">
        <v>51</v>
      </c>
      <c r="P264" s="10" t="n">
        <v>113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371.88</v>
      </c>
      <c r="W264" s="13" t="n">
        <v>0</v>
      </c>
      <c r="X264" s="12"/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46199</v>
      </c>
      <c r="C265" s="11" t="n">
        <v>46213</v>
      </c>
      <c r="D265" s="10" t="n">
        <v>1699</v>
      </c>
      <c r="E265" s="12" t="s">
        <v>74</v>
      </c>
      <c r="F265" s="10" t="n">
        <v>24</v>
      </c>
      <c r="G265" s="12" t="s">
        <v>40</v>
      </c>
      <c r="H265" s="10" t="n">
        <v>2110101</v>
      </c>
      <c r="I265" s="12" t="s">
        <v>32</v>
      </c>
      <c r="J265" s="10" t="n">
        <v>1310401</v>
      </c>
      <c r="L265" s="10" t="n">
        <v>305929</v>
      </c>
      <c r="M265" s="12" t="s">
        <v>108</v>
      </c>
      <c r="N265" s="12" t="s">
        <v>34</v>
      </c>
      <c r="P265" s="10" t="n">
        <v>113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1184.07</v>
      </c>
      <c r="W265" s="13" t="n">
        <v>0</v>
      </c>
      <c r="X265" s="12" t="s">
        <v>281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46207</v>
      </c>
      <c r="C266" s="11" t="n">
        <v>46213</v>
      </c>
      <c r="D266" s="10" t="n">
        <v>1625</v>
      </c>
      <c r="E266" s="12" t="s">
        <v>283</v>
      </c>
      <c r="F266" s="10" t="n">
        <v>24</v>
      </c>
      <c r="G266" s="12" t="s">
        <v>40</v>
      </c>
      <c r="H266" s="10" t="n">
        <v>2110101</v>
      </c>
      <c r="I266" s="12" t="s">
        <v>32</v>
      </c>
      <c r="J266" s="10" t="n">
        <v>1348589</v>
      </c>
      <c r="L266" s="10" t="n">
        <v>14615</v>
      </c>
      <c r="M266" s="12" t="s">
        <v>33</v>
      </c>
      <c r="N266" s="12" t="s">
        <v>34</v>
      </c>
      <c r="P266" s="10" t="n">
        <v>113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5738.21</v>
      </c>
      <c r="W266" s="13" t="n">
        <v>0</v>
      </c>
      <c r="X266" s="12" t="s">
        <v>406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46213</v>
      </c>
      <c r="C267" s="11" t="n">
        <v>46213</v>
      </c>
      <c r="D267" s="10" t="n">
        <v>513</v>
      </c>
      <c r="E267" s="12" t="s">
        <v>407</v>
      </c>
      <c r="F267" s="10" t="n">
        <v>24</v>
      </c>
      <c r="G267" s="12" t="s">
        <v>40</v>
      </c>
      <c r="H267" s="10" t="n">
        <v>1110203</v>
      </c>
      <c r="I267" s="12" t="s">
        <v>50</v>
      </c>
      <c r="J267" s="10" t="n">
        <v>1377314</v>
      </c>
      <c r="L267" s="10" t="n">
        <v>185631</v>
      </c>
      <c r="M267" s="12" t="s">
        <v>33</v>
      </c>
      <c r="N267" s="12" t="s">
        <v>51</v>
      </c>
      <c r="P267" s="10" t="n">
        <v>101</v>
      </c>
      <c r="Q267" s="12" t="s">
        <v>69</v>
      </c>
      <c r="R267" s="12" t="s">
        <v>102</v>
      </c>
      <c r="S267" s="10" t="n">
        <v>4210315</v>
      </c>
      <c r="T267" s="12" t="s">
        <v>346</v>
      </c>
      <c r="U267" s="13" t="n">
        <v>160</v>
      </c>
      <c r="W267" s="13" t="n">
        <v>0</v>
      </c>
      <c r="X267" s="12" t="s">
        <v>408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46213</v>
      </c>
      <c r="C268" s="11" t="n">
        <v>46213</v>
      </c>
      <c r="D268" s="10" t="n">
        <v>48</v>
      </c>
      <c r="E268" s="12" t="s">
        <v>78</v>
      </c>
      <c r="F268" s="10" t="n">
        <v>34</v>
      </c>
      <c r="G268" s="12" t="s">
        <v>31</v>
      </c>
      <c r="H268" s="10" t="n">
        <v>2110101</v>
      </c>
      <c r="I268" s="12" t="s">
        <v>32</v>
      </c>
      <c r="J268" s="10" t="n">
        <v>1377467</v>
      </c>
      <c r="L268" s="10" t="n">
        <v>2538</v>
      </c>
      <c r="M268" s="12" t="s">
        <v>33</v>
      </c>
      <c r="N268" s="12" t="s">
        <v>34</v>
      </c>
      <c r="P268" s="10" t="n">
        <v>113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1838.6</v>
      </c>
      <c r="W268" s="13" t="n">
        <v>0</v>
      </c>
      <c r="X268" s="12" t="s">
        <v>343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46206</v>
      </c>
      <c r="C269" s="11" t="n">
        <v>46213</v>
      </c>
      <c r="D269" s="10" t="n">
        <v>1123</v>
      </c>
      <c r="E269" s="12" t="s">
        <v>409</v>
      </c>
      <c r="F269" s="10" t="n">
        <v>24</v>
      </c>
      <c r="G269" s="12" t="s">
        <v>40</v>
      </c>
      <c r="H269" s="10" t="n">
        <v>2110101</v>
      </c>
      <c r="I269" s="12" t="s">
        <v>32</v>
      </c>
      <c r="J269" s="10" t="n">
        <v>1345621</v>
      </c>
      <c r="L269" s="10" t="n">
        <v>42910</v>
      </c>
      <c r="M269" s="12" t="s">
        <v>33</v>
      </c>
      <c r="N269" s="12" t="s">
        <v>34</v>
      </c>
      <c r="P269" s="10" t="n">
        <v>113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460</v>
      </c>
      <c r="W269" s="13" t="n">
        <v>0</v>
      </c>
      <c r="X269" s="12" t="s">
        <v>410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46195</v>
      </c>
      <c r="C270" s="11" t="n">
        <v>46213</v>
      </c>
      <c r="D270" s="10" t="n">
        <v>1107</v>
      </c>
      <c r="E270" s="12" t="s">
        <v>194</v>
      </c>
      <c r="F270" s="10" t="n">
        <v>24</v>
      </c>
      <c r="G270" s="12" t="s">
        <v>40</v>
      </c>
      <c r="H270" s="10" t="n">
        <v>2110101</v>
      </c>
      <c r="I270" s="12" t="s">
        <v>32</v>
      </c>
      <c r="J270" s="10" t="n">
        <v>1289284</v>
      </c>
      <c r="L270" s="10" t="n">
        <v>419092</v>
      </c>
      <c r="M270" s="12" t="s">
        <v>108</v>
      </c>
      <c r="N270" s="12" t="s">
        <v>34</v>
      </c>
      <c r="P270" s="10" t="n">
        <v>113</v>
      </c>
      <c r="Q270" s="12" t="s">
        <v>35</v>
      </c>
      <c r="R270" s="12" t="s">
        <v>36</v>
      </c>
      <c r="S270" s="10" t="n">
        <v>1130101</v>
      </c>
      <c r="T270" s="12" t="s">
        <v>37</v>
      </c>
      <c r="U270" s="13" t="n">
        <v>620</v>
      </c>
      <c r="W270" s="13" t="n">
        <v>0</v>
      </c>
      <c r="X270" s="12" t="s">
        <v>288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46192</v>
      </c>
      <c r="C271" s="11" t="n">
        <v>46213</v>
      </c>
      <c r="D271" s="10" t="n">
        <v>33</v>
      </c>
      <c r="E271" s="12" t="s">
        <v>289</v>
      </c>
      <c r="F271" s="10" t="n">
        <v>34</v>
      </c>
      <c r="G271" s="12" t="s">
        <v>31</v>
      </c>
      <c r="H271" s="10" t="n">
        <v>2110405</v>
      </c>
      <c r="I271" s="12" t="s">
        <v>87</v>
      </c>
      <c r="J271" s="10" t="n">
        <v>1273759</v>
      </c>
      <c r="L271" s="10" t="n">
        <v>168794</v>
      </c>
      <c r="M271" s="12" t="s">
        <v>108</v>
      </c>
      <c r="N271" s="12" t="s">
        <v>51</v>
      </c>
      <c r="P271" s="10" t="n">
        <v>101</v>
      </c>
      <c r="Q271" s="12" t="s">
        <v>69</v>
      </c>
      <c r="R271" s="12" t="s">
        <v>163</v>
      </c>
      <c r="S271" s="10" t="n">
        <v>1240203</v>
      </c>
      <c r="T271" s="12" t="s">
        <v>164</v>
      </c>
      <c r="U271" s="13" t="n">
        <v>666.67</v>
      </c>
      <c r="W271" s="13" t="n">
        <v>0</v>
      </c>
      <c r="X271" s="12" t="s">
        <v>411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46153</v>
      </c>
      <c r="C272" s="11" t="n">
        <v>46213</v>
      </c>
      <c r="D272" s="10" t="n">
        <v>10006</v>
      </c>
      <c r="E272" s="12" t="s">
        <v>86</v>
      </c>
      <c r="F272" s="10" t="n">
        <v>46</v>
      </c>
      <c r="G272" s="12" t="s">
        <v>388</v>
      </c>
      <c r="H272" s="10" t="n">
        <v>2110405</v>
      </c>
      <c r="I272" s="12" t="s">
        <v>87</v>
      </c>
      <c r="J272" s="10" t="n">
        <v>1230712</v>
      </c>
      <c r="L272" s="10" t="n">
        <v>163750</v>
      </c>
      <c r="M272" s="12" t="s">
        <v>108</v>
      </c>
      <c r="N272" s="12" t="s">
        <v>51</v>
      </c>
      <c r="P272" s="10" t="n">
        <v>101</v>
      </c>
      <c r="Q272" s="12" t="s">
        <v>69</v>
      </c>
      <c r="R272" s="12" t="s">
        <v>88</v>
      </c>
      <c r="S272" s="10" t="n">
        <v>4210232</v>
      </c>
      <c r="T272" s="12" t="s">
        <v>89</v>
      </c>
      <c r="U272" s="13" t="n">
        <v>415.26</v>
      </c>
      <c r="W272" s="13" t="n">
        <v>0</v>
      </c>
      <c r="X272" s="12" t="s">
        <v>412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46200</v>
      </c>
      <c r="C273" s="11" t="n">
        <v>46213</v>
      </c>
      <c r="D273" s="10" t="n">
        <v>1666</v>
      </c>
      <c r="E273" s="12" t="s">
        <v>93</v>
      </c>
      <c r="F273" s="10" t="n">
        <v>24</v>
      </c>
      <c r="G273" s="12" t="s">
        <v>40</v>
      </c>
      <c r="H273" s="10" t="n">
        <v>2110101</v>
      </c>
      <c r="I273" s="12" t="s">
        <v>32</v>
      </c>
      <c r="J273" s="10" t="n">
        <v>1312648</v>
      </c>
      <c r="L273" s="10" t="n">
        <v>175252</v>
      </c>
      <c r="M273" s="12" t="s">
        <v>33</v>
      </c>
      <c r="N273" s="12" t="s">
        <v>51</v>
      </c>
      <c r="P273" s="10" t="n">
        <v>113</v>
      </c>
      <c r="Q273" s="12" t="s">
        <v>35</v>
      </c>
      <c r="R273" s="12" t="s">
        <v>36</v>
      </c>
      <c r="S273" s="10" t="n">
        <v>1130101</v>
      </c>
      <c r="T273" s="12" t="s">
        <v>37</v>
      </c>
      <c r="U273" s="13" t="n">
        <v>5621.36</v>
      </c>
      <c r="W273" s="13" t="n">
        <v>0</v>
      </c>
      <c r="X273" s="12" t="s">
        <v>295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46206</v>
      </c>
      <c r="C274" s="11" t="n">
        <v>46214</v>
      </c>
      <c r="D274" s="10" t="n">
        <v>1608</v>
      </c>
      <c r="E274" s="12" t="s">
        <v>266</v>
      </c>
      <c r="F274" s="10" t="n">
        <v>24</v>
      </c>
      <c r="G274" s="12" t="s">
        <v>40</v>
      </c>
      <c r="H274" s="10" t="n">
        <v>2110101</v>
      </c>
      <c r="I274" s="12" t="s">
        <v>32</v>
      </c>
      <c r="J274" s="10" t="n">
        <v>1343779</v>
      </c>
      <c r="L274" s="10" t="n">
        <v>1686081</v>
      </c>
      <c r="M274" s="12" t="s">
        <v>33</v>
      </c>
      <c r="N274" s="12" t="s">
        <v>34</v>
      </c>
      <c r="P274" s="10" t="n">
        <v>113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832.51</v>
      </c>
      <c r="W274" s="13" t="n">
        <v>0</v>
      </c>
      <c r="X274" s="12" t="s">
        <v>413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46197</v>
      </c>
      <c r="C275" s="11" t="n">
        <v>46214</v>
      </c>
      <c r="D275" s="10" t="n">
        <v>1672</v>
      </c>
      <c r="E275" s="12" t="s">
        <v>53</v>
      </c>
      <c r="F275" s="10" t="n">
        <v>24</v>
      </c>
      <c r="G275" s="12" t="s">
        <v>40</v>
      </c>
      <c r="H275" s="10" t="n">
        <v>2110101</v>
      </c>
      <c r="I275" s="12" t="s">
        <v>32</v>
      </c>
      <c r="J275" s="10" t="n">
        <v>1299327</v>
      </c>
      <c r="L275" s="10" t="n">
        <v>1378386</v>
      </c>
      <c r="M275" s="12" t="s">
        <v>33</v>
      </c>
      <c r="N275" s="12" t="s">
        <v>34</v>
      </c>
      <c r="P275" s="10" t="n">
        <v>113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1831.6</v>
      </c>
      <c r="W275" s="13" t="n">
        <v>0</v>
      </c>
      <c r="X275" s="12" t="s">
        <v>414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46197</v>
      </c>
      <c r="C276" s="11" t="n">
        <v>46215</v>
      </c>
      <c r="D276" s="10" t="n">
        <v>607</v>
      </c>
      <c r="E276" s="12" t="s">
        <v>415</v>
      </c>
      <c r="F276" s="10" t="n">
        <v>24</v>
      </c>
      <c r="G276" s="12" t="s">
        <v>40</v>
      </c>
      <c r="H276" s="10" t="n">
        <v>2110101</v>
      </c>
      <c r="I276" s="12" t="s">
        <v>32</v>
      </c>
      <c r="J276" s="10" t="n">
        <v>1300232</v>
      </c>
      <c r="L276" s="10" t="n">
        <v>10860</v>
      </c>
      <c r="M276" s="12" t="s">
        <v>33</v>
      </c>
      <c r="N276" s="12" t="s">
        <v>34</v>
      </c>
      <c r="P276" s="10" t="n">
        <v>113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1361.81</v>
      </c>
      <c r="W276" s="13" t="n">
        <v>0</v>
      </c>
      <c r="X276" s="12" t="s">
        <v>416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46188</v>
      </c>
      <c r="C277" s="11" t="n">
        <v>46216</v>
      </c>
      <c r="D277" s="10" t="n">
        <v>1659</v>
      </c>
      <c r="E277" s="12" t="s">
        <v>60</v>
      </c>
      <c r="F277" s="10" t="n">
        <v>24</v>
      </c>
      <c r="G277" s="12" t="s">
        <v>40</v>
      </c>
      <c r="H277" s="10" t="n">
        <v>2110101</v>
      </c>
      <c r="I277" s="12" t="s">
        <v>32</v>
      </c>
      <c r="J277" s="10" t="n">
        <v>1255113</v>
      </c>
      <c r="L277" s="10" t="n">
        <v>878392</v>
      </c>
      <c r="M277" s="12" t="s">
        <v>41</v>
      </c>
      <c r="N277" s="12" t="s">
        <v>34</v>
      </c>
      <c r="P277" s="10" t="n">
        <v>113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791.31</v>
      </c>
      <c r="W277" s="13" t="n">
        <v>0</v>
      </c>
      <c r="X277" s="12" t="s">
        <v>61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46206</v>
      </c>
      <c r="C278" s="11" t="n">
        <v>46216</v>
      </c>
      <c r="D278" s="10" t="n">
        <v>10018</v>
      </c>
      <c r="E278" s="12" t="s">
        <v>30</v>
      </c>
      <c r="F278" s="10" t="n">
        <v>34</v>
      </c>
      <c r="G278" s="12" t="s">
        <v>31</v>
      </c>
      <c r="H278" s="10" t="n">
        <v>2110101</v>
      </c>
      <c r="I278" s="12" t="s">
        <v>32</v>
      </c>
      <c r="J278" s="10" t="n">
        <v>1345271</v>
      </c>
      <c r="L278" s="10" t="n">
        <v>322</v>
      </c>
      <c r="M278" s="12" t="s">
        <v>33</v>
      </c>
      <c r="N278" s="12" t="s">
        <v>34</v>
      </c>
      <c r="P278" s="10" t="n">
        <v>113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2388.97</v>
      </c>
      <c r="W278" s="13" t="n">
        <v>0</v>
      </c>
      <c r="X278" s="12" t="s">
        <v>417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46195</v>
      </c>
      <c r="C279" s="11" t="n">
        <v>46216</v>
      </c>
      <c r="D279" s="10" t="n">
        <v>1637</v>
      </c>
      <c r="E279" s="12" t="s">
        <v>418</v>
      </c>
      <c r="F279" s="10" t="n">
        <v>24</v>
      </c>
      <c r="G279" s="12" t="s">
        <v>40</v>
      </c>
      <c r="H279" s="10" t="n">
        <v>2110101</v>
      </c>
      <c r="I279" s="12" t="s">
        <v>32</v>
      </c>
      <c r="J279" s="10" t="n">
        <v>1289620</v>
      </c>
      <c r="L279" s="10" t="n">
        <v>1894392</v>
      </c>
      <c r="M279" s="12" t="s">
        <v>33</v>
      </c>
      <c r="N279" s="12" t="s">
        <v>34</v>
      </c>
      <c r="P279" s="10" t="n">
        <v>113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671.67</v>
      </c>
      <c r="W279" s="13" t="n">
        <v>0</v>
      </c>
      <c r="X279" s="12" t="s">
        <v>419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46189</v>
      </c>
      <c r="C280" s="11" t="n">
        <v>46216</v>
      </c>
      <c r="D280" s="10" t="n">
        <v>1636</v>
      </c>
      <c r="E280" s="12" t="s">
        <v>65</v>
      </c>
      <c r="F280" s="10" t="n">
        <v>24</v>
      </c>
      <c r="G280" s="12" t="s">
        <v>40</v>
      </c>
      <c r="H280" s="10" t="n">
        <v>2110101</v>
      </c>
      <c r="I280" s="12" t="s">
        <v>32</v>
      </c>
      <c r="J280" s="10" t="n">
        <v>1260911</v>
      </c>
      <c r="L280" s="10" t="n">
        <v>168211</v>
      </c>
      <c r="M280" s="12" t="s">
        <v>33</v>
      </c>
      <c r="N280" s="12" t="s">
        <v>51</v>
      </c>
      <c r="P280" s="10" t="n">
        <v>113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643.05</v>
      </c>
      <c r="W280" s="13" t="n">
        <v>0</v>
      </c>
      <c r="X280" s="12" t="s">
        <v>66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46196</v>
      </c>
      <c r="C281" s="11" t="n">
        <v>46216</v>
      </c>
      <c r="D281" s="10" t="n">
        <v>1616</v>
      </c>
      <c r="E281" s="12" t="s">
        <v>218</v>
      </c>
      <c r="F281" s="10" t="n">
        <v>24</v>
      </c>
      <c r="G281" s="12" t="s">
        <v>40</v>
      </c>
      <c r="H281" s="10" t="n">
        <v>2110101</v>
      </c>
      <c r="I281" s="12" t="s">
        <v>32</v>
      </c>
      <c r="J281" s="10" t="n">
        <v>1293976</v>
      </c>
      <c r="L281" s="10" t="n">
        <v>646732</v>
      </c>
      <c r="M281" s="12" t="s">
        <v>108</v>
      </c>
      <c r="N281" s="12" t="s">
        <v>34</v>
      </c>
      <c r="P281" s="10" t="n">
        <v>113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347.18</v>
      </c>
      <c r="W281" s="13" t="n">
        <v>0</v>
      </c>
      <c r="X281" s="12" t="s">
        <v>310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46196</v>
      </c>
      <c r="C282" s="11" t="n">
        <v>46216</v>
      </c>
      <c r="D282" s="10" t="n">
        <v>794</v>
      </c>
      <c r="E282" s="12" t="s">
        <v>311</v>
      </c>
      <c r="F282" s="10" t="n">
        <v>24</v>
      </c>
      <c r="G282" s="12" t="s">
        <v>40</v>
      </c>
      <c r="H282" s="10" t="n">
        <v>2110405</v>
      </c>
      <c r="I282" s="12" t="s">
        <v>87</v>
      </c>
      <c r="J282" s="10" t="n">
        <v>1294339</v>
      </c>
      <c r="L282" s="10" t="n">
        <v>173127</v>
      </c>
      <c r="M282" s="12" t="s">
        <v>33</v>
      </c>
      <c r="N282" s="12" t="s">
        <v>51</v>
      </c>
      <c r="P282" s="10" t="n">
        <v>113</v>
      </c>
      <c r="Q282" s="12" t="s">
        <v>35</v>
      </c>
      <c r="R282" s="12" t="s">
        <v>88</v>
      </c>
      <c r="S282" s="10" t="n">
        <v>4210299</v>
      </c>
      <c r="T282" s="12" t="s">
        <v>312</v>
      </c>
      <c r="U282" s="13" t="n">
        <v>737.43</v>
      </c>
      <c r="W282" s="13" t="n">
        <v>0</v>
      </c>
      <c r="X282" s="12" t="s">
        <v>313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46195</v>
      </c>
      <c r="C283" s="11" t="n">
        <v>46216</v>
      </c>
      <c r="D283" s="10" t="n">
        <v>1626</v>
      </c>
      <c r="E283" s="12" t="s">
        <v>67</v>
      </c>
      <c r="F283" s="10" t="n">
        <v>24</v>
      </c>
      <c r="G283" s="12" t="s">
        <v>40</v>
      </c>
      <c r="H283" s="10" t="n">
        <v>2110101</v>
      </c>
      <c r="I283" s="12" t="s">
        <v>32</v>
      </c>
      <c r="J283" s="10" t="n">
        <v>1290928</v>
      </c>
      <c r="L283" s="10" t="n">
        <v>172707</v>
      </c>
      <c r="M283" s="12" t="s">
        <v>33</v>
      </c>
      <c r="N283" s="12" t="s">
        <v>51</v>
      </c>
      <c r="P283" s="10" t="n">
        <v>113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675.35</v>
      </c>
      <c r="W283" s="13" t="n">
        <v>0</v>
      </c>
      <c r="X283" s="12" t="s">
        <v>316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46216</v>
      </c>
      <c r="C284" s="11" t="n">
        <v>46216</v>
      </c>
      <c r="D284" s="10" t="n">
        <v>10096</v>
      </c>
      <c r="E284" s="12" t="s">
        <v>48</v>
      </c>
      <c r="F284" s="10" t="n">
        <v>13</v>
      </c>
      <c r="G284" s="12" t="s">
        <v>49</v>
      </c>
      <c r="H284" s="10" t="n">
        <v>1110203</v>
      </c>
      <c r="I284" s="12" t="s">
        <v>50</v>
      </c>
      <c r="J284" s="10" t="n">
        <v>1428717</v>
      </c>
      <c r="L284" s="10" t="n">
        <v>191324</v>
      </c>
      <c r="M284" s="12" t="s">
        <v>33</v>
      </c>
      <c r="N284" s="12" t="s">
        <v>51</v>
      </c>
      <c r="P284" s="10" t="n">
        <v>113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120</v>
      </c>
      <c r="W284" s="13" t="n">
        <v>120</v>
      </c>
      <c r="X284" s="12" t="s">
        <v>420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46213</v>
      </c>
      <c r="C285" s="11" t="n">
        <v>46216</v>
      </c>
      <c r="D285" s="10" t="n">
        <v>10035</v>
      </c>
      <c r="E285" s="12" t="s">
        <v>72</v>
      </c>
      <c r="F285" s="10" t="n">
        <v>34</v>
      </c>
      <c r="G285" s="12" t="s">
        <v>31</v>
      </c>
      <c r="H285" s="10" t="n">
        <v>2110101</v>
      </c>
      <c r="I285" s="12" t="s">
        <v>32</v>
      </c>
      <c r="J285" s="10" t="n">
        <v>1377076</v>
      </c>
      <c r="L285" s="10" t="n">
        <v>351</v>
      </c>
      <c r="M285" s="12" t="s">
        <v>33</v>
      </c>
      <c r="N285" s="12" t="s">
        <v>34</v>
      </c>
      <c r="P285" s="10" t="n">
        <v>113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225</v>
      </c>
      <c r="W285" s="13" t="n">
        <v>0</v>
      </c>
      <c r="X285" s="12" t="s">
        <v>421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46209</v>
      </c>
      <c r="C286" s="11" t="n">
        <v>46216</v>
      </c>
      <c r="D286" s="10" t="n">
        <v>1363</v>
      </c>
      <c r="E286" s="12" t="s">
        <v>340</v>
      </c>
      <c r="F286" s="10" t="n">
        <v>24</v>
      </c>
      <c r="G286" s="12" t="s">
        <v>40</v>
      </c>
      <c r="H286" s="10" t="n">
        <v>2110101</v>
      </c>
      <c r="I286" s="12" t="s">
        <v>32</v>
      </c>
      <c r="J286" s="10" t="n">
        <v>1361298</v>
      </c>
      <c r="L286" s="10" t="n">
        <v>3500</v>
      </c>
      <c r="M286" s="12" t="s">
        <v>33</v>
      </c>
      <c r="N286" s="12" t="s">
        <v>34</v>
      </c>
      <c r="P286" s="10" t="n">
        <v>113</v>
      </c>
      <c r="Q286" s="12" t="s">
        <v>35</v>
      </c>
      <c r="R286" s="12" t="s">
        <v>36</v>
      </c>
      <c r="S286" s="10" t="n">
        <v>1130101</v>
      </c>
      <c r="T286" s="12" t="s">
        <v>37</v>
      </c>
      <c r="U286" s="13" t="n">
        <v>142</v>
      </c>
      <c r="W286" s="13" t="n">
        <v>0</v>
      </c>
      <c r="X286" s="12" t="s">
        <v>422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46211</v>
      </c>
      <c r="C287" s="11" t="n">
        <v>46216</v>
      </c>
      <c r="D287" s="10" t="n">
        <v>48</v>
      </c>
      <c r="E287" s="12" t="s">
        <v>78</v>
      </c>
      <c r="F287" s="10" t="n">
        <v>34</v>
      </c>
      <c r="G287" s="12" t="s">
        <v>31</v>
      </c>
      <c r="H287" s="10" t="n">
        <v>2110101</v>
      </c>
      <c r="I287" s="12" t="s">
        <v>32</v>
      </c>
      <c r="J287" s="10" t="n">
        <v>1370406</v>
      </c>
      <c r="L287" s="10" t="n">
        <v>2530</v>
      </c>
      <c r="M287" s="12" t="s">
        <v>33</v>
      </c>
      <c r="N287" s="12" t="s">
        <v>34</v>
      </c>
      <c r="P287" s="10" t="n">
        <v>113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560</v>
      </c>
      <c r="W287" s="13" t="n">
        <v>0</v>
      </c>
      <c r="X287" s="12" t="s">
        <v>423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46216</v>
      </c>
      <c r="C288" s="11" t="n">
        <v>46216</v>
      </c>
      <c r="D288" s="10" t="n">
        <v>48</v>
      </c>
      <c r="E288" s="12" t="s">
        <v>78</v>
      </c>
      <c r="F288" s="10" t="n">
        <v>13</v>
      </c>
      <c r="G288" s="12" t="s">
        <v>49</v>
      </c>
      <c r="H288" s="10" t="n">
        <v>2110101</v>
      </c>
      <c r="I288" s="12" t="s">
        <v>32</v>
      </c>
      <c r="J288" s="10" t="n">
        <v>1393775</v>
      </c>
      <c r="L288" s="10" t="n">
        <v>2539</v>
      </c>
      <c r="M288" s="12" t="s">
        <v>33</v>
      </c>
      <c r="N288" s="12" t="s">
        <v>34</v>
      </c>
      <c r="P288" s="10" t="n">
        <v>113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210</v>
      </c>
      <c r="W288" s="13" t="n">
        <v>0</v>
      </c>
      <c r="X288" s="12" t="s">
        <v>424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46210</v>
      </c>
      <c r="C289" s="11" t="n">
        <v>46216</v>
      </c>
      <c r="D289" s="10" t="n">
        <v>1328</v>
      </c>
      <c r="E289" s="12" t="s">
        <v>80</v>
      </c>
      <c r="F289" s="10" t="n">
        <v>24</v>
      </c>
      <c r="G289" s="12" t="s">
        <v>40</v>
      </c>
      <c r="H289" s="10" t="n">
        <v>2110101</v>
      </c>
      <c r="I289" s="12" t="s">
        <v>32</v>
      </c>
      <c r="J289" s="10" t="n">
        <v>1365074</v>
      </c>
      <c r="L289" s="10" t="n">
        <v>3993</v>
      </c>
      <c r="M289" s="12" t="s">
        <v>33</v>
      </c>
      <c r="N289" s="12" t="s">
        <v>34</v>
      </c>
      <c r="P289" s="10" t="n">
        <v>113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194.08</v>
      </c>
      <c r="W289" s="13" t="n">
        <v>0</v>
      </c>
      <c r="X289" s="12" t="s">
        <v>425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46211</v>
      </c>
      <c r="C290" s="11" t="n">
        <v>46216</v>
      </c>
      <c r="D290" s="10" t="n">
        <v>1899</v>
      </c>
      <c r="E290" s="12" t="s">
        <v>84</v>
      </c>
      <c r="F290" s="10" t="n">
        <v>24</v>
      </c>
      <c r="G290" s="12" t="s">
        <v>40</v>
      </c>
      <c r="H290" s="10" t="n">
        <v>2110101</v>
      </c>
      <c r="I290" s="12" t="s">
        <v>32</v>
      </c>
      <c r="J290" s="10" t="n">
        <v>1370613</v>
      </c>
      <c r="L290" s="10" t="n">
        <v>704</v>
      </c>
      <c r="M290" s="12" t="s">
        <v>33</v>
      </c>
      <c r="N290" s="12" t="s">
        <v>34</v>
      </c>
      <c r="P290" s="10" t="n">
        <v>113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259.75</v>
      </c>
      <c r="W290" s="13" t="n">
        <v>0</v>
      </c>
      <c r="X290" s="12" t="s">
        <v>426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46195</v>
      </c>
      <c r="C291" s="11" t="n">
        <v>46216</v>
      </c>
      <c r="D291" s="10" t="n">
        <v>1697</v>
      </c>
      <c r="E291" s="12" t="s">
        <v>329</v>
      </c>
      <c r="F291" s="10" t="n">
        <v>24</v>
      </c>
      <c r="G291" s="12" t="s">
        <v>40</v>
      </c>
      <c r="H291" s="10" t="n">
        <v>2110101</v>
      </c>
      <c r="I291" s="12" t="s">
        <v>32</v>
      </c>
      <c r="J291" s="10" t="n">
        <v>1289570</v>
      </c>
      <c r="L291" s="10" t="n">
        <v>207912</v>
      </c>
      <c r="M291" s="12" t="s">
        <v>108</v>
      </c>
      <c r="N291" s="12" t="s">
        <v>34</v>
      </c>
      <c r="P291" s="10" t="n">
        <v>113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591.52</v>
      </c>
      <c r="W291" s="13" t="n">
        <v>0</v>
      </c>
      <c r="X291" s="12" t="s">
        <v>330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46214</v>
      </c>
      <c r="C292" s="11" t="n">
        <v>46217</v>
      </c>
      <c r="D292" s="10" t="n">
        <v>642</v>
      </c>
      <c r="E292" s="12" t="s">
        <v>97</v>
      </c>
      <c r="F292" s="10" t="n">
        <v>24</v>
      </c>
      <c r="G292" s="12" t="s">
        <v>40</v>
      </c>
      <c r="H292" s="10" t="n">
        <v>2110101</v>
      </c>
      <c r="I292" s="12" t="s">
        <v>32</v>
      </c>
      <c r="J292" s="10" t="n">
        <v>1381699</v>
      </c>
      <c r="L292" s="10" t="n">
        <v>527</v>
      </c>
      <c r="M292" s="12" t="s">
        <v>33</v>
      </c>
      <c r="N292" s="12" t="s">
        <v>34</v>
      </c>
      <c r="P292" s="10" t="n">
        <v>113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180</v>
      </c>
      <c r="W292" s="13" t="n">
        <v>0</v>
      </c>
      <c r="X292" s="12" t="s">
        <v>427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46217</v>
      </c>
      <c r="C293" s="11" t="n">
        <v>46217</v>
      </c>
      <c r="D293" s="10" t="n">
        <v>52</v>
      </c>
      <c r="E293" s="12" t="s">
        <v>247</v>
      </c>
      <c r="F293" s="10" t="n">
        <v>34</v>
      </c>
      <c r="G293" s="12" t="s">
        <v>31</v>
      </c>
      <c r="H293" s="10" t="n">
        <v>2110405</v>
      </c>
      <c r="I293" s="12" t="s">
        <v>87</v>
      </c>
      <c r="J293" s="10" t="n">
        <v>1402856</v>
      </c>
      <c r="L293" s="10" t="n">
        <v>188820</v>
      </c>
      <c r="M293" s="12" t="s">
        <v>33</v>
      </c>
      <c r="N293" s="12" t="s">
        <v>51</v>
      </c>
      <c r="P293" s="10" t="n">
        <v>113</v>
      </c>
      <c r="Q293" s="12" t="s">
        <v>35</v>
      </c>
      <c r="R293" s="12" t="s">
        <v>102</v>
      </c>
      <c r="S293" s="10" t="n">
        <v>4210301</v>
      </c>
      <c r="T293" s="12" t="s">
        <v>131</v>
      </c>
      <c r="U293" s="13" t="n">
        <v>200</v>
      </c>
      <c r="W293" s="13" t="n">
        <v>0</v>
      </c>
      <c r="X293" s="12" t="s">
        <v>428</v>
      </c>
      <c r="Z293" s="1" t="str">
        <f aca="false">IF($T293="","",IFERROR(INDEX('Resumo Grupos'!$AC$3:$AC$200,MATCH($T293,'Resumo Grupos'!$AB$3:$AB$200,0)),"n/d"))</f>
        <v>Salários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46197</v>
      </c>
      <c r="C294" s="11" t="n">
        <v>46217</v>
      </c>
      <c r="D294" s="10" t="n">
        <v>1635</v>
      </c>
      <c r="E294" s="12" t="s">
        <v>110</v>
      </c>
      <c r="F294" s="10" t="n">
        <v>24</v>
      </c>
      <c r="G294" s="12" t="s">
        <v>40</v>
      </c>
      <c r="H294" s="10" t="n">
        <v>2110101</v>
      </c>
      <c r="I294" s="12" t="s">
        <v>32</v>
      </c>
      <c r="J294" s="10" t="n">
        <v>1299637</v>
      </c>
      <c r="L294" s="10" t="n">
        <v>519349</v>
      </c>
      <c r="M294" s="12" t="s">
        <v>33</v>
      </c>
      <c r="N294" s="12" t="s">
        <v>34</v>
      </c>
      <c r="P294" s="10" t="n">
        <v>113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304.45</v>
      </c>
      <c r="W294" s="13" t="n">
        <v>0</v>
      </c>
      <c r="X294" s="12" t="s">
        <v>429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46202</v>
      </c>
      <c r="C295" s="11" t="n">
        <v>46217</v>
      </c>
      <c r="D295" s="10" t="n">
        <v>1705</v>
      </c>
      <c r="E295" s="12" t="s">
        <v>43</v>
      </c>
      <c r="F295" s="10" t="n">
        <v>24</v>
      </c>
      <c r="G295" s="12" t="s">
        <v>40</v>
      </c>
      <c r="H295" s="10" t="n">
        <v>2110101</v>
      </c>
      <c r="I295" s="12" t="s">
        <v>32</v>
      </c>
      <c r="J295" s="10" t="n">
        <v>1322169</v>
      </c>
      <c r="L295" s="10" t="n">
        <v>1180339</v>
      </c>
      <c r="M295" s="12" t="s">
        <v>33</v>
      </c>
      <c r="N295" s="12" t="s">
        <v>34</v>
      </c>
      <c r="P295" s="10" t="n">
        <v>113</v>
      </c>
      <c r="Q295" s="12" t="s">
        <v>35</v>
      </c>
      <c r="R295" s="12" t="s">
        <v>36</v>
      </c>
      <c r="S295" s="10" t="n">
        <v>1130101</v>
      </c>
      <c r="T295" s="12" t="s">
        <v>37</v>
      </c>
      <c r="U295" s="13" t="n">
        <v>29.3</v>
      </c>
      <c r="W295" s="13" t="n">
        <v>0</v>
      </c>
      <c r="X295" s="12" t="s">
        <v>430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46202</v>
      </c>
      <c r="C296" s="11" t="n">
        <v>46217</v>
      </c>
      <c r="D296" s="10" t="n">
        <v>1705</v>
      </c>
      <c r="E296" s="12" t="s">
        <v>43</v>
      </c>
      <c r="F296" s="10" t="n">
        <v>24</v>
      </c>
      <c r="G296" s="12" t="s">
        <v>40</v>
      </c>
      <c r="H296" s="10" t="n">
        <v>2110101</v>
      </c>
      <c r="I296" s="12" t="s">
        <v>32</v>
      </c>
      <c r="J296" s="10" t="n">
        <v>1322180</v>
      </c>
      <c r="L296" s="10" t="n">
        <v>1906318</v>
      </c>
      <c r="M296" s="12" t="s">
        <v>33</v>
      </c>
      <c r="N296" s="12" t="s">
        <v>34</v>
      </c>
      <c r="P296" s="10" t="n">
        <v>113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156.29</v>
      </c>
      <c r="W296" s="13" t="n">
        <v>0</v>
      </c>
      <c r="X296" s="12" t="s">
        <v>431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46202</v>
      </c>
      <c r="C297" s="11" t="n">
        <v>46217</v>
      </c>
      <c r="D297" s="10" t="n">
        <v>1705</v>
      </c>
      <c r="E297" s="12" t="s">
        <v>43</v>
      </c>
      <c r="F297" s="10" t="n">
        <v>24</v>
      </c>
      <c r="G297" s="12" t="s">
        <v>40</v>
      </c>
      <c r="H297" s="10" t="n">
        <v>2110101</v>
      </c>
      <c r="I297" s="12" t="s">
        <v>32</v>
      </c>
      <c r="J297" s="10" t="n">
        <v>1322190</v>
      </c>
      <c r="L297" s="10" t="n">
        <v>1906109</v>
      </c>
      <c r="M297" s="12" t="s">
        <v>33</v>
      </c>
      <c r="N297" s="12" t="s">
        <v>34</v>
      </c>
      <c r="P297" s="10" t="n">
        <v>113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974.53</v>
      </c>
      <c r="W297" s="13" t="n">
        <v>0</v>
      </c>
      <c r="X297" s="12" t="s">
        <v>432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46210</v>
      </c>
      <c r="C298" s="11" t="n">
        <v>46217</v>
      </c>
      <c r="D298" s="10" t="n">
        <v>1642</v>
      </c>
      <c r="E298" s="12" t="s">
        <v>254</v>
      </c>
      <c r="F298" s="10" t="n">
        <v>24</v>
      </c>
      <c r="G298" s="12" t="s">
        <v>40</v>
      </c>
      <c r="H298" s="10" t="n">
        <v>2110101</v>
      </c>
      <c r="I298" s="12" t="s">
        <v>32</v>
      </c>
      <c r="J298" s="10" t="n">
        <v>1364546</v>
      </c>
      <c r="L298" s="10" t="n">
        <v>1030653</v>
      </c>
      <c r="M298" s="12" t="s">
        <v>33</v>
      </c>
      <c r="N298" s="12" t="s">
        <v>34</v>
      </c>
      <c r="P298" s="10" t="n">
        <v>113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248.78</v>
      </c>
      <c r="W298" s="13" t="n">
        <v>0</v>
      </c>
      <c r="X298" s="12" t="s">
        <v>433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46209</v>
      </c>
      <c r="C299" s="11" t="n">
        <v>46217</v>
      </c>
      <c r="D299" s="10" t="n">
        <v>1723</v>
      </c>
      <c r="E299" s="12" t="s">
        <v>298</v>
      </c>
      <c r="F299" s="10" t="n">
        <v>24</v>
      </c>
      <c r="G299" s="12" t="s">
        <v>40</v>
      </c>
      <c r="H299" s="10" t="n">
        <v>2110101</v>
      </c>
      <c r="I299" s="12" t="s">
        <v>32</v>
      </c>
      <c r="J299" s="10" t="n">
        <v>1359593</v>
      </c>
      <c r="L299" s="10" t="n">
        <v>172659</v>
      </c>
      <c r="M299" s="12" t="s">
        <v>33</v>
      </c>
      <c r="N299" s="12" t="s">
        <v>34</v>
      </c>
      <c r="P299" s="10" t="n">
        <v>113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2243.2</v>
      </c>
      <c r="W299" s="13" t="n">
        <v>0</v>
      </c>
      <c r="X299" s="12" t="s">
        <v>434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46217</v>
      </c>
      <c r="C300" s="11" t="n">
        <v>46217</v>
      </c>
      <c r="D300" s="10" t="n">
        <v>1037</v>
      </c>
      <c r="E300" s="12" t="s">
        <v>125</v>
      </c>
      <c r="F300" s="10" t="n">
        <v>34</v>
      </c>
      <c r="G300" s="12" t="s">
        <v>31</v>
      </c>
      <c r="H300" s="10" t="n">
        <v>1110203</v>
      </c>
      <c r="I300" s="12" t="s">
        <v>50</v>
      </c>
      <c r="J300" s="10" t="n">
        <v>1398234</v>
      </c>
      <c r="L300" s="10" t="n">
        <v>188092</v>
      </c>
      <c r="M300" s="12" t="s">
        <v>33</v>
      </c>
      <c r="N300" s="12" t="s">
        <v>51</v>
      </c>
      <c r="P300" s="10" t="n">
        <v>113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770</v>
      </c>
      <c r="W300" s="13" t="n">
        <v>0</v>
      </c>
      <c r="X300" s="12" t="s">
        <v>435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46217</v>
      </c>
      <c r="C301" s="11" t="n">
        <v>46217</v>
      </c>
      <c r="D301" s="10" t="n">
        <v>1979</v>
      </c>
      <c r="E301" s="12" t="s">
        <v>282</v>
      </c>
      <c r="F301" s="10" t="n">
        <v>34</v>
      </c>
      <c r="G301" s="12" t="s">
        <v>31</v>
      </c>
      <c r="H301" s="10" t="n">
        <v>2110405</v>
      </c>
      <c r="I301" s="12" t="s">
        <v>87</v>
      </c>
      <c r="J301" s="10" t="n">
        <v>1402870</v>
      </c>
      <c r="L301" s="10" t="n">
        <v>188825</v>
      </c>
      <c r="M301" s="12" t="s">
        <v>33</v>
      </c>
      <c r="N301" s="12" t="s">
        <v>51</v>
      </c>
      <c r="P301" s="10" t="n">
        <v>113</v>
      </c>
      <c r="Q301" s="12" t="s">
        <v>35</v>
      </c>
      <c r="R301" s="12" t="s">
        <v>102</v>
      </c>
      <c r="S301" s="10" t="n">
        <v>4210301</v>
      </c>
      <c r="T301" s="12" t="s">
        <v>131</v>
      </c>
      <c r="U301" s="13" t="n">
        <v>400</v>
      </c>
      <c r="W301" s="13" t="n">
        <v>0</v>
      </c>
      <c r="X301" s="12" t="s">
        <v>428</v>
      </c>
      <c r="Z301" s="1" t="str">
        <f aca="false">IF($T301="","",IFERROR(INDEX('Resumo Grupos'!$AC$3:$AC$200,MATCH($T301,'Resumo Grupos'!$AB$3:$AB$200,0)),"n/d"))</f>
        <v>Salários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46204</v>
      </c>
      <c r="C302" s="11" t="n">
        <v>46217</v>
      </c>
      <c r="D302" s="10" t="n">
        <v>1611</v>
      </c>
      <c r="E302" s="12" t="s">
        <v>235</v>
      </c>
      <c r="F302" s="10" t="n">
        <v>24</v>
      </c>
      <c r="G302" s="12" t="s">
        <v>40</v>
      </c>
      <c r="H302" s="10" t="n">
        <v>2110101</v>
      </c>
      <c r="I302" s="12" t="s">
        <v>32</v>
      </c>
      <c r="J302" s="10" t="n">
        <v>1333898</v>
      </c>
      <c r="L302" s="10" t="n">
        <v>1777487</v>
      </c>
      <c r="M302" s="12" t="s">
        <v>33</v>
      </c>
      <c r="N302" s="12" t="s">
        <v>34</v>
      </c>
      <c r="P302" s="10" t="n">
        <v>113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542.11</v>
      </c>
      <c r="W302" s="13" t="n">
        <v>0</v>
      </c>
      <c r="X302" s="12" t="s">
        <v>436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46211</v>
      </c>
      <c r="C303" s="11" t="n">
        <v>46217</v>
      </c>
      <c r="D303" s="10" t="n">
        <v>48</v>
      </c>
      <c r="E303" s="12" t="s">
        <v>78</v>
      </c>
      <c r="F303" s="10" t="n">
        <v>34</v>
      </c>
      <c r="G303" s="12" t="s">
        <v>31</v>
      </c>
      <c r="H303" s="10" t="n">
        <v>2110101</v>
      </c>
      <c r="I303" s="12" t="s">
        <v>32</v>
      </c>
      <c r="J303" s="10" t="n">
        <v>1369655</v>
      </c>
      <c r="L303" s="10" t="n">
        <v>2529</v>
      </c>
      <c r="M303" s="12" t="s">
        <v>33</v>
      </c>
      <c r="N303" s="12" t="s">
        <v>34</v>
      </c>
      <c r="P303" s="10" t="n">
        <v>113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1046</v>
      </c>
      <c r="W303" s="13" t="n">
        <v>0</v>
      </c>
      <c r="X303" s="12" t="s">
        <v>437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46212</v>
      </c>
      <c r="C304" s="11" t="n">
        <v>46217</v>
      </c>
      <c r="D304" s="10" t="n">
        <v>48</v>
      </c>
      <c r="E304" s="12" t="s">
        <v>78</v>
      </c>
      <c r="F304" s="10" t="n">
        <v>24</v>
      </c>
      <c r="G304" s="12" t="s">
        <v>40</v>
      </c>
      <c r="H304" s="10" t="n">
        <v>2110101</v>
      </c>
      <c r="I304" s="12" t="s">
        <v>32</v>
      </c>
      <c r="J304" s="10" t="n">
        <v>1373788</v>
      </c>
      <c r="L304" s="10" t="n">
        <v>2533</v>
      </c>
      <c r="M304" s="12" t="s">
        <v>33</v>
      </c>
      <c r="N304" s="12" t="s">
        <v>34</v>
      </c>
      <c r="P304" s="10" t="n">
        <v>113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290</v>
      </c>
      <c r="W304" s="13" t="n">
        <v>0</v>
      </c>
      <c r="X304" s="12" t="s">
        <v>438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46217</v>
      </c>
      <c r="C305" s="11" t="n">
        <v>46217</v>
      </c>
      <c r="D305" s="10" t="n">
        <v>48</v>
      </c>
      <c r="E305" s="12" t="s">
        <v>78</v>
      </c>
      <c r="F305" s="10" t="n">
        <v>34</v>
      </c>
      <c r="G305" s="12" t="s">
        <v>31</v>
      </c>
      <c r="H305" s="10" t="n">
        <v>2110101</v>
      </c>
      <c r="I305" s="12" t="s">
        <v>32</v>
      </c>
      <c r="J305" s="10" t="n">
        <v>1398221</v>
      </c>
      <c r="L305" s="10" t="n">
        <v>2542</v>
      </c>
      <c r="M305" s="12" t="s">
        <v>33</v>
      </c>
      <c r="N305" s="12" t="s">
        <v>34</v>
      </c>
      <c r="P305" s="10" t="n">
        <v>113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1946.36</v>
      </c>
      <c r="W305" s="13" t="n">
        <v>0</v>
      </c>
      <c r="X305" s="12" t="s">
        <v>343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46217</v>
      </c>
      <c r="C306" s="11" t="n">
        <v>46217</v>
      </c>
      <c r="D306" s="10" t="n">
        <v>48</v>
      </c>
      <c r="E306" s="12" t="s">
        <v>78</v>
      </c>
      <c r="F306" s="10" t="n">
        <v>13</v>
      </c>
      <c r="G306" s="12" t="s">
        <v>49</v>
      </c>
      <c r="H306" s="10" t="n">
        <v>2110101</v>
      </c>
      <c r="I306" s="12" t="s">
        <v>32</v>
      </c>
      <c r="J306" s="10" t="n">
        <v>1398476</v>
      </c>
      <c r="L306" s="10" t="n">
        <v>2543</v>
      </c>
      <c r="M306" s="12" t="s">
        <v>33</v>
      </c>
      <c r="N306" s="12" t="s">
        <v>34</v>
      </c>
      <c r="P306" s="10" t="n">
        <v>113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182</v>
      </c>
      <c r="W306" s="13" t="n">
        <v>182</v>
      </c>
      <c r="X306" s="12" t="s">
        <v>439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46214</v>
      </c>
      <c r="C307" s="11" t="n">
        <v>46217</v>
      </c>
      <c r="D307" s="10" t="n">
        <v>666</v>
      </c>
      <c r="E307" s="12" t="s">
        <v>82</v>
      </c>
      <c r="F307" s="10" t="n">
        <v>24</v>
      </c>
      <c r="G307" s="12" t="s">
        <v>40</v>
      </c>
      <c r="H307" s="10" t="n">
        <v>2110101</v>
      </c>
      <c r="I307" s="12" t="s">
        <v>32</v>
      </c>
      <c r="J307" s="10" t="n">
        <v>1381906</v>
      </c>
      <c r="L307" s="10" t="n">
        <v>7874</v>
      </c>
      <c r="M307" s="12" t="s">
        <v>33</v>
      </c>
      <c r="N307" s="12" t="s">
        <v>34</v>
      </c>
      <c r="P307" s="10" t="n">
        <v>113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378.89</v>
      </c>
      <c r="W307" s="13" t="n">
        <v>0</v>
      </c>
      <c r="X307" s="12" t="s">
        <v>440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46196</v>
      </c>
      <c r="C308" s="11" t="n">
        <v>46217</v>
      </c>
      <c r="D308" s="10" t="n">
        <v>1266</v>
      </c>
      <c r="E308" s="12" t="s">
        <v>348</v>
      </c>
      <c r="F308" s="10" t="n">
        <v>24</v>
      </c>
      <c r="G308" s="12" t="s">
        <v>40</v>
      </c>
      <c r="H308" s="10" t="n">
        <v>2110405</v>
      </c>
      <c r="I308" s="12" t="s">
        <v>87</v>
      </c>
      <c r="J308" s="10" t="n">
        <v>1295177</v>
      </c>
      <c r="L308" s="10" t="n">
        <v>173363</v>
      </c>
      <c r="M308" s="12" t="s">
        <v>33</v>
      </c>
      <c r="N308" s="12" t="s">
        <v>51</v>
      </c>
      <c r="P308" s="10" t="n">
        <v>113</v>
      </c>
      <c r="Q308" s="12" t="s">
        <v>35</v>
      </c>
      <c r="R308" s="12" t="s">
        <v>88</v>
      </c>
      <c r="S308" s="10" t="n">
        <v>4210227</v>
      </c>
      <c r="T308" s="12" t="s">
        <v>119</v>
      </c>
      <c r="U308" s="13" t="n">
        <v>317.66</v>
      </c>
      <c r="W308" s="13" t="n">
        <v>0</v>
      </c>
      <c r="X308" s="12" t="s">
        <v>349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46214</v>
      </c>
      <c r="C309" s="11" t="n">
        <v>46217</v>
      </c>
      <c r="D309" s="10" t="n">
        <v>1899</v>
      </c>
      <c r="E309" s="12" t="s">
        <v>84</v>
      </c>
      <c r="F309" s="10" t="n">
        <v>24</v>
      </c>
      <c r="G309" s="12" t="s">
        <v>40</v>
      </c>
      <c r="H309" s="10" t="n">
        <v>2110101</v>
      </c>
      <c r="I309" s="12" t="s">
        <v>32</v>
      </c>
      <c r="J309" s="10" t="n">
        <v>1381714</v>
      </c>
      <c r="L309" s="10" t="n">
        <v>708</v>
      </c>
      <c r="M309" s="12" t="s">
        <v>33</v>
      </c>
      <c r="N309" s="12" t="s">
        <v>34</v>
      </c>
      <c r="P309" s="10" t="n">
        <v>113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307.11</v>
      </c>
      <c r="W309" s="13" t="n">
        <v>0</v>
      </c>
      <c r="X309" s="12" t="s">
        <v>441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46217</v>
      </c>
      <c r="C310" s="11" t="n">
        <v>46217</v>
      </c>
      <c r="D310" s="10" t="n">
        <v>21</v>
      </c>
      <c r="E310" s="12" t="s">
        <v>204</v>
      </c>
      <c r="F310" s="10" t="n">
        <v>34</v>
      </c>
      <c r="G310" s="12" t="s">
        <v>31</v>
      </c>
      <c r="H310" s="10" t="n">
        <v>2110405</v>
      </c>
      <c r="I310" s="12" t="s">
        <v>87</v>
      </c>
      <c r="J310" s="10" t="n">
        <v>1402859</v>
      </c>
      <c r="L310" s="10" t="n">
        <v>188821</v>
      </c>
      <c r="M310" s="12" t="s">
        <v>33</v>
      </c>
      <c r="N310" s="12" t="s">
        <v>51</v>
      </c>
      <c r="P310" s="10" t="n">
        <v>113</v>
      </c>
      <c r="Q310" s="12" t="s">
        <v>35</v>
      </c>
      <c r="R310" s="12" t="s">
        <v>102</v>
      </c>
      <c r="S310" s="10" t="n">
        <v>4210301</v>
      </c>
      <c r="T310" s="12" t="s">
        <v>131</v>
      </c>
      <c r="U310" s="13" t="n">
        <v>1000</v>
      </c>
      <c r="W310" s="13" t="n">
        <v>0</v>
      </c>
      <c r="X310" s="12" t="s">
        <v>428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46211</v>
      </c>
      <c r="C311" s="11" t="n">
        <v>46217</v>
      </c>
      <c r="D311" s="10" t="n">
        <v>754</v>
      </c>
      <c r="E311" s="12" t="s">
        <v>55</v>
      </c>
      <c r="F311" s="10" t="n">
        <v>24</v>
      </c>
      <c r="G311" s="12" t="s">
        <v>40</v>
      </c>
      <c r="H311" s="10" t="n">
        <v>2110101</v>
      </c>
      <c r="I311" s="12" t="s">
        <v>32</v>
      </c>
      <c r="J311" s="10" t="n">
        <v>1370823</v>
      </c>
      <c r="L311" s="10" t="n">
        <v>31674</v>
      </c>
      <c r="M311" s="12" t="s">
        <v>33</v>
      </c>
      <c r="N311" s="12" t="s">
        <v>34</v>
      </c>
      <c r="P311" s="10" t="n">
        <v>113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1411.05</v>
      </c>
      <c r="W311" s="13" t="n">
        <v>0</v>
      </c>
      <c r="X311" s="12" t="s">
        <v>442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46217</v>
      </c>
      <c r="C312" s="11" t="n">
        <v>46217</v>
      </c>
      <c r="D312" s="10" t="n">
        <v>18</v>
      </c>
      <c r="E312" s="12" t="s">
        <v>207</v>
      </c>
      <c r="F312" s="10" t="n">
        <v>34</v>
      </c>
      <c r="G312" s="12" t="s">
        <v>31</v>
      </c>
      <c r="H312" s="10" t="n">
        <v>2110405</v>
      </c>
      <c r="I312" s="12" t="s">
        <v>87</v>
      </c>
      <c r="J312" s="10" t="n">
        <v>1402862</v>
      </c>
      <c r="L312" s="10" t="n">
        <v>188822</v>
      </c>
      <c r="M312" s="12" t="s">
        <v>33</v>
      </c>
      <c r="N312" s="12" t="s">
        <v>51</v>
      </c>
      <c r="P312" s="10" t="n">
        <v>113</v>
      </c>
      <c r="Q312" s="12" t="s">
        <v>35</v>
      </c>
      <c r="R312" s="12" t="s">
        <v>102</v>
      </c>
      <c r="S312" s="10" t="n">
        <v>4210301</v>
      </c>
      <c r="T312" s="12" t="s">
        <v>131</v>
      </c>
      <c r="U312" s="13" t="n">
        <v>400</v>
      </c>
      <c r="W312" s="13" t="n">
        <v>0</v>
      </c>
      <c r="X312" s="12" t="s">
        <v>428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46188</v>
      </c>
      <c r="C313" s="11" t="n">
        <v>46218</v>
      </c>
      <c r="D313" s="10" t="n">
        <v>1659</v>
      </c>
      <c r="E313" s="12" t="s">
        <v>60</v>
      </c>
      <c r="F313" s="10" t="n">
        <v>24</v>
      </c>
      <c r="G313" s="12" t="s">
        <v>40</v>
      </c>
      <c r="H313" s="10" t="n">
        <v>2110101</v>
      </c>
      <c r="I313" s="12" t="s">
        <v>32</v>
      </c>
      <c r="J313" s="10" t="n">
        <v>1257254</v>
      </c>
      <c r="L313" s="10" t="n">
        <v>878758</v>
      </c>
      <c r="M313" s="12" t="s">
        <v>41</v>
      </c>
      <c r="N313" s="12" t="s">
        <v>34</v>
      </c>
      <c r="P313" s="10" t="n">
        <v>113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589.08</v>
      </c>
      <c r="W313" s="13" t="n">
        <v>0</v>
      </c>
      <c r="X313" s="12" t="s">
        <v>153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46212</v>
      </c>
      <c r="C314" s="11" t="n">
        <v>46218</v>
      </c>
      <c r="D314" s="10" t="n">
        <v>10018</v>
      </c>
      <c r="E314" s="12" t="s">
        <v>30</v>
      </c>
      <c r="F314" s="10" t="n">
        <v>34</v>
      </c>
      <c r="G314" s="12" t="s">
        <v>31</v>
      </c>
      <c r="H314" s="10" t="n">
        <v>2110101</v>
      </c>
      <c r="I314" s="12" t="s">
        <v>32</v>
      </c>
      <c r="J314" s="10" t="n">
        <v>1373839</v>
      </c>
      <c r="L314" s="10" t="n">
        <v>331</v>
      </c>
      <c r="M314" s="12" t="s">
        <v>33</v>
      </c>
      <c r="N314" s="12" t="s">
        <v>34</v>
      </c>
      <c r="P314" s="10" t="n">
        <v>113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915</v>
      </c>
      <c r="W314" s="13" t="n">
        <v>0</v>
      </c>
      <c r="X314" s="12" t="s">
        <v>443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46199</v>
      </c>
      <c r="C315" s="11" t="n">
        <v>46218</v>
      </c>
      <c r="D315" s="10" t="n">
        <v>1613</v>
      </c>
      <c r="E315" s="12" t="s">
        <v>159</v>
      </c>
      <c r="F315" s="10" t="n">
        <v>24</v>
      </c>
      <c r="G315" s="12" t="s">
        <v>40</v>
      </c>
      <c r="H315" s="10" t="n">
        <v>2110101</v>
      </c>
      <c r="I315" s="12" t="s">
        <v>32</v>
      </c>
      <c r="J315" s="10" t="n">
        <v>1309874</v>
      </c>
      <c r="L315" s="10" t="n">
        <v>1600681</v>
      </c>
      <c r="M315" s="12" t="s">
        <v>108</v>
      </c>
      <c r="N315" s="12" t="s">
        <v>34</v>
      </c>
      <c r="P315" s="10" t="n">
        <v>113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1881.46</v>
      </c>
      <c r="W315" s="13" t="n">
        <v>0</v>
      </c>
      <c r="X315" s="12" t="s">
        <v>352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46205</v>
      </c>
      <c r="C316" s="11" t="n">
        <v>46218</v>
      </c>
      <c r="D316" s="10" t="n">
        <v>1683</v>
      </c>
      <c r="E316" s="12" t="s">
        <v>123</v>
      </c>
      <c r="F316" s="10" t="n">
        <v>34</v>
      </c>
      <c r="G316" s="12" t="s">
        <v>31</v>
      </c>
      <c r="H316" s="10" t="n">
        <v>2110101</v>
      </c>
      <c r="I316" s="12" t="s">
        <v>32</v>
      </c>
      <c r="J316" s="10" t="n">
        <v>1338988</v>
      </c>
      <c r="L316" s="10" t="n">
        <v>1640710</v>
      </c>
      <c r="M316" s="12" t="s">
        <v>33</v>
      </c>
      <c r="N316" s="12" t="s">
        <v>34</v>
      </c>
      <c r="P316" s="10" t="n">
        <v>113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123</v>
      </c>
      <c r="W316" s="13" t="n">
        <v>0</v>
      </c>
      <c r="X316" s="12" t="s">
        <v>124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46206</v>
      </c>
      <c r="C317" s="11" t="n">
        <v>46218</v>
      </c>
      <c r="D317" s="10" t="n">
        <v>1683</v>
      </c>
      <c r="E317" s="12" t="s">
        <v>123</v>
      </c>
      <c r="F317" s="10" t="n">
        <v>34</v>
      </c>
      <c r="G317" s="12" t="s">
        <v>31</v>
      </c>
      <c r="H317" s="10" t="n">
        <v>2110101</v>
      </c>
      <c r="I317" s="12" t="s">
        <v>32</v>
      </c>
      <c r="J317" s="10" t="n">
        <v>1345413</v>
      </c>
      <c r="L317" s="10" t="n">
        <v>1642191</v>
      </c>
      <c r="M317" s="12" t="s">
        <v>33</v>
      </c>
      <c r="N317" s="12" t="s">
        <v>34</v>
      </c>
      <c r="P317" s="10" t="n">
        <v>113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89.5</v>
      </c>
      <c r="W317" s="13" t="n">
        <v>0</v>
      </c>
      <c r="X317" s="12" t="s">
        <v>124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46209</v>
      </c>
      <c r="C318" s="11" t="n">
        <v>46218</v>
      </c>
      <c r="D318" s="10" t="n">
        <v>1683</v>
      </c>
      <c r="E318" s="12" t="s">
        <v>123</v>
      </c>
      <c r="F318" s="10" t="n">
        <v>34</v>
      </c>
      <c r="G318" s="12" t="s">
        <v>31</v>
      </c>
      <c r="H318" s="10" t="n">
        <v>2110101</v>
      </c>
      <c r="I318" s="12" t="s">
        <v>32</v>
      </c>
      <c r="J318" s="10" t="n">
        <v>1359513</v>
      </c>
      <c r="L318" s="10" t="n">
        <v>1642710</v>
      </c>
      <c r="M318" s="12" t="s">
        <v>33</v>
      </c>
      <c r="N318" s="12" t="s">
        <v>34</v>
      </c>
      <c r="P318" s="10" t="n">
        <v>113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140</v>
      </c>
      <c r="W318" s="13" t="n">
        <v>0</v>
      </c>
      <c r="X318" s="12" t="s">
        <v>124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46210</v>
      </c>
      <c r="C319" s="11" t="n">
        <v>46218</v>
      </c>
      <c r="D319" s="10" t="n">
        <v>1683</v>
      </c>
      <c r="E319" s="12" t="s">
        <v>123</v>
      </c>
      <c r="F319" s="10" t="n">
        <v>34</v>
      </c>
      <c r="G319" s="12" t="s">
        <v>31</v>
      </c>
      <c r="H319" s="10" t="n">
        <v>2110101</v>
      </c>
      <c r="I319" s="12" t="s">
        <v>32</v>
      </c>
      <c r="J319" s="10" t="n">
        <v>1365102</v>
      </c>
      <c r="L319" s="10" t="n">
        <v>1643287</v>
      </c>
      <c r="M319" s="12" t="s">
        <v>33</v>
      </c>
      <c r="N319" s="12" t="s">
        <v>34</v>
      </c>
      <c r="P319" s="10" t="n">
        <v>113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130</v>
      </c>
      <c r="W319" s="13" t="n">
        <v>0</v>
      </c>
      <c r="X319" s="12" t="s">
        <v>124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46211</v>
      </c>
      <c r="C320" s="11" t="n">
        <v>46218</v>
      </c>
      <c r="D320" s="10" t="n">
        <v>1683</v>
      </c>
      <c r="E320" s="12" t="s">
        <v>123</v>
      </c>
      <c r="F320" s="10" t="n">
        <v>34</v>
      </c>
      <c r="G320" s="12" t="s">
        <v>31</v>
      </c>
      <c r="H320" s="10" t="n">
        <v>2110101</v>
      </c>
      <c r="I320" s="12" t="s">
        <v>32</v>
      </c>
      <c r="J320" s="10" t="n">
        <v>1370616</v>
      </c>
      <c r="L320" s="10" t="n">
        <v>1644345</v>
      </c>
      <c r="M320" s="12" t="s">
        <v>33</v>
      </c>
      <c r="N320" s="12" t="s">
        <v>34</v>
      </c>
      <c r="P320" s="10" t="n">
        <v>113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129.5</v>
      </c>
      <c r="W320" s="13" t="n">
        <v>0</v>
      </c>
      <c r="X320" s="12" t="s">
        <v>124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46214</v>
      </c>
      <c r="C321" s="11" t="n">
        <v>46218</v>
      </c>
      <c r="D321" s="10" t="n">
        <v>1683</v>
      </c>
      <c r="E321" s="12" t="s">
        <v>123</v>
      </c>
      <c r="F321" s="10" t="n">
        <v>34</v>
      </c>
      <c r="G321" s="12" t="s">
        <v>31</v>
      </c>
      <c r="H321" s="10" t="n">
        <v>2110101</v>
      </c>
      <c r="I321" s="12" t="s">
        <v>32</v>
      </c>
      <c r="J321" s="10" t="n">
        <v>1381841</v>
      </c>
      <c r="L321" s="10" t="n">
        <v>1645747</v>
      </c>
      <c r="M321" s="12" t="s">
        <v>33</v>
      </c>
      <c r="N321" s="12" t="s">
        <v>34</v>
      </c>
      <c r="P321" s="10" t="n">
        <v>113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61.5</v>
      </c>
      <c r="W321" s="13" t="n">
        <v>0</v>
      </c>
      <c r="X321" s="12" t="s">
        <v>124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46216</v>
      </c>
      <c r="C322" s="11" t="n">
        <v>46218</v>
      </c>
      <c r="D322" s="10" t="n">
        <v>1683</v>
      </c>
      <c r="E322" s="12" t="s">
        <v>123</v>
      </c>
      <c r="F322" s="10" t="n">
        <v>34</v>
      </c>
      <c r="G322" s="12" t="s">
        <v>31</v>
      </c>
      <c r="H322" s="10" t="n">
        <v>2110101</v>
      </c>
      <c r="I322" s="12" t="s">
        <v>32</v>
      </c>
      <c r="J322" s="10" t="n">
        <v>1393119</v>
      </c>
      <c r="L322" s="10" t="n">
        <v>1646001</v>
      </c>
      <c r="M322" s="12" t="s">
        <v>33</v>
      </c>
      <c r="N322" s="12" t="s">
        <v>34</v>
      </c>
      <c r="P322" s="10" t="n">
        <v>113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174</v>
      </c>
      <c r="W322" s="13" t="n">
        <v>0</v>
      </c>
      <c r="X322" s="12" t="s">
        <v>124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46217</v>
      </c>
      <c r="C323" s="11" t="n">
        <v>46218</v>
      </c>
      <c r="D323" s="10" t="n">
        <v>1683</v>
      </c>
      <c r="E323" s="12" t="s">
        <v>123</v>
      </c>
      <c r="F323" s="10" t="n">
        <v>34</v>
      </c>
      <c r="G323" s="12" t="s">
        <v>31</v>
      </c>
      <c r="H323" s="10" t="n">
        <v>2110101</v>
      </c>
      <c r="I323" s="12" t="s">
        <v>32</v>
      </c>
      <c r="J323" s="10" t="n">
        <v>1396761</v>
      </c>
      <c r="L323" s="10" t="n">
        <v>1646699</v>
      </c>
      <c r="M323" s="12" t="s">
        <v>33</v>
      </c>
      <c r="N323" s="12" t="s">
        <v>34</v>
      </c>
      <c r="P323" s="10" t="n">
        <v>113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117</v>
      </c>
      <c r="W323" s="13" t="n">
        <v>0</v>
      </c>
      <c r="X323" s="12" t="s">
        <v>124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46218</v>
      </c>
      <c r="C324" s="11" t="n">
        <v>46218</v>
      </c>
      <c r="D324" s="10" t="n">
        <v>1683</v>
      </c>
      <c r="E324" s="12" t="s">
        <v>123</v>
      </c>
      <c r="F324" s="10" t="n">
        <v>34</v>
      </c>
      <c r="G324" s="12" t="s">
        <v>31</v>
      </c>
      <c r="H324" s="10" t="n">
        <v>2110101</v>
      </c>
      <c r="I324" s="12" t="s">
        <v>32</v>
      </c>
      <c r="J324" s="10" t="n">
        <v>1402687</v>
      </c>
      <c r="L324" s="10" t="n">
        <v>1647775</v>
      </c>
      <c r="M324" s="12" t="s">
        <v>33</v>
      </c>
      <c r="N324" s="12" t="s">
        <v>34</v>
      </c>
      <c r="P324" s="10" t="n">
        <v>113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76.5</v>
      </c>
      <c r="W324" s="13" t="n">
        <v>0</v>
      </c>
      <c r="X324" s="12" t="s">
        <v>124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46212</v>
      </c>
      <c r="C325" s="11" t="n">
        <v>46218</v>
      </c>
      <c r="D325" s="10" t="n">
        <v>911</v>
      </c>
      <c r="E325" s="12" t="s">
        <v>444</v>
      </c>
      <c r="F325" s="10" t="n">
        <v>24</v>
      </c>
      <c r="G325" s="12" t="s">
        <v>40</v>
      </c>
      <c r="H325" s="10" t="n">
        <v>2110101</v>
      </c>
      <c r="I325" s="12" t="s">
        <v>32</v>
      </c>
      <c r="J325" s="10" t="n">
        <v>1373506</v>
      </c>
      <c r="L325" s="10" t="n">
        <v>53410</v>
      </c>
      <c r="M325" s="12" t="s">
        <v>33</v>
      </c>
      <c r="N325" s="12" t="s">
        <v>34</v>
      </c>
      <c r="P325" s="10" t="n">
        <v>113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316.08</v>
      </c>
      <c r="W325" s="13" t="n">
        <v>0</v>
      </c>
      <c r="X325" s="12" t="s">
        <v>445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46218</v>
      </c>
      <c r="C326" s="11" t="n">
        <v>46218</v>
      </c>
      <c r="D326" s="10" t="n">
        <v>10096</v>
      </c>
      <c r="E326" s="12" t="s">
        <v>48</v>
      </c>
      <c r="F326" s="10" t="n">
        <v>13</v>
      </c>
      <c r="G326" s="12" t="s">
        <v>49</v>
      </c>
      <c r="H326" s="10" t="n">
        <v>1110203</v>
      </c>
      <c r="I326" s="12" t="s">
        <v>50</v>
      </c>
      <c r="J326" s="10" t="n">
        <v>1428724</v>
      </c>
      <c r="L326" s="10" t="n">
        <v>191329</v>
      </c>
      <c r="M326" s="12" t="s">
        <v>33</v>
      </c>
      <c r="N326" s="12" t="s">
        <v>51</v>
      </c>
      <c r="P326" s="10" t="n">
        <v>113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140</v>
      </c>
      <c r="W326" s="13" t="n">
        <v>140</v>
      </c>
      <c r="X326" s="12" t="s">
        <v>446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46212</v>
      </c>
      <c r="C327" s="11" t="n">
        <v>46218</v>
      </c>
      <c r="D327" s="10" t="n">
        <v>581</v>
      </c>
      <c r="E327" s="12" t="s">
        <v>233</v>
      </c>
      <c r="F327" s="10" t="n">
        <v>24</v>
      </c>
      <c r="G327" s="12" t="s">
        <v>40</v>
      </c>
      <c r="H327" s="10" t="n">
        <v>2110101</v>
      </c>
      <c r="I327" s="12" t="s">
        <v>32</v>
      </c>
      <c r="J327" s="10" t="n">
        <v>1374667</v>
      </c>
      <c r="L327" s="10" t="n">
        <v>31344</v>
      </c>
      <c r="M327" s="12" t="s">
        <v>33</v>
      </c>
      <c r="N327" s="12" t="s">
        <v>34</v>
      </c>
      <c r="P327" s="10" t="n">
        <v>113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329</v>
      </c>
      <c r="W327" s="13" t="n">
        <v>0</v>
      </c>
      <c r="X327" s="12" t="s">
        <v>447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46190</v>
      </c>
      <c r="C328" s="11" t="n">
        <v>46218</v>
      </c>
      <c r="D328" s="10" t="n">
        <v>1107</v>
      </c>
      <c r="E328" s="12" t="s">
        <v>194</v>
      </c>
      <c r="F328" s="10" t="n">
        <v>24</v>
      </c>
      <c r="G328" s="12" t="s">
        <v>40</v>
      </c>
      <c r="H328" s="10" t="n">
        <v>2110101</v>
      </c>
      <c r="I328" s="12" t="s">
        <v>32</v>
      </c>
      <c r="J328" s="10" t="n">
        <v>1265709</v>
      </c>
      <c r="L328" s="10" t="n">
        <v>416678</v>
      </c>
      <c r="M328" s="12" t="s">
        <v>41</v>
      </c>
      <c r="N328" s="12" t="s">
        <v>34</v>
      </c>
      <c r="P328" s="10" t="n">
        <v>113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61.58</v>
      </c>
      <c r="W328" s="13" t="n">
        <v>0</v>
      </c>
      <c r="X328" s="12" t="s">
        <v>195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46097</v>
      </c>
      <c r="C329" s="11" t="n">
        <v>46218</v>
      </c>
      <c r="D329" s="10" t="n">
        <v>1867</v>
      </c>
      <c r="E329" s="12" t="s">
        <v>448</v>
      </c>
      <c r="F329" s="10" t="n">
        <v>24</v>
      </c>
      <c r="G329" s="12" t="s">
        <v>40</v>
      </c>
      <c r="H329" s="10" t="n">
        <v>2110405</v>
      </c>
      <c r="I329" s="12" t="s">
        <v>87</v>
      </c>
      <c r="J329" s="10" t="n">
        <v>808550</v>
      </c>
      <c r="L329" s="10" t="n">
        <v>2026</v>
      </c>
      <c r="M329" s="12" t="s">
        <v>182</v>
      </c>
      <c r="N329" s="12" t="s">
        <v>51</v>
      </c>
      <c r="P329" s="10" t="n">
        <v>101</v>
      </c>
      <c r="Q329" s="12" t="s">
        <v>69</v>
      </c>
      <c r="R329" s="12" t="s">
        <v>449</v>
      </c>
      <c r="S329" s="10" t="n">
        <v>4210401</v>
      </c>
      <c r="T329" s="12" t="s">
        <v>450</v>
      </c>
      <c r="U329" s="13" t="n">
        <v>228.88</v>
      </c>
      <c r="W329" s="13" t="n">
        <v>0</v>
      </c>
      <c r="X329" s="12" t="s">
        <v>451</v>
      </c>
      <c r="Z329" s="1" t="str">
        <f aca="false">IF($T329="","",IFERROR(INDEX('Resumo Grupos'!$AC$3:$AC$200,MATCH($T329,'Resumo Grupos'!$AB$3:$AB$200,0)),"n/d"))</f>
        <v>Impostos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46211</v>
      </c>
      <c r="C330" s="11" t="n">
        <v>46218</v>
      </c>
      <c r="D330" s="10" t="n">
        <v>1292</v>
      </c>
      <c r="E330" s="12" t="s">
        <v>91</v>
      </c>
      <c r="F330" s="10" t="n">
        <v>24</v>
      </c>
      <c r="G330" s="12" t="s">
        <v>40</v>
      </c>
      <c r="H330" s="10" t="n">
        <v>2110101</v>
      </c>
      <c r="I330" s="12" t="s">
        <v>32</v>
      </c>
      <c r="J330" s="10" t="n">
        <v>1370597</v>
      </c>
      <c r="L330" s="10" t="n">
        <v>3570</v>
      </c>
      <c r="M330" s="12" t="s">
        <v>33</v>
      </c>
      <c r="N330" s="12" t="s">
        <v>34</v>
      </c>
      <c r="P330" s="10" t="n">
        <v>113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505.5</v>
      </c>
      <c r="W330" s="13" t="n">
        <v>0</v>
      </c>
      <c r="X330" s="12" t="s">
        <v>452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46127</v>
      </c>
      <c r="C331" s="11" t="n">
        <v>46218</v>
      </c>
      <c r="D331" s="10" t="n">
        <v>512</v>
      </c>
      <c r="E331" s="12" t="s">
        <v>453</v>
      </c>
      <c r="F331" s="10" t="n">
        <v>34</v>
      </c>
      <c r="G331" s="12" t="s">
        <v>31</v>
      </c>
      <c r="H331" s="10" t="n">
        <v>2110405</v>
      </c>
      <c r="I331" s="12" t="s">
        <v>87</v>
      </c>
      <c r="J331" s="10" t="n">
        <v>954215</v>
      </c>
      <c r="L331" s="10" t="n">
        <v>126220</v>
      </c>
      <c r="M331" s="12" t="s">
        <v>191</v>
      </c>
      <c r="N331" s="12" t="s">
        <v>51</v>
      </c>
      <c r="P331" s="10" t="n">
        <v>101</v>
      </c>
      <c r="Q331" s="12" t="s">
        <v>69</v>
      </c>
      <c r="R331" s="12" t="s">
        <v>454</v>
      </c>
      <c r="S331" s="10" t="n">
        <v>4210111</v>
      </c>
      <c r="T331" s="12" t="s">
        <v>455</v>
      </c>
      <c r="U331" s="13" t="n">
        <v>5700</v>
      </c>
      <c r="W331" s="13" t="n">
        <v>0</v>
      </c>
      <c r="X331" s="12" t="s">
        <v>456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46204</v>
      </c>
      <c r="C332" s="11" t="n">
        <v>46218</v>
      </c>
      <c r="D332" s="10" t="n">
        <v>1671</v>
      </c>
      <c r="E332" s="12" t="s">
        <v>457</v>
      </c>
      <c r="F332" s="10" t="n">
        <v>24</v>
      </c>
      <c r="G332" s="12" t="s">
        <v>40</v>
      </c>
      <c r="H332" s="10" t="n">
        <v>2110101</v>
      </c>
      <c r="I332" s="12" t="s">
        <v>32</v>
      </c>
      <c r="J332" s="10" t="n">
        <v>1335414</v>
      </c>
      <c r="L332" s="10" t="n">
        <v>576435</v>
      </c>
      <c r="M332" s="12" t="s">
        <v>33</v>
      </c>
      <c r="N332" s="12" t="s">
        <v>34</v>
      </c>
      <c r="P332" s="10" t="n">
        <v>113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296</v>
      </c>
      <c r="W332" s="13" t="n">
        <v>0</v>
      </c>
      <c r="X332" s="12" t="s">
        <v>458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46205</v>
      </c>
      <c r="C333" s="11" t="n">
        <v>46218</v>
      </c>
      <c r="D333" s="10" t="n">
        <v>1734</v>
      </c>
      <c r="E333" s="12" t="s">
        <v>459</v>
      </c>
      <c r="F333" s="10" t="n">
        <v>24</v>
      </c>
      <c r="G333" s="12" t="s">
        <v>40</v>
      </c>
      <c r="H333" s="10" t="n">
        <v>2110101</v>
      </c>
      <c r="I333" s="12" t="s">
        <v>32</v>
      </c>
      <c r="J333" s="10" t="n">
        <v>1339667</v>
      </c>
      <c r="L333" s="10" t="n">
        <v>254582</v>
      </c>
      <c r="M333" s="12" t="s">
        <v>33</v>
      </c>
      <c r="N333" s="12" t="s">
        <v>34</v>
      </c>
      <c r="P333" s="10" t="n">
        <v>113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868.37</v>
      </c>
      <c r="W333" s="13" t="n">
        <v>0</v>
      </c>
      <c r="X333" s="12" t="s">
        <v>460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46213</v>
      </c>
      <c r="C334" s="11" t="n">
        <v>46219</v>
      </c>
      <c r="D334" s="10" t="n">
        <v>10065</v>
      </c>
      <c r="E334" s="12" t="s">
        <v>461</v>
      </c>
      <c r="F334" s="10" t="n">
        <v>24</v>
      </c>
      <c r="G334" s="12" t="s">
        <v>40</v>
      </c>
      <c r="H334" s="10" t="n">
        <v>2110101</v>
      </c>
      <c r="I334" s="12" t="s">
        <v>32</v>
      </c>
      <c r="J334" s="10" t="n">
        <v>1377153</v>
      </c>
      <c r="L334" s="10" t="n">
        <v>66</v>
      </c>
      <c r="M334" s="12" t="s">
        <v>33</v>
      </c>
      <c r="N334" s="12" t="s">
        <v>34</v>
      </c>
      <c r="P334" s="10" t="n">
        <v>113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432</v>
      </c>
      <c r="W334" s="13" t="n">
        <v>0</v>
      </c>
      <c r="X334" s="12" t="s">
        <v>462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46206</v>
      </c>
      <c r="C335" s="11" t="n">
        <v>46219</v>
      </c>
      <c r="D335" s="10" t="n">
        <v>1695</v>
      </c>
      <c r="E335" s="12" t="s">
        <v>39</v>
      </c>
      <c r="F335" s="10" t="n">
        <v>24</v>
      </c>
      <c r="G335" s="12" t="s">
        <v>40</v>
      </c>
      <c r="H335" s="10" t="n">
        <v>2110101</v>
      </c>
      <c r="I335" s="12" t="s">
        <v>32</v>
      </c>
      <c r="J335" s="10" t="n">
        <v>1345083</v>
      </c>
      <c r="L335" s="10" t="n">
        <v>18998</v>
      </c>
      <c r="M335" s="12" t="s">
        <v>108</v>
      </c>
      <c r="N335" s="12" t="s">
        <v>34</v>
      </c>
      <c r="P335" s="10" t="n">
        <v>113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1073.2</v>
      </c>
      <c r="W335" s="13" t="n">
        <v>0</v>
      </c>
      <c r="X335" s="12" t="s">
        <v>367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46213</v>
      </c>
      <c r="C336" s="11" t="n">
        <v>46219</v>
      </c>
      <c r="D336" s="10" t="n">
        <v>901</v>
      </c>
      <c r="E336" s="12" t="s">
        <v>463</v>
      </c>
      <c r="F336" s="10" t="n">
        <v>24</v>
      </c>
      <c r="G336" s="12" t="s">
        <v>40</v>
      </c>
      <c r="H336" s="10" t="n">
        <v>2110101</v>
      </c>
      <c r="I336" s="12" t="s">
        <v>32</v>
      </c>
      <c r="J336" s="10" t="n">
        <v>1377084</v>
      </c>
      <c r="L336" s="10" t="n">
        <v>462</v>
      </c>
      <c r="M336" s="12" t="s">
        <v>33</v>
      </c>
      <c r="N336" s="12" t="s">
        <v>34</v>
      </c>
      <c r="P336" s="10" t="n">
        <v>113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435</v>
      </c>
      <c r="W336" s="13" t="n">
        <v>0</v>
      </c>
      <c r="X336" s="12" t="s">
        <v>464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46205</v>
      </c>
      <c r="C337" s="11" t="n">
        <v>46219</v>
      </c>
      <c r="D337" s="10" t="n">
        <v>10002</v>
      </c>
      <c r="E337" s="12" t="s">
        <v>465</v>
      </c>
      <c r="F337" s="10" t="n">
        <v>24</v>
      </c>
      <c r="G337" s="12" t="s">
        <v>40</v>
      </c>
      <c r="H337" s="10" t="n">
        <v>2110101</v>
      </c>
      <c r="I337" s="12" t="s">
        <v>32</v>
      </c>
      <c r="J337" s="10" t="n">
        <v>1339497</v>
      </c>
      <c r="L337" s="10" t="n">
        <v>196323</v>
      </c>
      <c r="M337" s="12" t="s">
        <v>33</v>
      </c>
      <c r="N337" s="12" t="s">
        <v>34</v>
      </c>
      <c r="P337" s="10" t="n">
        <v>113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652.4</v>
      </c>
      <c r="W337" s="13" t="n">
        <v>0</v>
      </c>
      <c r="X337" s="12" t="s">
        <v>466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46212</v>
      </c>
      <c r="C338" s="11" t="n">
        <v>46219</v>
      </c>
      <c r="D338" s="10" t="n">
        <v>1608</v>
      </c>
      <c r="E338" s="12" t="s">
        <v>266</v>
      </c>
      <c r="F338" s="10" t="n">
        <v>24</v>
      </c>
      <c r="G338" s="12" t="s">
        <v>40</v>
      </c>
      <c r="H338" s="10" t="n">
        <v>2110101</v>
      </c>
      <c r="I338" s="12" t="s">
        <v>32</v>
      </c>
      <c r="J338" s="10" t="n">
        <v>1373707</v>
      </c>
      <c r="L338" s="10" t="n">
        <v>1688844</v>
      </c>
      <c r="M338" s="12" t="s">
        <v>33</v>
      </c>
      <c r="N338" s="12" t="s">
        <v>34</v>
      </c>
      <c r="P338" s="10" t="n">
        <v>113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197.37</v>
      </c>
      <c r="W338" s="13" t="n">
        <v>0</v>
      </c>
      <c r="X338" s="12" t="s">
        <v>467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46205</v>
      </c>
      <c r="C339" s="11" t="n">
        <v>46219</v>
      </c>
      <c r="D339" s="10" t="n">
        <v>1217</v>
      </c>
      <c r="E339" s="12" t="s">
        <v>314</v>
      </c>
      <c r="F339" s="10" t="n">
        <v>24</v>
      </c>
      <c r="G339" s="12" t="s">
        <v>40</v>
      </c>
      <c r="H339" s="10" t="n">
        <v>2110101</v>
      </c>
      <c r="I339" s="12" t="s">
        <v>32</v>
      </c>
      <c r="J339" s="10" t="n">
        <v>1339965</v>
      </c>
      <c r="L339" s="10" t="n">
        <v>4467</v>
      </c>
      <c r="M339" s="12" t="s">
        <v>108</v>
      </c>
      <c r="N339" s="12" t="s">
        <v>34</v>
      </c>
      <c r="P339" s="10" t="n">
        <v>113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819.52</v>
      </c>
      <c r="W339" s="13" t="n">
        <v>0</v>
      </c>
      <c r="X339" s="12" t="s">
        <v>315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46205</v>
      </c>
      <c r="C340" s="11" t="n">
        <v>46219</v>
      </c>
      <c r="D340" s="10" t="n">
        <v>1815</v>
      </c>
      <c r="E340" s="12" t="s">
        <v>175</v>
      </c>
      <c r="F340" s="10" t="n">
        <v>24</v>
      </c>
      <c r="G340" s="12" t="s">
        <v>40</v>
      </c>
      <c r="H340" s="10" t="n">
        <v>2110101</v>
      </c>
      <c r="I340" s="12" t="s">
        <v>32</v>
      </c>
      <c r="J340" s="10" t="n">
        <v>1339618</v>
      </c>
      <c r="L340" s="10" t="n">
        <v>390211</v>
      </c>
      <c r="M340" s="12" t="s">
        <v>108</v>
      </c>
      <c r="N340" s="12" t="s">
        <v>34</v>
      </c>
      <c r="P340" s="10" t="n">
        <v>113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2005.45</v>
      </c>
      <c r="W340" s="13" t="n">
        <v>0</v>
      </c>
      <c r="X340" s="12" t="s">
        <v>371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46213</v>
      </c>
      <c r="C341" s="11" t="n">
        <v>46219</v>
      </c>
      <c r="D341" s="10" t="n">
        <v>1024</v>
      </c>
      <c r="E341" s="12" t="s">
        <v>239</v>
      </c>
      <c r="F341" s="10" t="n">
        <v>24</v>
      </c>
      <c r="G341" s="12" t="s">
        <v>40</v>
      </c>
      <c r="H341" s="10" t="n">
        <v>2110101</v>
      </c>
      <c r="I341" s="12" t="s">
        <v>32</v>
      </c>
      <c r="J341" s="10" t="n">
        <v>1376782</v>
      </c>
      <c r="L341" s="10" t="n">
        <v>599833</v>
      </c>
      <c r="M341" s="12" t="s">
        <v>33</v>
      </c>
      <c r="N341" s="12" t="s">
        <v>34</v>
      </c>
      <c r="P341" s="10" t="n">
        <v>113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280</v>
      </c>
      <c r="W341" s="13" t="n">
        <v>0</v>
      </c>
      <c r="X341" s="12" t="s">
        <v>468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46219</v>
      </c>
      <c r="D342" s="10" t="n">
        <v>1624</v>
      </c>
      <c r="E342" s="12" t="s">
        <v>241</v>
      </c>
      <c r="F342" s="10" t="n">
        <v>24</v>
      </c>
      <c r="G342" s="12" t="s">
        <v>40</v>
      </c>
      <c r="H342" s="10" t="n">
        <v>2110101</v>
      </c>
      <c r="I342" s="12" t="s">
        <v>32</v>
      </c>
      <c r="J342" s="10" t="n">
        <v>1261007</v>
      </c>
      <c r="L342" s="10" t="n">
        <v>658429</v>
      </c>
      <c r="M342" s="12" t="s">
        <v>41</v>
      </c>
      <c r="N342" s="12" t="s">
        <v>34</v>
      </c>
      <c r="P342" s="10" t="n">
        <v>113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550.4</v>
      </c>
      <c r="W342" s="13" t="n">
        <v>0</v>
      </c>
      <c r="X342" s="12" t="s">
        <v>242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46219</v>
      </c>
      <c r="D343" s="10" t="n">
        <v>10012</v>
      </c>
      <c r="E343" s="12" t="s">
        <v>373</v>
      </c>
      <c r="F343" s="10" t="n">
        <v>24</v>
      </c>
      <c r="G343" s="12" t="s">
        <v>40</v>
      </c>
      <c r="H343" s="10" t="n">
        <v>2110101</v>
      </c>
      <c r="I343" s="12" t="s">
        <v>32</v>
      </c>
      <c r="J343" s="10" t="n">
        <v>1289819</v>
      </c>
      <c r="L343" s="10" t="n">
        <v>1959276</v>
      </c>
      <c r="M343" s="12" t="s">
        <v>108</v>
      </c>
      <c r="N343" s="12" t="s">
        <v>34</v>
      </c>
      <c r="P343" s="10" t="n">
        <v>113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653.65</v>
      </c>
      <c r="W343" s="13" t="n">
        <v>0</v>
      </c>
      <c r="X343" s="12" t="s">
        <v>374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46212</v>
      </c>
      <c r="C344" s="11" t="n">
        <v>46219</v>
      </c>
      <c r="D344" s="10" t="n">
        <v>754</v>
      </c>
      <c r="E344" s="12" t="s">
        <v>55</v>
      </c>
      <c r="F344" s="10" t="n">
        <v>24</v>
      </c>
      <c r="G344" s="12" t="s">
        <v>40</v>
      </c>
      <c r="H344" s="10" t="n">
        <v>2110101</v>
      </c>
      <c r="I344" s="12" t="s">
        <v>32</v>
      </c>
      <c r="J344" s="10" t="n">
        <v>1375062</v>
      </c>
      <c r="L344" s="10" t="n">
        <v>31703</v>
      </c>
      <c r="M344" s="12" t="s">
        <v>33</v>
      </c>
      <c r="N344" s="12" t="s">
        <v>34</v>
      </c>
      <c r="P344" s="10" t="n">
        <v>113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3640</v>
      </c>
      <c r="W344" s="13" t="n">
        <v>0</v>
      </c>
      <c r="X344" s="12" t="s">
        <v>469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46213</v>
      </c>
      <c r="C345" s="11" t="n">
        <v>46220</v>
      </c>
      <c r="D345" s="10" t="n">
        <v>10018</v>
      </c>
      <c r="E345" s="12" t="s">
        <v>30</v>
      </c>
      <c r="F345" s="10" t="n">
        <v>34</v>
      </c>
      <c r="G345" s="12" t="s">
        <v>31</v>
      </c>
      <c r="H345" s="10" t="n">
        <v>2110101</v>
      </c>
      <c r="I345" s="12" t="s">
        <v>32</v>
      </c>
      <c r="J345" s="10" t="n">
        <v>1377315</v>
      </c>
      <c r="L345" s="10" t="n">
        <v>333</v>
      </c>
      <c r="M345" s="12" t="s">
        <v>33</v>
      </c>
      <c r="N345" s="12" t="s">
        <v>34</v>
      </c>
      <c r="P345" s="10" t="n">
        <v>113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1171.37</v>
      </c>
      <c r="W345" s="13" t="n">
        <v>0</v>
      </c>
      <c r="X345" s="12" t="s">
        <v>470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46210</v>
      </c>
      <c r="C346" s="11" t="n">
        <v>46220</v>
      </c>
      <c r="D346" s="10" t="n">
        <v>1613</v>
      </c>
      <c r="E346" s="12" t="s">
        <v>159</v>
      </c>
      <c r="F346" s="10" t="n">
        <v>24</v>
      </c>
      <c r="G346" s="12" t="s">
        <v>40</v>
      </c>
      <c r="H346" s="10" t="n">
        <v>2110101</v>
      </c>
      <c r="I346" s="12" t="s">
        <v>32</v>
      </c>
      <c r="J346" s="10" t="n">
        <v>1364523</v>
      </c>
      <c r="L346" s="10" t="n">
        <v>1604119</v>
      </c>
      <c r="M346" s="12" t="s">
        <v>33</v>
      </c>
      <c r="N346" s="12" t="s">
        <v>34</v>
      </c>
      <c r="P346" s="10" t="n">
        <v>113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1031.78</v>
      </c>
      <c r="W346" s="13" t="n">
        <v>0</v>
      </c>
      <c r="X346" s="12" t="s">
        <v>471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46213</v>
      </c>
      <c r="C347" s="11" t="n">
        <v>46220</v>
      </c>
      <c r="D347" s="10" t="n">
        <v>1642</v>
      </c>
      <c r="E347" s="12" t="s">
        <v>254</v>
      </c>
      <c r="F347" s="10" t="n">
        <v>24</v>
      </c>
      <c r="G347" s="12" t="s">
        <v>40</v>
      </c>
      <c r="H347" s="10" t="n">
        <v>2110101</v>
      </c>
      <c r="I347" s="12" t="s">
        <v>32</v>
      </c>
      <c r="J347" s="10" t="n">
        <v>1376676</v>
      </c>
      <c r="L347" s="10" t="n">
        <v>1031214</v>
      </c>
      <c r="M347" s="12" t="s">
        <v>33</v>
      </c>
      <c r="N347" s="12" t="s">
        <v>34</v>
      </c>
      <c r="P347" s="10" t="n">
        <v>113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250.08</v>
      </c>
      <c r="W347" s="13" t="n">
        <v>0</v>
      </c>
      <c r="X347" s="12" t="s">
        <v>472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46191</v>
      </c>
      <c r="C348" s="11" t="n">
        <v>46220</v>
      </c>
      <c r="D348" s="10" t="n">
        <v>1718</v>
      </c>
      <c r="E348" s="12" t="s">
        <v>263</v>
      </c>
      <c r="F348" s="10" t="n">
        <v>24</v>
      </c>
      <c r="G348" s="12" t="s">
        <v>40</v>
      </c>
      <c r="H348" s="10" t="n">
        <v>2110101</v>
      </c>
      <c r="I348" s="12" t="s">
        <v>32</v>
      </c>
      <c r="J348" s="10" t="n">
        <v>1269305</v>
      </c>
      <c r="L348" s="10" t="n">
        <v>674937</v>
      </c>
      <c r="M348" s="12" t="s">
        <v>41</v>
      </c>
      <c r="N348" s="12" t="s">
        <v>34</v>
      </c>
      <c r="P348" s="10" t="n">
        <v>113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1055.33</v>
      </c>
      <c r="W348" s="13" t="n">
        <v>0</v>
      </c>
      <c r="X348" s="12" t="s">
        <v>265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46195</v>
      </c>
      <c r="C349" s="11" t="n">
        <v>46220</v>
      </c>
      <c r="D349" s="10" t="n">
        <v>1608</v>
      </c>
      <c r="E349" s="12" t="s">
        <v>266</v>
      </c>
      <c r="F349" s="10" t="n">
        <v>24</v>
      </c>
      <c r="G349" s="12" t="s">
        <v>40</v>
      </c>
      <c r="H349" s="10" t="n">
        <v>2110101</v>
      </c>
      <c r="I349" s="12" t="s">
        <v>32</v>
      </c>
      <c r="J349" s="10" t="n">
        <v>1289449</v>
      </c>
      <c r="L349" s="10" t="n">
        <v>1676804</v>
      </c>
      <c r="M349" s="12" t="s">
        <v>41</v>
      </c>
      <c r="N349" s="12" t="s">
        <v>34</v>
      </c>
      <c r="P349" s="10" t="n">
        <v>113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1154.88</v>
      </c>
      <c r="W349" s="13" t="n">
        <v>0</v>
      </c>
      <c r="X349" s="12" t="s">
        <v>267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46220</v>
      </c>
      <c r="C350" s="11" t="n">
        <v>46220</v>
      </c>
      <c r="D350" s="10" t="n">
        <v>23</v>
      </c>
      <c r="E350" s="12" t="s">
        <v>269</v>
      </c>
      <c r="F350" s="10" t="n">
        <v>34</v>
      </c>
      <c r="G350" s="12" t="s">
        <v>31</v>
      </c>
      <c r="H350" s="10" t="n">
        <v>2110405</v>
      </c>
      <c r="I350" s="12" t="s">
        <v>87</v>
      </c>
      <c r="J350" s="10" t="n">
        <v>1427891</v>
      </c>
      <c r="L350" s="10" t="n">
        <v>190917</v>
      </c>
      <c r="M350" s="12" t="s">
        <v>33</v>
      </c>
      <c r="N350" s="12" t="s">
        <v>51</v>
      </c>
      <c r="P350" s="10" t="n">
        <v>113</v>
      </c>
      <c r="Q350" s="12" t="s">
        <v>35</v>
      </c>
      <c r="R350" s="12" t="s">
        <v>102</v>
      </c>
      <c r="S350" s="10" t="n">
        <v>4210301</v>
      </c>
      <c r="T350" s="12" t="s">
        <v>131</v>
      </c>
      <c r="U350" s="13" t="n">
        <v>400</v>
      </c>
      <c r="W350" s="13" t="n">
        <v>0</v>
      </c>
      <c r="X350" s="12" t="s">
        <v>428</v>
      </c>
      <c r="Z350" s="1" t="str">
        <f aca="false">IF($T350="","",IFERROR(INDEX('Resumo Grupos'!$AC$3:$AC$200,MATCH($T350,'Resumo Grupos'!$AB$3:$AB$200,0)),"n/d"))</f>
        <v>Salários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46206</v>
      </c>
      <c r="C351" s="11" t="n">
        <v>46220</v>
      </c>
      <c r="D351" s="10" t="n">
        <v>10089</v>
      </c>
      <c r="E351" s="12" t="s">
        <v>399</v>
      </c>
      <c r="F351" s="10" t="n">
        <v>24</v>
      </c>
      <c r="G351" s="12" t="s">
        <v>40</v>
      </c>
      <c r="H351" s="10" t="n">
        <v>2110101</v>
      </c>
      <c r="I351" s="12" t="s">
        <v>32</v>
      </c>
      <c r="J351" s="10" t="n">
        <v>1345178</v>
      </c>
      <c r="L351" s="10" t="n">
        <v>890</v>
      </c>
      <c r="M351" s="12" t="s">
        <v>108</v>
      </c>
      <c r="N351" s="12" t="s">
        <v>34</v>
      </c>
      <c r="P351" s="10" t="n">
        <v>113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368.4</v>
      </c>
      <c r="W351" s="13" t="n">
        <v>0</v>
      </c>
      <c r="X351" s="12" t="s">
        <v>400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46220</v>
      </c>
      <c r="C352" s="11" t="n">
        <v>46220</v>
      </c>
      <c r="D352" s="10" t="n">
        <v>10096</v>
      </c>
      <c r="E352" s="12" t="s">
        <v>48</v>
      </c>
      <c r="F352" s="10" t="n">
        <v>13</v>
      </c>
      <c r="G352" s="12" t="s">
        <v>49</v>
      </c>
      <c r="H352" s="10" t="n">
        <v>1110203</v>
      </c>
      <c r="I352" s="12" t="s">
        <v>50</v>
      </c>
      <c r="J352" s="10" t="n">
        <v>1428745</v>
      </c>
      <c r="L352" s="10" t="n">
        <v>191334</v>
      </c>
      <c r="M352" s="12" t="s">
        <v>33</v>
      </c>
      <c r="N352" s="12" t="s">
        <v>51</v>
      </c>
      <c r="P352" s="10" t="n">
        <v>113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140</v>
      </c>
      <c r="W352" s="13" t="n">
        <v>140</v>
      </c>
      <c r="X352" s="12" t="s">
        <v>473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46213</v>
      </c>
      <c r="C353" s="11" t="n">
        <v>46220</v>
      </c>
      <c r="D353" s="10" t="n">
        <v>1609</v>
      </c>
      <c r="E353" s="12" t="s">
        <v>338</v>
      </c>
      <c r="F353" s="10" t="n">
        <v>24</v>
      </c>
      <c r="G353" s="12" t="s">
        <v>40</v>
      </c>
      <c r="H353" s="10" t="n">
        <v>2110101</v>
      </c>
      <c r="I353" s="12" t="s">
        <v>32</v>
      </c>
      <c r="J353" s="10" t="n">
        <v>1376630</v>
      </c>
      <c r="L353" s="10" t="n">
        <v>5786</v>
      </c>
      <c r="M353" s="12" t="s">
        <v>33</v>
      </c>
      <c r="N353" s="12" t="s">
        <v>34</v>
      </c>
      <c r="P353" s="10" t="n">
        <v>113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519.65</v>
      </c>
      <c r="W353" s="13" t="n">
        <v>0</v>
      </c>
      <c r="X353" s="12" t="s">
        <v>474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46213</v>
      </c>
      <c r="C354" s="11" t="n">
        <v>46220</v>
      </c>
      <c r="D354" s="10" t="n">
        <v>1270</v>
      </c>
      <c r="E354" s="12" t="s">
        <v>475</v>
      </c>
      <c r="F354" s="10" t="n">
        <v>24</v>
      </c>
      <c r="G354" s="12" t="s">
        <v>40</v>
      </c>
      <c r="H354" s="10" t="n">
        <v>2110101</v>
      </c>
      <c r="I354" s="12" t="s">
        <v>32</v>
      </c>
      <c r="J354" s="10" t="n">
        <v>1377247</v>
      </c>
      <c r="L354" s="10" t="n">
        <v>2635</v>
      </c>
      <c r="M354" s="12" t="s">
        <v>33</v>
      </c>
      <c r="N354" s="12" t="s">
        <v>34</v>
      </c>
      <c r="P354" s="10" t="n">
        <v>113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150</v>
      </c>
      <c r="W354" s="13" t="n">
        <v>0</v>
      </c>
      <c r="X354" s="12" t="s">
        <v>476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46199</v>
      </c>
      <c r="C355" s="11" t="n">
        <v>46220</v>
      </c>
      <c r="D355" s="10" t="n">
        <v>1699</v>
      </c>
      <c r="E355" s="12" t="s">
        <v>74</v>
      </c>
      <c r="F355" s="10" t="n">
        <v>24</v>
      </c>
      <c r="G355" s="12" t="s">
        <v>40</v>
      </c>
      <c r="H355" s="10" t="n">
        <v>2110101</v>
      </c>
      <c r="I355" s="12" t="s">
        <v>32</v>
      </c>
      <c r="J355" s="10" t="n">
        <v>1310401</v>
      </c>
      <c r="L355" s="10" t="n">
        <v>305929</v>
      </c>
      <c r="M355" s="12" t="s">
        <v>41</v>
      </c>
      <c r="N355" s="12" t="s">
        <v>34</v>
      </c>
      <c r="P355" s="10" t="n">
        <v>113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1184.06</v>
      </c>
      <c r="W355" s="13" t="n">
        <v>0</v>
      </c>
      <c r="X355" s="12" t="s">
        <v>281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46220</v>
      </c>
      <c r="C356" s="11" t="n">
        <v>46220</v>
      </c>
      <c r="D356" s="10" t="n">
        <v>48</v>
      </c>
      <c r="E356" s="12" t="s">
        <v>78</v>
      </c>
      <c r="F356" s="10" t="n">
        <v>13</v>
      </c>
      <c r="G356" s="12" t="s">
        <v>49</v>
      </c>
      <c r="H356" s="10" t="n">
        <v>2110101</v>
      </c>
      <c r="I356" s="12" t="s">
        <v>32</v>
      </c>
      <c r="J356" s="10" t="n">
        <v>1411314</v>
      </c>
      <c r="L356" s="10" t="n">
        <v>2546</v>
      </c>
      <c r="M356" s="12" t="s">
        <v>33</v>
      </c>
      <c r="N356" s="12" t="s">
        <v>34</v>
      </c>
      <c r="P356" s="10" t="n">
        <v>113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46220</v>
      </c>
      <c r="C357" s="11" t="n">
        <v>46220</v>
      </c>
      <c r="D357" s="10" t="n">
        <v>48</v>
      </c>
      <c r="E357" s="12" t="s">
        <v>78</v>
      </c>
      <c r="F357" s="10" t="n">
        <v>34</v>
      </c>
      <c r="G357" s="12" t="s">
        <v>31</v>
      </c>
      <c r="H357" s="10" t="n">
        <v>2110101</v>
      </c>
      <c r="I357" s="12" t="s">
        <v>32</v>
      </c>
      <c r="J357" s="10" t="n">
        <v>1411709</v>
      </c>
      <c r="L357" s="10" t="n">
        <v>2547</v>
      </c>
      <c r="M357" s="12" t="s">
        <v>33</v>
      </c>
      <c r="N357" s="12" t="s">
        <v>34</v>
      </c>
      <c r="P357" s="10" t="n">
        <v>113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1392.72</v>
      </c>
      <c r="W357" s="13" t="n">
        <v>0</v>
      </c>
      <c r="X357" s="12" t="s">
        <v>343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46220</v>
      </c>
      <c r="D358" s="10" t="n">
        <v>1107</v>
      </c>
      <c r="E358" s="12" t="s">
        <v>194</v>
      </c>
      <c r="F358" s="10" t="n">
        <v>24</v>
      </c>
      <c r="G358" s="12" t="s">
        <v>40</v>
      </c>
      <c r="H358" s="10" t="n">
        <v>2110101</v>
      </c>
      <c r="I358" s="12" t="s">
        <v>32</v>
      </c>
      <c r="J358" s="10" t="n">
        <v>1289284</v>
      </c>
      <c r="L358" s="10" t="n">
        <v>419092</v>
      </c>
      <c r="M358" s="12" t="s">
        <v>41</v>
      </c>
      <c r="N358" s="12" t="s">
        <v>34</v>
      </c>
      <c r="P358" s="10" t="n">
        <v>113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620</v>
      </c>
      <c r="W358" s="13" t="n">
        <v>0</v>
      </c>
      <c r="X358" s="12" t="s">
        <v>288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46216</v>
      </c>
      <c r="C359" s="11" t="n">
        <v>46220</v>
      </c>
      <c r="D359" s="10" t="n">
        <v>1899</v>
      </c>
      <c r="E359" s="12" t="s">
        <v>84</v>
      </c>
      <c r="F359" s="10" t="n">
        <v>24</v>
      </c>
      <c r="G359" s="12" t="s">
        <v>40</v>
      </c>
      <c r="H359" s="10" t="n">
        <v>2110101</v>
      </c>
      <c r="I359" s="12" t="s">
        <v>32</v>
      </c>
      <c r="J359" s="10" t="n">
        <v>1393812</v>
      </c>
      <c r="L359" s="10" t="n">
        <v>711</v>
      </c>
      <c r="M359" s="12" t="s">
        <v>33</v>
      </c>
      <c r="N359" s="12" t="s">
        <v>34</v>
      </c>
      <c r="P359" s="10" t="n">
        <v>113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135</v>
      </c>
      <c r="W359" s="13" t="n">
        <v>0</v>
      </c>
      <c r="X359" s="12" t="s">
        <v>478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46200</v>
      </c>
      <c r="C360" s="11" t="n">
        <v>46220</v>
      </c>
      <c r="D360" s="10" t="n">
        <v>1666</v>
      </c>
      <c r="E360" s="12" t="s">
        <v>93</v>
      </c>
      <c r="F360" s="10" t="n">
        <v>24</v>
      </c>
      <c r="G360" s="12" t="s">
        <v>40</v>
      </c>
      <c r="H360" s="10" t="n">
        <v>2110101</v>
      </c>
      <c r="I360" s="12" t="s">
        <v>32</v>
      </c>
      <c r="J360" s="10" t="n">
        <v>1312652</v>
      </c>
      <c r="L360" s="10" t="n">
        <v>175253</v>
      </c>
      <c r="M360" s="12" t="s">
        <v>33</v>
      </c>
      <c r="N360" s="12" t="s">
        <v>51</v>
      </c>
      <c r="P360" s="10" t="n">
        <v>113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5791.7</v>
      </c>
      <c r="W360" s="13" t="n">
        <v>0</v>
      </c>
      <c r="X360" s="12" t="s">
        <v>295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46214</v>
      </c>
      <c r="C361" s="11" t="n">
        <v>46220</v>
      </c>
      <c r="D361" s="10" t="n">
        <v>1666</v>
      </c>
      <c r="E361" s="12" t="s">
        <v>93</v>
      </c>
      <c r="F361" s="10" t="n">
        <v>24</v>
      </c>
      <c r="G361" s="12" t="s">
        <v>40</v>
      </c>
      <c r="H361" s="10" t="n">
        <v>2110101</v>
      </c>
      <c r="I361" s="12" t="s">
        <v>32</v>
      </c>
      <c r="J361" s="10" t="n">
        <v>1381638</v>
      </c>
      <c r="L361" s="10" t="n">
        <v>566541</v>
      </c>
      <c r="M361" s="12" t="s">
        <v>33</v>
      </c>
      <c r="N361" s="12" t="s">
        <v>34</v>
      </c>
      <c r="P361" s="10" t="n">
        <v>113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4572.86</v>
      </c>
      <c r="W361" s="13" t="n">
        <v>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46221</v>
      </c>
      <c r="D362" s="10" t="n">
        <v>10037</v>
      </c>
      <c r="E362" s="12" t="s">
        <v>480</v>
      </c>
      <c r="F362" s="10" t="n">
        <v>24</v>
      </c>
      <c r="G362" s="12" t="s">
        <v>40</v>
      </c>
      <c r="H362" s="10" t="n">
        <v>2110101</v>
      </c>
      <c r="I362" s="12" t="s">
        <v>32</v>
      </c>
      <c r="J362" s="10" t="n">
        <v>1269763</v>
      </c>
      <c r="L362" s="10" t="n">
        <v>2495</v>
      </c>
      <c r="M362" s="12" t="s">
        <v>33</v>
      </c>
      <c r="N362" s="12" t="s">
        <v>34</v>
      </c>
      <c r="P362" s="10" t="n">
        <v>113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660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46189</v>
      </c>
      <c r="C363" s="11" t="n">
        <v>46221</v>
      </c>
      <c r="D363" s="10" t="n">
        <v>957</v>
      </c>
      <c r="E363" s="12" t="s">
        <v>58</v>
      </c>
      <c r="F363" s="10" t="n">
        <v>24</v>
      </c>
      <c r="G363" s="12" t="s">
        <v>40</v>
      </c>
      <c r="H363" s="10" t="n">
        <v>2110101</v>
      </c>
      <c r="I363" s="12" t="s">
        <v>32</v>
      </c>
      <c r="J363" s="10" t="n">
        <v>1261052</v>
      </c>
      <c r="L363" s="10" t="n">
        <v>20499</v>
      </c>
      <c r="M363" s="12" t="s">
        <v>41</v>
      </c>
      <c r="N363" s="12" t="s">
        <v>34</v>
      </c>
      <c r="P363" s="10" t="n">
        <v>113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1589.28</v>
      </c>
      <c r="W363" s="13" t="n">
        <v>0</v>
      </c>
      <c r="X363" s="12" t="s">
        <v>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46221</v>
      </c>
      <c r="C364" s="11" t="n">
        <v>46221</v>
      </c>
      <c r="D364" s="10" t="n">
        <v>10096</v>
      </c>
      <c r="E364" s="12" t="s">
        <v>48</v>
      </c>
      <c r="F364" s="10" t="n">
        <v>13</v>
      </c>
      <c r="G364" s="12" t="s">
        <v>49</v>
      </c>
      <c r="H364" s="10" t="n">
        <v>1110203</v>
      </c>
      <c r="I364" s="12" t="s">
        <v>50</v>
      </c>
      <c r="J364" s="10" t="n">
        <v>1428755</v>
      </c>
      <c r="L364" s="10" t="n">
        <v>191353</v>
      </c>
      <c r="M364" s="12" t="s">
        <v>33</v>
      </c>
      <c r="N364" s="12" t="s">
        <v>51</v>
      </c>
      <c r="P364" s="10" t="n">
        <v>113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120</v>
      </c>
      <c r="W364" s="13" t="n">
        <v>120</v>
      </c>
      <c r="X364" s="12" t="s">
        <v>482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46217</v>
      </c>
      <c r="C365" s="11" t="n">
        <v>46221</v>
      </c>
      <c r="D365" s="10" t="n">
        <v>1625</v>
      </c>
      <c r="E365" s="12" t="s">
        <v>283</v>
      </c>
      <c r="F365" s="10" t="n">
        <v>24</v>
      </c>
      <c r="G365" s="12" t="s">
        <v>40</v>
      </c>
      <c r="H365" s="10" t="n">
        <v>2110101</v>
      </c>
      <c r="I365" s="12" t="s">
        <v>32</v>
      </c>
      <c r="J365" s="10" t="n">
        <v>1397011</v>
      </c>
      <c r="L365" s="10" t="n">
        <v>14685</v>
      </c>
      <c r="M365" s="12" t="s">
        <v>33</v>
      </c>
      <c r="N365" s="12" t="s">
        <v>34</v>
      </c>
      <c r="P365" s="10" t="n">
        <v>113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4043.8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46206</v>
      </c>
      <c r="C366" s="11" t="n">
        <v>46221</v>
      </c>
      <c r="D366" s="10" t="n">
        <v>33</v>
      </c>
      <c r="E366" s="12" t="s">
        <v>289</v>
      </c>
      <c r="F366" s="10" t="n">
        <v>34</v>
      </c>
      <c r="G366" s="12" t="s">
        <v>31</v>
      </c>
      <c r="H366" s="10" t="n">
        <v>1110203</v>
      </c>
      <c r="I366" s="12" t="s">
        <v>50</v>
      </c>
      <c r="J366" s="10" t="n">
        <v>1345312</v>
      </c>
      <c r="L366" s="10" t="n">
        <v>180690</v>
      </c>
      <c r="M366" s="12" t="s">
        <v>33</v>
      </c>
      <c r="N366" s="12" t="s">
        <v>51</v>
      </c>
      <c r="P366" s="10" t="n">
        <v>101</v>
      </c>
      <c r="Q366" s="12" t="s">
        <v>69</v>
      </c>
      <c r="R366" s="12" t="s">
        <v>88</v>
      </c>
      <c r="S366" s="10" t="n">
        <v>4210203</v>
      </c>
      <c r="T366" s="12" t="s">
        <v>290</v>
      </c>
      <c r="U366" s="13" t="n">
        <v>247.27</v>
      </c>
      <c r="W366" s="13" t="n">
        <v>0</v>
      </c>
      <c r="X366" s="12" t="s">
        <v>484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46217</v>
      </c>
      <c r="C367" s="11" t="n">
        <v>46222</v>
      </c>
      <c r="D367" s="10" t="n">
        <v>821</v>
      </c>
      <c r="E367" s="12" t="s">
        <v>485</v>
      </c>
      <c r="F367" s="10" t="n">
        <v>24</v>
      </c>
      <c r="G367" s="12" t="s">
        <v>40</v>
      </c>
      <c r="H367" s="10" t="n">
        <v>1110203</v>
      </c>
      <c r="I367" s="12" t="s">
        <v>50</v>
      </c>
      <c r="J367" s="10" t="n">
        <v>1398172</v>
      </c>
      <c r="L367" s="10" t="n">
        <v>188083</v>
      </c>
      <c r="M367" s="12" t="s">
        <v>33</v>
      </c>
      <c r="N367" s="12" t="s">
        <v>51</v>
      </c>
      <c r="P367" s="10" t="n">
        <v>113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277.6</v>
      </c>
      <c r="W367" s="13" t="n">
        <v>0</v>
      </c>
      <c r="X367" s="12" t="s">
        <v>486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46197</v>
      </c>
      <c r="C368" s="11" t="n">
        <v>46222</v>
      </c>
      <c r="D368" s="10" t="n">
        <v>616</v>
      </c>
      <c r="E368" s="12" t="s">
        <v>487</v>
      </c>
      <c r="F368" s="10" t="n">
        <v>24</v>
      </c>
      <c r="G368" s="12" t="s">
        <v>40</v>
      </c>
      <c r="H368" s="10" t="n">
        <v>2110101</v>
      </c>
      <c r="I368" s="12" t="s">
        <v>32</v>
      </c>
      <c r="J368" s="10" t="n">
        <v>1299105</v>
      </c>
      <c r="L368" s="10" t="n">
        <v>316130</v>
      </c>
      <c r="M368" s="12" t="s">
        <v>33</v>
      </c>
      <c r="N368" s="12" t="s">
        <v>34</v>
      </c>
      <c r="P368" s="10" t="n">
        <v>113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1996.2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46213</v>
      </c>
      <c r="C369" s="11" t="n">
        <v>46223</v>
      </c>
      <c r="D369" s="10" t="n">
        <v>1621</v>
      </c>
      <c r="E369" s="12" t="s">
        <v>62</v>
      </c>
      <c r="F369" s="10" t="n">
        <v>24</v>
      </c>
      <c r="G369" s="12" t="s">
        <v>40</v>
      </c>
      <c r="H369" s="10" t="n">
        <v>2110101</v>
      </c>
      <c r="I369" s="12" t="s">
        <v>32</v>
      </c>
      <c r="J369" s="10" t="n">
        <v>1377254</v>
      </c>
      <c r="L369" s="10" t="n">
        <v>899238</v>
      </c>
      <c r="M369" s="12" t="s">
        <v>33</v>
      </c>
      <c r="N369" s="12" t="s">
        <v>34</v>
      </c>
      <c r="P369" s="10" t="n">
        <v>113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661.73</v>
      </c>
      <c r="W369" s="13" t="n">
        <v>0</v>
      </c>
      <c r="X369" s="12" t="s">
        <v>489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46217</v>
      </c>
      <c r="C370" s="11" t="n">
        <v>46223</v>
      </c>
      <c r="D370" s="10" t="n">
        <v>1947</v>
      </c>
      <c r="E370" s="12" t="s">
        <v>490</v>
      </c>
      <c r="F370" s="10" t="n">
        <v>34</v>
      </c>
      <c r="G370" s="12" t="s">
        <v>31</v>
      </c>
      <c r="H370" s="10" t="n">
        <v>1110203</v>
      </c>
      <c r="I370" s="12" t="s">
        <v>50</v>
      </c>
      <c r="J370" s="10" t="n">
        <v>1397918</v>
      </c>
      <c r="L370" s="10" t="n">
        <v>188036</v>
      </c>
      <c r="M370" s="12" t="s">
        <v>33</v>
      </c>
      <c r="N370" s="12" t="s">
        <v>51</v>
      </c>
      <c r="P370" s="10" t="n">
        <v>101</v>
      </c>
      <c r="Q370" s="12" t="s">
        <v>69</v>
      </c>
      <c r="R370" s="12" t="s">
        <v>307</v>
      </c>
      <c r="S370" s="10" t="n">
        <v>2110707</v>
      </c>
      <c r="T370" s="12" t="s">
        <v>491</v>
      </c>
      <c r="U370" s="13" t="n">
        <v>1596.41</v>
      </c>
      <c r="W370" s="13" t="n">
        <v>0</v>
      </c>
      <c r="X370" s="12" t="s">
        <v>492</v>
      </c>
      <c r="Z370" s="1" t="str">
        <f aca="false">IF($T370="","",IFERROR(INDEX('Resumo Grupos'!$AC$3:$AC$200,MATCH($T370,'Resumo Grupos'!$AB$3:$AB$200,0)),"n/d"))</f>
        <v>Impostos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46217</v>
      </c>
      <c r="C371" s="11" t="n">
        <v>46223</v>
      </c>
      <c r="D371" s="10" t="n">
        <v>1947</v>
      </c>
      <c r="E371" s="12" t="s">
        <v>490</v>
      </c>
      <c r="F371" s="10" t="n">
        <v>34</v>
      </c>
      <c r="G371" s="12" t="s">
        <v>31</v>
      </c>
      <c r="H371" s="10" t="n">
        <v>1110203</v>
      </c>
      <c r="I371" s="12" t="s">
        <v>50</v>
      </c>
      <c r="J371" s="10" t="n">
        <v>1397919</v>
      </c>
      <c r="L371" s="10" t="n">
        <v>188037</v>
      </c>
      <c r="M371" s="12" t="s">
        <v>33</v>
      </c>
      <c r="N371" s="12" t="s">
        <v>51</v>
      </c>
      <c r="P371" s="10" t="n">
        <v>101</v>
      </c>
      <c r="Q371" s="12" t="s">
        <v>69</v>
      </c>
      <c r="R371" s="12" t="s">
        <v>102</v>
      </c>
      <c r="S371" s="10" t="n">
        <v>4210303</v>
      </c>
      <c r="T371" s="12" t="s">
        <v>493</v>
      </c>
      <c r="U371" s="13" t="n">
        <v>1128.04</v>
      </c>
      <c r="W371" s="13" t="n">
        <v>0</v>
      </c>
      <c r="X371" s="12" t="s">
        <v>494</v>
      </c>
      <c r="Z371" s="1" t="str">
        <f aca="false">IF($T371="","",IFERROR(INDEX('Resumo Grupos'!$AC$3:$AC$200,MATCH($T371,'Resumo Grupos'!$AB$3:$AB$200,0)),"n/d"))</f>
        <v>Impostos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46217</v>
      </c>
      <c r="C372" s="11" t="n">
        <v>46223</v>
      </c>
      <c r="D372" s="10" t="n">
        <v>1947</v>
      </c>
      <c r="E372" s="12" t="s">
        <v>490</v>
      </c>
      <c r="F372" s="10" t="n">
        <v>34</v>
      </c>
      <c r="G372" s="12" t="s">
        <v>31</v>
      </c>
      <c r="H372" s="10" t="n">
        <v>1110203</v>
      </c>
      <c r="I372" s="12" t="s">
        <v>50</v>
      </c>
      <c r="J372" s="10" t="n">
        <v>1397922</v>
      </c>
      <c r="L372" s="10" t="n">
        <v>188038</v>
      </c>
      <c r="M372" s="12" t="s">
        <v>33</v>
      </c>
      <c r="N372" s="12" t="s">
        <v>51</v>
      </c>
      <c r="P372" s="10" t="n">
        <v>101</v>
      </c>
      <c r="Q372" s="12" t="s">
        <v>69</v>
      </c>
      <c r="R372" s="12" t="s">
        <v>102</v>
      </c>
      <c r="S372" s="10" t="n">
        <v>4210302</v>
      </c>
      <c r="T372" s="12" t="s">
        <v>495</v>
      </c>
      <c r="U372" s="13" t="n">
        <v>2788.06</v>
      </c>
      <c r="W372" s="13" t="n">
        <v>0</v>
      </c>
      <c r="X372" s="12" t="s">
        <v>496</v>
      </c>
      <c r="Z372" s="1" t="str">
        <f aca="false">IF($T372="","",IFERROR(INDEX('Resumo Grupos'!$AC$3:$AC$200,MATCH($T372,'Resumo Grupos'!$AB$3:$AB$200,0)),"n/d"))</f>
        <v>Impostos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46198</v>
      </c>
      <c r="C373" s="11" t="n">
        <v>46223</v>
      </c>
      <c r="D373" s="10" t="n">
        <v>1218</v>
      </c>
      <c r="E373" s="12" t="s">
        <v>121</v>
      </c>
      <c r="F373" s="10" t="n">
        <v>24</v>
      </c>
      <c r="G373" s="12" t="s">
        <v>40</v>
      </c>
      <c r="H373" s="10" t="n">
        <v>2110101</v>
      </c>
      <c r="I373" s="12" t="s">
        <v>32</v>
      </c>
      <c r="J373" s="10" t="n">
        <v>1305945</v>
      </c>
      <c r="L373" s="10" t="n">
        <v>9495</v>
      </c>
      <c r="M373" s="12" t="s">
        <v>41</v>
      </c>
      <c r="N373" s="12" t="s">
        <v>34</v>
      </c>
      <c r="P373" s="10" t="n">
        <v>113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531.18</v>
      </c>
      <c r="W373" s="13" t="n">
        <v>0</v>
      </c>
      <c r="X373" s="12" t="s">
        <v>122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46196</v>
      </c>
      <c r="C374" s="11" t="n">
        <v>46223</v>
      </c>
      <c r="D374" s="10" t="n">
        <v>794</v>
      </c>
      <c r="E374" s="12" t="s">
        <v>311</v>
      </c>
      <c r="F374" s="10" t="n">
        <v>24</v>
      </c>
      <c r="G374" s="12" t="s">
        <v>40</v>
      </c>
      <c r="H374" s="10" t="n">
        <v>2110405</v>
      </c>
      <c r="I374" s="12" t="s">
        <v>87</v>
      </c>
      <c r="J374" s="10" t="n">
        <v>1294343</v>
      </c>
      <c r="L374" s="10" t="n">
        <v>173133</v>
      </c>
      <c r="M374" s="12" t="s">
        <v>33</v>
      </c>
      <c r="N374" s="12" t="s">
        <v>51</v>
      </c>
      <c r="P374" s="10" t="n">
        <v>113</v>
      </c>
      <c r="Q374" s="12" t="s">
        <v>35</v>
      </c>
      <c r="R374" s="12" t="s">
        <v>88</v>
      </c>
      <c r="S374" s="10" t="n">
        <v>4210299</v>
      </c>
      <c r="T374" s="12" t="s">
        <v>312</v>
      </c>
      <c r="U374" s="13" t="n">
        <v>737.44</v>
      </c>
      <c r="W374" s="13" t="n">
        <v>0</v>
      </c>
      <c r="X374" s="12" t="s">
        <v>497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46211</v>
      </c>
      <c r="C375" s="11" t="n">
        <v>46223</v>
      </c>
      <c r="D375" s="10" t="n">
        <v>10028</v>
      </c>
      <c r="E375" s="12" t="s">
        <v>498</v>
      </c>
      <c r="F375" s="10" t="n">
        <v>24</v>
      </c>
      <c r="G375" s="12" t="s">
        <v>40</v>
      </c>
      <c r="H375" s="10" t="n">
        <v>1110203</v>
      </c>
      <c r="I375" s="12" t="s">
        <v>50</v>
      </c>
      <c r="J375" s="10" t="n">
        <v>1370757</v>
      </c>
      <c r="L375" s="10" t="n">
        <v>184341</v>
      </c>
      <c r="M375" s="12" t="s">
        <v>33</v>
      </c>
      <c r="N375" s="12" t="s">
        <v>51</v>
      </c>
      <c r="P375" s="10" t="n">
        <v>101</v>
      </c>
      <c r="Q375" s="12" t="s">
        <v>69</v>
      </c>
      <c r="R375" s="12" t="s">
        <v>102</v>
      </c>
      <c r="S375" s="10" t="n">
        <v>4210315</v>
      </c>
      <c r="T375" s="12" t="s">
        <v>346</v>
      </c>
      <c r="U375" s="13" t="n">
        <v>595.9</v>
      </c>
      <c r="W375" s="13" t="n">
        <v>0</v>
      </c>
      <c r="X375" s="12" t="s">
        <v>499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46216</v>
      </c>
      <c r="C376" s="11" t="n">
        <v>46223</v>
      </c>
      <c r="D376" s="10" t="n">
        <v>1626</v>
      </c>
      <c r="E376" s="12" t="s">
        <v>67</v>
      </c>
      <c r="F376" s="10" t="n">
        <v>24</v>
      </c>
      <c r="G376" s="12" t="s">
        <v>40</v>
      </c>
      <c r="H376" s="10" t="n">
        <v>2110101</v>
      </c>
      <c r="I376" s="12" t="s">
        <v>32</v>
      </c>
      <c r="J376" s="10" t="n">
        <v>1393879</v>
      </c>
      <c r="L376" s="10" t="n">
        <v>312916</v>
      </c>
      <c r="M376" s="12" t="s">
        <v>33</v>
      </c>
      <c r="N376" s="12" t="s">
        <v>34</v>
      </c>
      <c r="P376" s="10" t="n">
        <v>113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368.05</v>
      </c>
      <c r="W376" s="13" t="n">
        <v>0</v>
      </c>
      <c r="X376" s="12" t="s">
        <v>500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46220</v>
      </c>
      <c r="C377" s="11" t="n">
        <v>46223</v>
      </c>
      <c r="D377" s="10" t="n">
        <v>10035</v>
      </c>
      <c r="E377" s="12" t="s">
        <v>72</v>
      </c>
      <c r="F377" s="10" t="n">
        <v>34</v>
      </c>
      <c r="G377" s="12" t="s">
        <v>31</v>
      </c>
      <c r="H377" s="10" t="n">
        <v>1110203</v>
      </c>
      <c r="I377" s="12" t="s">
        <v>50</v>
      </c>
      <c r="J377" s="10" t="n">
        <v>1412007</v>
      </c>
      <c r="L377" s="10" t="n">
        <v>190402</v>
      </c>
      <c r="M377" s="12" t="s">
        <v>33</v>
      </c>
      <c r="N377" s="12" t="s">
        <v>51</v>
      </c>
      <c r="P377" s="10" t="n">
        <v>113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228</v>
      </c>
      <c r="W377" s="13" t="n">
        <v>0</v>
      </c>
      <c r="X377" s="12" t="s">
        <v>501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46216</v>
      </c>
      <c r="C378" s="11" t="n">
        <v>46223</v>
      </c>
      <c r="D378" s="10" t="n">
        <v>560</v>
      </c>
      <c r="E378" s="12" t="s">
        <v>502</v>
      </c>
      <c r="F378" s="10" t="n">
        <v>24</v>
      </c>
      <c r="G378" s="12" t="s">
        <v>40</v>
      </c>
      <c r="H378" s="10" t="n">
        <v>2110101</v>
      </c>
      <c r="I378" s="12" t="s">
        <v>32</v>
      </c>
      <c r="J378" s="10" t="n">
        <v>1393806</v>
      </c>
      <c r="L378" s="10" t="n">
        <v>1791</v>
      </c>
      <c r="M378" s="12" t="s">
        <v>33</v>
      </c>
      <c r="N378" s="12" t="s">
        <v>34</v>
      </c>
      <c r="P378" s="10" t="n">
        <v>113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250</v>
      </c>
      <c r="W378" s="13" t="n">
        <v>0</v>
      </c>
      <c r="X378" s="12" t="s">
        <v>503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46210</v>
      </c>
      <c r="C379" s="11" t="n">
        <v>46223</v>
      </c>
      <c r="D379" s="10" t="n">
        <v>703</v>
      </c>
      <c r="E379" s="12" t="s">
        <v>504</v>
      </c>
      <c r="F379" s="10" t="n">
        <v>24</v>
      </c>
      <c r="G379" s="12" t="s">
        <v>40</v>
      </c>
      <c r="H379" s="10" t="n">
        <v>2110101</v>
      </c>
      <c r="I379" s="12" t="s">
        <v>32</v>
      </c>
      <c r="J379" s="10" t="n">
        <v>1365044</v>
      </c>
      <c r="L379" s="10" t="n">
        <v>102073</v>
      </c>
      <c r="M379" s="12" t="s">
        <v>33</v>
      </c>
      <c r="N379" s="12" t="s">
        <v>34</v>
      </c>
      <c r="P379" s="10" t="n">
        <v>113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374.1</v>
      </c>
      <c r="W379" s="13" t="n">
        <v>0</v>
      </c>
      <c r="X379" s="12" t="s">
        <v>505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46223</v>
      </c>
      <c r="C380" s="11" t="n">
        <v>46223</v>
      </c>
      <c r="D380" s="10" t="n">
        <v>48</v>
      </c>
      <c r="E380" s="12" t="s">
        <v>78</v>
      </c>
      <c r="F380" s="10" t="n">
        <v>13</v>
      </c>
      <c r="G380" s="12" t="s">
        <v>49</v>
      </c>
      <c r="H380" s="10" t="n">
        <v>2110101</v>
      </c>
      <c r="I380" s="12" t="s">
        <v>32</v>
      </c>
      <c r="J380" s="10" t="n">
        <v>1425087</v>
      </c>
      <c r="L380" s="10" t="n">
        <v>2553</v>
      </c>
      <c r="M380" s="12" t="s">
        <v>33</v>
      </c>
      <c r="N380" s="12" t="s">
        <v>34</v>
      </c>
      <c r="P380" s="10" t="n">
        <v>113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210</v>
      </c>
      <c r="W380" s="13" t="n">
        <v>210</v>
      </c>
      <c r="X380" s="12" t="s">
        <v>506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46223</v>
      </c>
      <c r="C381" s="11" t="n">
        <v>46223</v>
      </c>
      <c r="D381" s="10" t="n">
        <v>17</v>
      </c>
      <c r="E381" s="12" t="s">
        <v>287</v>
      </c>
      <c r="F381" s="10" t="n">
        <v>24</v>
      </c>
      <c r="G381" s="12" t="s">
        <v>40</v>
      </c>
      <c r="H381" s="10" t="n">
        <v>1110203</v>
      </c>
      <c r="I381" s="12" t="s">
        <v>50</v>
      </c>
      <c r="J381" s="10" t="n">
        <v>1423828</v>
      </c>
      <c r="L381" s="10" t="n">
        <v>190895</v>
      </c>
      <c r="M381" s="12" t="s">
        <v>33</v>
      </c>
      <c r="N381" s="12" t="s">
        <v>51</v>
      </c>
      <c r="P381" s="10" t="n">
        <v>102</v>
      </c>
      <c r="Q381" s="12" t="s">
        <v>101</v>
      </c>
      <c r="R381" s="12" t="s">
        <v>271</v>
      </c>
      <c r="S381" s="10" t="n">
        <v>4220199</v>
      </c>
      <c r="T381" s="12" t="s">
        <v>272</v>
      </c>
      <c r="U381" s="13" t="n">
        <v>620</v>
      </c>
      <c r="W381" s="13" t="n">
        <v>0</v>
      </c>
      <c r="X381" s="12" t="s">
        <v>507</v>
      </c>
      <c r="Z381" s="1" t="str">
        <f aca="false">IF($T381="","",IFERROR(INDEX('Resumo Grupos'!$AC$3:$AC$200,MATCH($T381,'Resumo Grupos'!$AB$3:$AB$200,0)),"n/d"))</f>
        <v>Pagamentos outros não operacionais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46217</v>
      </c>
      <c r="C382" s="11" t="n">
        <v>46223</v>
      </c>
      <c r="D382" s="10" t="n">
        <v>1328</v>
      </c>
      <c r="E382" s="12" t="s">
        <v>80</v>
      </c>
      <c r="F382" s="10" t="n">
        <v>24</v>
      </c>
      <c r="G382" s="12" t="s">
        <v>40</v>
      </c>
      <c r="H382" s="10" t="n">
        <v>1110203</v>
      </c>
      <c r="I382" s="12" t="s">
        <v>50</v>
      </c>
      <c r="J382" s="10" t="n">
        <v>1397692</v>
      </c>
      <c r="L382" s="10" t="n">
        <v>188004</v>
      </c>
      <c r="M382" s="12" t="s">
        <v>33</v>
      </c>
      <c r="N382" s="12" t="s">
        <v>51</v>
      </c>
      <c r="P382" s="10" t="n">
        <v>113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216.75</v>
      </c>
      <c r="W382" s="13" t="n">
        <v>0</v>
      </c>
      <c r="X382" s="12" t="s">
        <v>508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46223</v>
      </c>
      <c r="C383" s="11" t="n">
        <v>46223</v>
      </c>
      <c r="D383" s="10" t="n">
        <v>33</v>
      </c>
      <c r="E383" s="12" t="s">
        <v>289</v>
      </c>
      <c r="F383" s="10" t="n">
        <v>34</v>
      </c>
      <c r="G383" s="12" t="s">
        <v>31</v>
      </c>
      <c r="H383" s="10" t="n">
        <v>1110203</v>
      </c>
      <c r="I383" s="12" t="s">
        <v>50</v>
      </c>
      <c r="J383" s="10" t="n">
        <v>1424244</v>
      </c>
      <c r="L383" s="10" t="n">
        <v>190900</v>
      </c>
      <c r="M383" s="12" t="s">
        <v>33</v>
      </c>
      <c r="N383" s="12" t="s">
        <v>51</v>
      </c>
      <c r="P383" s="10" t="n">
        <v>101</v>
      </c>
      <c r="Q383" s="12" t="s">
        <v>69</v>
      </c>
      <c r="R383" s="12" t="s">
        <v>454</v>
      </c>
      <c r="S383" s="10" t="n">
        <v>4210107</v>
      </c>
      <c r="T383" s="12" t="s">
        <v>509</v>
      </c>
      <c r="U383" s="13" t="n">
        <v>138.43</v>
      </c>
      <c r="W383" s="13" t="n">
        <v>0</v>
      </c>
      <c r="X383" s="12" t="s">
        <v>510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46195</v>
      </c>
      <c r="C384" s="11" t="n">
        <v>46223</v>
      </c>
      <c r="D384" s="10" t="n">
        <v>1697</v>
      </c>
      <c r="E384" s="12" t="s">
        <v>329</v>
      </c>
      <c r="F384" s="10" t="n">
        <v>24</v>
      </c>
      <c r="G384" s="12" t="s">
        <v>40</v>
      </c>
      <c r="H384" s="10" t="n">
        <v>2110101</v>
      </c>
      <c r="I384" s="12" t="s">
        <v>32</v>
      </c>
      <c r="J384" s="10" t="n">
        <v>1289570</v>
      </c>
      <c r="L384" s="10" t="n">
        <v>207912</v>
      </c>
      <c r="M384" s="12" t="s">
        <v>41</v>
      </c>
      <c r="N384" s="12" t="s">
        <v>34</v>
      </c>
      <c r="P384" s="10" t="n">
        <v>113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591.52</v>
      </c>
      <c r="W384" s="13" t="n">
        <v>0</v>
      </c>
      <c r="X384" s="12" t="s">
        <v>330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46223</v>
      </c>
      <c r="C385" s="11" t="n">
        <v>46223</v>
      </c>
      <c r="D385" s="10" t="n">
        <v>10006</v>
      </c>
      <c r="E385" s="12" t="s">
        <v>86</v>
      </c>
      <c r="F385" s="10" t="n">
        <v>34</v>
      </c>
      <c r="G385" s="12" t="s">
        <v>31</v>
      </c>
      <c r="H385" s="10" t="n">
        <v>1110203</v>
      </c>
      <c r="I385" s="12" t="s">
        <v>50</v>
      </c>
      <c r="J385" s="10" t="n">
        <v>1435948</v>
      </c>
      <c r="L385" s="10" t="n">
        <v>194013</v>
      </c>
      <c r="M385" s="12" t="s">
        <v>33</v>
      </c>
      <c r="N385" s="12" t="s">
        <v>51</v>
      </c>
      <c r="P385" s="10" t="n">
        <v>102</v>
      </c>
      <c r="Q385" s="12" t="s">
        <v>101</v>
      </c>
      <c r="R385" s="12" t="s">
        <v>88</v>
      </c>
      <c r="S385" s="10" t="n">
        <v>4210232</v>
      </c>
      <c r="T385" s="12" t="s">
        <v>89</v>
      </c>
      <c r="U385" s="13" t="n">
        <v>420</v>
      </c>
      <c r="W385" s="13" t="n">
        <v>0</v>
      </c>
      <c r="X385" s="12" t="s">
        <v>511</v>
      </c>
      <c r="Z385" s="1" t="str">
        <f aca="false">IF($T385="","",IFERROR(INDEX('Resumo Grupos'!$AC$3:$AC$200,MATCH($T385,'Resumo Grupos'!$AB$3:$AB$200,0)),"n/d"))</f>
        <v>Despesa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46217</v>
      </c>
      <c r="C386" s="11" t="n">
        <v>46223</v>
      </c>
      <c r="D386" s="10" t="n">
        <v>1631</v>
      </c>
      <c r="E386" s="12" t="s">
        <v>95</v>
      </c>
      <c r="F386" s="10" t="n">
        <v>24</v>
      </c>
      <c r="G386" s="12" t="s">
        <v>40</v>
      </c>
      <c r="H386" s="10" t="n">
        <v>1110203</v>
      </c>
      <c r="I386" s="12" t="s">
        <v>50</v>
      </c>
      <c r="J386" s="10" t="n">
        <v>1397440</v>
      </c>
      <c r="L386" s="10" t="n">
        <v>187938</v>
      </c>
      <c r="M386" s="12" t="s">
        <v>33</v>
      </c>
      <c r="N386" s="12" t="s">
        <v>51</v>
      </c>
      <c r="P386" s="10" t="n">
        <v>113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361.6</v>
      </c>
      <c r="W386" s="13" t="n">
        <v>0</v>
      </c>
      <c r="X386" s="12" t="s">
        <v>512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46221</v>
      </c>
      <c r="C387" s="11" t="n">
        <v>46224</v>
      </c>
      <c r="D387" s="10" t="n">
        <v>642</v>
      </c>
      <c r="E387" s="12" t="s">
        <v>97</v>
      </c>
      <c r="F387" s="10" t="n">
        <v>24</v>
      </c>
      <c r="G387" s="12" t="s">
        <v>40</v>
      </c>
      <c r="H387" s="10" t="n">
        <v>1110203</v>
      </c>
      <c r="I387" s="12" t="s">
        <v>50</v>
      </c>
      <c r="J387" s="10" t="n">
        <v>1414961</v>
      </c>
      <c r="L387" s="10" t="n">
        <v>190754</v>
      </c>
      <c r="M387" s="12" t="s">
        <v>33</v>
      </c>
      <c r="N387" s="12" t="s">
        <v>51</v>
      </c>
      <c r="P387" s="10" t="n">
        <v>113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180</v>
      </c>
      <c r="W387" s="13" t="n">
        <v>0</v>
      </c>
      <c r="X387" s="12" t="s">
        <v>513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46209</v>
      </c>
      <c r="C388" s="11" t="n">
        <v>46224</v>
      </c>
      <c r="D388" s="10" t="n">
        <v>1705</v>
      </c>
      <c r="E388" s="12" t="s">
        <v>43</v>
      </c>
      <c r="F388" s="10" t="n">
        <v>24</v>
      </c>
      <c r="G388" s="12" t="s">
        <v>40</v>
      </c>
      <c r="H388" s="10" t="n">
        <v>2110101</v>
      </c>
      <c r="I388" s="12" t="s">
        <v>32</v>
      </c>
      <c r="J388" s="10" t="n">
        <v>1360155</v>
      </c>
      <c r="L388" s="10" t="n">
        <v>1917880</v>
      </c>
      <c r="M388" s="12" t="s">
        <v>33</v>
      </c>
      <c r="N388" s="12" t="s">
        <v>34</v>
      </c>
      <c r="P388" s="10" t="n">
        <v>113</v>
      </c>
      <c r="Q388" s="12" t="s">
        <v>35</v>
      </c>
      <c r="R388" s="12" t="s">
        <v>36</v>
      </c>
      <c r="S388" s="10" t="n">
        <v>1130101</v>
      </c>
      <c r="T388" s="12" t="s">
        <v>37</v>
      </c>
      <c r="U388" s="13" t="n">
        <v>205.13</v>
      </c>
      <c r="W388" s="13" t="n">
        <v>0</v>
      </c>
      <c r="X388" s="12" t="s">
        <v>514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46209</v>
      </c>
      <c r="C389" s="11" t="n">
        <v>46224</v>
      </c>
      <c r="D389" s="10" t="n">
        <v>1705</v>
      </c>
      <c r="E389" s="12" t="s">
        <v>43</v>
      </c>
      <c r="F389" s="10" t="n">
        <v>24</v>
      </c>
      <c r="G389" s="12" t="s">
        <v>40</v>
      </c>
      <c r="H389" s="10" t="n">
        <v>2110101</v>
      </c>
      <c r="I389" s="12" t="s">
        <v>32</v>
      </c>
      <c r="J389" s="10" t="n">
        <v>1360170</v>
      </c>
      <c r="L389" s="10" t="n">
        <v>1187912</v>
      </c>
      <c r="M389" s="12" t="s">
        <v>33</v>
      </c>
      <c r="N389" s="12" t="s">
        <v>34</v>
      </c>
      <c r="P389" s="10" t="n">
        <v>113</v>
      </c>
      <c r="Q389" s="12" t="s">
        <v>35</v>
      </c>
      <c r="R389" s="12" t="s">
        <v>36</v>
      </c>
      <c r="S389" s="10" t="n">
        <v>1130101</v>
      </c>
      <c r="T389" s="12" t="s">
        <v>37</v>
      </c>
      <c r="U389" s="13" t="n">
        <v>63.37</v>
      </c>
      <c r="W389" s="13" t="n">
        <v>0</v>
      </c>
      <c r="X389" s="12" t="s">
        <v>515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46209</v>
      </c>
      <c r="C390" s="11" t="n">
        <v>46224</v>
      </c>
      <c r="D390" s="10" t="n">
        <v>1705</v>
      </c>
      <c r="E390" s="12" t="s">
        <v>43</v>
      </c>
      <c r="F390" s="10" t="n">
        <v>24</v>
      </c>
      <c r="G390" s="12" t="s">
        <v>40</v>
      </c>
      <c r="H390" s="10" t="n">
        <v>2110101</v>
      </c>
      <c r="I390" s="12" t="s">
        <v>32</v>
      </c>
      <c r="J390" s="10" t="n">
        <v>1360305</v>
      </c>
      <c r="L390" s="10" t="n">
        <v>1187910</v>
      </c>
      <c r="M390" s="12" t="s">
        <v>33</v>
      </c>
      <c r="N390" s="12" t="s">
        <v>34</v>
      </c>
      <c r="P390" s="10" t="n">
        <v>113</v>
      </c>
      <c r="Q390" s="12" t="s">
        <v>35</v>
      </c>
      <c r="R390" s="12" t="s">
        <v>36</v>
      </c>
      <c r="S390" s="10" t="n">
        <v>1130101</v>
      </c>
      <c r="T390" s="12" t="s">
        <v>37</v>
      </c>
      <c r="U390" s="13" t="n">
        <v>767.32</v>
      </c>
      <c r="W390" s="13" t="n">
        <v>0</v>
      </c>
      <c r="X390" s="12" t="s">
        <v>516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46209</v>
      </c>
      <c r="C391" s="11" t="n">
        <v>46224</v>
      </c>
      <c r="D391" s="10" t="n">
        <v>1705</v>
      </c>
      <c r="E391" s="12" t="s">
        <v>43</v>
      </c>
      <c r="F391" s="10" t="n">
        <v>24</v>
      </c>
      <c r="G391" s="12" t="s">
        <v>40</v>
      </c>
      <c r="H391" s="10" t="n">
        <v>2110101</v>
      </c>
      <c r="I391" s="12" t="s">
        <v>32</v>
      </c>
      <c r="J391" s="10" t="n">
        <v>1360368</v>
      </c>
      <c r="L391" s="10" t="n">
        <v>182678</v>
      </c>
      <c r="M391" s="12" t="s">
        <v>33</v>
      </c>
      <c r="N391" s="12" t="s">
        <v>51</v>
      </c>
      <c r="P391" s="10" t="n">
        <v>113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3649.01</v>
      </c>
      <c r="W391" s="13" t="n">
        <v>0</v>
      </c>
      <c r="X391" s="12" t="s">
        <v>517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46217</v>
      </c>
      <c r="C392" s="11" t="n">
        <v>46224</v>
      </c>
      <c r="D392" s="10" t="n">
        <v>1642</v>
      </c>
      <c r="E392" s="12" t="s">
        <v>254</v>
      </c>
      <c r="F392" s="10" t="n">
        <v>24</v>
      </c>
      <c r="G392" s="12" t="s">
        <v>40</v>
      </c>
      <c r="H392" s="10" t="n">
        <v>2110101</v>
      </c>
      <c r="I392" s="12" t="s">
        <v>32</v>
      </c>
      <c r="J392" s="10" t="n">
        <v>1396745</v>
      </c>
      <c r="L392" s="10" t="n">
        <v>1031749</v>
      </c>
      <c r="M392" s="12" t="s">
        <v>33</v>
      </c>
      <c r="N392" s="12" t="s">
        <v>34</v>
      </c>
      <c r="P392" s="10" t="n">
        <v>113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261.92</v>
      </c>
      <c r="W392" s="13" t="n">
        <v>0</v>
      </c>
      <c r="X392" s="12" t="s">
        <v>518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46224</v>
      </c>
      <c r="C393" s="11" t="n">
        <v>46224</v>
      </c>
      <c r="D393" s="10" t="n">
        <v>1758</v>
      </c>
      <c r="E393" s="12" t="s">
        <v>118</v>
      </c>
      <c r="F393" s="10" t="n">
        <v>34</v>
      </c>
      <c r="G393" s="12" t="s">
        <v>31</v>
      </c>
      <c r="H393" s="10" t="n">
        <v>1110203</v>
      </c>
      <c r="I393" s="12" t="s">
        <v>50</v>
      </c>
      <c r="J393" s="10" t="n">
        <v>1429802</v>
      </c>
      <c r="L393" s="10" t="n">
        <v>192120</v>
      </c>
      <c r="M393" s="12" t="s">
        <v>33</v>
      </c>
      <c r="N393" s="12" t="s">
        <v>51</v>
      </c>
      <c r="P393" s="10" t="n">
        <v>101</v>
      </c>
      <c r="Q393" s="12" t="s">
        <v>69</v>
      </c>
      <c r="R393" s="12" t="s">
        <v>88</v>
      </c>
      <c r="S393" s="10" t="n">
        <v>4210215</v>
      </c>
      <c r="T393" s="12" t="s">
        <v>519</v>
      </c>
      <c r="U393" s="13" t="n">
        <v>301.61</v>
      </c>
      <c r="W393" s="13" t="n">
        <v>0</v>
      </c>
      <c r="X393" s="12" t="s">
        <v>520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46195</v>
      </c>
      <c r="C394" s="11" t="n">
        <v>46224</v>
      </c>
      <c r="D394" s="10" t="n">
        <v>1608</v>
      </c>
      <c r="E394" s="12" t="s">
        <v>266</v>
      </c>
      <c r="F394" s="10" t="n">
        <v>24</v>
      </c>
      <c r="G394" s="12" t="s">
        <v>40</v>
      </c>
      <c r="H394" s="10" t="n">
        <v>2110101</v>
      </c>
      <c r="I394" s="12" t="s">
        <v>32</v>
      </c>
      <c r="J394" s="10" t="n">
        <v>1289428</v>
      </c>
      <c r="L394" s="10" t="n">
        <v>1678138</v>
      </c>
      <c r="M394" s="12" t="s">
        <v>33</v>
      </c>
      <c r="N394" s="12" t="s">
        <v>34</v>
      </c>
      <c r="P394" s="10" t="n">
        <v>113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724</v>
      </c>
      <c r="W394" s="13" t="n">
        <v>0</v>
      </c>
      <c r="X394" s="12" t="s">
        <v>521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46224</v>
      </c>
      <c r="C395" s="11" t="n">
        <v>46224</v>
      </c>
      <c r="D395" s="10" t="n">
        <v>1037</v>
      </c>
      <c r="E395" s="12" t="s">
        <v>125</v>
      </c>
      <c r="F395" s="10" t="n">
        <v>34</v>
      </c>
      <c r="G395" s="12" t="s">
        <v>31</v>
      </c>
      <c r="H395" s="10" t="n">
        <v>1110203</v>
      </c>
      <c r="I395" s="12" t="s">
        <v>50</v>
      </c>
      <c r="J395" s="10" t="n">
        <v>1429221</v>
      </c>
      <c r="L395" s="10" t="n">
        <v>191683</v>
      </c>
      <c r="M395" s="12" t="s">
        <v>33</v>
      </c>
      <c r="N395" s="12" t="s">
        <v>51</v>
      </c>
      <c r="P395" s="10" t="n">
        <v>113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190</v>
      </c>
      <c r="W395" s="13" t="n">
        <v>0</v>
      </c>
      <c r="X395" s="12" t="s">
        <v>522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46224</v>
      </c>
      <c r="C396" s="11" t="n">
        <v>46224</v>
      </c>
      <c r="D396" s="10" t="n">
        <v>1037</v>
      </c>
      <c r="E396" s="12" t="s">
        <v>125</v>
      </c>
      <c r="F396" s="10" t="n">
        <v>34</v>
      </c>
      <c r="G396" s="12" t="s">
        <v>31</v>
      </c>
      <c r="H396" s="10" t="n">
        <v>1110203</v>
      </c>
      <c r="I396" s="12" t="s">
        <v>50</v>
      </c>
      <c r="J396" s="10" t="n">
        <v>1434276</v>
      </c>
      <c r="L396" s="10" t="n">
        <v>193648</v>
      </c>
      <c r="M396" s="12" t="s">
        <v>33</v>
      </c>
      <c r="N396" s="12" t="s">
        <v>51</v>
      </c>
      <c r="P396" s="10" t="n">
        <v>102</v>
      </c>
      <c r="Q396" s="12" t="s">
        <v>101</v>
      </c>
      <c r="R396" s="12" t="s">
        <v>271</v>
      </c>
      <c r="S396" s="10" t="n">
        <v>4220199</v>
      </c>
      <c r="T396" s="12" t="s">
        <v>272</v>
      </c>
      <c r="U396" s="13" t="n">
        <v>4888</v>
      </c>
      <c r="W396" s="13" t="n">
        <v>0</v>
      </c>
      <c r="X396" s="12" t="s">
        <v>523</v>
      </c>
      <c r="Z396" s="1" t="str">
        <f aca="false">IF($T396="","",IFERROR(INDEX('Resumo Grupos'!$AC$3:$AC$200,MATCH($T396,'Resumo Grupos'!$AB$3:$AB$200,0)),"n/d"))</f>
        <v>Pagamentos outros não operacionais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46206</v>
      </c>
      <c r="C397" s="11" t="n">
        <v>46224</v>
      </c>
      <c r="D397" s="10" t="n">
        <v>1672</v>
      </c>
      <c r="E397" s="12" t="s">
        <v>53</v>
      </c>
      <c r="F397" s="10" t="n">
        <v>24</v>
      </c>
      <c r="G397" s="12" t="s">
        <v>40</v>
      </c>
      <c r="H397" s="10" t="n">
        <v>2110101</v>
      </c>
      <c r="I397" s="12" t="s">
        <v>32</v>
      </c>
      <c r="J397" s="10" t="n">
        <v>1344368</v>
      </c>
      <c r="L397" s="10" t="n">
        <v>1385251</v>
      </c>
      <c r="M397" s="12" t="s">
        <v>33</v>
      </c>
      <c r="N397" s="12" t="s">
        <v>34</v>
      </c>
      <c r="P397" s="10" t="n">
        <v>113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1209.4</v>
      </c>
      <c r="W397" s="13" t="n">
        <v>0</v>
      </c>
      <c r="X397" s="12" t="s">
        <v>524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46204</v>
      </c>
      <c r="C398" s="11" t="n">
        <v>46224</v>
      </c>
      <c r="D398" s="10" t="n">
        <v>1611</v>
      </c>
      <c r="E398" s="12" t="s">
        <v>235</v>
      </c>
      <c r="F398" s="10" t="n">
        <v>24</v>
      </c>
      <c r="G398" s="12" t="s">
        <v>40</v>
      </c>
      <c r="H398" s="10" t="n">
        <v>2110101</v>
      </c>
      <c r="I398" s="12" t="s">
        <v>32</v>
      </c>
      <c r="J398" s="10" t="n">
        <v>1333898</v>
      </c>
      <c r="L398" s="10" t="n">
        <v>1777487</v>
      </c>
      <c r="M398" s="12" t="s">
        <v>108</v>
      </c>
      <c r="N398" s="12" t="s">
        <v>34</v>
      </c>
      <c r="P398" s="10" t="n">
        <v>113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542.11</v>
      </c>
      <c r="W398" s="13" t="n">
        <v>0</v>
      </c>
      <c r="X398" s="12" t="s">
        <v>436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46219</v>
      </c>
      <c r="C399" s="11" t="n">
        <v>46224</v>
      </c>
      <c r="D399" s="10" t="n">
        <v>10009</v>
      </c>
      <c r="E399" s="12" t="s">
        <v>76</v>
      </c>
      <c r="F399" s="10" t="n">
        <v>24</v>
      </c>
      <c r="G399" s="12" t="s">
        <v>40</v>
      </c>
      <c r="H399" s="10" t="n">
        <v>1110203</v>
      </c>
      <c r="I399" s="12" t="s">
        <v>50</v>
      </c>
      <c r="J399" s="10" t="n">
        <v>1406007</v>
      </c>
      <c r="L399" s="10" t="n">
        <v>189277</v>
      </c>
      <c r="M399" s="12" t="s">
        <v>33</v>
      </c>
      <c r="N399" s="12" t="s">
        <v>51</v>
      </c>
      <c r="P399" s="10" t="n">
        <v>113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712.57</v>
      </c>
      <c r="W399" s="13" t="n">
        <v>0</v>
      </c>
      <c r="X399" s="12" t="s">
        <v>525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46224</v>
      </c>
      <c r="C400" s="11" t="n">
        <v>46224</v>
      </c>
      <c r="D400" s="10" t="n">
        <v>48</v>
      </c>
      <c r="E400" s="12" t="s">
        <v>78</v>
      </c>
      <c r="F400" s="10" t="n">
        <v>34</v>
      </c>
      <c r="G400" s="12" t="s">
        <v>31</v>
      </c>
      <c r="H400" s="10" t="n">
        <v>2110101</v>
      </c>
      <c r="I400" s="12" t="s">
        <v>32</v>
      </c>
      <c r="J400" s="10" t="n">
        <v>1429010</v>
      </c>
      <c r="L400" s="10" t="n">
        <v>2554</v>
      </c>
      <c r="M400" s="12" t="s">
        <v>33</v>
      </c>
      <c r="N400" s="12" t="s">
        <v>34</v>
      </c>
      <c r="P400" s="10" t="n">
        <v>113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1446.94</v>
      </c>
      <c r="W400" s="13" t="n">
        <v>0</v>
      </c>
      <c r="X400" s="12" t="s">
        <v>526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46224</v>
      </c>
      <c r="C401" s="11" t="n">
        <v>46224</v>
      </c>
      <c r="D401" s="10" t="n">
        <v>48</v>
      </c>
      <c r="E401" s="12" t="s">
        <v>78</v>
      </c>
      <c r="F401" s="10" t="n">
        <v>34</v>
      </c>
      <c r="G401" s="12" t="s">
        <v>31</v>
      </c>
      <c r="H401" s="10" t="n">
        <v>2110101</v>
      </c>
      <c r="I401" s="12" t="s">
        <v>32</v>
      </c>
      <c r="J401" s="10" t="n">
        <v>1429542</v>
      </c>
      <c r="L401" s="10" t="n">
        <v>2555</v>
      </c>
      <c r="M401" s="12" t="s">
        <v>33</v>
      </c>
      <c r="N401" s="12" t="s">
        <v>34</v>
      </c>
      <c r="P401" s="10" t="n">
        <v>113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55</v>
      </c>
      <c r="W401" s="13" t="n">
        <v>0</v>
      </c>
      <c r="X401" s="12" t="s">
        <v>527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46224</v>
      </c>
      <c r="C402" s="11" t="n">
        <v>46224</v>
      </c>
      <c r="D402" s="10" t="n">
        <v>48</v>
      </c>
      <c r="E402" s="12" t="s">
        <v>78</v>
      </c>
      <c r="F402" s="10" t="n">
        <v>13</v>
      </c>
      <c r="G402" s="12" t="s">
        <v>49</v>
      </c>
      <c r="H402" s="10" t="n">
        <v>2110101</v>
      </c>
      <c r="I402" s="12" t="s">
        <v>32</v>
      </c>
      <c r="J402" s="10" t="n">
        <v>1429592</v>
      </c>
      <c r="L402" s="10" t="n">
        <v>2556</v>
      </c>
      <c r="M402" s="12" t="s">
        <v>33</v>
      </c>
      <c r="N402" s="12" t="s">
        <v>34</v>
      </c>
      <c r="P402" s="10" t="n">
        <v>113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210</v>
      </c>
      <c r="W402" s="13" t="n">
        <v>210</v>
      </c>
      <c r="X402" s="12" t="s">
        <v>528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46214</v>
      </c>
      <c r="C403" s="11" t="n">
        <v>46224</v>
      </c>
      <c r="D403" s="10" t="n">
        <v>666</v>
      </c>
      <c r="E403" s="12" t="s">
        <v>82</v>
      </c>
      <c r="F403" s="10" t="n">
        <v>24</v>
      </c>
      <c r="G403" s="12" t="s">
        <v>40</v>
      </c>
      <c r="H403" s="10" t="n">
        <v>2110101</v>
      </c>
      <c r="I403" s="12" t="s">
        <v>32</v>
      </c>
      <c r="J403" s="10" t="n">
        <v>1381906</v>
      </c>
      <c r="L403" s="10" t="n">
        <v>7874</v>
      </c>
      <c r="M403" s="12" t="s">
        <v>108</v>
      </c>
      <c r="N403" s="12" t="s">
        <v>34</v>
      </c>
      <c r="P403" s="10" t="n">
        <v>113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378.88</v>
      </c>
      <c r="W403" s="13" t="n">
        <v>0</v>
      </c>
      <c r="X403" s="12" t="s">
        <v>440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46220</v>
      </c>
      <c r="C404" s="11" t="n">
        <v>46224</v>
      </c>
      <c r="D404" s="10" t="n">
        <v>1899</v>
      </c>
      <c r="E404" s="12" t="s">
        <v>84</v>
      </c>
      <c r="F404" s="10" t="n">
        <v>24</v>
      </c>
      <c r="G404" s="12" t="s">
        <v>40</v>
      </c>
      <c r="H404" s="10" t="n">
        <v>1110203</v>
      </c>
      <c r="I404" s="12" t="s">
        <v>50</v>
      </c>
      <c r="J404" s="10" t="n">
        <v>1410473</v>
      </c>
      <c r="L404" s="10" t="n">
        <v>190060</v>
      </c>
      <c r="M404" s="12" t="s">
        <v>33</v>
      </c>
      <c r="N404" s="12" t="s">
        <v>51</v>
      </c>
      <c r="P404" s="10" t="n">
        <v>113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184.9</v>
      </c>
      <c r="W404" s="13" t="n">
        <v>0</v>
      </c>
      <c r="X404" s="12" t="s">
        <v>529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46213</v>
      </c>
      <c r="C405" s="11" t="n">
        <v>46225</v>
      </c>
      <c r="D405" s="10" t="n">
        <v>1613</v>
      </c>
      <c r="E405" s="12" t="s">
        <v>159</v>
      </c>
      <c r="F405" s="10" t="n">
        <v>24</v>
      </c>
      <c r="G405" s="12" t="s">
        <v>40</v>
      </c>
      <c r="H405" s="10" t="n">
        <v>2110101</v>
      </c>
      <c r="I405" s="12" t="s">
        <v>32</v>
      </c>
      <c r="J405" s="10" t="n">
        <v>1376659</v>
      </c>
      <c r="L405" s="10" t="n">
        <v>1605936</v>
      </c>
      <c r="M405" s="12" t="s">
        <v>33</v>
      </c>
      <c r="N405" s="12" t="s">
        <v>34</v>
      </c>
      <c r="P405" s="10" t="n">
        <v>113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1025.07</v>
      </c>
      <c r="W405" s="13" t="n">
        <v>0</v>
      </c>
      <c r="X405" s="12" t="s">
        <v>530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46225</v>
      </c>
      <c r="C406" s="11" t="n">
        <v>46225</v>
      </c>
      <c r="D406" s="10" t="n">
        <v>10096</v>
      </c>
      <c r="E406" s="12" t="s">
        <v>48</v>
      </c>
      <c r="F406" s="10" t="n">
        <v>13</v>
      </c>
      <c r="G406" s="12" t="s">
        <v>49</v>
      </c>
      <c r="H406" s="10" t="n">
        <v>1110203</v>
      </c>
      <c r="I406" s="12" t="s">
        <v>50</v>
      </c>
      <c r="J406" s="10" t="n">
        <v>1439047</v>
      </c>
      <c r="L406" s="10" t="n">
        <v>194456</v>
      </c>
      <c r="M406" s="12" t="s">
        <v>33</v>
      </c>
      <c r="N406" s="12" t="s">
        <v>51</v>
      </c>
      <c r="P406" s="10" t="n">
        <v>113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120</v>
      </c>
      <c r="W406" s="13" t="n">
        <v>120</v>
      </c>
      <c r="X406" s="12" t="s">
        <v>531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46218</v>
      </c>
      <c r="C407" s="11" t="n">
        <v>46225</v>
      </c>
      <c r="D407" s="10" t="n">
        <v>1815</v>
      </c>
      <c r="E407" s="12" t="s">
        <v>175</v>
      </c>
      <c r="F407" s="10" t="n">
        <v>24</v>
      </c>
      <c r="G407" s="12" t="s">
        <v>40</v>
      </c>
      <c r="H407" s="10" t="n">
        <v>1110203</v>
      </c>
      <c r="I407" s="12" t="s">
        <v>50</v>
      </c>
      <c r="J407" s="10" t="n">
        <v>1403054</v>
      </c>
      <c r="L407" s="10" t="n">
        <v>188872</v>
      </c>
      <c r="M407" s="12" t="s">
        <v>33</v>
      </c>
      <c r="N407" s="12" t="s">
        <v>51</v>
      </c>
      <c r="P407" s="10" t="n">
        <v>113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2806.49</v>
      </c>
      <c r="W407" s="13" t="n">
        <v>0</v>
      </c>
      <c r="X407" s="12" t="s">
        <v>532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46219</v>
      </c>
      <c r="C408" s="11" t="n">
        <v>46225</v>
      </c>
      <c r="D408" s="10" t="n">
        <v>1699</v>
      </c>
      <c r="E408" s="12" t="s">
        <v>74</v>
      </c>
      <c r="F408" s="10" t="n">
        <v>24</v>
      </c>
      <c r="G408" s="12" t="s">
        <v>40</v>
      </c>
      <c r="H408" s="10" t="n">
        <v>1110203</v>
      </c>
      <c r="I408" s="12" t="s">
        <v>50</v>
      </c>
      <c r="J408" s="10" t="n">
        <v>1406622</v>
      </c>
      <c r="L408" s="10" t="n">
        <v>189408</v>
      </c>
      <c r="M408" s="12" t="s">
        <v>33</v>
      </c>
      <c r="N408" s="12" t="s">
        <v>51</v>
      </c>
      <c r="P408" s="10" t="n">
        <v>113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1021.83</v>
      </c>
      <c r="W408" s="13" t="n">
        <v>0</v>
      </c>
      <c r="X408" s="12" t="s">
        <v>533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46218</v>
      </c>
      <c r="C409" s="11" t="n">
        <v>46225</v>
      </c>
      <c r="D409" s="10" t="n">
        <v>1819</v>
      </c>
      <c r="E409" s="12" t="s">
        <v>534</v>
      </c>
      <c r="F409" s="10" t="n">
        <v>24</v>
      </c>
      <c r="G409" s="12" t="s">
        <v>40</v>
      </c>
      <c r="H409" s="10" t="n">
        <v>1110203</v>
      </c>
      <c r="I409" s="12" t="s">
        <v>50</v>
      </c>
      <c r="J409" s="10" t="n">
        <v>1402776</v>
      </c>
      <c r="L409" s="10" t="n">
        <v>188803</v>
      </c>
      <c r="M409" s="12" t="s">
        <v>33</v>
      </c>
      <c r="N409" s="12" t="s">
        <v>51</v>
      </c>
      <c r="P409" s="10" t="n">
        <v>113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200</v>
      </c>
      <c r="W409" s="13" t="n">
        <v>0</v>
      </c>
      <c r="X409" s="12" t="s">
        <v>535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46219</v>
      </c>
      <c r="C410" s="11" t="n">
        <v>46225</v>
      </c>
      <c r="D410" s="10" t="n">
        <v>1625</v>
      </c>
      <c r="E410" s="12" t="s">
        <v>283</v>
      </c>
      <c r="F410" s="10" t="n">
        <v>24</v>
      </c>
      <c r="G410" s="12" t="s">
        <v>40</v>
      </c>
      <c r="H410" s="10" t="n">
        <v>1110203</v>
      </c>
      <c r="I410" s="12" t="s">
        <v>50</v>
      </c>
      <c r="J410" s="10" t="n">
        <v>1407422</v>
      </c>
      <c r="L410" s="10" t="n">
        <v>189622</v>
      </c>
      <c r="M410" s="12" t="s">
        <v>33</v>
      </c>
      <c r="N410" s="12" t="s">
        <v>51</v>
      </c>
      <c r="P410" s="10" t="n">
        <v>113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4093.4</v>
      </c>
      <c r="W410" s="13" t="n">
        <v>0</v>
      </c>
      <c r="X410" s="12" t="s">
        <v>536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46225</v>
      </c>
      <c r="C411" s="11" t="n">
        <v>46225</v>
      </c>
      <c r="D411" s="10" t="n">
        <v>48</v>
      </c>
      <c r="E411" s="12" t="s">
        <v>78</v>
      </c>
      <c r="F411" s="10" t="n">
        <v>13</v>
      </c>
      <c r="G411" s="12" t="s">
        <v>49</v>
      </c>
      <c r="H411" s="10" t="n">
        <v>2110101</v>
      </c>
      <c r="I411" s="12" t="s">
        <v>32</v>
      </c>
      <c r="J411" s="10" t="n">
        <v>1435859</v>
      </c>
      <c r="L411" s="10" t="n">
        <v>2557</v>
      </c>
      <c r="M411" s="12" t="s">
        <v>33</v>
      </c>
      <c r="N411" s="12" t="s">
        <v>34</v>
      </c>
      <c r="P411" s="10" t="n">
        <v>113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210</v>
      </c>
      <c r="W411" s="13" t="n">
        <v>210</v>
      </c>
      <c r="X411" s="12" t="s">
        <v>537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46197</v>
      </c>
      <c r="C412" s="11" t="n">
        <v>46225</v>
      </c>
      <c r="D412" s="10" t="n">
        <v>10011</v>
      </c>
      <c r="E412" s="12" t="s">
        <v>302</v>
      </c>
      <c r="F412" s="10" t="n">
        <v>24</v>
      </c>
      <c r="G412" s="12" t="s">
        <v>40</v>
      </c>
      <c r="H412" s="10" t="n">
        <v>2110101</v>
      </c>
      <c r="I412" s="12" t="s">
        <v>32</v>
      </c>
      <c r="J412" s="10" t="n">
        <v>1300279</v>
      </c>
      <c r="L412" s="10" t="n">
        <v>34213</v>
      </c>
      <c r="M412" s="12" t="s">
        <v>33</v>
      </c>
      <c r="N412" s="12" t="s">
        <v>34</v>
      </c>
      <c r="P412" s="10" t="n">
        <v>113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1185.3</v>
      </c>
      <c r="W412" s="13" t="n">
        <v>0</v>
      </c>
      <c r="X412" s="12" t="s">
        <v>538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46197</v>
      </c>
      <c r="C413" s="11" t="n">
        <v>46225</v>
      </c>
      <c r="D413" s="10" t="n">
        <v>607</v>
      </c>
      <c r="E413" s="12" t="s">
        <v>415</v>
      </c>
      <c r="F413" s="10" t="n">
        <v>24</v>
      </c>
      <c r="G413" s="12" t="s">
        <v>40</v>
      </c>
      <c r="H413" s="10" t="n">
        <v>2110101</v>
      </c>
      <c r="I413" s="12" t="s">
        <v>32</v>
      </c>
      <c r="J413" s="10" t="n">
        <v>1300232</v>
      </c>
      <c r="L413" s="10" t="n">
        <v>10860</v>
      </c>
      <c r="M413" s="12" t="s">
        <v>108</v>
      </c>
      <c r="N413" s="12" t="s">
        <v>34</v>
      </c>
      <c r="P413" s="10" t="n">
        <v>113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1361.81</v>
      </c>
      <c r="W413" s="13" t="n">
        <v>0</v>
      </c>
      <c r="X413" s="12" t="s">
        <v>416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46220</v>
      </c>
      <c r="C414" s="11" t="n">
        <v>46226</v>
      </c>
      <c r="D414" s="10" t="n">
        <v>10018</v>
      </c>
      <c r="E414" s="12" t="s">
        <v>30</v>
      </c>
      <c r="F414" s="10" t="n">
        <v>34</v>
      </c>
      <c r="G414" s="12" t="s">
        <v>31</v>
      </c>
      <c r="H414" s="10" t="n">
        <v>1110203</v>
      </c>
      <c r="I414" s="12" t="s">
        <v>50</v>
      </c>
      <c r="J414" s="10" t="n">
        <v>1410836</v>
      </c>
      <c r="L414" s="10" t="n">
        <v>190135</v>
      </c>
      <c r="M414" s="12" t="s">
        <v>33</v>
      </c>
      <c r="N414" s="12" t="s">
        <v>51</v>
      </c>
      <c r="P414" s="10" t="n">
        <v>113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925</v>
      </c>
      <c r="W414" s="13" t="n">
        <v>0</v>
      </c>
      <c r="X414" s="12" t="s">
        <v>322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46213</v>
      </c>
      <c r="C415" s="11" t="n">
        <v>46226</v>
      </c>
      <c r="D415" s="10" t="n">
        <v>1789</v>
      </c>
      <c r="E415" s="12" t="s">
        <v>539</v>
      </c>
      <c r="F415" s="10" t="n">
        <v>24</v>
      </c>
      <c r="G415" s="12" t="s">
        <v>40</v>
      </c>
      <c r="H415" s="10" t="n">
        <v>2110405</v>
      </c>
      <c r="I415" s="12" t="s">
        <v>87</v>
      </c>
      <c r="J415" s="10" t="n">
        <v>1377106</v>
      </c>
      <c r="L415" s="10" t="n">
        <v>185546</v>
      </c>
      <c r="M415" s="12" t="s">
        <v>33</v>
      </c>
      <c r="N415" s="12" t="s">
        <v>51</v>
      </c>
      <c r="P415" s="10" t="n">
        <v>113</v>
      </c>
      <c r="Q415" s="12" t="s">
        <v>35</v>
      </c>
      <c r="R415" s="12" t="s">
        <v>454</v>
      </c>
      <c r="S415" s="10" t="n">
        <v>4210112</v>
      </c>
      <c r="T415" s="12" t="s">
        <v>540</v>
      </c>
      <c r="U415" s="13" t="n">
        <v>8621.9</v>
      </c>
      <c r="W415" s="13" t="n">
        <v>0</v>
      </c>
      <c r="X415" s="12" t="s">
        <v>541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46211</v>
      </c>
      <c r="C416" s="11" t="n">
        <v>46226</v>
      </c>
      <c r="D416" s="10" t="n">
        <v>1705</v>
      </c>
      <c r="E416" s="12" t="s">
        <v>43</v>
      </c>
      <c r="F416" s="10" t="n">
        <v>24</v>
      </c>
      <c r="G416" s="12" t="s">
        <v>40</v>
      </c>
      <c r="H416" s="10" t="n">
        <v>2110101</v>
      </c>
      <c r="I416" s="12" t="s">
        <v>32</v>
      </c>
      <c r="J416" s="10" t="n">
        <v>1369053</v>
      </c>
      <c r="L416" s="10" t="n">
        <v>1193391</v>
      </c>
      <c r="M416" s="12" t="s">
        <v>33</v>
      </c>
      <c r="N416" s="12" t="s">
        <v>34</v>
      </c>
      <c r="P416" s="10" t="n">
        <v>113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636.39</v>
      </c>
      <c r="W416" s="13" t="n">
        <v>0</v>
      </c>
      <c r="X416" s="12" t="s">
        <v>542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46211</v>
      </c>
      <c r="C417" s="11" t="n">
        <v>46226</v>
      </c>
      <c r="D417" s="10" t="n">
        <v>1705</v>
      </c>
      <c r="E417" s="12" t="s">
        <v>43</v>
      </c>
      <c r="F417" s="10" t="n">
        <v>24</v>
      </c>
      <c r="G417" s="12" t="s">
        <v>40</v>
      </c>
      <c r="H417" s="10" t="n">
        <v>2110101</v>
      </c>
      <c r="I417" s="12" t="s">
        <v>32</v>
      </c>
      <c r="J417" s="10" t="n">
        <v>1369061</v>
      </c>
      <c r="L417" s="10" t="n">
        <v>1193333</v>
      </c>
      <c r="M417" s="12" t="s">
        <v>33</v>
      </c>
      <c r="N417" s="12" t="s">
        <v>34</v>
      </c>
      <c r="P417" s="10" t="n">
        <v>113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636.39</v>
      </c>
      <c r="W417" s="13" t="n">
        <v>0</v>
      </c>
      <c r="X417" s="12" t="s">
        <v>543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46211</v>
      </c>
      <c r="C418" s="11" t="n">
        <v>46226</v>
      </c>
      <c r="D418" s="10" t="n">
        <v>1705</v>
      </c>
      <c r="E418" s="12" t="s">
        <v>43</v>
      </c>
      <c r="F418" s="10" t="n">
        <v>24</v>
      </c>
      <c r="G418" s="12" t="s">
        <v>40</v>
      </c>
      <c r="H418" s="10" t="n">
        <v>2110101</v>
      </c>
      <c r="I418" s="12" t="s">
        <v>32</v>
      </c>
      <c r="J418" s="10" t="n">
        <v>1369069</v>
      </c>
      <c r="L418" s="10" t="n">
        <v>1923967</v>
      </c>
      <c r="M418" s="12" t="s">
        <v>33</v>
      </c>
      <c r="N418" s="12" t="s">
        <v>34</v>
      </c>
      <c r="P418" s="10" t="n">
        <v>113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76.19</v>
      </c>
      <c r="W418" s="13" t="n">
        <v>0</v>
      </c>
      <c r="X418" s="12" t="s">
        <v>544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46211</v>
      </c>
      <c r="C419" s="11" t="n">
        <v>46226</v>
      </c>
      <c r="D419" s="10" t="n">
        <v>1705</v>
      </c>
      <c r="E419" s="12" t="s">
        <v>43</v>
      </c>
      <c r="F419" s="10" t="n">
        <v>24</v>
      </c>
      <c r="G419" s="12" t="s">
        <v>40</v>
      </c>
      <c r="H419" s="10" t="n">
        <v>2110101</v>
      </c>
      <c r="I419" s="12" t="s">
        <v>32</v>
      </c>
      <c r="J419" s="10" t="n">
        <v>1369169</v>
      </c>
      <c r="L419" s="10" t="n">
        <v>1923963</v>
      </c>
      <c r="M419" s="12" t="s">
        <v>33</v>
      </c>
      <c r="N419" s="12" t="s">
        <v>34</v>
      </c>
      <c r="P419" s="10" t="n">
        <v>113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225.5</v>
      </c>
      <c r="W419" s="13" t="n">
        <v>0</v>
      </c>
      <c r="X419" s="12" t="s">
        <v>545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46211</v>
      </c>
      <c r="C420" s="11" t="n">
        <v>46226</v>
      </c>
      <c r="D420" s="10" t="n">
        <v>1705</v>
      </c>
      <c r="E420" s="12" t="s">
        <v>43</v>
      </c>
      <c r="F420" s="10" t="n">
        <v>24</v>
      </c>
      <c r="G420" s="12" t="s">
        <v>40</v>
      </c>
      <c r="H420" s="10" t="n">
        <v>2110101</v>
      </c>
      <c r="I420" s="12" t="s">
        <v>32</v>
      </c>
      <c r="J420" s="10" t="n">
        <v>1369182</v>
      </c>
      <c r="L420" s="10" t="n">
        <v>1923964</v>
      </c>
      <c r="M420" s="12" t="s">
        <v>33</v>
      </c>
      <c r="N420" s="12" t="s">
        <v>34</v>
      </c>
      <c r="P420" s="10" t="n">
        <v>113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221</v>
      </c>
      <c r="W420" s="13" t="n">
        <v>0</v>
      </c>
      <c r="X420" s="12" t="s">
        <v>546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46211</v>
      </c>
      <c r="C421" s="11" t="n">
        <v>46226</v>
      </c>
      <c r="D421" s="10" t="n">
        <v>1705</v>
      </c>
      <c r="E421" s="12" t="s">
        <v>43</v>
      </c>
      <c r="F421" s="10" t="n">
        <v>24</v>
      </c>
      <c r="G421" s="12" t="s">
        <v>40</v>
      </c>
      <c r="H421" s="10" t="n">
        <v>2110101</v>
      </c>
      <c r="I421" s="12" t="s">
        <v>32</v>
      </c>
      <c r="J421" s="10" t="n">
        <v>1369445</v>
      </c>
      <c r="L421" s="10" t="n">
        <v>1193336</v>
      </c>
      <c r="M421" s="12" t="s">
        <v>33</v>
      </c>
      <c r="N421" s="12" t="s">
        <v>34</v>
      </c>
      <c r="P421" s="10" t="n">
        <v>113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104.51</v>
      </c>
      <c r="W421" s="13" t="n">
        <v>0</v>
      </c>
      <c r="X421" s="12" t="s">
        <v>547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46212</v>
      </c>
      <c r="C422" s="11" t="n">
        <v>46226</v>
      </c>
      <c r="D422" s="10" t="n">
        <v>1601</v>
      </c>
      <c r="E422" s="12" t="s">
        <v>215</v>
      </c>
      <c r="F422" s="10" t="n">
        <v>24</v>
      </c>
      <c r="G422" s="12" t="s">
        <v>40</v>
      </c>
      <c r="H422" s="10" t="n">
        <v>2110101</v>
      </c>
      <c r="I422" s="12" t="s">
        <v>32</v>
      </c>
      <c r="J422" s="10" t="n">
        <v>1373725</v>
      </c>
      <c r="L422" s="10" t="n">
        <v>851821</v>
      </c>
      <c r="M422" s="12" t="s">
        <v>33</v>
      </c>
      <c r="N422" s="12" t="s">
        <v>34</v>
      </c>
      <c r="P422" s="10" t="n">
        <v>113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426.95</v>
      </c>
      <c r="W422" s="13" t="n">
        <v>0</v>
      </c>
      <c r="X422" s="12" t="s">
        <v>548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46198</v>
      </c>
      <c r="C423" s="11" t="n">
        <v>46226</v>
      </c>
      <c r="D423" s="10" t="n">
        <v>1608</v>
      </c>
      <c r="E423" s="12" t="s">
        <v>266</v>
      </c>
      <c r="F423" s="10" t="n">
        <v>24</v>
      </c>
      <c r="G423" s="12" t="s">
        <v>40</v>
      </c>
      <c r="H423" s="10" t="n">
        <v>2110101</v>
      </c>
      <c r="I423" s="12" t="s">
        <v>32</v>
      </c>
      <c r="J423" s="10" t="n">
        <v>1305623</v>
      </c>
      <c r="L423" s="10" t="n">
        <v>1680694</v>
      </c>
      <c r="M423" s="12" t="s">
        <v>33</v>
      </c>
      <c r="N423" s="12" t="s">
        <v>34</v>
      </c>
      <c r="P423" s="10" t="n">
        <v>113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1383</v>
      </c>
      <c r="W423" s="13" t="n">
        <v>0</v>
      </c>
      <c r="X423" s="12" t="s">
        <v>549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46220</v>
      </c>
      <c r="C424" s="11" t="n">
        <v>46226</v>
      </c>
      <c r="D424" s="10" t="n">
        <v>1608</v>
      </c>
      <c r="E424" s="12" t="s">
        <v>266</v>
      </c>
      <c r="F424" s="10" t="n">
        <v>24</v>
      </c>
      <c r="G424" s="12" t="s">
        <v>40</v>
      </c>
      <c r="H424" s="10" t="n">
        <v>1110203</v>
      </c>
      <c r="I424" s="12" t="s">
        <v>50</v>
      </c>
      <c r="J424" s="10" t="n">
        <v>1410817</v>
      </c>
      <c r="L424" s="10" t="n">
        <v>190131</v>
      </c>
      <c r="M424" s="12" t="s">
        <v>33</v>
      </c>
      <c r="N424" s="12" t="s">
        <v>51</v>
      </c>
      <c r="P424" s="10" t="n">
        <v>113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281.82</v>
      </c>
      <c r="W424" s="13" t="n">
        <v>0</v>
      </c>
      <c r="X424" s="12" t="s">
        <v>550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46165</v>
      </c>
      <c r="C425" s="11" t="n">
        <v>46226</v>
      </c>
      <c r="D425" s="10" t="n">
        <v>639</v>
      </c>
      <c r="E425" s="12" t="s">
        <v>551</v>
      </c>
      <c r="F425" s="10" t="n">
        <v>24</v>
      </c>
      <c r="G425" s="12" t="s">
        <v>40</v>
      </c>
      <c r="H425" s="10" t="n">
        <v>2110405</v>
      </c>
      <c r="I425" s="12" t="s">
        <v>87</v>
      </c>
      <c r="J425" s="10" t="n">
        <v>1141287</v>
      </c>
      <c r="L425" s="10" t="n">
        <v>151507</v>
      </c>
      <c r="M425" s="12" t="s">
        <v>33</v>
      </c>
      <c r="N425" s="12" t="s">
        <v>51</v>
      </c>
      <c r="P425" s="10" t="n">
        <v>101</v>
      </c>
      <c r="Q425" s="12" t="s">
        <v>69</v>
      </c>
      <c r="R425" s="12" t="s">
        <v>88</v>
      </c>
      <c r="S425" s="10" t="n">
        <v>4210216</v>
      </c>
      <c r="T425" s="12" t="s">
        <v>552</v>
      </c>
      <c r="U425" s="13" t="n">
        <v>396.64</v>
      </c>
      <c r="W425" s="13" t="n">
        <v>0</v>
      </c>
      <c r="X425" s="12" t="s">
        <v>553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46212</v>
      </c>
      <c r="C426" s="11" t="n">
        <v>46226</v>
      </c>
      <c r="D426" s="10" t="n">
        <v>1612</v>
      </c>
      <c r="E426" s="12" t="s">
        <v>554</v>
      </c>
      <c r="F426" s="10" t="n">
        <v>24</v>
      </c>
      <c r="G426" s="12" t="s">
        <v>40</v>
      </c>
      <c r="H426" s="10" t="n">
        <v>2110101</v>
      </c>
      <c r="I426" s="12" t="s">
        <v>32</v>
      </c>
      <c r="J426" s="10" t="n">
        <v>1374035</v>
      </c>
      <c r="L426" s="10" t="n">
        <v>2299705</v>
      </c>
      <c r="M426" s="12" t="s">
        <v>33</v>
      </c>
      <c r="N426" s="12" t="s">
        <v>34</v>
      </c>
      <c r="P426" s="10" t="n">
        <v>113</v>
      </c>
      <c r="Q426" s="12" t="s">
        <v>35</v>
      </c>
      <c r="R426" s="12" t="s">
        <v>36</v>
      </c>
      <c r="S426" s="10" t="n">
        <v>1130101</v>
      </c>
      <c r="T426" s="12" t="s">
        <v>37</v>
      </c>
      <c r="U426" s="13" t="n">
        <v>658.61</v>
      </c>
      <c r="W426" s="13" t="n">
        <v>0</v>
      </c>
      <c r="X426" s="12" t="s">
        <v>555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46212</v>
      </c>
      <c r="C427" s="11" t="n">
        <v>46226</v>
      </c>
      <c r="D427" s="10" t="n">
        <v>1612</v>
      </c>
      <c r="E427" s="12" t="s">
        <v>554</v>
      </c>
      <c r="F427" s="10" t="n">
        <v>24</v>
      </c>
      <c r="G427" s="12" t="s">
        <v>40</v>
      </c>
      <c r="H427" s="10" t="n">
        <v>2110101</v>
      </c>
      <c r="I427" s="12" t="s">
        <v>32</v>
      </c>
      <c r="J427" s="10" t="n">
        <v>1374249</v>
      </c>
      <c r="L427" s="10" t="n">
        <v>2299703</v>
      </c>
      <c r="M427" s="12" t="s">
        <v>33</v>
      </c>
      <c r="N427" s="12" t="s">
        <v>34</v>
      </c>
      <c r="P427" s="10" t="n">
        <v>113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377.45</v>
      </c>
      <c r="W427" s="13" t="n">
        <v>0</v>
      </c>
      <c r="X427" s="12" t="s">
        <v>556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46213</v>
      </c>
      <c r="C428" s="11" t="n">
        <v>46226</v>
      </c>
      <c r="D428" s="10" t="n">
        <v>1667</v>
      </c>
      <c r="E428" s="12" t="s">
        <v>67</v>
      </c>
      <c r="F428" s="10" t="n">
        <v>24</v>
      </c>
      <c r="G428" s="12" t="s">
        <v>40</v>
      </c>
      <c r="H428" s="10" t="n">
        <v>2110101</v>
      </c>
      <c r="I428" s="12" t="s">
        <v>32</v>
      </c>
      <c r="J428" s="10" t="n">
        <v>1376812</v>
      </c>
      <c r="L428" s="10" t="n">
        <v>396261</v>
      </c>
      <c r="M428" s="12" t="s">
        <v>33</v>
      </c>
      <c r="N428" s="12" t="s">
        <v>34</v>
      </c>
      <c r="P428" s="10" t="n">
        <v>113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321.76</v>
      </c>
      <c r="W428" s="13" t="n">
        <v>0</v>
      </c>
      <c r="X428" s="12" t="s">
        <v>557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46205</v>
      </c>
      <c r="C429" s="11" t="n">
        <v>46226</v>
      </c>
      <c r="D429" s="10" t="n">
        <v>1815</v>
      </c>
      <c r="E429" s="12" t="s">
        <v>175</v>
      </c>
      <c r="F429" s="10" t="n">
        <v>24</v>
      </c>
      <c r="G429" s="12" t="s">
        <v>40</v>
      </c>
      <c r="H429" s="10" t="n">
        <v>2110101</v>
      </c>
      <c r="I429" s="12" t="s">
        <v>32</v>
      </c>
      <c r="J429" s="10" t="n">
        <v>1339618</v>
      </c>
      <c r="L429" s="10" t="n">
        <v>390211</v>
      </c>
      <c r="M429" s="12" t="s">
        <v>41</v>
      </c>
      <c r="N429" s="12" t="s">
        <v>34</v>
      </c>
      <c r="P429" s="10" t="n">
        <v>113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2005.44</v>
      </c>
      <c r="W429" s="13" t="n">
        <v>0</v>
      </c>
      <c r="X429" s="12" t="s">
        <v>371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46220</v>
      </c>
      <c r="C430" s="11" t="n">
        <v>46226</v>
      </c>
      <c r="D430" s="10" t="n">
        <v>1363</v>
      </c>
      <c r="E430" s="12" t="s">
        <v>340</v>
      </c>
      <c r="F430" s="10" t="n">
        <v>24</v>
      </c>
      <c r="G430" s="12" t="s">
        <v>40</v>
      </c>
      <c r="H430" s="10" t="n">
        <v>1110203</v>
      </c>
      <c r="I430" s="12" t="s">
        <v>50</v>
      </c>
      <c r="J430" s="10" t="n">
        <v>1410440</v>
      </c>
      <c r="L430" s="10" t="n">
        <v>190050</v>
      </c>
      <c r="M430" s="12" t="s">
        <v>33</v>
      </c>
      <c r="N430" s="12" t="s">
        <v>51</v>
      </c>
      <c r="P430" s="10" t="n">
        <v>113</v>
      </c>
      <c r="Q430" s="12" t="s">
        <v>35</v>
      </c>
      <c r="R430" s="12" t="s">
        <v>36</v>
      </c>
      <c r="S430" s="10" t="n">
        <v>1130101</v>
      </c>
      <c r="T430" s="12" t="s">
        <v>37</v>
      </c>
      <c r="U430" s="13" t="n">
        <v>125</v>
      </c>
      <c r="W430" s="13" t="n">
        <v>0</v>
      </c>
      <c r="X430" s="12" t="s">
        <v>558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46220</v>
      </c>
      <c r="C431" s="11" t="n">
        <v>46226</v>
      </c>
      <c r="D431" s="10" t="n">
        <v>1625</v>
      </c>
      <c r="E431" s="12" t="s">
        <v>283</v>
      </c>
      <c r="F431" s="10" t="n">
        <v>24</v>
      </c>
      <c r="G431" s="12" t="s">
        <v>40</v>
      </c>
      <c r="H431" s="10" t="n">
        <v>1110203</v>
      </c>
      <c r="I431" s="12" t="s">
        <v>50</v>
      </c>
      <c r="J431" s="10" t="n">
        <v>1411888</v>
      </c>
      <c r="L431" s="10" t="n">
        <v>190383</v>
      </c>
      <c r="M431" s="12" t="s">
        <v>33</v>
      </c>
      <c r="N431" s="12" t="s">
        <v>51</v>
      </c>
      <c r="P431" s="10" t="n">
        <v>113</v>
      </c>
      <c r="Q431" s="12" t="s">
        <v>35</v>
      </c>
      <c r="R431" s="12" t="s">
        <v>36</v>
      </c>
      <c r="S431" s="10" t="n">
        <v>1130101</v>
      </c>
      <c r="T431" s="12" t="s">
        <v>37</v>
      </c>
      <c r="U431" s="13" t="n">
        <v>1269.94</v>
      </c>
      <c r="W431" s="13" t="n">
        <v>0</v>
      </c>
      <c r="X431" s="12" t="s">
        <v>559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46212</v>
      </c>
      <c r="C432" s="11" t="n">
        <v>46226</v>
      </c>
      <c r="D432" s="10" t="n">
        <v>1740</v>
      </c>
      <c r="E432" s="12" t="s">
        <v>560</v>
      </c>
      <c r="F432" s="10" t="n">
        <v>24</v>
      </c>
      <c r="G432" s="12" t="s">
        <v>40</v>
      </c>
      <c r="H432" s="10" t="n">
        <v>2110101</v>
      </c>
      <c r="I432" s="12" t="s">
        <v>32</v>
      </c>
      <c r="J432" s="10" t="n">
        <v>1374749</v>
      </c>
      <c r="L432" s="10" t="n">
        <v>1245696</v>
      </c>
      <c r="M432" s="12" t="s">
        <v>33</v>
      </c>
      <c r="N432" s="12" t="s">
        <v>34</v>
      </c>
      <c r="P432" s="10" t="n">
        <v>113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335.35</v>
      </c>
      <c r="W432" s="13" t="n">
        <v>0</v>
      </c>
      <c r="X432" s="12" t="s">
        <v>561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46219</v>
      </c>
      <c r="C433" s="11" t="n">
        <v>46226</v>
      </c>
      <c r="D433" s="10" t="n">
        <v>1740</v>
      </c>
      <c r="E433" s="12" t="s">
        <v>560</v>
      </c>
      <c r="F433" s="10" t="n">
        <v>24</v>
      </c>
      <c r="G433" s="12" t="s">
        <v>40</v>
      </c>
      <c r="H433" s="10" t="n">
        <v>1110203</v>
      </c>
      <c r="I433" s="12" t="s">
        <v>50</v>
      </c>
      <c r="J433" s="10" t="n">
        <v>1407539</v>
      </c>
      <c r="L433" s="10" t="n">
        <v>189642</v>
      </c>
      <c r="M433" s="12" t="s">
        <v>33</v>
      </c>
      <c r="N433" s="12" t="s">
        <v>51</v>
      </c>
      <c r="P433" s="10" t="n">
        <v>113</v>
      </c>
      <c r="Q433" s="12" t="s">
        <v>35</v>
      </c>
      <c r="R433" s="12" t="s">
        <v>36</v>
      </c>
      <c r="S433" s="10" t="n">
        <v>1130101</v>
      </c>
      <c r="T433" s="12" t="s">
        <v>37</v>
      </c>
      <c r="U433" s="13" t="n">
        <v>593.78</v>
      </c>
      <c r="W433" s="13" t="n">
        <v>0</v>
      </c>
      <c r="X433" s="12" t="s">
        <v>562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46213</v>
      </c>
      <c r="C434" s="11" t="n">
        <v>46226</v>
      </c>
      <c r="D434" s="10" t="n">
        <v>1107</v>
      </c>
      <c r="E434" s="12" t="s">
        <v>194</v>
      </c>
      <c r="F434" s="10" t="n">
        <v>24</v>
      </c>
      <c r="G434" s="12" t="s">
        <v>40</v>
      </c>
      <c r="H434" s="10" t="n">
        <v>2110101</v>
      </c>
      <c r="I434" s="12" t="s">
        <v>32</v>
      </c>
      <c r="J434" s="10" t="n">
        <v>1376909</v>
      </c>
      <c r="L434" s="10" t="n">
        <v>426652</v>
      </c>
      <c r="M434" s="12" t="s">
        <v>33</v>
      </c>
      <c r="N434" s="12" t="s">
        <v>34</v>
      </c>
      <c r="P434" s="10" t="n">
        <v>113</v>
      </c>
      <c r="Q434" s="12" t="s">
        <v>35</v>
      </c>
      <c r="R434" s="12" t="s">
        <v>36</v>
      </c>
      <c r="S434" s="10" t="n">
        <v>1130101</v>
      </c>
      <c r="T434" s="12" t="s">
        <v>37</v>
      </c>
      <c r="U434" s="13" t="n">
        <v>682.64</v>
      </c>
      <c r="W434" s="13" t="n">
        <v>0</v>
      </c>
      <c r="X434" s="12" t="s">
        <v>563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46189</v>
      </c>
      <c r="C435" s="11" t="n">
        <v>46226</v>
      </c>
      <c r="D435" s="10" t="n">
        <v>1624</v>
      </c>
      <c r="E435" s="12" t="s">
        <v>241</v>
      </c>
      <c r="F435" s="10" t="n">
        <v>24</v>
      </c>
      <c r="G435" s="12" t="s">
        <v>40</v>
      </c>
      <c r="H435" s="10" t="n">
        <v>2110101</v>
      </c>
      <c r="I435" s="12" t="s">
        <v>32</v>
      </c>
      <c r="J435" s="10" t="n">
        <v>1261007</v>
      </c>
      <c r="L435" s="10" t="n">
        <v>658429</v>
      </c>
      <c r="M435" s="12" t="s">
        <v>191</v>
      </c>
      <c r="N435" s="12" t="s">
        <v>34</v>
      </c>
      <c r="P435" s="10" t="n">
        <v>113</v>
      </c>
      <c r="Q435" s="12" t="s">
        <v>35</v>
      </c>
      <c r="R435" s="12" t="s">
        <v>36</v>
      </c>
      <c r="S435" s="10" t="n">
        <v>1130101</v>
      </c>
      <c r="T435" s="12" t="s">
        <v>37</v>
      </c>
      <c r="U435" s="13" t="n">
        <v>550.4</v>
      </c>
      <c r="W435" s="13" t="n">
        <v>0</v>
      </c>
      <c r="X435" s="12" t="s">
        <v>242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46219</v>
      </c>
      <c r="C436" s="11" t="n">
        <v>46226</v>
      </c>
      <c r="D436" s="10" t="n">
        <v>1292</v>
      </c>
      <c r="E436" s="12" t="s">
        <v>91</v>
      </c>
      <c r="F436" s="10" t="n">
        <v>24</v>
      </c>
      <c r="G436" s="12" t="s">
        <v>40</v>
      </c>
      <c r="H436" s="10" t="n">
        <v>1110203</v>
      </c>
      <c r="I436" s="12" t="s">
        <v>50</v>
      </c>
      <c r="J436" s="10" t="n">
        <v>1406917</v>
      </c>
      <c r="L436" s="10" t="n">
        <v>189514</v>
      </c>
      <c r="M436" s="12" t="s">
        <v>33</v>
      </c>
      <c r="N436" s="12" t="s">
        <v>51</v>
      </c>
      <c r="P436" s="10" t="n">
        <v>113</v>
      </c>
      <c r="Q436" s="12" t="s">
        <v>35</v>
      </c>
      <c r="R436" s="12" t="s">
        <v>36</v>
      </c>
      <c r="S436" s="10" t="n">
        <v>1130101</v>
      </c>
      <c r="T436" s="12" t="s">
        <v>37</v>
      </c>
      <c r="U436" s="13" t="n">
        <v>533.5</v>
      </c>
      <c r="W436" s="13" t="n">
        <v>0</v>
      </c>
      <c r="X436" s="12" t="s">
        <v>564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46226</v>
      </c>
      <c r="D437" s="10" t="n">
        <v>10012</v>
      </c>
      <c r="E437" s="12" t="s">
        <v>373</v>
      </c>
      <c r="F437" s="10" t="n">
        <v>24</v>
      </c>
      <c r="G437" s="12" t="s">
        <v>40</v>
      </c>
      <c r="H437" s="10" t="n">
        <v>2110101</v>
      </c>
      <c r="I437" s="12" t="s">
        <v>32</v>
      </c>
      <c r="J437" s="10" t="n">
        <v>1289819</v>
      </c>
      <c r="L437" s="10" t="n">
        <v>1959276</v>
      </c>
      <c r="M437" s="12" t="s">
        <v>41</v>
      </c>
      <c r="N437" s="12" t="s">
        <v>34</v>
      </c>
      <c r="P437" s="10" t="n">
        <v>113</v>
      </c>
      <c r="Q437" s="12" t="s">
        <v>35</v>
      </c>
      <c r="R437" s="12" t="s">
        <v>36</v>
      </c>
      <c r="S437" s="10" t="n">
        <v>1130101</v>
      </c>
      <c r="T437" s="12" t="s">
        <v>37</v>
      </c>
      <c r="U437" s="13" t="n">
        <v>653.86</v>
      </c>
      <c r="W437" s="13" t="n">
        <v>0</v>
      </c>
      <c r="X437" s="12" t="s">
        <v>374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46213</v>
      </c>
      <c r="C438" s="11" t="n">
        <v>46226</v>
      </c>
      <c r="D438" s="10" t="n">
        <v>1734</v>
      </c>
      <c r="E438" s="12" t="s">
        <v>459</v>
      </c>
      <c r="F438" s="10" t="n">
        <v>24</v>
      </c>
      <c r="G438" s="12" t="s">
        <v>40</v>
      </c>
      <c r="H438" s="10" t="n">
        <v>2110101</v>
      </c>
      <c r="I438" s="12" t="s">
        <v>32</v>
      </c>
      <c r="J438" s="10" t="n">
        <v>1377204</v>
      </c>
      <c r="L438" s="10" t="n">
        <v>255191</v>
      </c>
      <c r="M438" s="12" t="s">
        <v>33</v>
      </c>
      <c r="N438" s="12" t="s">
        <v>34</v>
      </c>
      <c r="P438" s="10" t="n">
        <v>113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771.01</v>
      </c>
      <c r="W438" s="13" t="n">
        <v>0</v>
      </c>
      <c r="X438" s="12" t="s">
        <v>565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46212</v>
      </c>
      <c r="C439" s="11" t="n">
        <v>46227</v>
      </c>
      <c r="D439" s="10" t="n">
        <v>1705</v>
      </c>
      <c r="E439" s="12" t="s">
        <v>43</v>
      </c>
      <c r="F439" s="10" t="n">
        <v>24</v>
      </c>
      <c r="G439" s="12" t="s">
        <v>40</v>
      </c>
      <c r="H439" s="10" t="n">
        <v>2110101</v>
      </c>
      <c r="I439" s="12" t="s">
        <v>32</v>
      </c>
      <c r="J439" s="10" t="n">
        <v>1374769</v>
      </c>
      <c r="L439" s="10" t="n">
        <v>1194626</v>
      </c>
      <c r="M439" s="12" t="s">
        <v>33</v>
      </c>
      <c r="N439" s="12" t="s">
        <v>34</v>
      </c>
      <c r="P439" s="10" t="n">
        <v>113</v>
      </c>
      <c r="Q439" s="12" t="s">
        <v>35</v>
      </c>
      <c r="R439" s="12" t="s">
        <v>36</v>
      </c>
      <c r="S439" s="10" t="n">
        <v>1130101</v>
      </c>
      <c r="T439" s="12" t="s">
        <v>37</v>
      </c>
      <c r="U439" s="13" t="n">
        <v>659.34</v>
      </c>
      <c r="W439" s="13" t="n">
        <v>0</v>
      </c>
      <c r="X439" s="12" t="s">
        <v>566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46212</v>
      </c>
      <c r="C440" s="11" t="n">
        <v>46227</v>
      </c>
      <c r="D440" s="10" t="n">
        <v>1705</v>
      </c>
      <c r="E440" s="12" t="s">
        <v>43</v>
      </c>
      <c r="F440" s="10" t="n">
        <v>24</v>
      </c>
      <c r="G440" s="12" t="s">
        <v>40</v>
      </c>
      <c r="H440" s="10" t="n">
        <v>2110101</v>
      </c>
      <c r="I440" s="12" t="s">
        <v>32</v>
      </c>
      <c r="J440" s="10" t="n">
        <v>1374773</v>
      </c>
      <c r="L440" s="10" t="n">
        <v>1926959</v>
      </c>
      <c r="M440" s="12" t="s">
        <v>33</v>
      </c>
      <c r="N440" s="12" t="s">
        <v>34</v>
      </c>
      <c r="P440" s="10" t="n">
        <v>113</v>
      </c>
      <c r="Q440" s="12" t="s">
        <v>35</v>
      </c>
      <c r="R440" s="12" t="s">
        <v>36</v>
      </c>
      <c r="S440" s="10" t="n">
        <v>1130101</v>
      </c>
      <c r="T440" s="12" t="s">
        <v>37</v>
      </c>
      <c r="U440" s="13" t="n">
        <v>190.48</v>
      </c>
      <c r="W440" s="13" t="n">
        <v>0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46212</v>
      </c>
      <c r="C441" s="11" t="n">
        <v>46227</v>
      </c>
      <c r="D441" s="10" t="n">
        <v>1705</v>
      </c>
      <c r="E441" s="12" t="s">
        <v>43</v>
      </c>
      <c r="F441" s="10" t="n">
        <v>24</v>
      </c>
      <c r="G441" s="12" t="s">
        <v>40</v>
      </c>
      <c r="H441" s="10" t="n">
        <v>2110101</v>
      </c>
      <c r="I441" s="12" t="s">
        <v>32</v>
      </c>
      <c r="J441" s="10" t="n">
        <v>1374788</v>
      </c>
      <c r="L441" s="10" t="n">
        <v>184920</v>
      </c>
      <c r="M441" s="12" t="s">
        <v>33</v>
      </c>
      <c r="N441" s="12" t="s">
        <v>51</v>
      </c>
      <c r="P441" s="10" t="n">
        <v>113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156.88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46210</v>
      </c>
      <c r="C442" s="11" t="n">
        <v>46227</v>
      </c>
      <c r="D442" s="10" t="n">
        <v>1613</v>
      </c>
      <c r="E442" s="12" t="s">
        <v>159</v>
      </c>
      <c r="F442" s="10" t="n">
        <v>24</v>
      </c>
      <c r="G442" s="12" t="s">
        <v>40</v>
      </c>
      <c r="H442" s="10" t="n">
        <v>2110101</v>
      </c>
      <c r="I442" s="12" t="s">
        <v>32</v>
      </c>
      <c r="J442" s="10" t="n">
        <v>1364523</v>
      </c>
      <c r="L442" s="10" t="n">
        <v>1604119</v>
      </c>
      <c r="M442" s="12" t="s">
        <v>108</v>
      </c>
      <c r="N442" s="12" t="s">
        <v>34</v>
      </c>
      <c r="P442" s="10" t="n">
        <v>113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1031.77</v>
      </c>
      <c r="W442" s="13" t="n">
        <v>0</v>
      </c>
      <c r="X442" s="12" t="s">
        <v>471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46220</v>
      </c>
      <c r="C443" s="11" t="n">
        <v>46227</v>
      </c>
      <c r="D443" s="10" t="n">
        <v>1642</v>
      </c>
      <c r="E443" s="12" t="s">
        <v>254</v>
      </c>
      <c r="F443" s="10" t="n">
        <v>24</v>
      </c>
      <c r="G443" s="12" t="s">
        <v>40</v>
      </c>
      <c r="H443" s="10" t="n">
        <v>1110203</v>
      </c>
      <c r="I443" s="12" t="s">
        <v>50</v>
      </c>
      <c r="J443" s="10" t="n">
        <v>1410452</v>
      </c>
      <c r="L443" s="10" t="n">
        <v>190056</v>
      </c>
      <c r="M443" s="12" t="s">
        <v>33</v>
      </c>
      <c r="N443" s="12" t="s">
        <v>51</v>
      </c>
      <c r="P443" s="10" t="n">
        <v>113</v>
      </c>
      <c r="Q443" s="12" t="s">
        <v>35</v>
      </c>
      <c r="R443" s="12" t="s">
        <v>36</v>
      </c>
      <c r="S443" s="10" t="n">
        <v>1130101</v>
      </c>
      <c r="T443" s="12" t="s">
        <v>37</v>
      </c>
      <c r="U443" s="13" t="n">
        <v>254.6</v>
      </c>
      <c r="W443" s="13" t="n">
        <v>0</v>
      </c>
      <c r="X443" s="12" t="s">
        <v>569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46212</v>
      </c>
      <c r="C444" s="11" t="n">
        <v>46227</v>
      </c>
      <c r="D444" s="10" t="n">
        <v>1718</v>
      </c>
      <c r="E444" s="12" t="s">
        <v>263</v>
      </c>
      <c r="F444" s="10" t="n">
        <v>24</v>
      </c>
      <c r="G444" s="12" t="s">
        <v>40</v>
      </c>
      <c r="H444" s="10" t="n">
        <v>2110101</v>
      </c>
      <c r="I444" s="12" t="s">
        <v>32</v>
      </c>
      <c r="J444" s="10" t="n">
        <v>1374907</v>
      </c>
      <c r="L444" s="10" t="n">
        <v>681127</v>
      </c>
      <c r="M444" s="12" t="s">
        <v>33</v>
      </c>
      <c r="N444" s="12" t="s">
        <v>34</v>
      </c>
      <c r="P444" s="10" t="n">
        <v>113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509.25</v>
      </c>
      <c r="W444" s="13" t="n">
        <v>0</v>
      </c>
      <c r="X444" s="12" t="s">
        <v>570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46227</v>
      </c>
      <c r="C445" s="11" t="n">
        <v>46227</v>
      </c>
      <c r="D445" s="10" t="n">
        <v>1037</v>
      </c>
      <c r="E445" s="12" t="s">
        <v>125</v>
      </c>
      <c r="F445" s="10" t="n">
        <v>34</v>
      </c>
      <c r="G445" s="12" t="s">
        <v>31</v>
      </c>
      <c r="H445" s="10" t="n">
        <v>1110203</v>
      </c>
      <c r="I445" s="12" t="s">
        <v>50</v>
      </c>
      <c r="J445" s="10" t="n">
        <v>1445096</v>
      </c>
      <c r="L445" s="10" t="n">
        <v>195547</v>
      </c>
      <c r="M445" s="12" t="s">
        <v>33</v>
      </c>
      <c r="N445" s="12" t="s">
        <v>51</v>
      </c>
      <c r="P445" s="10" t="n">
        <v>113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325</v>
      </c>
      <c r="W445" s="13" t="n">
        <v>0</v>
      </c>
      <c r="X445" s="12" t="s">
        <v>571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46227</v>
      </c>
      <c r="C446" s="11" t="n">
        <v>46227</v>
      </c>
      <c r="D446" s="10" t="n">
        <v>515</v>
      </c>
      <c r="E446" s="12" t="s">
        <v>68</v>
      </c>
      <c r="F446" s="10" t="n">
        <v>34</v>
      </c>
      <c r="G446" s="12" t="s">
        <v>31</v>
      </c>
      <c r="H446" s="10" t="n">
        <v>1110203</v>
      </c>
      <c r="I446" s="12" t="s">
        <v>50</v>
      </c>
      <c r="J446" s="10" t="n">
        <v>1460164</v>
      </c>
      <c r="L446" s="10" t="n">
        <v>197673</v>
      </c>
      <c r="M446" s="12" t="s">
        <v>33</v>
      </c>
      <c r="N446" s="12" t="s">
        <v>51</v>
      </c>
      <c r="P446" s="10" t="n">
        <v>102</v>
      </c>
      <c r="Q446" s="12" t="s">
        <v>101</v>
      </c>
      <c r="R446" s="12" t="s">
        <v>223</v>
      </c>
      <c r="S446" s="10" t="n">
        <v>4210502</v>
      </c>
      <c r="T446" s="12" t="s">
        <v>572</v>
      </c>
      <c r="U446" s="13" t="n">
        <v>5343.28</v>
      </c>
      <c r="W446" s="13" t="n">
        <v>0</v>
      </c>
      <c r="X446" s="12" t="s">
        <v>573</v>
      </c>
      <c r="Z446" s="1" t="str">
        <f aca="false">IF($T446="","",IFERROR(INDEX('Resumo Grupos'!$AC$3:$AC$200,MATCH($T446,'Resumo Grupos'!$AB$3:$AB$200,0)),"n/d"))</f>
        <v>Empréstimo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46216</v>
      </c>
      <c r="C447" s="11" t="n">
        <v>46227</v>
      </c>
      <c r="D447" s="10" t="n">
        <v>1675</v>
      </c>
      <c r="E447" s="12" t="s">
        <v>574</v>
      </c>
      <c r="F447" s="10" t="n">
        <v>24</v>
      </c>
      <c r="G447" s="12" t="s">
        <v>40</v>
      </c>
      <c r="H447" s="10" t="n">
        <v>2110101</v>
      </c>
      <c r="I447" s="12" t="s">
        <v>32</v>
      </c>
      <c r="J447" s="10" t="n">
        <v>1394185</v>
      </c>
      <c r="L447" s="10" t="n">
        <v>501201</v>
      </c>
      <c r="M447" s="12" t="s">
        <v>33</v>
      </c>
      <c r="N447" s="12" t="s">
        <v>34</v>
      </c>
      <c r="P447" s="10" t="n">
        <v>113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2113</v>
      </c>
      <c r="W447" s="13" t="n">
        <v>0</v>
      </c>
      <c r="X447" s="12" t="s">
        <v>575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46217</v>
      </c>
      <c r="C448" s="11" t="n">
        <v>46227</v>
      </c>
      <c r="D448" s="10" t="n">
        <v>1611</v>
      </c>
      <c r="E448" s="12" t="s">
        <v>235</v>
      </c>
      <c r="F448" s="10" t="n">
        <v>24</v>
      </c>
      <c r="G448" s="12" t="s">
        <v>40</v>
      </c>
      <c r="H448" s="10" t="n">
        <v>1110203</v>
      </c>
      <c r="I448" s="12" t="s">
        <v>50</v>
      </c>
      <c r="J448" s="10" t="n">
        <v>1397322</v>
      </c>
      <c r="L448" s="10" t="n">
        <v>187872</v>
      </c>
      <c r="M448" s="12" t="s">
        <v>33</v>
      </c>
      <c r="N448" s="12" t="s">
        <v>51</v>
      </c>
      <c r="P448" s="10" t="n">
        <v>113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278.28</v>
      </c>
      <c r="W448" s="13" t="n">
        <v>0</v>
      </c>
      <c r="X448" s="12" t="s">
        <v>576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46227</v>
      </c>
      <c r="C449" s="11" t="n">
        <v>46227</v>
      </c>
      <c r="D449" s="10" t="n">
        <v>48</v>
      </c>
      <c r="E449" s="12" t="s">
        <v>78</v>
      </c>
      <c r="F449" s="10" t="n">
        <v>34</v>
      </c>
      <c r="G449" s="12" t="s">
        <v>31</v>
      </c>
      <c r="H449" s="10" t="n">
        <v>2110101</v>
      </c>
      <c r="I449" s="12" t="s">
        <v>32</v>
      </c>
      <c r="J449" s="10" t="n">
        <v>1445080</v>
      </c>
      <c r="L449" s="10" t="n">
        <v>2560</v>
      </c>
      <c r="M449" s="12" t="s">
        <v>33</v>
      </c>
      <c r="N449" s="12" t="s">
        <v>34</v>
      </c>
      <c r="P449" s="10" t="n">
        <v>113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1919.18</v>
      </c>
      <c r="W449" s="13" t="n">
        <v>0</v>
      </c>
      <c r="X449" s="12" t="s">
        <v>343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46227</v>
      </c>
      <c r="C450" s="11" t="n">
        <v>46227</v>
      </c>
      <c r="D450" s="10" t="n">
        <v>48</v>
      </c>
      <c r="E450" s="12" t="s">
        <v>78</v>
      </c>
      <c r="F450" s="10" t="n">
        <v>13</v>
      </c>
      <c r="G450" s="12" t="s">
        <v>49</v>
      </c>
      <c r="H450" s="10" t="n">
        <v>2110101</v>
      </c>
      <c r="I450" s="12" t="s">
        <v>32</v>
      </c>
      <c r="J450" s="10" t="n">
        <v>1445121</v>
      </c>
      <c r="L450" s="10" t="n">
        <v>2561</v>
      </c>
      <c r="M450" s="12" t="s">
        <v>33</v>
      </c>
      <c r="N450" s="12" t="s">
        <v>34</v>
      </c>
      <c r="P450" s="10" t="n">
        <v>113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280</v>
      </c>
      <c r="W450" s="13" t="n">
        <v>280</v>
      </c>
      <c r="X450" s="12" t="s">
        <v>577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46224</v>
      </c>
      <c r="C451" s="11" t="n">
        <v>46227</v>
      </c>
      <c r="D451" s="10" t="n">
        <v>1899</v>
      </c>
      <c r="E451" s="12" t="s">
        <v>84</v>
      </c>
      <c r="F451" s="10" t="n">
        <v>24</v>
      </c>
      <c r="G451" s="12" t="s">
        <v>40</v>
      </c>
      <c r="H451" s="10" t="n">
        <v>1110203</v>
      </c>
      <c r="I451" s="12" t="s">
        <v>50</v>
      </c>
      <c r="J451" s="10" t="n">
        <v>1427574</v>
      </c>
      <c r="L451" s="10" t="n">
        <v>190914</v>
      </c>
      <c r="M451" s="12" t="s">
        <v>33</v>
      </c>
      <c r="N451" s="12" t="s">
        <v>51</v>
      </c>
      <c r="P451" s="10" t="n">
        <v>113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182.36</v>
      </c>
      <c r="W451" s="13" t="n">
        <v>0</v>
      </c>
      <c r="X451" s="12" t="s">
        <v>578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46220</v>
      </c>
      <c r="C452" s="11" t="n">
        <v>46227</v>
      </c>
      <c r="D452" s="10" t="n">
        <v>1024</v>
      </c>
      <c r="E452" s="12" t="s">
        <v>239</v>
      </c>
      <c r="F452" s="10" t="n">
        <v>24</v>
      </c>
      <c r="G452" s="12" t="s">
        <v>40</v>
      </c>
      <c r="H452" s="10" t="n">
        <v>1110203</v>
      </c>
      <c r="I452" s="12" t="s">
        <v>50</v>
      </c>
      <c r="J452" s="10" t="n">
        <v>1411344</v>
      </c>
      <c r="L452" s="10" t="n">
        <v>190273</v>
      </c>
      <c r="M452" s="12" t="s">
        <v>33</v>
      </c>
      <c r="N452" s="12" t="s">
        <v>51</v>
      </c>
      <c r="P452" s="10" t="n">
        <v>113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189</v>
      </c>
      <c r="W452" s="13" t="n">
        <v>0</v>
      </c>
      <c r="X452" s="12" t="s">
        <v>579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46214</v>
      </c>
      <c r="C453" s="11" t="n">
        <v>46227</v>
      </c>
      <c r="D453" s="10" t="n">
        <v>1666</v>
      </c>
      <c r="E453" s="12" t="s">
        <v>93</v>
      </c>
      <c r="F453" s="10" t="n">
        <v>24</v>
      </c>
      <c r="G453" s="12" t="s">
        <v>40</v>
      </c>
      <c r="H453" s="10" t="n">
        <v>2110101</v>
      </c>
      <c r="I453" s="12" t="s">
        <v>32</v>
      </c>
      <c r="J453" s="10" t="n">
        <v>1381638</v>
      </c>
      <c r="L453" s="10" t="n">
        <v>566541</v>
      </c>
      <c r="M453" s="12" t="s">
        <v>108</v>
      </c>
      <c r="N453" s="12" t="s">
        <v>34</v>
      </c>
      <c r="P453" s="10" t="n">
        <v>113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4572.86</v>
      </c>
      <c r="W453" s="13" t="n">
        <v>0</v>
      </c>
      <c r="X453" s="12" t="s">
        <v>479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46228</v>
      </c>
      <c r="C454" s="11" t="n">
        <v>46228</v>
      </c>
      <c r="D454" s="10" t="n">
        <v>10096</v>
      </c>
      <c r="E454" s="12" t="s">
        <v>48</v>
      </c>
      <c r="F454" s="10" t="n">
        <v>13</v>
      </c>
      <c r="G454" s="12" t="s">
        <v>49</v>
      </c>
      <c r="H454" s="10" t="n">
        <v>1110203</v>
      </c>
      <c r="I454" s="12" t="s">
        <v>50</v>
      </c>
      <c r="J454" s="10" t="n">
        <v>1459321</v>
      </c>
      <c r="L454" s="10" t="n">
        <v>197503</v>
      </c>
      <c r="M454" s="12" t="s">
        <v>33</v>
      </c>
      <c r="N454" s="12" t="s">
        <v>51</v>
      </c>
      <c r="P454" s="10" t="n">
        <v>113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140</v>
      </c>
      <c r="W454" s="13" t="n">
        <v>0</v>
      </c>
      <c r="X454" s="12" t="s">
        <v>580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46223</v>
      </c>
      <c r="C455" s="11" t="n">
        <v>46228</v>
      </c>
      <c r="D455" s="10" t="n">
        <v>1625</v>
      </c>
      <c r="E455" s="12" t="s">
        <v>283</v>
      </c>
      <c r="F455" s="10" t="n">
        <v>24</v>
      </c>
      <c r="G455" s="12" t="s">
        <v>40</v>
      </c>
      <c r="H455" s="10" t="n">
        <v>1110203</v>
      </c>
      <c r="I455" s="12" t="s">
        <v>50</v>
      </c>
      <c r="J455" s="10" t="n">
        <v>1424351</v>
      </c>
      <c r="L455" s="10" t="n">
        <v>190901</v>
      </c>
      <c r="M455" s="12" t="s">
        <v>33</v>
      </c>
      <c r="N455" s="12" t="s">
        <v>51</v>
      </c>
      <c r="P455" s="10" t="n">
        <v>113</v>
      </c>
      <c r="Q455" s="12" t="s">
        <v>35</v>
      </c>
      <c r="R455" s="12" t="s">
        <v>36</v>
      </c>
      <c r="S455" s="10" t="n">
        <v>1130101</v>
      </c>
      <c r="T455" s="12" t="s">
        <v>37</v>
      </c>
      <c r="U455" s="13" t="n">
        <v>3804</v>
      </c>
      <c r="W455" s="13" t="n">
        <v>0</v>
      </c>
      <c r="X455" s="12" t="s">
        <v>581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46228</v>
      </c>
      <c r="C456" s="11" t="n">
        <v>46228</v>
      </c>
      <c r="D456" s="10" t="n">
        <v>48</v>
      </c>
      <c r="E456" s="12" t="s">
        <v>78</v>
      </c>
      <c r="F456" s="10" t="n">
        <v>13</v>
      </c>
      <c r="G456" s="12" t="s">
        <v>49</v>
      </c>
      <c r="H456" s="10" t="n">
        <v>2110101</v>
      </c>
      <c r="I456" s="12" t="s">
        <v>32</v>
      </c>
      <c r="J456" s="10" t="n">
        <v>1448190</v>
      </c>
      <c r="L456" s="10" t="n">
        <v>2562</v>
      </c>
      <c r="M456" s="12" t="s">
        <v>33</v>
      </c>
      <c r="N456" s="12" t="s">
        <v>34</v>
      </c>
      <c r="P456" s="10" t="n">
        <v>113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200</v>
      </c>
      <c r="W456" s="13" t="n">
        <v>200</v>
      </c>
      <c r="X456" s="12" t="s">
        <v>582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46029</v>
      </c>
      <c r="C457" s="11" t="n">
        <v>46228</v>
      </c>
      <c r="D457" s="10" t="n">
        <v>17</v>
      </c>
      <c r="E457" s="12" t="s">
        <v>287</v>
      </c>
      <c r="F457" s="10" t="n">
        <v>48</v>
      </c>
      <c r="G457" s="12" t="s">
        <v>583</v>
      </c>
      <c r="H457" s="10" t="n">
        <v>2110405</v>
      </c>
      <c r="I457" s="12" t="s">
        <v>87</v>
      </c>
      <c r="J457" s="10" t="n">
        <v>660305</v>
      </c>
      <c r="L457" s="10" t="n">
        <v>86116</v>
      </c>
      <c r="M457" s="12" t="s">
        <v>584</v>
      </c>
      <c r="N457" s="12" t="s">
        <v>51</v>
      </c>
      <c r="P457" s="10" t="n">
        <v>101</v>
      </c>
      <c r="Q457" s="12" t="s">
        <v>69</v>
      </c>
      <c r="R457" s="12" t="s">
        <v>271</v>
      </c>
      <c r="S457" s="10" t="n">
        <v>4220199</v>
      </c>
      <c r="T457" s="12" t="s">
        <v>272</v>
      </c>
      <c r="U457" s="13" t="n">
        <v>84.03</v>
      </c>
      <c r="W457" s="13" t="n">
        <v>0</v>
      </c>
      <c r="X457" s="12" t="s">
        <v>585</v>
      </c>
      <c r="Z457" s="1" t="str">
        <f aca="false">IF($T457="","",IFERROR(INDEX('Resumo Grupos'!$AC$3:$AC$200,MATCH($T457,'Resumo Grupos'!$AB$3:$AB$200,0)),"n/d"))</f>
        <v>Pagamentos outros não operacionais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46013</v>
      </c>
      <c r="C458" s="11" t="n">
        <v>46228</v>
      </c>
      <c r="D458" s="10" t="n">
        <v>17</v>
      </c>
      <c r="E458" s="12" t="s">
        <v>287</v>
      </c>
      <c r="F458" s="10" t="n">
        <v>48</v>
      </c>
      <c r="G458" s="12" t="s">
        <v>583</v>
      </c>
      <c r="H458" s="10" t="n">
        <v>2110405</v>
      </c>
      <c r="I458" s="12" t="s">
        <v>87</v>
      </c>
      <c r="J458" s="10" t="n">
        <v>660421</v>
      </c>
      <c r="L458" s="10" t="n">
        <v>86128</v>
      </c>
      <c r="M458" s="12" t="s">
        <v>584</v>
      </c>
      <c r="N458" s="12" t="s">
        <v>51</v>
      </c>
      <c r="P458" s="10" t="n">
        <v>101</v>
      </c>
      <c r="Q458" s="12" t="s">
        <v>69</v>
      </c>
      <c r="R458" s="12" t="s">
        <v>271</v>
      </c>
      <c r="S458" s="10" t="n">
        <v>4220199</v>
      </c>
      <c r="T458" s="12" t="s">
        <v>272</v>
      </c>
      <c r="U458" s="13" t="n">
        <v>362.14</v>
      </c>
      <c r="W458" s="13" t="n">
        <v>0</v>
      </c>
      <c r="X458" s="12" t="s">
        <v>586</v>
      </c>
      <c r="Z458" s="1" t="str">
        <f aca="false">IF($T458="","",IFERROR(INDEX('Resumo Grupos'!$AC$3:$AC$200,MATCH($T458,'Resumo Grupos'!$AB$3:$AB$200,0)),"n/d"))</f>
        <v>Pagamentos outros não operacionais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46213</v>
      </c>
      <c r="C459" s="11" t="n">
        <v>46228</v>
      </c>
      <c r="D459" s="10" t="n">
        <v>18</v>
      </c>
      <c r="E459" s="12" t="s">
        <v>207</v>
      </c>
      <c r="F459" s="10" t="n">
        <v>34</v>
      </c>
      <c r="G459" s="12" t="s">
        <v>31</v>
      </c>
      <c r="H459" s="10" t="n">
        <v>2110405</v>
      </c>
      <c r="I459" s="12" t="s">
        <v>87</v>
      </c>
      <c r="J459" s="10" t="n">
        <v>1402866</v>
      </c>
      <c r="L459" s="10" t="n">
        <v>188824</v>
      </c>
      <c r="M459" s="12" t="s">
        <v>33</v>
      </c>
      <c r="N459" s="12" t="s">
        <v>51</v>
      </c>
      <c r="P459" s="10" t="n">
        <v>113</v>
      </c>
      <c r="Q459" s="12" t="s">
        <v>35</v>
      </c>
      <c r="R459" s="12" t="s">
        <v>102</v>
      </c>
      <c r="S459" s="10" t="n">
        <v>4210301</v>
      </c>
      <c r="T459" s="12" t="s">
        <v>131</v>
      </c>
      <c r="U459" s="13" t="n">
        <v>200</v>
      </c>
      <c r="W459" s="13" t="n">
        <v>0</v>
      </c>
      <c r="X459" s="12" t="s">
        <v>428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46205</v>
      </c>
      <c r="C460" s="11" t="n">
        <v>46229</v>
      </c>
      <c r="D460" s="10" t="n">
        <v>1217</v>
      </c>
      <c r="E460" s="12" t="s">
        <v>314</v>
      </c>
      <c r="F460" s="10" t="n">
        <v>24</v>
      </c>
      <c r="G460" s="12" t="s">
        <v>40</v>
      </c>
      <c r="H460" s="10" t="n">
        <v>2110101</v>
      </c>
      <c r="I460" s="12" t="s">
        <v>32</v>
      </c>
      <c r="J460" s="10" t="n">
        <v>1339965</v>
      </c>
      <c r="L460" s="10" t="n">
        <v>4467</v>
      </c>
      <c r="M460" s="12" t="s">
        <v>41</v>
      </c>
      <c r="N460" s="12" t="s">
        <v>34</v>
      </c>
      <c r="P460" s="10" t="n">
        <v>113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819.53</v>
      </c>
      <c r="W460" s="13" t="n">
        <v>0</v>
      </c>
      <c r="X460" s="12" t="s">
        <v>315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46218</v>
      </c>
      <c r="C461" s="11" t="n">
        <v>46230</v>
      </c>
      <c r="D461" s="10" t="n">
        <v>1636</v>
      </c>
      <c r="E461" s="12" t="s">
        <v>65</v>
      </c>
      <c r="F461" s="10" t="n">
        <v>24</v>
      </c>
      <c r="G461" s="12" t="s">
        <v>40</v>
      </c>
      <c r="H461" s="10" t="n">
        <v>1110203</v>
      </c>
      <c r="I461" s="12" t="s">
        <v>50</v>
      </c>
      <c r="J461" s="10" t="n">
        <v>1402491</v>
      </c>
      <c r="L461" s="10" t="n">
        <v>188712</v>
      </c>
      <c r="M461" s="12" t="s">
        <v>33</v>
      </c>
      <c r="N461" s="12" t="s">
        <v>51</v>
      </c>
      <c r="P461" s="10" t="n">
        <v>113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1313.59</v>
      </c>
      <c r="W461" s="13" t="n">
        <v>0</v>
      </c>
      <c r="X461" s="12"/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46218</v>
      </c>
      <c r="C462" s="11" t="n">
        <v>46230</v>
      </c>
      <c r="D462" s="10" t="n">
        <v>1636</v>
      </c>
      <c r="E462" s="12" t="s">
        <v>65</v>
      </c>
      <c r="F462" s="10" t="n">
        <v>24</v>
      </c>
      <c r="G462" s="12" t="s">
        <v>40</v>
      </c>
      <c r="H462" s="10" t="n">
        <v>1110203</v>
      </c>
      <c r="I462" s="12" t="s">
        <v>50</v>
      </c>
      <c r="J462" s="10" t="n">
        <v>1403003</v>
      </c>
      <c r="L462" s="10" t="n">
        <v>188857</v>
      </c>
      <c r="M462" s="12" t="s">
        <v>33</v>
      </c>
      <c r="N462" s="12" t="s">
        <v>51</v>
      </c>
      <c r="P462" s="10" t="n">
        <v>113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1385.14</v>
      </c>
      <c r="W462" s="13" t="n">
        <v>0</v>
      </c>
      <c r="X462" s="12" t="s">
        <v>587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46219</v>
      </c>
      <c r="C463" s="11" t="n">
        <v>46230</v>
      </c>
      <c r="D463" s="10" t="n">
        <v>1636</v>
      </c>
      <c r="E463" s="12" t="s">
        <v>65</v>
      </c>
      <c r="F463" s="10" t="n">
        <v>24</v>
      </c>
      <c r="G463" s="12" t="s">
        <v>40</v>
      </c>
      <c r="H463" s="10" t="n">
        <v>1110203</v>
      </c>
      <c r="I463" s="12" t="s">
        <v>50</v>
      </c>
      <c r="J463" s="10" t="n">
        <v>1406447</v>
      </c>
      <c r="L463" s="10" t="n">
        <v>189383</v>
      </c>
      <c r="M463" s="12" t="s">
        <v>33</v>
      </c>
      <c r="N463" s="12" t="s">
        <v>51</v>
      </c>
      <c r="P463" s="10" t="n">
        <v>113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918.23</v>
      </c>
      <c r="W463" s="13" t="n">
        <v>0</v>
      </c>
      <c r="X463" s="12" t="s">
        <v>588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46216</v>
      </c>
      <c r="C464" s="11" t="n">
        <v>46230</v>
      </c>
      <c r="D464" s="10" t="n">
        <v>1626</v>
      </c>
      <c r="E464" s="12" t="s">
        <v>67</v>
      </c>
      <c r="F464" s="10" t="n">
        <v>24</v>
      </c>
      <c r="G464" s="12" t="s">
        <v>40</v>
      </c>
      <c r="H464" s="10" t="n">
        <v>2110101</v>
      </c>
      <c r="I464" s="12" t="s">
        <v>32</v>
      </c>
      <c r="J464" s="10" t="n">
        <v>1393879</v>
      </c>
      <c r="L464" s="10" t="n">
        <v>312916</v>
      </c>
      <c r="M464" s="12" t="s">
        <v>108</v>
      </c>
      <c r="N464" s="12" t="s">
        <v>34</v>
      </c>
      <c r="P464" s="10" t="n">
        <v>113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368.06</v>
      </c>
      <c r="W464" s="13" t="n">
        <v>0</v>
      </c>
      <c r="X464" s="12" t="s">
        <v>500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46023</v>
      </c>
      <c r="C465" s="11" t="n">
        <v>46230</v>
      </c>
      <c r="D465" s="10" t="n">
        <v>515</v>
      </c>
      <c r="E465" s="12" t="s">
        <v>68</v>
      </c>
      <c r="F465" s="10" t="n">
        <v>34</v>
      </c>
      <c r="G465" s="12" t="s">
        <v>31</v>
      </c>
      <c r="H465" s="10" t="n">
        <v>2110405</v>
      </c>
      <c r="I465" s="12" t="s">
        <v>87</v>
      </c>
      <c r="J465" s="10" t="n">
        <v>1012266</v>
      </c>
      <c r="L465" s="10" t="n">
        <v>133812</v>
      </c>
      <c r="M465" s="12" t="s">
        <v>584</v>
      </c>
      <c r="N465" s="12" t="s">
        <v>51</v>
      </c>
      <c r="P465" s="10" t="n">
        <v>101</v>
      </c>
      <c r="Q465" s="12" t="s">
        <v>69</v>
      </c>
      <c r="R465" s="12" t="s">
        <v>378</v>
      </c>
      <c r="S465" s="10" t="n">
        <v>2110901</v>
      </c>
      <c r="T465" s="12" t="s">
        <v>379</v>
      </c>
      <c r="U465" s="13" t="n">
        <v>4168.41</v>
      </c>
      <c r="W465" s="13" t="n">
        <v>0</v>
      </c>
      <c r="X465" s="12" t="s">
        <v>589</v>
      </c>
      <c r="Z465" s="1" t="str">
        <f aca="false">IF($T465="","",IFERROR(INDEX('Resumo Grupos'!$AC$3:$AC$200,MATCH($T465,'Resumo Grupos'!$AB$3:$AB$200,0)),"n/d"))</f>
        <v>Empréstimo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46230</v>
      </c>
      <c r="C466" s="11" t="n">
        <v>46230</v>
      </c>
      <c r="D466" s="10" t="n">
        <v>515</v>
      </c>
      <c r="E466" s="12" t="s">
        <v>68</v>
      </c>
      <c r="F466" s="10" t="n">
        <v>34</v>
      </c>
      <c r="G466" s="12" t="s">
        <v>31</v>
      </c>
      <c r="H466" s="10" t="n">
        <v>1110203</v>
      </c>
      <c r="I466" s="12" t="s">
        <v>50</v>
      </c>
      <c r="J466" s="10" t="n">
        <v>1464457</v>
      </c>
      <c r="L466" s="10" t="n">
        <v>198282</v>
      </c>
      <c r="M466" s="12" t="s">
        <v>33</v>
      </c>
      <c r="N466" s="12" t="s">
        <v>51</v>
      </c>
      <c r="P466" s="10" t="n">
        <v>102</v>
      </c>
      <c r="Q466" s="12" t="s">
        <v>101</v>
      </c>
      <c r="R466" s="12" t="s">
        <v>223</v>
      </c>
      <c r="S466" s="10" t="n">
        <v>4210504</v>
      </c>
      <c r="T466" s="12" t="s">
        <v>224</v>
      </c>
      <c r="U466" s="13" t="n">
        <v>165</v>
      </c>
      <c r="W466" s="13" t="n">
        <v>0</v>
      </c>
      <c r="X466" s="12" t="s">
        <v>590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46231</v>
      </c>
      <c r="C467" s="11" t="n">
        <v>46230</v>
      </c>
      <c r="D467" s="10" t="n">
        <v>515</v>
      </c>
      <c r="E467" s="12" t="s">
        <v>68</v>
      </c>
      <c r="F467" s="10" t="n">
        <v>34</v>
      </c>
      <c r="G467" s="12" t="s">
        <v>31</v>
      </c>
      <c r="H467" s="10" t="n">
        <v>1110203</v>
      </c>
      <c r="I467" s="12" t="s">
        <v>50</v>
      </c>
      <c r="J467" s="10" t="n">
        <v>1464457</v>
      </c>
      <c r="L467" s="10" t="n">
        <v>198282</v>
      </c>
      <c r="M467" s="12" t="s">
        <v>108</v>
      </c>
      <c r="N467" s="12" t="s">
        <v>51</v>
      </c>
      <c r="P467" s="10" t="n">
        <v>102</v>
      </c>
      <c r="Q467" s="12" t="s">
        <v>101</v>
      </c>
      <c r="R467" s="12" t="s">
        <v>223</v>
      </c>
      <c r="S467" s="10" t="n">
        <v>4210504</v>
      </c>
      <c r="T467" s="12" t="s">
        <v>224</v>
      </c>
      <c r="U467" s="13" t="n">
        <v>165</v>
      </c>
      <c r="W467" s="13" t="n">
        <v>0</v>
      </c>
      <c r="X467" s="12" t="s">
        <v>590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46230</v>
      </c>
      <c r="C468" s="11" t="n">
        <v>46230</v>
      </c>
      <c r="D468" s="10" t="n">
        <v>515</v>
      </c>
      <c r="E468" s="12" t="s">
        <v>68</v>
      </c>
      <c r="F468" s="10" t="n">
        <v>34</v>
      </c>
      <c r="G468" s="12" t="s">
        <v>31</v>
      </c>
      <c r="H468" s="10" t="n">
        <v>1110203</v>
      </c>
      <c r="I468" s="12" t="s">
        <v>50</v>
      </c>
      <c r="J468" s="10" t="n">
        <v>1464466</v>
      </c>
      <c r="L468" s="10" t="n">
        <v>198285</v>
      </c>
      <c r="M468" s="12" t="s">
        <v>33</v>
      </c>
      <c r="N468" s="12" t="s">
        <v>51</v>
      </c>
      <c r="P468" s="10" t="n">
        <v>102</v>
      </c>
      <c r="Q468" s="12" t="s">
        <v>101</v>
      </c>
      <c r="R468" s="12" t="s">
        <v>223</v>
      </c>
      <c r="S468" s="10" t="n">
        <v>4210502</v>
      </c>
      <c r="T468" s="12" t="s">
        <v>572</v>
      </c>
      <c r="U468" s="13" t="n">
        <v>1603.6</v>
      </c>
      <c r="W468" s="13" t="n">
        <v>0</v>
      </c>
      <c r="X468" s="12" t="s">
        <v>591</v>
      </c>
      <c r="Z468" s="1" t="str">
        <f aca="false">IF($T468="","",IFERROR(INDEX('Resumo Grupos'!$AC$3:$AC$200,MATCH($T468,'Resumo Grupos'!$AB$3:$AB$200,0)),"n/d"))</f>
        <v>Empréstimo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46227</v>
      </c>
      <c r="C469" s="11" t="n">
        <v>46230</v>
      </c>
      <c r="D469" s="10" t="n">
        <v>10035</v>
      </c>
      <c r="E469" s="12" t="s">
        <v>72</v>
      </c>
      <c r="F469" s="10" t="n">
        <v>34</v>
      </c>
      <c r="G469" s="12" t="s">
        <v>31</v>
      </c>
      <c r="H469" s="10" t="n">
        <v>1110203</v>
      </c>
      <c r="I469" s="12" t="s">
        <v>50</v>
      </c>
      <c r="J469" s="10" t="n">
        <v>1443788</v>
      </c>
      <c r="L469" s="10" t="n">
        <v>195252</v>
      </c>
      <c r="M469" s="12" t="s">
        <v>33</v>
      </c>
      <c r="N469" s="12" t="s">
        <v>51</v>
      </c>
      <c r="P469" s="10" t="n">
        <v>113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270</v>
      </c>
      <c r="W469" s="13" t="n">
        <v>0</v>
      </c>
      <c r="X469" s="12" t="s">
        <v>592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46224</v>
      </c>
      <c r="C470" s="11" t="n">
        <v>46230</v>
      </c>
      <c r="D470" s="10" t="n">
        <v>1363</v>
      </c>
      <c r="E470" s="12" t="s">
        <v>340</v>
      </c>
      <c r="F470" s="10" t="n">
        <v>24</v>
      </c>
      <c r="G470" s="12" t="s">
        <v>40</v>
      </c>
      <c r="H470" s="10" t="n">
        <v>1110203</v>
      </c>
      <c r="I470" s="12" t="s">
        <v>50</v>
      </c>
      <c r="J470" s="10" t="n">
        <v>1427550</v>
      </c>
      <c r="L470" s="10" t="n">
        <v>190912</v>
      </c>
      <c r="M470" s="12" t="s">
        <v>33</v>
      </c>
      <c r="N470" s="12" t="s">
        <v>51</v>
      </c>
      <c r="P470" s="10" t="n">
        <v>113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179</v>
      </c>
      <c r="W470" s="13" t="n">
        <v>0</v>
      </c>
      <c r="X470" s="12" t="s">
        <v>593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46223</v>
      </c>
      <c r="C471" s="11" t="n">
        <v>46230</v>
      </c>
      <c r="D471" s="10" t="n">
        <v>581</v>
      </c>
      <c r="E471" s="12" t="s">
        <v>233</v>
      </c>
      <c r="F471" s="10" t="n">
        <v>24</v>
      </c>
      <c r="G471" s="12" t="s">
        <v>40</v>
      </c>
      <c r="H471" s="10" t="n">
        <v>1110203</v>
      </c>
      <c r="I471" s="12" t="s">
        <v>50</v>
      </c>
      <c r="J471" s="10" t="n">
        <v>1424567</v>
      </c>
      <c r="L471" s="10" t="n">
        <v>190908</v>
      </c>
      <c r="M471" s="12" t="s">
        <v>33</v>
      </c>
      <c r="N471" s="12" t="s">
        <v>51</v>
      </c>
      <c r="P471" s="10" t="n">
        <v>113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199</v>
      </c>
      <c r="W471" s="13" t="n">
        <v>0</v>
      </c>
      <c r="X471" s="12" t="s">
        <v>594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46230</v>
      </c>
      <c r="C472" s="11" t="n">
        <v>46230</v>
      </c>
      <c r="D472" s="10" t="n">
        <v>48</v>
      </c>
      <c r="E472" s="12" t="s">
        <v>78</v>
      </c>
      <c r="F472" s="10" t="n">
        <v>13</v>
      </c>
      <c r="G472" s="12" t="s">
        <v>49</v>
      </c>
      <c r="H472" s="10" t="n">
        <v>2110101</v>
      </c>
      <c r="I472" s="12" t="s">
        <v>32</v>
      </c>
      <c r="J472" s="10" t="n">
        <v>1459242</v>
      </c>
      <c r="L472" s="10" t="n">
        <v>2563</v>
      </c>
      <c r="M472" s="12" t="s">
        <v>33</v>
      </c>
      <c r="N472" s="12" t="s">
        <v>34</v>
      </c>
      <c r="P472" s="10" t="n">
        <v>113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210</v>
      </c>
      <c r="W472" s="13" t="n">
        <v>210</v>
      </c>
      <c r="X472" s="12" t="s">
        <v>595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46223</v>
      </c>
      <c r="C473" s="11" t="n">
        <v>46230</v>
      </c>
      <c r="D473" s="10" t="n">
        <v>48</v>
      </c>
      <c r="E473" s="12" t="s">
        <v>78</v>
      </c>
      <c r="F473" s="10" t="n">
        <v>34</v>
      </c>
      <c r="G473" s="12" t="s">
        <v>31</v>
      </c>
      <c r="H473" s="10" t="n">
        <v>2110101</v>
      </c>
      <c r="I473" s="12" t="s">
        <v>32</v>
      </c>
      <c r="J473" s="10" t="n">
        <v>1423704</v>
      </c>
      <c r="L473" s="10" t="n">
        <v>2550</v>
      </c>
      <c r="M473" s="12" t="s">
        <v>33</v>
      </c>
      <c r="N473" s="12" t="s">
        <v>34</v>
      </c>
      <c r="P473" s="10" t="n">
        <v>113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949</v>
      </c>
      <c r="W473" s="13" t="n">
        <v>0</v>
      </c>
      <c r="X473" s="12" t="s">
        <v>437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46230</v>
      </c>
      <c r="C474" s="11" t="n">
        <v>46230</v>
      </c>
      <c r="D474" s="10" t="n">
        <v>17</v>
      </c>
      <c r="E474" s="12" t="s">
        <v>287</v>
      </c>
      <c r="F474" s="10" t="n">
        <v>48</v>
      </c>
      <c r="G474" s="12" t="s">
        <v>583</v>
      </c>
      <c r="H474" s="10" t="n">
        <v>1110203</v>
      </c>
      <c r="I474" s="12" t="s">
        <v>50</v>
      </c>
      <c r="J474" s="10" t="n">
        <v>1464636</v>
      </c>
      <c r="L474" s="10" t="n">
        <v>198325</v>
      </c>
      <c r="M474" s="12" t="s">
        <v>33</v>
      </c>
      <c r="N474" s="12" t="s">
        <v>51</v>
      </c>
      <c r="P474" s="10" t="n">
        <v>102</v>
      </c>
      <c r="Q474" s="12" t="s">
        <v>101</v>
      </c>
      <c r="R474" s="12" t="s">
        <v>271</v>
      </c>
      <c r="S474" s="10" t="n">
        <v>4220199</v>
      </c>
      <c r="T474" s="12" t="s">
        <v>272</v>
      </c>
      <c r="U474" s="13" t="n">
        <v>602.1</v>
      </c>
      <c r="W474" s="13" t="n">
        <v>0</v>
      </c>
      <c r="X474" s="12" t="s">
        <v>596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46224</v>
      </c>
      <c r="C475" s="11" t="n">
        <v>46230</v>
      </c>
      <c r="D475" s="10" t="n">
        <v>1328</v>
      </c>
      <c r="E475" s="12" t="s">
        <v>80</v>
      </c>
      <c r="F475" s="10" t="n">
        <v>24</v>
      </c>
      <c r="G475" s="12" t="s">
        <v>40</v>
      </c>
      <c r="H475" s="10" t="n">
        <v>1110203</v>
      </c>
      <c r="I475" s="12" t="s">
        <v>50</v>
      </c>
      <c r="J475" s="10" t="n">
        <v>1427562</v>
      </c>
      <c r="L475" s="10" t="n">
        <v>190913</v>
      </c>
      <c r="M475" s="12" t="s">
        <v>33</v>
      </c>
      <c r="N475" s="12" t="s">
        <v>51</v>
      </c>
      <c r="P475" s="10" t="n">
        <v>113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232.05</v>
      </c>
      <c r="W475" s="13" t="n">
        <v>0</v>
      </c>
      <c r="X475" s="12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46226</v>
      </c>
      <c r="C476" s="11" t="n">
        <v>46230</v>
      </c>
      <c r="D476" s="10" t="n">
        <v>1899</v>
      </c>
      <c r="E476" s="12" t="s">
        <v>84</v>
      </c>
      <c r="F476" s="10" t="n">
        <v>24</v>
      </c>
      <c r="G476" s="12" t="s">
        <v>40</v>
      </c>
      <c r="H476" s="10" t="n">
        <v>1110203</v>
      </c>
      <c r="I476" s="12" t="s">
        <v>50</v>
      </c>
      <c r="J476" s="10" t="n">
        <v>1438993</v>
      </c>
      <c r="L476" s="10" t="n">
        <v>194448</v>
      </c>
      <c r="M476" s="12" t="s">
        <v>33</v>
      </c>
      <c r="N476" s="12" t="s">
        <v>51</v>
      </c>
      <c r="P476" s="10" t="n">
        <v>113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247.23</v>
      </c>
      <c r="W476" s="13" t="n">
        <v>0</v>
      </c>
      <c r="X476" s="12" t="s">
        <v>598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46228</v>
      </c>
      <c r="C477" s="11" t="n">
        <v>46231</v>
      </c>
      <c r="D477" s="10" t="n">
        <v>642</v>
      </c>
      <c r="E477" s="12" t="s">
        <v>97</v>
      </c>
      <c r="F477" s="10" t="n">
        <v>24</v>
      </c>
      <c r="G477" s="12" t="s">
        <v>40</v>
      </c>
      <c r="H477" s="10" t="n">
        <v>1110203</v>
      </c>
      <c r="I477" s="12" t="s">
        <v>50</v>
      </c>
      <c r="J477" s="10" t="n">
        <v>1448216</v>
      </c>
      <c r="L477" s="10" t="n">
        <v>196004</v>
      </c>
      <c r="M477" s="12" t="s">
        <v>33</v>
      </c>
      <c r="N477" s="12" t="s">
        <v>51</v>
      </c>
      <c r="P477" s="10" t="n">
        <v>113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</v>
      </c>
      <c r="W477" s="13" t="n">
        <v>0</v>
      </c>
      <c r="X477" s="12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46216</v>
      </c>
      <c r="C478" s="11" t="n">
        <v>46231</v>
      </c>
      <c r="D478" s="10" t="n">
        <v>1705</v>
      </c>
      <c r="E478" s="12" t="s">
        <v>43</v>
      </c>
      <c r="F478" s="10" t="n">
        <v>24</v>
      </c>
      <c r="G478" s="12" t="s">
        <v>40</v>
      </c>
      <c r="H478" s="10" t="n">
        <v>2110101</v>
      </c>
      <c r="I478" s="12" t="s">
        <v>32</v>
      </c>
      <c r="J478" s="10" t="n">
        <v>1393986</v>
      </c>
      <c r="L478" s="10" t="n">
        <v>1931230</v>
      </c>
      <c r="M478" s="12" t="s">
        <v>33</v>
      </c>
      <c r="N478" s="12" t="s">
        <v>34</v>
      </c>
      <c r="P478" s="10" t="n">
        <v>113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419.67</v>
      </c>
      <c r="W478" s="13" t="n">
        <v>0</v>
      </c>
      <c r="X478" s="12" t="s">
        <v>600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46216</v>
      </c>
      <c r="C479" s="11" t="n">
        <v>46231</v>
      </c>
      <c r="D479" s="10" t="n">
        <v>1705</v>
      </c>
      <c r="E479" s="12" t="s">
        <v>43</v>
      </c>
      <c r="F479" s="10" t="n">
        <v>24</v>
      </c>
      <c r="G479" s="12" t="s">
        <v>40</v>
      </c>
      <c r="H479" s="10" t="n">
        <v>2110101</v>
      </c>
      <c r="I479" s="12" t="s">
        <v>32</v>
      </c>
      <c r="J479" s="10" t="n">
        <v>1393993</v>
      </c>
      <c r="L479" s="10" t="n">
        <v>1199257</v>
      </c>
      <c r="M479" s="12" t="s">
        <v>33</v>
      </c>
      <c r="N479" s="12" t="s">
        <v>34</v>
      </c>
      <c r="P479" s="10" t="n">
        <v>113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203.41</v>
      </c>
      <c r="W479" s="13" t="n">
        <v>0</v>
      </c>
      <c r="X479" s="12" t="s">
        <v>601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46216</v>
      </c>
      <c r="C480" s="11" t="n">
        <v>46231</v>
      </c>
      <c r="D480" s="10" t="n">
        <v>1705</v>
      </c>
      <c r="E480" s="12" t="s">
        <v>43</v>
      </c>
      <c r="F480" s="10" t="n">
        <v>24</v>
      </c>
      <c r="G480" s="12" t="s">
        <v>40</v>
      </c>
      <c r="H480" s="10" t="n">
        <v>2110101</v>
      </c>
      <c r="I480" s="12" t="s">
        <v>32</v>
      </c>
      <c r="J480" s="10" t="n">
        <v>1394011</v>
      </c>
      <c r="L480" s="10" t="n">
        <v>1199243</v>
      </c>
      <c r="M480" s="12" t="s">
        <v>33</v>
      </c>
      <c r="N480" s="12" t="s">
        <v>34</v>
      </c>
      <c r="P480" s="10" t="n">
        <v>113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106.21</v>
      </c>
      <c r="W480" s="13" t="n">
        <v>0</v>
      </c>
      <c r="X480" s="12" t="s">
        <v>602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46231</v>
      </c>
      <c r="C481" s="11" t="n">
        <v>46231</v>
      </c>
      <c r="D481" s="10" t="n">
        <v>847</v>
      </c>
      <c r="E481" s="12" t="s">
        <v>603</v>
      </c>
      <c r="F481" s="10" t="n">
        <v>24</v>
      </c>
      <c r="G481" s="12" t="s">
        <v>40</v>
      </c>
      <c r="H481" s="10" t="n">
        <v>1110203</v>
      </c>
      <c r="I481" s="12" t="s">
        <v>50</v>
      </c>
      <c r="J481" s="10" t="n">
        <v>1464541</v>
      </c>
      <c r="L481" s="10" t="n">
        <v>198302</v>
      </c>
      <c r="M481" s="12" t="s">
        <v>33</v>
      </c>
      <c r="N481" s="12" t="s">
        <v>51</v>
      </c>
      <c r="P481" s="10" t="n">
        <v>101</v>
      </c>
      <c r="Q481" s="12" t="s">
        <v>69</v>
      </c>
      <c r="R481" s="12" t="s">
        <v>88</v>
      </c>
      <c r="S481" s="10" t="n">
        <v>4210227</v>
      </c>
      <c r="T481" s="12" t="s">
        <v>119</v>
      </c>
      <c r="U481" s="13" t="n">
        <v>302.22</v>
      </c>
      <c r="W481" s="13" t="n">
        <v>0</v>
      </c>
      <c r="X481" s="12" t="s">
        <v>604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46231</v>
      </c>
      <c r="C482" s="11" t="n">
        <v>46231</v>
      </c>
      <c r="D482" s="10" t="n">
        <v>1037</v>
      </c>
      <c r="E482" s="12" t="s">
        <v>125</v>
      </c>
      <c r="F482" s="10" t="n">
        <v>34</v>
      </c>
      <c r="G482" s="12" t="s">
        <v>31</v>
      </c>
      <c r="H482" s="10" t="n">
        <v>1110203</v>
      </c>
      <c r="I482" s="12" t="s">
        <v>50</v>
      </c>
      <c r="J482" s="10" t="n">
        <v>1465100</v>
      </c>
      <c r="L482" s="10" t="n">
        <v>198379</v>
      </c>
      <c r="M482" s="12" t="s">
        <v>33</v>
      </c>
      <c r="N482" s="12" t="s">
        <v>51</v>
      </c>
      <c r="P482" s="10" t="n">
        <v>113</v>
      </c>
      <c r="Q482" s="12" t="s">
        <v>35</v>
      </c>
      <c r="R482" s="12" t="s">
        <v>36</v>
      </c>
      <c r="S482" s="10" t="n">
        <v>1130101</v>
      </c>
      <c r="T482" s="12" t="s">
        <v>37</v>
      </c>
      <c r="U482" s="13" t="n">
        <v>140</v>
      </c>
      <c r="W482" s="13" t="n">
        <v>0</v>
      </c>
      <c r="X482" s="12" t="s">
        <v>605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46189</v>
      </c>
      <c r="C483" s="11" t="n">
        <v>46231</v>
      </c>
      <c r="D483" s="10" t="n">
        <v>957</v>
      </c>
      <c r="E483" s="12" t="s">
        <v>58</v>
      </c>
      <c r="F483" s="10" t="n">
        <v>24</v>
      </c>
      <c r="G483" s="12" t="s">
        <v>40</v>
      </c>
      <c r="H483" s="10" t="n">
        <v>2110101</v>
      </c>
      <c r="I483" s="12" t="s">
        <v>32</v>
      </c>
      <c r="J483" s="10" t="n">
        <v>1261052</v>
      </c>
      <c r="L483" s="10" t="n">
        <v>20499</v>
      </c>
      <c r="M483" s="12" t="s">
        <v>191</v>
      </c>
      <c r="N483" s="12" t="s">
        <v>34</v>
      </c>
      <c r="P483" s="10" t="n">
        <v>113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1589.28</v>
      </c>
      <c r="W483" s="13" t="n">
        <v>0</v>
      </c>
      <c r="X483" s="12" t="s">
        <v>59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46204</v>
      </c>
      <c r="C484" s="11" t="n">
        <v>46231</v>
      </c>
      <c r="D484" s="10" t="n">
        <v>1611</v>
      </c>
      <c r="E484" s="12" t="s">
        <v>235</v>
      </c>
      <c r="F484" s="10" t="n">
        <v>24</v>
      </c>
      <c r="G484" s="12" t="s">
        <v>40</v>
      </c>
      <c r="H484" s="10" t="n">
        <v>2110101</v>
      </c>
      <c r="I484" s="12" t="s">
        <v>32</v>
      </c>
      <c r="J484" s="10" t="n">
        <v>1333898</v>
      </c>
      <c r="L484" s="10" t="n">
        <v>1777487</v>
      </c>
      <c r="M484" s="12" t="s">
        <v>41</v>
      </c>
      <c r="N484" s="12" t="s">
        <v>34</v>
      </c>
      <c r="P484" s="10" t="n">
        <v>113</v>
      </c>
      <c r="Q484" s="12" t="s">
        <v>35</v>
      </c>
      <c r="R484" s="12" t="s">
        <v>36</v>
      </c>
      <c r="S484" s="10" t="n">
        <v>1130101</v>
      </c>
      <c r="T484" s="12" t="s">
        <v>37</v>
      </c>
      <c r="U484" s="13" t="n">
        <v>542.11</v>
      </c>
      <c r="W484" s="13" t="n">
        <v>0</v>
      </c>
      <c r="X484" s="12" t="s">
        <v>436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46219</v>
      </c>
      <c r="C485" s="11" t="n">
        <v>46231</v>
      </c>
      <c r="D485" s="10" t="n">
        <v>10009</v>
      </c>
      <c r="E485" s="12" t="s">
        <v>76</v>
      </c>
      <c r="F485" s="10" t="n">
        <v>24</v>
      </c>
      <c r="G485" s="12" t="s">
        <v>40</v>
      </c>
      <c r="H485" s="10" t="n">
        <v>1110203</v>
      </c>
      <c r="I485" s="12" t="s">
        <v>50</v>
      </c>
      <c r="J485" s="10" t="n">
        <v>1406030</v>
      </c>
      <c r="L485" s="10" t="n">
        <v>189281</v>
      </c>
      <c r="M485" s="12" t="s">
        <v>33</v>
      </c>
      <c r="N485" s="12" t="s">
        <v>51</v>
      </c>
      <c r="P485" s="10" t="n">
        <v>113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691.61</v>
      </c>
      <c r="W485" s="13" t="n">
        <v>0</v>
      </c>
      <c r="X485" s="12" t="s">
        <v>525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46231</v>
      </c>
      <c r="C486" s="11" t="n">
        <v>46231</v>
      </c>
      <c r="D486" s="10" t="n">
        <v>48</v>
      </c>
      <c r="E486" s="12" t="s">
        <v>78</v>
      </c>
      <c r="F486" s="10" t="n">
        <v>34</v>
      </c>
      <c r="G486" s="12" t="s">
        <v>31</v>
      </c>
      <c r="H486" s="10" t="n">
        <v>2110101</v>
      </c>
      <c r="I486" s="12" t="s">
        <v>32</v>
      </c>
      <c r="J486" s="10" t="n">
        <v>1465066</v>
      </c>
      <c r="L486" s="10" t="n">
        <v>2568</v>
      </c>
      <c r="M486" s="12" t="s">
        <v>33</v>
      </c>
      <c r="N486" s="12" t="s">
        <v>34</v>
      </c>
      <c r="P486" s="10" t="n">
        <v>113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1389.41</v>
      </c>
      <c r="W486" s="13" t="n">
        <v>0</v>
      </c>
      <c r="X486" s="12" t="s">
        <v>343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46214</v>
      </c>
      <c r="C487" s="11" t="n">
        <v>46231</v>
      </c>
      <c r="D487" s="10" t="n">
        <v>666</v>
      </c>
      <c r="E487" s="12" t="s">
        <v>82</v>
      </c>
      <c r="F487" s="10" t="n">
        <v>24</v>
      </c>
      <c r="G487" s="12" t="s">
        <v>40</v>
      </c>
      <c r="H487" s="10" t="n">
        <v>2110101</v>
      </c>
      <c r="I487" s="12" t="s">
        <v>32</v>
      </c>
      <c r="J487" s="10" t="n">
        <v>1381906</v>
      </c>
      <c r="L487" s="10" t="n">
        <v>7874</v>
      </c>
      <c r="M487" s="12" t="s">
        <v>41</v>
      </c>
      <c r="N487" s="12" t="s">
        <v>34</v>
      </c>
      <c r="P487" s="10" t="n">
        <v>113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378.88</v>
      </c>
      <c r="W487" s="13" t="n">
        <v>0</v>
      </c>
      <c r="X487" s="12" t="s">
        <v>440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46219</v>
      </c>
      <c r="C488" s="11" t="n">
        <v>46231</v>
      </c>
      <c r="D488" s="10" t="n">
        <v>1749</v>
      </c>
      <c r="E488" s="12" t="s">
        <v>142</v>
      </c>
      <c r="F488" s="10" t="n">
        <v>24</v>
      </c>
      <c r="G488" s="12" t="s">
        <v>40</v>
      </c>
      <c r="H488" s="10" t="n">
        <v>1110203</v>
      </c>
      <c r="I488" s="12" t="s">
        <v>50</v>
      </c>
      <c r="J488" s="10" t="n">
        <v>1405849</v>
      </c>
      <c r="L488" s="10" t="n">
        <v>189248</v>
      </c>
      <c r="M488" s="12" t="s">
        <v>33</v>
      </c>
      <c r="N488" s="12" t="s">
        <v>51</v>
      </c>
      <c r="P488" s="10" t="n">
        <v>113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1501.2</v>
      </c>
      <c r="W488" s="13" t="n">
        <v>0</v>
      </c>
      <c r="X488" s="12" t="s">
        <v>606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46228</v>
      </c>
      <c r="C489" s="11" t="n">
        <v>46231</v>
      </c>
      <c r="D489" s="10" t="n">
        <v>1899</v>
      </c>
      <c r="E489" s="12" t="s">
        <v>84</v>
      </c>
      <c r="F489" s="10" t="n">
        <v>24</v>
      </c>
      <c r="G489" s="12" t="s">
        <v>40</v>
      </c>
      <c r="H489" s="10" t="n">
        <v>1110203</v>
      </c>
      <c r="I489" s="12" t="s">
        <v>50</v>
      </c>
      <c r="J489" s="10" t="n">
        <v>1448470</v>
      </c>
      <c r="L489" s="10" t="n">
        <v>196059</v>
      </c>
      <c r="M489" s="12" t="s">
        <v>33</v>
      </c>
      <c r="N489" s="12" t="s">
        <v>51</v>
      </c>
      <c r="P489" s="10" t="n">
        <v>113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239.7</v>
      </c>
      <c r="W489" s="13" t="n">
        <v>0</v>
      </c>
      <c r="X489" s="12" t="s">
        <v>607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46230</v>
      </c>
      <c r="C490" s="11" t="n">
        <v>46231</v>
      </c>
      <c r="D490" s="10" t="n">
        <v>218</v>
      </c>
      <c r="E490" s="12" t="s">
        <v>362</v>
      </c>
      <c r="F490" s="10" t="n">
        <v>34</v>
      </c>
      <c r="G490" s="12" t="s">
        <v>31</v>
      </c>
      <c r="H490" s="10" t="n">
        <v>1110203</v>
      </c>
      <c r="I490" s="12" t="s">
        <v>50</v>
      </c>
      <c r="J490" s="10" t="n">
        <v>1459571</v>
      </c>
      <c r="L490" s="10" t="n">
        <v>197543</v>
      </c>
      <c r="M490" s="12" t="s">
        <v>33</v>
      </c>
      <c r="N490" s="12" t="s">
        <v>51</v>
      </c>
      <c r="P490" s="10" t="n">
        <v>101</v>
      </c>
      <c r="Q490" s="12" t="s">
        <v>69</v>
      </c>
      <c r="R490" s="12" t="s">
        <v>102</v>
      </c>
      <c r="S490" s="10" t="n">
        <v>4210301</v>
      </c>
      <c r="T490" s="12" t="s">
        <v>131</v>
      </c>
      <c r="U490" s="13" t="n">
        <v>261.72</v>
      </c>
      <c r="W490" s="13" t="n">
        <v>0</v>
      </c>
      <c r="X490" s="12" t="s">
        <v>608</v>
      </c>
      <c r="Z490" s="1" t="str">
        <f aca="false">IF($T490="","",IFERROR(INDEX('Resumo Grupos'!$AC$3:$AC$200,MATCH($T490,'Resumo Grupos'!$AB$3:$AB$200,0)),"n/d"))</f>
        <v>Salários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46230</v>
      </c>
      <c r="C491" s="11" t="n">
        <v>46231</v>
      </c>
      <c r="D491" s="10" t="n">
        <v>218</v>
      </c>
      <c r="E491" s="12" t="s">
        <v>362</v>
      </c>
      <c r="F491" s="10" t="n">
        <v>34</v>
      </c>
      <c r="G491" s="12" t="s">
        <v>31</v>
      </c>
      <c r="H491" s="10" t="n">
        <v>1110203</v>
      </c>
      <c r="I491" s="12" t="s">
        <v>50</v>
      </c>
      <c r="J491" s="10" t="n">
        <v>1459578</v>
      </c>
      <c r="L491" s="10" t="n">
        <v>197545</v>
      </c>
      <c r="M491" s="12" t="s">
        <v>33</v>
      </c>
      <c r="N491" s="12" t="s">
        <v>51</v>
      </c>
      <c r="P491" s="10" t="n">
        <v>101</v>
      </c>
      <c r="Q491" s="12" t="s">
        <v>69</v>
      </c>
      <c r="R491" s="12" t="s">
        <v>102</v>
      </c>
      <c r="S491" s="10" t="n">
        <v>4210301</v>
      </c>
      <c r="T491" s="12" t="s">
        <v>131</v>
      </c>
      <c r="U491" s="13" t="n">
        <v>267.87</v>
      </c>
      <c r="W491" s="13" t="n">
        <v>0</v>
      </c>
      <c r="X491" s="12" t="s">
        <v>609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46220</v>
      </c>
      <c r="C492" s="11" t="n">
        <v>46231</v>
      </c>
      <c r="D492" s="10" t="n">
        <v>1676</v>
      </c>
      <c r="E492" s="12" t="s">
        <v>243</v>
      </c>
      <c r="F492" s="10" t="n">
        <v>24</v>
      </c>
      <c r="G492" s="12" t="s">
        <v>40</v>
      </c>
      <c r="H492" s="10" t="n">
        <v>1110203</v>
      </c>
      <c r="I492" s="12" t="s">
        <v>50</v>
      </c>
      <c r="J492" s="10" t="n">
        <v>1410574</v>
      </c>
      <c r="L492" s="10" t="n">
        <v>190080</v>
      </c>
      <c r="M492" s="12" t="s">
        <v>33</v>
      </c>
      <c r="N492" s="12" t="s">
        <v>51</v>
      </c>
      <c r="P492" s="10" t="n">
        <v>113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505.57</v>
      </c>
      <c r="W492" s="13" t="n">
        <v>0</v>
      </c>
      <c r="X492" s="12" t="s">
        <v>610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46217</v>
      </c>
      <c r="C493" s="11" t="n">
        <v>46231</v>
      </c>
      <c r="D493" s="10" t="n">
        <v>571</v>
      </c>
      <c r="E493" s="12" t="s">
        <v>611</v>
      </c>
      <c r="F493" s="10" t="n">
        <v>24</v>
      </c>
      <c r="G493" s="12" t="s">
        <v>40</v>
      </c>
      <c r="H493" s="10" t="n">
        <v>1110203</v>
      </c>
      <c r="I493" s="12" t="s">
        <v>50</v>
      </c>
      <c r="J493" s="10" t="n">
        <v>1398431</v>
      </c>
      <c r="L493" s="10" t="n">
        <v>188123</v>
      </c>
      <c r="M493" s="12" t="s">
        <v>33</v>
      </c>
      <c r="N493" s="12" t="s">
        <v>51</v>
      </c>
      <c r="P493" s="10" t="n">
        <v>113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406.11</v>
      </c>
      <c r="W493" s="13" t="n">
        <v>0</v>
      </c>
      <c r="X493" s="12" t="s">
        <v>612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46211</v>
      </c>
      <c r="C494" s="11" t="n">
        <v>46232</v>
      </c>
      <c r="D494" s="10" t="n">
        <v>1921</v>
      </c>
      <c r="E494" s="12" t="s">
        <v>107</v>
      </c>
      <c r="F494" s="10" t="n">
        <v>24</v>
      </c>
      <c r="G494" s="12" t="s">
        <v>40</v>
      </c>
      <c r="H494" s="10" t="n">
        <v>2110101</v>
      </c>
      <c r="I494" s="12" t="s">
        <v>32</v>
      </c>
      <c r="J494" s="10" t="n">
        <v>1370224</v>
      </c>
      <c r="L494" s="10" t="n">
        <v>21032</v>
      </c>
      <c r="M494" s="12" t="s">
        <v>33</v>
      </c>
      <c r="N494" s="12" t="s">
        <v>34</v>
      </c>
      <c r="P494" s="10" t="n">
        <v>113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1213.69</v>
      </c>
      <c r="W494" s="13" t="n">
        <v>0</v>
      </c>
      <c r="X494" s="12" t="s">
        <v>613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46213</v>
      </c>
      <c r="C495" s="11" t="n">
        <v>46232</v>
      </c>
      <c r="D495" s="10" t="n">
        <v>1613</v>
      </c>
      <c r="E495" s="12" t="s">
        <v>159</v>
      </c>
      <c r="F495" s="10" t="n">
        <v>24</v>
      </c>
      <c r="G495" s="12" t="s">
        <v>40</v>
      </c>
      <c r="H495" s="10" t="n">
        <v>2110101</v>
      </c>
      <c r="I495" s="12" t="s">
        <v>32</v>
      </c>
      <c r="J495" s="10" t="n">
        <v>1376659</v>
      </c>
      <c r="L495" s="10" t="n">
        <v>1605936</v>
      </c>
      <c r="M495" s="12" t="s">
        <v>108</v>
      </c>
      <c r="N495" s="12" t="s">
        <v>34</v>
      </c>
      <c r="P495" s="10" t="n">
        <v>113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1025.06</v>
      </c>
      <c r="W495" s="13" t="n">
        <v>0</v>
      </c>
      <c r="X495" s="12" t="s">
        <v>530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46220</v>
      </c>
      <c r="C496" s="11" t="n">
        <v>46232</v>
      </c>
      <c r="D496" s="10" t="n">
        <v>1613</v>
      </c>
      <c r="E496" s="12" t="s">
        <v>159</v>
      </c>
      <c r="F496" s="10" t="n">
        <v>24</v>
      </c>
      <c r="G496" s="12" t="s">
        <v>40</v>
      </c>
      <c r="H496" s="10" t="n">
        <v>1110203</v>
      </c>
      <c r="I496" s="12" t="s">
        <v>50</v>
      </c>
      <c r="J496" s="10" t="n">
        <v>1410728</v>
      </c>
      <c r="L496" s="10" t="n">
        <v>190119</v>
      </c>
      <c r="M496" s="12" t="s">
        <v>33</v>
      </c>
      <c r="N496" s="12" t="s">
        <v>51</v>
      </c>
      <c r="P496" s="10" t="n">
        <v>113</v>
      </c>
      <c r="Q496" s="12" t="s">
        <v>35</v>
      </c>
      <c r="R496" s="12" t="s">
        <v>36</v>
      </c>
      <c r="S496" s="10" t="n">
        <v>1130101</v>
      </c>
      <c r="T496" s="12" t="s">
        <v>37</v>
      </c>
      <c r="U496" s="13" t="n">
        <v>512.49</v>
      </c>
      <c r="W496" s="13" t="n">
        <v>0</v>
      </c>
      <c r="X496" s="12" t="s">
        <v>614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46218</v>
      </c>
      <c r="C497" s="11" t="n">
        <v>46232</v>
      </c>
      <c r="D497" s="10" t="n">
        <v>1608</v>
      </c>
      <c r="E497" s="12" t="s">
        <v>266</v>
      </c>
      <c r="F497" s="10" t="n">
        <v>24</v>
      </c>
      <c r="G497" s="12" t="s">
        <v>40</v>
      </c>
      <c r="H497" s="10" t="n">
        <v>1110203</v>
      </c>
      <c r="I497" s="12" t="s">
        <v>50</v>
      </c>
      <c r="J497" s="10" t="n">
        <v>1401874</v>
      </c>
      <c r="L497" s="10" t="n">
        <v>188604</v>
      </c>
      <c r="M497" s="12" t="s">
        <v>33</v>
      </c>
      <c r="N497" s="12" t="s">
        <v>51</v>
      </c>
      <c r="P497" s="10" t="n">
        <v>113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1207.29</v>
      </c>
      <c r="W497" s="13" t="n">
        <v>0</v>
      </c>
      <c r="X497" s="12" t="s">
        <v>615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46219</v>
      </c>
      <c r="C498" s="11" t="n">
        <v>46232</v>
      </c>
      <c r="D498" s="10" t="n">
        <v>1616</v>
      </c>
      <c r="E498" s="12" t="s">
        <v>218</v>
      </c>
      <c r="F498" s="10" t="n">
        <v>24</v>
      </c>
      <c r="G498" s="12" t="s">
        <v>40</v>
      </c>
      <c r="H498" s="10" t="n">
        <v>1110203</v>
      </c>
      <c r="I498" s="12" t="s">
        <v>50</v>
      </c>
      <c r="J498" s="10" t="n">
        <v>1406244</v>
      </c>
      <c r="L498" s="10" t="n">
        <v>189330</v>
      </c>
      <c r="M498" s="12" t="s">
        <v>33</v>
      </c>
      <c r="N498" s="12" t="s">
        <v>51</v>
      </c>
      <c r="P498" s="10" t="n">
        <v>113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607.57</v>
      </c>
      <c r="W498" s="13" t="n">
        <v>0</v>
      </c>
      <c r="X498" s="12" t="s">
        <v>616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46219</v>
      </c>
      <c r="C499" s="11" t="n">
        <v>46232</v>
      </c>
      <c r="D499" s="10" t="n">
        <v>1667</v>
      </c>
      <c r="E499" s="12" t="s">
        <v>67</v>
      </c>
      <c r="F499" s="10" t="n">
        <v>24</v>
      </c>
      <c r="G499" s="12" t="s">
        <v>40</v>
      </c>
      <c r="H499" s="10" t="n">
        <v>1110203</v>
      </c>
      <c r="I499" s="12" t="s">
        <v>50</v>
      </c>
      <c r="J499" s="10" t="n">
        <v>1405836</v>
      </c>
      <c r="L499" s="10" t="n">
        <v>189244</v>
      </c>
      <c r="M499" s="12" t="s">
        <v>33</v>
      </c>
      <c r="N499" s="12" t="s">
        <v>51</v>
      </c>
      <c r="P499" s="10" t="n">
        <v>113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560.56</v>
      </c>
      <c r="W499" s="13" t="n">
        <v>0</v>
      </c>
      <c r="X499" s="12" t="s">
        <v>617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46225</v>
      </c>
      <c r="C500" s="11" t="n">
        <v>46232</v>
      </c>
      <c r="D500" s="10" t="n">
        <v>1609</v>
      </c>
      <c r="E500" s="12" t="s">
        <v>338</v>
      </c>
      <c r="F500" s="10" t="n">
        <v>24</v>
      </c>
      <c r="G500" s="12" t="s">
        <v>40</v>
      </c>
      <c r="H500" s="10" t="n">
        <v>1110203</v>
      </c>
      <c r="I500" s="12" t="s">
        <v>50</v>
      </c>
      <c r="J500" s="10" t="n">
        <v>1435780</v>
      </c>
      <c r="L500" s="10" t="n">
        <v>193965</v>
      </c>
      <c r="M500" s="12" t="s">
        <v>33</v>
      </c>
      <c r="N500" s="12" t="s">
        <v>51</v>
      </c>
      <c r="P500" s="10" t="n">
        <v>113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409.65</v>
      </c>
      <c r="W500" s="13" t="n">
        <v>0</v>
      </c>
      <c r="X500" s="12" t="s">
        <v>618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46218</v>
      </c>
      <c r="C501" s="11" t="n">
        <v>46232</v>
      </c>
      <c r="D501" s="10" t="n">
        <v>1815</v>
      </c>
      <c r="E501" s="12" t="s">
        <v>175</v>
      </c>
      <c r="F501" s="10" t="n">
        <v>24</v>
      </c>
      <c r="G501" s="12" t="s">
        <v>40</v>
      </c>
      <c r="H501" s="10" t="n">
        <v>1110203</v>
      </c>
      <c r="I501" s="12" t="s">
        <v>50</v>
      </c>
      <c r="J501" s="10" t="n">
        <v>1403056</v>
      </c>
      <c r="L501" s="10" t="n">
        <v>188873</v>
      </c>
      <c r="M501" s="12" t="s">
        <v>33</v>
      </c>
      <c r="N501" s="12" t="s">
        <v>51</v>
      </c>
      <c r="P501" s="10" t="n">
        <v>113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2806.49</v>
      </c>
      <c r="W501" s="13" t="n">
        <v>0</v>
      </c>
      <c r="X501" s="12" t="s">
        <v>532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46225</v>
      </c>
      <c r="C502" s="11" t="n">
        <v>46232</v>
      </c>
      <c r="D502" s="10" t="n">
        <v>1815</v>
      </c>
      <c r="E502" s="12" t="s">
        <v>175</v>
      </c>
      <c r="F502" s="10" t="n">
        <v>24</v>
      </c>
      <c r="G502" s="12" t="s">
        <v>40</v>
      </c>
      <c r="H502" s="10" t="n">
        <v>1110203</v>
      </c>
      <c r="I502" s="12" t="s">
        <v>50</v>
      </c>
      <c r="J502" s="10" t="n">
        <v>1436044</v>
      </c>
      <c r="L502" s="10" t="n">
        <v>194032</v>
      </c>
      <c r="M502" s="12" t="s">
        <v>33</v>
      </c>
      <c r="N502" s="12" t="s">
        <v>51</v>
      </c>
      <c r="P502" s="10" t="n">
        <v>113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1164.4</v>
      </c>
      <c r="W502" s="13" t="n">
        <v>0</v>
      </c>
      <c r="X502" s="12" t="s">
        <v>619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46219</v>
      </c>
      <c r="C503" s="11" t="n">
        <v>46232</v>
      </c>
      <c r="D503" s="10" t="n">
        <v>1699</v>
      </c>
      <c r="E503" s="12" t="s">
        <v>74</v>
      </c>
      <c r="F503" s="10" t="n">
        <v>24</v>
      </c>
      <c r="G503" s="12" t="s">
        <v>40</v>
      </c>
      <c r="H503" s="10" t="n">
        <v>1110203</v>
      </c>
      <c r="I503" s="12" t="s">
        <v>50</v>
      </c>
      <c r="J503" s="10" t="n">
        <v>1406625</v>
      </c>
      <c r="L503" s="10" t="n">
        <v>189423</v>
      </c>
      <c r="M503" s="12" t="s">
        <v>33</v>
      </c>
      <c r="N503" s="12" t="s">
        <v>51</v>
      </c>
      <c r="P503" s="10" t="n">
        <v>113</v>
      </c>
      <c r="Q503" s="12" t="s">
        <v>35</v>
      </c>
      <c r="R503" s="12" t="s">
        <v>36</v>
      </c>
      <c r="S503" s="10" t="n">
        <v>1130101</v>
      </c>
      <c r="T503" s="12" t="s">
        <v>37</v>
      </c>
      <c r="U503" s="13" t="n">
        <v>1021.83</v>
      </c>
      <c r="W503" s="13" t="n">
        <v>0</v>
      </c>
      <c r="X503" s="12" t="s">
        <v>533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46232</v>
      </c>
      <c r="C504" s="11" t="n">
        <v>46232</v>
      </c>
      <c r="D504" s="10" t="n">
        <v>1721</v>
      </c>
      <c r="E504" s="12" t="s">
        <v>620</v>
      </c>
      <c r="F504" s="10" t="n">
        <v>13</v>
      </c>
      <c r="G504" s="12" t="s">
        <v>49</v>
      </c>
      <c r="H504" s="10" t="n">
        <v>1110203</v>
      </c>
      <c r="I504" s="12" t="s">
        <v>50</v>
      </c>
      <c r="J504" s="10" t="n">
        <v>1468990</v>
      </c>
      <c r="L504" s="10" t="n">
        <v>198997</v>
      </c>
      <c r="M504" s="12" t="s">
        <v>33</v>
      </c>
      <c r="N504" s="12" t="s">
        <v>51</v>
      </c>
      <c r="P504" s="10" t="n">
        <v>113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139</v>
      </c>
      <c r="W504" s="13" t="n">
        <v>139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46230</v>
      </c>
      <c r="C505" s="11" t="n">
        <v>46232</v>
      </c>
      <c r="D505" s="10" t="n">
        <v>218</v>
      </c>
      <c r="E505" s="12" t="s">
        <v>362</v>
      </c>
      <c r="F505" s="10" t="n">
        <v>34</v>
      </c>
      <c r="G505" s="12" t="s">
        <v>31</v>
      </c>
      <c r="H505" s="10" t="n">
        <v>1110203</v>
      </c>
      <c r="I505" s="12" t="s">
        <v>50</v>
      </c>
      <c r="J505" s="10" t="n">
        <v>1459542</v>
      </c>
      <c r="L505" s="10" t="n">
        <v>197536</v>
      </c>
      <c r="M505" s="12" t="s">
        <v>33</v>
      </c>
      <c r="N505" s="12" t="s">
        <v>51</v>
      </c>
      <c r="P505" s="10" t="n">
        <v>101</v>
      </c>
      <c r="Q505" s="12" t="s">
        <v>69</v>
      </c>
      <c r="R505" s="12" t="s">
        <v>102</v>
      </c>
      <c r="S505" s="10" t="n">
        <v>4210301</v>
      </c>
      <c r="T505" s="12" t="s">
        <v>131</v>
      </c>
      <c r="U505" s="13" t="n">
        <v>207.18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46216</v>
      </c>
      <c r="C506" s="11" t="n">
        <v>46232</v>
      </c>
      <c r="D506" s="10" t="n">
        <v>10012</v>
      </c>
      <c r="E506" s="12" t="s">
        <v>373</v>
      </c>
      <c r="F506" s="10" t="n">
        <v>24</v>
      </c>
      <c r="G506" s="12" t="s">
        <v>40</v>
      </c>
      <c r="H506" s="10" t="n">
        <v>2110101</v>
      </c>
      <c r="I506" s="12" t="s">
        <v>32</v>
      </c>
      <c r="J506" s="10" t="n">
        <v>1393698</v>
      </c>
      <c r="L506" s="10" t="n">
        <v>1962669</v>
      </c>
      <c r="M506" s="12" t="s">
        <v>33</v>
      </c>
      <c r="N506" s="12" t="s">
        <v>34</v>
      </c>
      <c r="P506" s="10" t="n">
        <v>113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1504.05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46219</v>
      </c>
      <c r="C507" s="11" t="n">
        <v>46233</v>
      </c>
      <c r="D507" s="10" t="n">
        <v>1705</v>
      </c>
      <c r="E507" s="12" t="s">
        <v>43</v>
      </c>
      <c r="F507" s="10" t="n">
        <v>24</v>
      </c>
      <c r="G507" s="12" t="s">
        <v>40</v>
      </c>
      <c r="H507" s="10" t="n">
        <v>1110203</v>
      </c>
      <c r="I507" s="12" t="s">
        <v>50</v>
      </c>
      <c r="J507" s="10" t="n">
        <v>1405774</v>
      </c>
      <c r="L507" s="10" t="n">
        <v>189224</v>
      </c>
      <c r="M507" s="12" t="s">
        <v>33</v>
      </c>
      <c r="N507" s="12" t="s">
        <v>51</v>
      </c>
      <c r="P507" s="10" t="n">
        <v>113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2028.67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46219</v>
      </c>
      <c r="C508" s="11" t="n">
        <v>46233</v>
      </c>
      <c r="D508" s="10" t="n">
        <v>1705</v>
      </c>
      <c r="E508" s="12" t="s">
        <v>43</v>
      </c>
      <c r="F508" s="10" t="n">
        <v>24</v>
      </c>
      <c r="G508" s="12" t="s">
        <v>40</v>
      </c>
      <c r="H508" s="10" t="n">
        <v>1110203</v>
      </c>
      <c r="I508" s="12" t="s">
        <v>50</v>
      </c>
      <c r="J508" s="10" t="n">
        <v>1405777</v>
      </c>
      <c r="L508" s="10" t="n">
        <v>189226</v>
      </c>
      <c r="M508" s="12" t="s">
        <v>33</v>
      </c>
      <c r="N508" s="12" t="s">
        <v>51</v>
      </c>
      <c r="P508" s="10" t="n">
        <v>113</v>
      </c>
      <c r="Q508" s="12" t="s">
        <v>35</v>
      </c>
      <c r="R508" s="12" t="s">
        <v>36</v>
      </c>
      <c r="S508" s="10" t="n">
        <v>1130101</v>
      </c>
      <c r="T508" s="12" t="s">
        <v>37</v>
      </c>
      <c r="U508" s="13" t="n">
        <v>1194.17</v>
      </c>
      <c r="W508" s="13" t="n">
        <v>0</v>
      </c>
      <c r="X508" s="12" t="s">
        <v>624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46219</v>
      </c>
      <c r="C509" s="11" t="n">
        <v>46233</v>
      </c>
      <c r="D509" s="10" t="n">
        <v>1718</v>
      </c>
      <c r="E509" s="12" t="s">
        <v>263</v>
      </c>
      <c r="F509" s="10" t="n">
        <v>24</v>
      </c>
      <c r="G509" s="12" t="s">
        <v>40</v>
      </c>
      <c r="H509" s="10" t="n">
        <v>1110203</v>
      </c>
      <c r="I509" s="12" t="s">
        <v>50</v>
      </c>
      <c r="J509" s="10" t="n">
        <v>1407317</v>
      </c>
      <c r="L509" s="10" t="n">
        <v>189603</v>
      </c>
      <c r="M509" s="12" t="s">
        <v>33</v>
      </c>
      <c r="N509" s="12" t="s">
        <v>51</v>
      </c>
      <c r="P509" s="10" t="n">
        <v>113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580.89</v>
      </c>
      <c r="W509" s="13" t="n">
        <v>0</v>
      </c>
      <c r="X509" s="12" t="s">
        <v>625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46233</v>
      </c>
      <c r="D510" s="10" t="n">
        <v>1218</v>
      </c>
      <c r="E510" s="12" t="s">
        <v>121</v>
      </c>
      <c r="F510" s="10" t="n">
        <v>24</v>
      </c>
      <c r="G510" s="12" t="s">
        <v>40</v>
      </c>
      <c r="H510" s="10" t="n">
        <v>2110101</v>
      </c>
      <c r="I510" s="12" t="s">
        <v>32</v>
      </c>
      <c r="J510" s="10" t="n">
        <v>1305945</v>
      </c>
      <c r="L510" s="10" t="n">
        <v>9495</v>
      </c>
      <c r="M510" s="12" t="s">
        <v>191</v>
      </c>
      <c r="N510" s="12" t="s">
        <v>34</v>
      </c>
      <c r="P510" s="10" t="n">
        <v>113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531.18</v>
      </c>
      <c r="W510" s="13" t="n">
        <v>0</v>
      </c>
      <c r="X510" s="12" t="s">
        <v>122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46212</v>
      </c>
      <c r="C511" s="11" t="n">
        <v>46233</v>
      </c>
      <c r="D511" s="10" t="n">
        <v>1612</v>
      </c>
      <c r="E511" s="12" t="s">
        <v>554</v>
      </c>
      <c r="F511" s="10" t="n">
        <v>24</v>
      </c>
      <c r="G511" s="12" t="s">
        <v>40</v>
      </c>
      <c r="H511" s="10" t="n">
        <v>2110101</v>
      </c>
      <c r="I511" s="12" t="s">
        <v>32</v>
      </c>
      <c r="J511" s="10" t="n">
        <v>1374035</v>
      </c>
      <c r="L511" s="10" t="n">
        <v>2299705</v>
      </c>
      <c r="M511" s="12" t="s">
        <v>108</v>
      </c>
      <c r="N511" s="12" t="s">
        <v>34</v>
      </c>
      <c r="P511" s="10" t="n">
        <v>113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658.6</v>
      </c>
      <c r="W511" s="13" t="n">
        <v>0</v>
      </c>
      <c r="X511" s="12" t="s">
        <v>555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46212</v>
      </c>
      <c r="C512" s="11" t="n">
        <v>46233</v>
      </c>
      <c r="D512" s="10" t="n">
        <v>1612</v>
      </c>
      <c r="E512" s="12" t="s">
        <v>554</v>
      </c>
      <c r="F512" s="10" t="n">
        <v>24</v>
      </c>
      <c r="G512" s="12" t="s">
        <v>40</v>
      </c>
      <c r="H512" s="10" t="n">
        <v>2110101</v>
      </c>
      <c r="I512" s="12" t="s">
        <v>32</v>
      </c>
      <c r="J512" s="10" t="n">
        <v>1374249</v>
      </c>
      <c r="L512" s="10" t="n">
        <v>2299703</v>
      </c>
      <c r="M512" s="12" t="s">
        <v>108</v>
      </c>
      <c r="N512" s="12" t="s">
        <v>34</v>
      </c>
      <c r="P512" s="10" t="n">
        <v>113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377.46</v>
      </c>
      <c r="W512" s="13" t="n">
        <v>0</v>
      </c>
      <c r="X512" s="12" t="s">
        <v>556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46213</v>
      </c>
      <c r="C513" s="11" t="n">
        <v>46233</v>
      </c>
      <c r="D513" s="10" t="n">
        <v>1667</v>
      </c>
      <c r="E513" s="12" t="s">
        <v>67</v>
      </c>
      <c r="F513" s="10" t="n">
        <v>24</v>
      </c>
      <c r="G513" s="12" t="s">
        <v>40</v>
      </c>
      <c r="H513" s="10" t="n">
        <v>2110101</v>
      </c>
      <c r="I513" s="12" t="s">
        <v>32</v>
      </c>
      <c r="J513" s="10" t="n">
        <v>1376812</v>
      </c>
      <c r="L513" s="10" t="n">
        <v>396261</v>
      </c>
      <c r="M513" s="12" t="s">
        <v>108</v>
      </c>
      <c r="N513" s="12" t="s">
        <v>34</v>
      </c>
      <c r="P513" s="10" t="n">
        <v>113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321.77</v>
      </c>
      <c r="W513" s="13" t="n">
        <v>0</v>
      </c>
      <c r="X513" s="12" t="s">
        <v>557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46214</v>
      </c>
      <c r="C514" s="11" t="n">
        <v>46233</v>
      </c>
      <c r="D514" s="10" t="n">
        <v>1842</v>
      </c>
      <c r="E514" s="12" t="s">
        <v>626</v>
      </c>
      <c r="F514" s="10" t="n">
        <v>24</v>
      </c>
      <c r="G514" s="12" t="s">
        <v>40</v>
      </c>
      <c r="H514" s="10" t="n">
        <v>1110203</v>
      </c>
      <c r="I514" s="12" t="s">
        <v>50</v>
      </c>
      <c r="J514" s="10" t="n">
        <v>1381793</v>
      </c>
      <c r="L514" s="10" t="n">
        <v>186023</v>
      </c>
      <c r="M514" s="12" t="s">
        <v>33</v>
      </c>
      <c r="N514" s="12" t="s">
        <v>51</v>
      </c>
      <c r="P514" s="10" t="n">
        <v>113</v>
      </c>
      <c r="Q514" s="12" t="s">
        <v>35</v>
      </c>
      <c r="R514" s="12" t="s">
        <v>88</v>
      </c>
      <c r="S514" s="10" t="n">
        <v>4210229</v>
      </c>
      <c r="T514" s="12" t="s">
        <v>627</v>
      </c>
      <c r="U514" s="13" t="n">
        <v>215</v>
      </c>
      <c r="W514" s="13" t="n">
        <v>0</v>
      </c>
      <c r="X514" s="12" t="s">
        <v>628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46233</v>
      </c>
      <c r="C515" s="11" t="n">
        <v>46233</v>
      </c>
      <c r="D515" s="10" t="n">
        <v>1783</v>
      </c>
      <c r="E515" s="12" t="s">
        <v>323</v>
      </c>
      <c r="F515" s="10" t="n">
        <v>13</v>
      </c>
      <c r="G515" s="12" t="s">
        <v>49</v>
      </c>
      <c r="H515" s="10" t="n">
        <v>1110203</v>
      </c>
      <c r="I515" s="12" t="s">
        <v>50</v>
      </c>
      <c r="J515" s="10" t="n">
        <v>1473878</v>
      </c>
      <c r="L515" s="10" t="n">
        <v>199796</v>
      </c>
      <c r="M515" s="12" t="s">
        <v>33</v>
      </c>
      <c r="N515" s="12" t="s">
        <v>51</v>
      </c>
      <c r="P515" s="10" t="n">
        <v>113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160.32</v>
      </c>
      <c r="W515" s="13" t="n">
        <v>160.32</v>
      </c>
      <c r="X515" s="12" t="s">
        <v>629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46233</v>
      </c>
      <c r="C516" s="11" t="n">
        <v>46233</v>
      </c>
      <c r="D516" s="10" t="n">
        <v>48</v>
      </c>
      <c r="E516" s="12" t="s">
        <v>78</v>
      </c>
      <c r="F516" s="10" t="n">
        <v>13</v>
      </c>
      <c r="G516" s="12" t="s">
        <v>49</v>
      </c>
      <c r="H516" s="10" t="n">
        <v>2110101</v>
      </c>
      <c r="I516" s="12" t="s">
        <v>32</v>
      </c>
      <c r="J516" s="10" t="n">
        <v>1473455</v>
      </c>
      <c r="L516" s="10" t="n">
        <v>2571</v>
      </c>
      <c r="M516" s="12" t="s">
        <v>33</v>
      </c>
      <c r="N516" s="12" t="s">
        <v>34</v>
      </c>
      <c r="P516" s="10" t="n">
        <v>113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196</v>
      </c>
      <c r="W516" s="13" t="n">
        <v>0</v>
      </c>
      <c r="X516" s="12" t="s">
        <v>630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46233</v>
      </c>
      <c r="C517" s="11" t="n">
        <v>46233</v>
      </c>
      <c r="D517" s="10" t="n">
        <v>48</v>
      </c>
      <c r="E517" s="12" t="s">
        <v>78</v>
      </c>
      <c r="F517" s="10" t="n">
        <v>13</v>
      </c>
      <c r="G517" s="12" t="s">
        <v>49</v>
      </c>
      <c r="H517" s="10" t="n">
        <v>2110101</v>
      </c>
      <c r="I517" s="12" t="s">
        <v>32</v>
      </c>
      <c r="J517" s="10" t="n">
        <v>1473466</v>
      </c>
      <c r="L517" s="10" t="n">
        <v>2572</v>
      </c>
      <c r="M517" s="12" t="s">
        <v>33</v>
      </c>
      <c r="N517" s="12" t="s">
        <v>34</v>
      </c>
      <c r="P517" s="10" t="n">
        <v>113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210</v>
      </c>
      <c r="W517" s="13" t="n">
        <v>210</v>
      </c>
      <c r="X517" s="12" t="s">
        <v>631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46213</v>
      </c>
      <c r="C518" s="11" t="n">
        <v>46233</v>
      </c>
      <c r="D518" s="10" t="n">
        <v>1107</v>
      </c>
      <c r="E518" s="12" t="s">
        <v>194</v>
      </c>
      <c r="F518" s="10" t="n">
        <v>24</v>
      </c>
      <c r="G518" s="12" t="s">
        <v>40</v>
      </c>
      <c r="H518" s="10" t="n">
        <v>2110101</v>
      </c>
      <c r="I518" s="12" t="s">
        <v>32</v>
      </c>
      <c r="J518" s="10" t="n">
        <v>1376909</v>
      </c>
      <c r="L518" s="10" t="n">
        <v>426652</v>
      </c>
      <c r="M518" s="12" t="s">
        <v>108</v>
      </c>
      <c r="N518" s="12" t="s">
        <v>34</v>
      </c>
      <c r="P518" s="10" t="n">
        <v>113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682.63</v>
      </c>
      <c r="W518" s="13" t="n">
        <v>0</v>
      </c>
      <c r="X518" s="12" t="s">
        <v>563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46226</v>
      </c>
      <c r="C519" s="11" t="n">
        <v>46233</v>
      </c>
      <c r="D519" s="10" t="n">
        <v>1024</v>
      </c>
      <c r="E519" s="12" t="s">
        <v>239</v>
      </c>
      <c r="F519" s="10" t="n">
        <v>24</v>
      </c>
      <c r="G519" s="12" t="s">
        <v>40</v>
      </c>
      <c r="H519" s="10" t="n">
        <v>1110203</v>
      </c>
      <c r="I519" s="12" t="s">
        <v>50</v>
      </c>
      <c r="J519" s="10" t="n">
        <v>1439994</v>
      </c>
      <c r="L519" s="10" t="n">
        <v>194706</v>
      </c>
      <c r="M519" s="12" t="s">
        <v>33</v>
      </c>
      <c r="N519" s="12" t="s">
        <v>51</v>
      </c>
      <c r="P519" s="10" t="n">
        <v>113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305</v>
      </c>
      <c r="W519" s="13" t="n">
        <v>0</v>
      </c>
      <c r="X519" s="12" t="s">
        <v>632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46230</v>
      </c>
      <c r="C520" s="11" t="n">
        <v>46233</v>
      </c>
      <c r="D520" s="10" t="n">
        <v>218</v>
      </c>
      <c r="E520" s="12" t="s">
        <v>362</v>
      </c>
      <c r="F520" s="10" t="n">
        <v>34</v>
      </c>
      <c r="G520" s="12" t="s">
        <v>31</v>
      </c>
      <c r="H520" s="10" t="n">
        <v>1110203</v>
      </c>
      <c r="I520" s="12" t="s">
        <v>50</v>
      </c>
      <c r="J520" s="10" t="n">
        <v>1459566</v>
      </c>
      <c r="L520" s="10" t="n">
        <v>197540</v>
      </c>
      <c r="M520" s="12" t="s">
        <v>33</v>
      </c>
      <c r="N520" s="12" t="s">
        <v>51</v>
      </c>
      <c r="P520" s="10" t="n">
        <v>101</v>
      </c>
      <c r="Q520" s="12" t="s">
        <v>69</v>
      </c>
      <c r="R520" s="12" t="s">
        <v>102</v>
      </c>
      <c r="S520" s="10" t="n">
        <v>4210301</v>
      </c>
      <c r="T520" s="12" t="s">
        <v>131</v>
      </c>
      <c r="U520" s="13" t="n">
        <v>260.64</v>
      </c>
      <c r="W520" s="13" t="n">
        <v>0</v>
      </c>
      <c r="X520" s="12" t="s">
        <v>633</v>
      </c>
      <c r="Z520" s="1" t="str">
        <f aca="false">IF($T520="","",IFERROR(INDEX('Resumo Grupos'!$AC$3:$AC$200,MATCH($T520,'Resumo Grupos'!$AB$3:$AB$200,0)),"n/d"))</f>
        <v>Salários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46230</v>
      </c>
      <c r="C521" s="11" t="n">
        <v>46233</v>
      </c>
      <c r="D521" s="10" t="n">
        <v>1807</v>
      </c>
      <c r="E521" s="12" t="s">
        <v>634</v>
      </c>
      <c r="F521" s="10" t="n">
        <v>24</v>
      </c>
      <c r="G521" s="12" t="s">
        <v>40</v>
      </c>
      <c r="H521" s="10" t="n">
        <v>1110203</v>
      </c>
      <c r="I521" s="12" t="s">
        <v>50</v>
      </c>
      <c r="J521" s="10" t="n">
        <v>1459304</v>
      </c>
      <c r="L521" s="10" t="n">
        <v>197500</v>
      </c>
      <c r="M521" s="12" t="s">
        <v>33</v>
      </c>
      <c r="N521" s="12" t="s">
        <v>51</v>
      </c>
      <c r="P521" s="10" t="n">
        <v>101</v>
      </c>
      <c r="Q521" s="12" t="s">
        <v>69</v>
      </c>
      <c r="R521" s="12" t="s">
        <v>307</v>
      </c>
      <c r="S521" s="10" t="n">
        <v>2110704</v>
      </c>
      <c r="T521" s="12" t="s">
        <v>635</v>
      </c>
      <c r="U521" s="13" t="n">
        <v>1575</v>
      </c>
      <c r="W521" s="13" t="n">
        <v>0</v>
      </c>
      <c r="X521" s="12" t="s">
        <v>636</v>
      </c>
      <c r="Z521" s="1" t="str">
        <f aca="false">IF($T521="","",IFERROR(INDEX('Resumo Grupos'!$AC$3:$AC$200,MATCH($T521,'Resumo Grupos'!$AB$3:$AB$200,0)),"n/d"))</f>
        <v>Despesa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46230</v>
      </c>
      <c r="C522" s="11" t="n">
        <v>46233</v>
      </c>
      <c r="D522" s="10" t="n">
        <v>1807</v>
      </c>
      <c r="E522" s="12" t="s">
        <v>634</v>
      </c>
      <c r="F522" s="10" t="n">
        <v>24</v>
      </c>
      <c r="G522" s="12" t="s">
        <v>40</v>
      </c>
      <c r="H522" s="10" t="n">
        <v>1110203</v>
      </c>
      <c r="I522" s="12" t="s">
        <v>50</v>
      </c>
      <c r="J522" s="10" t="n">
        <v>1459324</v>
      </c>
      <c r="L522" s="10" t="n">
        <v>197504</v>
      </c>
      <c r="M522" s="12" t="s">
        <v>33</v>
      </c>
      <c r="N522" s="12" t="s">
        <v>51</v>
      </c>
      <c r="P522" s="10" t="n">
        <v>101</v>
      </c>
      <c r="Q522" s="12" t="s">
        <v>69</v>
      </c>
      <c r="R522" s="12" t="s">
        <v>307</v>
      </c>
      <c r="S522" s="10" t="n">
        <v>2110712</v>
      </c>
      <c r="T522" s="12" t="s">
        <v>637</v>
      </c>
      <c r="U522" s="13" t="n">
        <v>945</v>
      </c>
      <c r="W522" s="13" t="n">
        <v>0</v>
      </c>
      <c r="X522" s="12" t="s">
        <v>638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46230</v>
      </c>
      <c r="C523" s="11" t="n">
        <v>46234</v>
      </c>
      <c r="D523" s="10" t="n">
        <v>10018</v>
      </c>
      <c r="E523" s="12" t="s">
        <v>30</v>
      </c>
      <c r="F523" s="10" t="n">
        <v>34</v>
      </c>
      <c r="G523" s="12" t="s">
        <v>31</v>
      </c>
      <c r="H523" s="10" t="n">
        <v>1110203</v>
      </c>
      <c r="I523" s="12" t="s">
        <v>50</v>
      </c>
      <c r="J523" s="10" t="n">
        <v>1458308</v>
      </c>
      <c r="L523" s="10" t="n">
        <v>197244</v>
      </c>
      <c r="M523" s="12" t="s">
        <v>33</v>
      </c>
      <c r="N523" s="12" t="s">
        <v>51</v>
      </c>
      <c r="P523" s="10" t="n">
        <v>113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950</v>
      </c>
      <c r="W523" s="13" t="n">
        <v>0</v>
      </c>
      <c r="X523" s="12" t="s">
        <v>639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46227</v>
      </c>
      <c r="C524" s="11" t="n">
        <v>46234</v>
      </c>
      <c r="D524" s="10" t="n">
        <v>1642</v>
      </c>
      <c r="E524" s="12" t="s">
        <v>254</v>
      </c>
      <c r="F524" s="10" t="n">
        <v>24</v>
      </c>
      <c r="G524" s="12" t="s">
        <v>40</v>
      </c>
      <c r="H524" s="10" t="n">
        <v>1110203</v>
      </c>
      <c r="I524" s="12" t="s">
        <v>50</v>
      </c>
      <c r="J524" s="10" t="n">
        <v>1443653</v>
      </c>
      <c r="L524" s="10" t="n">
        <v>195231</v>
      </c>
      <c r="M524" s="12" t="s">
        <v>33</v>
      </c>
      <c r="N524" s="12" t="s">
        <v>51</v>
      </c>
      <c r="P524" s="10" t="n">
        <v>113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254</v>
      </c>
      <c r="W524" s="13" t="n">
        <v>0</v>
      </c>
      <c r="X524" s="12" t="s">
        <v>640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46234</v>
      </c>
      <c r="C525" s="11" t="n">
        <v>46234</v>
      </c>
      <c r="D525" s="10" t="n">
        <v>1642</v>
      </c>
      <c r="E525" s="12" t="s">
        <v>254</v>
      </c>
      <c r="F525" s="10" t="n">
        <v>24</v>
      </c>
      <c r="G525" s="12" t="s">
        <v>40</v>
      </c>
      <c r="H525" s="10" t="n">
        <v>1110203</v>
      </c>
      <c r="I525" s="12" t="s">
        <v>50</v>
      </c>
      <c r="J525" s="10" t="n">
        <v>1478227</v>
      </c>
      <c r="L525" s="10" t="n">
        <v>200551</v>
      </c>
      <c r="M525" s="12" t="s">
        <v>33</v>
      </c>
      <c r="N525" s="12" t="s">
        <v>51</v>
      </c>
      <c r="P525" s="10" t="n">
        <v>113</v>
      </c>
      <c r="Q525" s="12" t="s">
        <v>35</v>
      </c>
      <c r="R525" s="12" t="s">
        <v>36</v>
      </c>
      <c r="S525" s="10" t="n">
        <v>1130101</v>
      </c>
      <c r="T525" s="12" t="s">
        <v>37</v>
      </c>
      <c r="U525" s="13" t="n">
        <v>296.49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46212</v>
      </c>
      <c r="C526" s="11" t="n">
        <v>46234</v>
      </c>
      <c r="D526" s="10" t="n">
        <v>1718</v>
      </c>
      <c r="E526" s="12" t="s">
        <v>263</v>
      </c>
      <c r="F526" s="10" t="n">
        <v>24</v>
      </c>
      <c r="G526" s="12" t="s">
        <v>40</v>
      </c>
      <c r="H526" s="10" t="n">
        <v>2110101</v>
      </c>
      <c r="I526" s="12" t="s">
        <v>32</v>
      </c>
      <c r="J526" s="10" t="n">
        <v>1374907</v>
      </c>
      <c r="L526" s="10" t="n">
        <v>681127</v>
      </c>
      <c r="M526" s="12" t="s">
        <v>108</v>
      </c>
      <c r="N526" s="12" t="s">
        <v>34</v>
      </c>
      <c r="P526" s="10" t="n">
        <v>113</v>
      </c>
      <c r="Q526" s="12" t="s">
        <v>35</v>
      </c>
      <c r="R526" s="12" t="s">
        <v>36</v>
      </c>
      <c r="S526" s="10" t="n">
        <v>1130101</v>
      </c>
      <c r="T526" s="12" t="s">
        <v>37</v>
      </c>
      <c r="U526" s="13" t="n">
        <v>509.25</v>
      </c>
      <c r="W526" s="13" t="n">
        <v>0</v>
      </c>
      <c r="X526" s="12" t="s">
        <v>570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46227</v>
      </c>
      <c r="C527" s="11" t="n">
        <v>46234</v>
      </c>
      <c r="D527" s="10" t="n">
        <v>1608</v>
      </c>
      <c r="E527" s="12" t="s">
        <v>266</v>
      </c>
      <c r="F527" s="10" t="n">
        <v>24</v>
      </c>
      <c r="G527" s="12" t="s">
        <v>40</v>
      </c>
      <c r="H527" s="10" t="n">
        <v>1110203</v>
      </c>
      <c r="I527" s="12" t="s">
        <v>50</v>
      </c>
      <c r="J527" s="10" t="n">
        <v>1443665</v>
      </c>
      <c r="L527" s="10" t="n">
        <v>195236</v>
      </c>
      <c r="M527" s="12" t="s">
        <v>33</v>
      </c>
      <c r="N527" s="12" t="s">
        <v>51</v>
      </c>
      <c r="P527" s="10" t="n">
        <v>113</v>
      </c>
      <c r="Q527" s="12" t="s">
        <v>35</v>
      </c>
      <c r="R527" s="12" t="s">
        <v>36</v>
      </c>
      <c r="S527" s="10" t="n">
        <v>1130101</v>
      </c>
      <c r="T527" s="12" t="s">
        <v>37</v>
      </c>
      <c r="U527" s="13" t="n">
        <v>590.09</v>
      </c>
      <c r="W527" s="13" t="n">
        <v>0</v>
      </c>
      <c r="X527" s="12" t="s">
        <v>642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46221</v>
      </c>
      <c r="C528" s="11" t="n">
        <v>46234</v>
      </c>
      <c r="D528" s="10" t="n">
        <v>1636</v>
      </c>
      <c r="E528" s="12" t="s">
        <v>65</v>
      </c>
      <c r="F528" s="10" t="n">
        <v>24</v>
      </c>
      <c r="G528" s="12" t="s">
        <v>40</v>
      </c>
      <c r="H528" s="10" t="n">
        <v>1110203</v>
      </c>
      <c r="I528" s="12" t="s">
        <v>50</v>
      </c>
      <c r="J528" s="10" t="n">
        <v>1414727</v>
      </c>
      <c r="L528" s="10" t="n">
        <v>190725</v>
      </c>
      <c r="M528" s="12" t="s">
        <v>33</v>
      </c>
      <c r="N528" s="12" t="s">
        <v>51</v>
      </c>
      <c r="P528" s="10" t="n">
        <v>113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159.4</v>
      </c>
      <c r="W528" s="13" t="n">
        <v>0</v>
      </c>
      <c r="X528" s="12" t="s">
        <v>643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46223</v>
      </c>
      <c r="C529" s="11" t="n">
        <v>46234</v>
      </c>
      <c r="D529" s="10" t="n">
        <v>1683</v>
      </c>
      <c r="E529" s="12" t="s">
        <v>123</v>
      </c>
      <c r="F529" s="10" t="n">
        <v>34</v>
      </c>
      <c r="G529" s="12" t="s">
        <v>31</v>
      </c>
      <c r="H529" s="10" t="n">
        <v>2110101</v>
      </c>
      <c r="I529" s="12" t="s">
        <v>32</v>
      </c>
      <c r="J529" s="10" t="n">
        <v>1423683</v>
      </c>
      <c r="L529" s="10" t="n">
        <v>190891</v>
      </c>
      <c r="M529" s="12" t="s">
        <v>33</v>
      </c>
      <c r="N529" s="12" t="s">
        <v>51</v>
      </c>
      <c r="P529" s="10" t="n">
        <v>113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137</v>
      </c>
      <c r="W529" s="13" t="n">
        <v>0</v>
      </c>
      <c r="X529" s="12" t="s">
        <v>644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46221</v>
      </c>
      <c r="C530" s="11" t="n">
        <v>46234</v>
      </c>
      <c r="D530" s="10" t="n">
        <v>1683</v>
      </c>
      <c r="E530" s="12" t="s">
        <v>123</v>
      </c>
      <c r="F530" s="10" t="n">
        <v>34</v>
      </c>
      <c r="G530" s="12" t="s">
        <v>31</v>
      </c>
      <c r="H530" s="10" t="n">
        <v>1110203</v>
      </c>
      <c r="I530" s="12" t="s">
        <v>50</v>
      </c>
      <c r="J530" s="10" t="n">
        <v>1414678</v>
      </c>
      <c r="L530" s="10" t="n">
        <v>190717</v>
      </c>
      <c r="M530" s="12" t="s">
        <v>33</v>
      </c>
      <c r="N530" s="12" t="s">
        <v>51</v>
      </c>
      <c r="P530" s="10" t="n">
        <v>113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97.5</v>
      </c>
      <c r="W530" s="13" t="n">
        <v>0</v>
      </c>
      <c r="X530" s="12" t="s">
        <v>645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46224</v>
      </c>
      <c r="C531" s="11" t="n">
        <v>46234</v>
      </c>
      <c r="D531" s="10" t="n">
        <v>1683</v>
      </c>
      <c r="E531" s="12" t="s">
        <v>123</v>
      </c>
      <c r="F531" s="10" t="n">
        <v>34</v>
      </c>
      <c r="G531" s="12" t="s">
        <v>31</v>
      </c>
      <c r="H531" s="10" t="n">
        <v>1110203</v>
      </c>
      <c r="I531" s="12" t="s">
        <v>50</v>
      </c>
      <c r="J531" s="10" t="n">
        <v>1427580</v>
      </c>
      <c r="L531" s="10" t="n">
        <v>190915</v>
      </c>
      <c r="M531" s="12" t="s">
        <v>33</v>
      </c>
      <c r="N531" s="12" t="s">
        <v>51</v>
      </c>
      <c r="P531" s="10" t="n">
        <v>113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151</v>
      </c>
      <c r="W531" s="13" t="n">
        <v>0</v>
      </c>
      <c r="X531" s="12" t="s">
        <v>646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46226</v>
      </c>
      <c r="C532" s="11" t="n">
        <v>46234</v>
      </c>
      <c r="D532" s="10" t="n">
        <v>1683</v>
      </c>
      <c r="E532" s="12" t="s">
        <v>123</v>
      </c>
      <c r="F532" s="10" t="n">
        <v>34</v>
      </c>
      <c r="G532" s="12" t="s">
        <v>31</v>
      </c>
      <c r="H532" s="10" t="n">
        <v>1110203</v>
      </c>
      <c r="I532" s="12" t="s">
        <v>50</v>
      </c>
      <c r="J532" s="10" t="n">
        <v>1438809</v>
      </c>
      <c r="L532" s="10" t="n">
        <v>194390</v>
      </c>
      <c r="M532" s="12" t="s">
        <v>33</v>
      </c>
      <c r="N532" s="12" t="s">
        <v>51</v>
      </c>
      <c r="P532" s="10" t="n">
        <v>113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130.5</v>
      </c>
      <c r="W532" s="13" t="n">
        <v>0</v>
      </c>
      <c r="X532" s="12" t="s">
        <v>124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46227</v>
      </c>
      <c r="C533" s="11" t="n">
        <v>46234</v>
      </c>
      <c r="D533" s="10" t="n">
        <v>1683</v>
      </c>
      <c r="E533" s="12" t="s">
        <v>123</v>
      </c>
      <c r="F533" s="10" t="n">
        <v>34</v>
      </c>
      <c r="G533" s="12" t="s">
        <v>31</v>
      </c>
      <c r="H533" s="10" t="n">
        <v>1110203</v>
      </c>
      <c r="I533" s="12" t="s">
        <v>50</v>
      </c>
      <c r="J533" s="10" t="n">
        <v>1444720</v>
      </c>
      <c r="L533" s="10" t="n">
        <v>195456</v>
      </c>
      <c r="M533" s="12" t="s">
        <v>33</v>
      </c>
      <c r="N533" s="12" t="s">
        <v>51</v>
      </c>
      <c r="P533" s="10" t="n">
        <v>113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71.5</v>
      </c>
      <c r="W533" s="13" t="n">
        <v>0</v>
      </c>
      <c r="X533" s="12" t="s">
        <v>124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46230</v>
      </c>
      <c r="C534" s="11" t="n">
        <v>46234</v>
      </c>
      <c r="D534" s="10" t="n">
        <v>1683</v>
      </c>
      <c r="E534" s="12" t="s">
        <v>123</v>
      </c>
      <c r="F534" s="10" t="n">
        <v>34</v>
      </c>
      <c r="G534" s="12" t="s">
        <v>31</v>
      </c>
      <c r="H534" s="10" t="n">
        <v>1110203</v>
      </c>
      <c r="I534" s="12" t="s">
        <v>50</v>
      </c>
      <c r="J534" s="10" t="n">
        <v>1458309</v>
      </c>
      <c r="L534" s="10" t="n">
        <v>197250</v>
      </c>
      <c r="M534" s="12" t="s">
        <v>33</v>
      </c>
      <c r="N534" s="12" t="s">
        <v>51</v>
      </c>
      <c r="P534" s="10" t="n">
        <v>113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158</v>
      </c>
      <c r="W534" s="13" t="n">
        <v>0</v>
      </c>
      <c r="X534" s="12" t="s">
        <v>124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46231</v>
      </c>
      <c r="C535" s="11" t="n">
        <v>46234</v>
      </c>
      <c r="D535" s="10" t="n">
        <v>1683</v>
      </c>
      <c r="E535" s="12" t="s">
        <v>123</v>
      </c>
      <c r="F535" s="10" t="n">
        <v>34</v>
      </c>
      <c r="G535" s="12" t="s">
        <v>31</v>
      </c>
      <c r="H535" s="10" t="n">
        <v>1110203</v>
      </c>
      <c r="I535" s="12" t="s">
        <v>50</v>
      </c>
      <c r="J535" s="10" t="n">
        <v>1464423</v>
      </c>
      <c r="L535" s="10" t="n">
        <v>198275</v>
      </c>
      <c r="M535" s="12" t="s">
        <v>33</v>
      </c>
      <c r="N535" s="12" t="s">
        <v>51</v>
      </c>
      <c r="P535" s="10" t="n">
        <v>113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54</v>
      </c>
      <c r="W535" s="13" t="n">
        <v>0</v>
      </c>
      <c r="X535" s="12" t="s">
        <v>124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46232</v>
      </c>
      <c r="C536" s="11" t="n">
        <v>46234</v>
      </c>
      <c r="D536" s="10" t="n">
        <v>1683</v>
      </c>
      <c r="E536" s="12" t="s">
        <v>123</v>
      </c>
      <c r="F536" s="10" t="n">
        <v>34</v>
      </c>
      <c r="G536" s="12" t="s">
        <v>31</v>
      </c>
      <c r="H536" s="10" t="n">
        <v>1110203</v>
      </c>
      <c r="I536" s="12" t="s">
        <v>50</v>
      </c>
      <c r="J536" s="10" t="n">
        <v>1469141</v>
      </c>
      <c r="L536" s="10" t="n">
        <v>199026</v>
      </c>
      <c r="M536" s="12" t="s">
        <v>33</v>
      </c>
      <c r="N536" s="12" t="s">
        <v>51</v>
      </c>
      <c r="P536" s="10" t="n">
        <v>113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129.5</v>
      </c>
      <c r="W536" s="13" t="n">
        <v>0</v>
      </c>
      <c r="X536" s="12" t="s">
        <v>124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46234</v>
      </c>
      <c r="C537" s="11" t="n">
        <v>46234</v>
      </c>
      <c r="D537" s="10" t="n">
        <v>1683</v>
      </c>
      <c r="E537" s="12" t="s">
        <v>123</v>
      </c>
      <c r="F537" s="10" t="n">
        <v>34</v>
      </c>
      <c r="G537" s="12" t="s">
        <v>31</v>
      </c>
      <c r="H537" s="10" t="n">
        <v>1110203</v>
      </c>
      <c r="I537" s="12" t="s">
        <v>50</v>
      </c>
      <c r="J537" s="10" t="n">
        <v>1478661</v>
      </c>
      <c r="L537" s="10" t="n">
        <v>200648</v>
      </c>
      <c r="M537" s="12" t="s">
        <v>33</v>
      </c>
      <c r="N537" s="12" t="s">
        <v>51</v>
      </c>
      <c r="P537" s="10" t="n">
        <v>113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125</v>
      </c>
      <c r="W537" s="13" t="n">
        <v>0</v>
      </c>
      <c r="X537" s="12" t="s">
        <v>124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46234</v>
      </c>
      <c r="C538" s="11" t="n">
        <v>46234</v>
      </c>
      <c r="D538" s="10" t="n">
        <v>1037</v>
      </c>
      <c r="E538" s="12" t="s">
        <v>125</v>
      </c>
      <c r="F538" s="10" t="n">
        <v>34</v>
      </c>
      <c r="G538" s="12" t="s">
        <v>31</v>
      </c>
      <c r="H538" s="10" t="n">
        <v>1110203</v>
      </c>
      <c r="I538" s="12" t="s">
        <v>50</v>
      </c>
      <c r="J538" s="10" t="n">
        <v>1479056</v>
      </c>
      <c r="L538" s="10" t="n">
        <v>200715</v>
      </c>
      <c r="M538" s="12" t="s">
        <v>33</v>
      </c>
      <c r="N538" s="12" t="s">
        <v>51</v>
      </c>
      <c r="P538" s="10" t="n">
        <v>113</v>
      </c>
      <c r="Q538" s="12" t="s">
        <v>35</v>
      </c>
      <c r="R538" s="12" t="s">
        <v>36</v>
      </c>
      <c r="S538" s="10" t="n">
        <v>1130101</v>
      </c>
      <c r="T538" s="12" t="s">
        <v>37</v>
      </c>
      <c r="U538" s="13" t="n">
        <v>370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46234</v>
      </c>
      <c r="C539" s="11" t="n">
        <v>46234</v>
      </c>
      <c r="D539" s="10" t="n">
        <v>12</v>
      </c>
      <c r="E539" s="12" t="s">
        <v>130</v>
      </c>
      <c r="F539" s="10" t="n">
        <v>34</v>
      </c>
      <c r="G539" s="12" t="s">
        <v>31</v>
      </c>
      <c r="H539" s="10" t="n">
        <v>2110405</v>
      </c>
      <c r="I539" s="12" t="s">
        <v>87</v>
      </c>
      <c r="J539" s="10" t="n">
        <v>1479223</v>
      </c>
      <c r="L539" s="10" t="n">
        <v>200759</v>
      </c>
      <c r="M539" s="12" t="s">
        <v>33</v>
      </c>
      <c r="N539" s="12" t="s">
        <v>51</v>
      </c>
      <c r="P539" s="10" t="n">
        <v>113</v>
      </c>
      <c r="Q539" s="12" t="s">
        <v>35</v>
      </c>
      <c r="R539" s="12" t="s">
        <v>102</v>
      </c>
      <c r="S539" s="10" t="n">
        <v>4210301</v>
      </c>
      <c r="T539" s="12" t="s">
        <v>131</v>
      </c>
      <c r="U539" s="13" t="n">
        <v>600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Salários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46234</v>
      </c>
      <c r="C540" s="11" t="n">
        <v>46234</v>
      </c>
      <c r="D540" s="10" t="n">
        <v>10096</v>
      </c>
      <c r="E540" s="12" t="s">
        <v>48</v>
      </c>
      <c r="F540" s="10" t="n">
        <v>13</v>
      </c>
      <c r="G540" s="12" t="s">
        <v>49</v>
      </c>
      <c r="H540" s="10" t="n">
        <v>1110203</v>
      </c>
      <c r="I540" s="12" t="s">
        <v>50</v>
      </c>
      <c r="J540" s="10" t="n">
        <v>1482230</v>
      </c>
      <c r="L540" s="10" t="n">
        <v>201194</v>
      </c>
      <c r="M540" s="12" t="s">
        <v>33</v>
      </c>
      <c r="N540" s="12" t="s">
        <v>51</v>
      </c>
      <c r="P540" s="10" t="n">
        <v>113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140</v>
      </c>
      <c r="W540" s="13" t="n">
        <v>140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46227</v>
      </c>
      <c r="C541" s="11" t="n">
        <v>46234</v>
      </c>
      <c r="D541" s="10" t="n">
        <v>22</v>
      </c>
      <c r="E541" s="12" t="s">
        <v>278</v>
      </c>
      <c r="F541" s="10" t="n">
        <v>34</v>
      </c>
      <c r="G541" s="12" t="s">
        <v>31</v>
      </c>
      <c r="H541" s="10" t="n">
        <v>1110203</v>
      </c>
      <c r="I541" s="12" t="s">
        <v>50</v>
      </c>
      <c r="J541" s="10" t="n">
        <v>1444975</v>
      </c>
      <c r="L541" s="10" t="n">
        <v>195525</v>
      </c>
      <c r="M541" s="12" t="s">
        <v>33</v>
      </c>
      <c r="N541" s="12" t="s">
        <v>51</v>
      </c>
      <c r="P541" s="10" t="n">
        <v>101</v>
      </c>
      <c r="Q541" s="12" t="s">
        <v>69</v>
      </c>
      <c r="R541" s="12" t="s">
        <v>102</v>
      </c>
      <c r="S541" s="10" t="n">
        <v>4210304</v>
      </c>
      <c r="T541" s="12" t="s">
        <v>650</v>
      </c>
      <c r="U541" s="13" t="n">
        <v>2355.82</v>
      </c>
      <c r="W541" s="13" t="n">
        <v>0</v>
      </c>
      <c r="X541" s="12" t="s">
        <v>651</v>
      </c>
      <c r="Z541" s="1" t="str">
        <f aca="false">IF($T541="","",IFERROR(INDEX('Resumo Grupos'!$AC$3:$AC$200,MATCH($T541,'Resumo Grupos'!$AB$3:$AB$200,0)),"n/d"))</f>
        <v>Salários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46234</v>
      </c>
      <c r="C542" s="11" t="n">
        <v>46234</v>
      </c>
      <c r="D542" s="10" t="n">
        <v>10047</v>
      </c>
      <c r="E542" s="12" t="s">
        <v>178</v>
      </c>
      <c r="F542" s="10" t="n">
        <v>24</v>
      </c>
      <c r="G542" s="12" t="s">
        <v>40</v>
      </c>
      <c r="H542" s="10" t="n">
        <v>1110203</v>
      </c>
      <c r="I542" s="12" t="s">
        <v>50</v>
      </c>
      <c r="J542" s="10" t="n">
        <v>1478012</v>
      </c>
      <c r="L542" s="10" t="n">
        <v>103272</v>
      </c>
      <c r="M542" s="12" t="s">
        <v>33</v>
      </c>
      <c r="N542" s="12" t="s">
        <v>51</v>
      </c>
      <c r="P542" s="10" t="n">
        <v>101</v>
      </c>
      <c r="Q542" s="12" t="s">
        <v>69</v>
      </c>
      <c r="R542" s="12" t="s">
        <v>36</v>
      </c>
      <c r="S542" s="10" t="n">
        <v>1130101</v>
      </c>
      <c r="T542" s="12" t="s">
        <v>37</v>
      </c>
      <c r="U542" s="13" t="n">
        <v>2.94</v>
      </c>
      <c r="W542" s="13" t="n">
        <v>0</v>
      </c>
      <c r="X542" s="12" t="s">
        <v>652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46216</v>
      </c>
      <c r="C543" s="11" t="n">
        <v>46234</v>
      </c>
      <c r="D543" s="10" t="n">
        <v>1675</v>
      </c>
      <c r="E543" s="12" t="s">
        <v>574</v>
      </c>
      <c r="F543" s="10" t="n">
        <v>24</v>
      </c>
      <c r="G543" s="12" t="s">
        <v>40</v>
      </c>
      <c r="H543" s="10" t="n">
        <v>2110101</v>
      </c>
      <c r="I543" s="12" t="s">
        <v>32</v>
      </c>
      <c r="J543" s="10" t="n">
        <v>1394185</v>
      </c>
      <c r="L543" s="10" t="n">
        <v>501201</v>
      </c>
      <c r="M543" s="12" t="s">
        <v>108</v>
      </c>
      <c r="N543" s="12" t="s">
        <v>34</v>
      </c>
      <c r="P543" s="10" t="n">
        <v>113</v>
      </c>
      <c r="Q543" s="12" t="s">
        <v>35</v>
      </c>
      <c r="R543" s="12" t="s">
        <v>36</v>
      </c>
      <c r="S543" s="10" t="n">
        <v>1130101</v>
      </c>
      <c r="T543" s="12" t="s">
        <v>37</v>
      </c>
      <c r="U543" s="13" t="n">
        <v>2112.99</v>
      </c>
      <c r="W543" s="13" t="n">
        <v>0</v>
      </c>
      <c r="X543" s="12" t="s">
        <v>575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46220</v>
      </c>
      <c r="C544" s="11" t="n">
        <v>46234</v>
      </c>
      <c r="D544" s="10" t="n">
        <v>1675</v>
      </c>
      <c r="E544" s="12" t="s">
        <v>574</v>
      </c>
      <c r="F544" s="10" t="n">
        <v>24</v>
      </c>
      <c r="G544" s="12" t="s">
        <v>40</v>
      </c>
      <c r="H544" s="10" t="n">
        <v>1110203</v>
      </c>
      <c r="I544" s="12" t="s">
        <v>50</v>
      </c>
      <c r="J544" s="10" t="n">
        <v>1410478</v>
      </c>
      <c r="L544" s="10" t="n">
        <v>190062</v>
      </c>
      <c r="M544" s="12" t="s">
        <v>33</v>
      </c>
      <c r="N544" s="12" t="s">
        <v>51</v>
      </c>
      <c r="P544" s="10" t="n">
        <v>113</v>
      </c>
      <c r="Q544" s="12" t="s">
        <v>35</v>
      </c>
      <c r="R544" s="12" t="s">
        <v>36</v>
      </c>
      <c r="S544" s="10" t="n">
        <v>1130101</v>
      </c>
      <c r="T544" s="12" t="s">
        <v>37</v>
      </c>
      <c r="U544" s="13" t="n">
        <v>308.88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46217</v>
      </c>
      <c r="C545" s="11" t="n">
        <v>46234</v>
      </c>
      <c r="D545" s="10" t="n">
        <v>1611</v>
      </c>
      <c r="E545" s="12" t="s">
        <v>235</v>
      </c>
      <c r="F545" s="10" t="n">
        <v>24</v>
      </c>
      <c r="G545" s="12" t="s">
        <v>40</v>
      </c>
      <c r="H545" s="10" t="n">
        <v>1110203</v>
      </c>
      <c r="I545" s="12" t="s">
        <v>50</v>
      </c>
      <c r="J545" s="10" t="n">
        <v>1397328</v>
      </c>
      <c r="L545" s="10" t="n">
        <v>187913</v>
      </c>
      <c r="M545" s="12" t="s">
        <v>33</v>
      </c>
      <c r="N545" s="12" t="s">
        <v>51</v>
      </c>
      <c r="P545" s="10" t="n">
        <v>113</v>
      </c>
      <c r="Q545" s="12" t="s">
        <v>35</v>
      </c>
      <c r="R545" s="12" t="s">
        <v>36</v>
      </c>
      <c r="S545" s="10" t="n">
        <v>1130101</v>
      </c>
      <c r="T545" s="12" t="s">
        <v>37</v>
      </c>
      <c r="U545" s="13" t="n">
        <v>278.28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46234</v>
      </c>
      <c r="C546" s="11" t="n">
        <v>46234</v>
      </c>
      <c r="D546" s="10" t="n">
        <v>48</v>
      </c>
      <c r="E546" s="12" t="s">
        <v>78</v>
      </c>
      <c r="F546" s="10" t="n">
        <v>34</v>
      </c>
      <c r="G546" s="12" t="s">
        <v>31</v>
      </c>
      <c r="H546" s="10" t="n">
        <v>2110101</v>
      </c>
      <c r="I546" s="12" t="s">
        <v>32</v>
      </c>
      <c r="J546" s="10" t="n">
        <v>1479031</v>
      </c>
      <c r="L546" s="10" t="n">
        <v>2578</v>
      </c>
      <c r="M546" s="12" t="s">
        <v>33</v>
      </c>
      <c r="N546" s="12" t="s">
        <v>34</v>
      </c>
      <c r="P546" s="10" t="n">
        <v>113</v>
      </c>
      <c r="Q546" s="12" t="s">
        <v>35</v>
      </c>
      <c r="R546" s="12" t="s">
        <v>36</v>
      </c>
      <c r="S546" s="10" t="n">
        <v>1130101</v>
      </c>
      <c r="T546" s="12" t="s">
        <v>37</v>
      </c>
      <c r="U546" s="13" t="n">
        <v>1612.25</v>
      </c>
      <c r="W546" s="13" t="n">
        <v>0</v>
      </c>
      <c r="X546" s="12" t="s">
        <v>343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46227</v>
      </c>
      <c r="C547" s="11" t="n">
        <v>46234</v>
      </c>
      <c r="D547" s="10" t="n">
        <v>1666</v>
      </c>
      <c r="E547" s="12" t="s">
        <v>93</v>
      </c>
      <c r="F547" s="10" t="n">
        <v>24</v>
      </c>
      <c r="G547" s="12" t="s">
        <v>40</v>
      </c>
      <c r="H547" s="10" t="n">
        <v>1110203</v>
      </c>
      <c r="I547" s="12" t="s">
        <v>50</v>
      </c>
      <c r="J547" s="10" t="n">
        <v>1443858</v>
      </c>
      <c r="L547" s="10" t="n">
        <v>195263</v>
      </c>
      <c r="M547" s="12" t="s">
        <v>33</v>
      </c>
      <c r="N547" s="12" t="s">
        <v>51</v>
      </c>
      <c r="P547" s="10" t="n">
        <v>113</v>
      </c>
      <c r="Q547" s="12" t="s">
        <v>35</v>
      </c>
      <c r="R547" s="12" t="s">
        <v>36</v>
      </c>
      <c r="S547" s="10" t="n">
        <v>1130101</v>
      </c>
      <c r="T547" s="12" t="s">
        <v>37</v>
      </c>
      <c r="U547" s="13" t="n">
        <v>6361.07</v>
      </c>
      <c r="W547" s="13" t="n">
        <v>0</v>
      </c>
      <c r="X547" s="12" t="s">
        <v>655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46213</v>
      </c>
      <c r="C548" s="11" t="n">
        <v>46234</v>
      </c>
      <c r="D548" s="10" t="n">
        <v>1708</v>
      </c>
      <c r="E548" s="12" t="s">
        <v>656</v>
      </c>
      <c r="F548" s="10" t="n">
        <v>24</v>
      </c>
      <c r="G548" s="12" t="s">
        <v>40</v>
      </c>
      <c r="H548" s="10" t="n">
        <v>2110101</v>
      </c>
      <c r="I548" s="12" t="s">
        <v>32</v>
      </c>
      <c r="J548" s="10" t="n">
        <v>1377397</v>
      </c>
      <c r="L548" s="10" t="n">
        <v>262932</v>
      </c>
      <c r="M548" s="12" t="s">
        <v>33</v>
      </c>
      <c r="N548" s="12" t="s">
        <v>34</v>
      </c>
      <c r="P548" s="10" t="n">
        <v>113</v>
      </c>
      <c r="Q548" s="12" t="s">
        <v>35</v>
      </c>
      <c r="R548" s="12" t="s">
        <v>36</v>
      </c>
      <c r="S548" s="10" t="n">
        <v>1130101</v>
      </c>
      <c r="T548" s="12" t="s">
        <v>37</v>
      </c>
      <c r="U548" s="13" t="n">
        <v>1123.86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46196</v>
      </c>
      <c r="C549" s="11" t="n">
        <v>46235</v>
      </c>
      <c r="D549" s="10" t="n">
        <v>875</v>
      </c>
      <c r="E549" s="12" t="s">
        <v>151</v>
      </c>
      <c r="F549" s="10" t="n">
        <v>47</v>
      </c>
      <c r="G549" s="12" t="s">
        <v>145</v>
      </c>
      <c r="H549" s="10" t="n">
        <v>2110101</v>
      </c>
      <c r="I549" s="12" t="s">
        <v>32</v>
      </c>
      <c r="J549" s="10" t="n">
        <v>1295066</v>
      </c>
      <c r="L549" s="10" t="n">
        <v>173322</v>
      </c>
      <c r="M549" s="12" t="s">
        <v>108</v>
      </c>
      <c r="N549" s="12" t="s">
        <v>51</v>
      </c>
      <c r="P549" s="10" t="n">
        <v>113</v>
      </c>
      <c r="Q549" s="12" t="s">
        <v>35</v>
      </c>
      <c r="R549" s="12" t="s">
        <v>36</v>
      </c>
      <c r="S549" s="10" t="n">
        <v>1130101</v>
      </c>
      <c r="T549" s="12" t="s">
        <v>37</v>
      </c>
      <c r="U549" s="13" t="n">
        <v>1290.17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46226</v>
      </c>
      <c r="C550" s="11" t="n">
        <v>46235</v>
      </c>
      <c r="D550" s="10" t="n">
        <v>1723</v>
      </c>
      <c r="E550" s="12" t="s">
        <v>298</v>
      </c>
      <c r="F550" s="10" t="n">
        <v>24</v>
      </c>
      <c r="G550" s="12" t="s">
        <v>40</v>
      </c>
      <c r="H550" s="10" t="n">
        <v>1110203</v>
      </c>
      <c r="I550" s="12" t="s">
        <v>50</v>
      </c>
      <c r="J550" s="10" t="n">
        <v>1439261</v>
      </c>
      <c r="L550" s="10" t="n">
        <v>194516</v>
      </c>
      <c r="M550" s="12" t="s">
        <v>33</v>
      </c>
      <c r="N550" s="12" t="s">
        <v>51</v>
      </c>
      <c r="P550" s="10" t="n">
        <v>113</v>
      </c>
      <c r="Q550" s="12" t="s">
        <v>35</v>
      </c>
      <c r="R550" s="12" t="s">
        <v>36</v>
      </c>
      <c r="S550" s="10" t="n">
        <v>1130101</v>
      </c>
      <c r="T550" s="12" t="s">
        <v>37</v>
      </c>
      <c r="U550" s="13" t="n">
        <v>3811.4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46235</v>
      </c>
      <c r="C551" s="11" t="n">
        <v>46235</v>
      </c>
      <c r="D551" s="10" t="n">
        <v>73</v>
      </c>
      <c r="E551" s="12" t="s">
        <v>166</v>
      </c>
      <c r="F551" s="10" t="n">
        <v>34</v>
      </c>
      <c r="G551" s="12" t="s">
        <v>31</v>
      </c>
      <c r="H551" s="10" t="n">
        <v>1110203</v>
      </c>
      <c r="I551" s="12" t="s">
        <v>50</v>
      </c>
      <c r="J551" s="10" t="n">
        <v>1493507</v>
      </c>
      <c r="L551" s="10" t="n">
        <v>202583</v>
      </c>
      <c r="M551" s="12" t="s">
        <v>33</v>
      </c>
      <c r="N551" s="12" t="s">
        <v>51</v>
      </c>
      <c r="P551" s="10" t="n">
        <v>113</v>
      </c>
      <c r="Q551" s="12" t="s">
        <v>35</v>
      </c>
      <c r="R551" s="12" t="s">
        <v>102</v>
      </c>
      <c r="S551" s="10" t="n">
        <v>4210309</v>
      </c>
      <c r="T551" s="12" t="s">
        <v>167</v>
      </c>
      <c r="U551" s="13" t="n">
        <v>260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Salários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46055</v>
      </c>
      <c r="C552" s="11" t="n">
        <v>46235</v>
      </c>
      <c r="D552" s="10" t="n">
        <v>10039</v>
      </c>
      <c r="E552" s="12" t="s">
        <v>181</v>
      </c>
      <c r="F552" s="10" t="n">
        <v>47</v>
      </c>
      <c r="G552" s="12" t="s">
        <v>145</v>
      </c>
      <c r="H552" s="10" t="n">
        <v>2110405</v>
      </c>
      <c r="I552" s="12" t="s">
        <v>87</v>
      </c>
      <c r="J552" s="10" t="n">
        <v>846832</v>
      </c>
      <c r="L552" s="10" t="n">
        <v>111506</v>
      </c>
      <c r="M552" s="12" t="s">
        <v>147</v>
      </c>
      <c r="N552" s="12" t="s">
        <v>51</v>
      </c>
      <c r="P552" s="10" t="n">
        <v>113</v>
      </c>
      <c r="Q552" s="12" t="s">
        <v>35</v>
      </c>
      <c r="R552" s="12" t="s">
        <v>88</v>
      </c>
      <c r="S552" s="10" t="n">
        <v>4210227</v>
      </c>
      <c r="T552" s="12" t="s">
        <v>119</v>
      </c>
      <c r="U552" s="13" t="n">
        <v>378.82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46196</v>
      </c>
      <c r="C553" s="11" t="n">
        <v>46235</v>
      </c>
      <c r="D553" s="10" t="n">
        <v>10080</v>
      </c>
      <c r="E553" s="12" t="s">
        <v>186</v>
      </c>
      <c r="F553" s="10" t="n">
        <v>47</v>
      </c>
      <c r="G553" s="12" t="s">
        <v>145</v>
      </c>
      <c r="H553" s="10" t="n">
        <v>2110101</v>
      </c>
      <c r="I553" s="12" t="s">
        <v>32</v>
      </c>
      <c r="J553" s="10" t="n">
        <v>1295126</v>
      </c>
      <c r="L553" s="10" t="n">
        <v>173344</v>
      </c>
      <c r="M553" s="12" t="s">
        <v>108</v>
      </c>
      <c r="N553" s="12" t="s">
        <v>51</v>
      </c>
      <c r="P553" s="10" t="n">
        <v>113</v>
      </c>
      <c r="Q553" s="12" t="s">
        <v>35</v>
      </c>
      <c r="R553" s="12" t="s">
        <v>36</v>
      </c>
      <c r="S553" s="10" t="n">
        <v>1130101</v>
      </c>
      <c r="T553" s="12" t="s">
        <v>37</v>
      </c>
      <c r="U553" s="13" t="n">
        <v>351.53</v>
      </c>
      <c r="W553" s="13" t="n">
        <v>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46230</v>
      </c>
      <c r="C554" s="11" t="n">
        <v>46235</v>
      </c>
      <c r="D554" s="10" t="n">
        <v>1625</v>
      </c>
      <c r="E554" s="12" t="s">
        <v>283</v>
      </c>
      <c r="F554" s="10" t="n">
        <v>24</v>
      </c>
      <c r="G554" s="12" t="s">
        <v>40</v>
      </c>
      <c r="H554" s="10" t="n">
        <v>1110203</v>
      </c>
      <c r="I554" s="12" t="s">
        <v>50</v>
      </c>
      <c r="J554" s="10" t="n">
        <v>1459682</v>
      </c>
      <c r="L554" s="10" t="n">
        <v>197569</v>
      </c>
      <c r="M554" s="12" t="s">
        <v>33</v>
      </c>
      <c r="N554" s="12" t="s">
        <v>51</v>
      </c>
      <c r="P554" s="10" t="n">
        <v>113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4958.1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45992</v>
      </c>
      <c r="C555" s="11" t="n">
        <v>46235</v>
      </c>
      <c r="D555" s="10" t="n">
        <v>983</v>
      </c>
      <c r="E555" s="12" t="s">
        <v>196</v>
      </c>
      <c r="F555" s="10" t="n">
        <v>47</v>
      </c>
      <c r="G555" s="12" t="s">
        <v>145</v>
      </c>
      <c r="H555" s="10" t="n">
        <v>2110101</v>
      </c>
      <c r="I555" s="12" t="s">
        <v>32</v>
      </c>
      <c r="J555" s="10" t="n">
        <v>361903</v>
      </c>
      <c r="L555" s="10" t="n">
        <v>47174</v>
      </c>
      <c r="M555" s="12" t="s">
        <v>664</v>
      </c>
      <c r="N555" s="12" t="s">
        <v>51</v>
      </c>
      <c r="P555" s="10" t="n">
        <v>113</v>
      </c>
      <c r="Q555" s="12" t="s">
        <v>35</v>
      </c>
      <c r="R555" s="12" t="s">
        <v>198</v>
      </c>
      <c r="S555" s="10" t="n">
        <v>1240103</v>
      </c>
      <c r="T555" s="12" t="s">
        <v>199</v>
      </c>
      <c r="U555" s="13" t="n">
        <v>1898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46197</v>
      </c>
      <c r="C556" s="11" t="n">
        <v>46235</v>
      </c>
      <c r="D556" s="10" t="n">
        <v>607</v>
      </c>
      <c r="E556" s="12" t="s">
        <v>415</v>
      </c>
      <c r="F556" s="10" t="n">
        <v>24</v>
      </c>
      <c r="G556" s="12" t="s">
        <v>40</v>
      </c>
      <c r="H556" s="10" t="n">
        <v>2110101</v>
      </c>
      <c r="I556" s="12" t="s">
        <v>32</v>
      </c>
      <c r="J556" s="10" t="n">
        <v>1300232</v>
      </c>
      <c r="L556" s="10" t="n">
        <v>10860</v>
      </c>
      <c r="M556" s="12" t="s">
        <v>41</v>
      </c>
      <c r="N556" s="12" t="s">
        <v>34</v>
      </c>
      <c r="P556" s="10" t="n">
        <v>113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1361.81</v>
      </c>
      <c r="W556" s="13" t="n">
        <v>0</v>
      </c>
      <c r="X556" s="12" t="s">
        <v>416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46235</v>
      </c>
      <c r="C557" s="11" t="n">
        <v>46235</v>
      </c>
      <c r="D557" s="10" t="n">
        <v>21</v>
      </c>
      <c r="E557" s="12" t="s">
        <v>204</v>
      </c>
      <c r="F557" s="10" t="n">
        <v>34</v>
      </c>
      <c r="G557" s="12" t="s">
        <v>31</v>
      </c>
      <c r="H557" s="10" t="n">
        <v>1110203</v>
      </c>
      <c r="I557" s="12" t="s">
        <v>50</v>
      </c>
      <c r="J557" s="10" t="n">
        <v>1493508</v>
      </c>
      <c r="L557" s="10" t="n">
        <v>202584</v>
      </c>
      <c r="M557" s="12" t="s">
        <v>33</v>
      </c>
      <c r="N557" s="12" t="s">
        <v>51</v>
      </c>
      <c r="P557" s="10" t="n">
        <v>113</v>
      </c>
      <c r="Q557" s="12" t="s">
        <v>35</v>
      </c>
      <c r="R557" s="12" t="s">
        <v>102</v>
      </c>
      <c r="S557" s="10" t="n">
        <v>4210309</v>
      </c>
      <c r="T557" s="12" t="s">
        <v>167</v>
      </c>
      <c r="U557" s="13" t="n">
        <v>260</v>
      </c>
      <c r="W557" s="13" t="n">
        <v>0</v>
      </c>
      <c r="X557" s="12" t="s">
        <v>660</v>
      </c>
      <c r="Z557" s="1" t="str">
        <f aca="false">IF($T557="","",IFERROR(INDEX('Resumo Grupos'!$AC$3:$AC$200,MATCH($T557,'Resumo Grupos'!$AB$3:$AB$200,0)),"n/d"))</f>
        <v>Salários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46230</v>
      </c>
      <c r="C558" s="11" t="n">
        <v>46235</v>
      </c>
      <c r="D558" s="10" t="n">
        <v>754</v>
      </c>
      <c r="E558" s="12" t="s">
        <v>55</v>
      </c>
      <c r="F558" s="10" t="n">
        <v>24</v>
      </c>
      <c r="G558" s="12" t="s">
        <v>40</v>
      </c>
      <c r="H558" s="10" t="n">
        <v>1110203</v>
      </c>
      <c r="I558" s="12" t="s">
        <v>50</v>
      </c>
      <c r="J558" s="10" t="n">
        <v>1458315</v>
      </c>
      <c r="L558" s="10" t="n">
        <v>197252</v>
      </c>
      <c r="M558" s="12" t="s">
        <v>33</v>
      </c>
      <c r="N558" s="12" t="s">
        <v>51</v>
      </c>
      <c r="P558" s="10" t="n">
        <v>113</v>
      </c>
      <c r="Q558" s="12" t="s">
        <v>35</v>
      </c>
      <c r="R558" s="12" t="s">
        <v>36</v>
      </c>
      <c r="S558" s="10" t="n">
        <v>1130101</v>
      </c>
      <c r="T558" s="12" t="s">
        <v>37</v>
      </c>
      <c r="U558" s="13" t="n">
        <v>528</v>
      </c>
      <c r="W558" s="13" t="n">
        <v>0</v>
      </c>
      <c r="X558" s="12" t="s">
        <v>666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46235</v>
      </c>
      <c r="C559" s="11" t="n">
        <v>46235</v>
      </c>
      <c r="D559" s="10" t="n">
        <v>18</v>
      </c>
      <c r="E559" s="12" t="s">
        <v>207</v>
      </c>
      <c r="F559" s="10" t="n">
        <v>34</v>
      </c>
      <c r="G559" s="12" t="s">
        <v>31</v>
      </c>
      <c r="H559" s="10" t="n">
        <v>1110203</v>
      </c>
      <c r="I559" s="12" t="s">
        <v>50</v>
      </c>
      <c r="J559" s="10" t="n">
        <v>1493512</v>
      </c>
      <c r="L559" s="10" t="n">
        <v>202585</v>
      </c>
      <c r="M559" s="12" t="s">
        <v>33</v>
      </c>
      <c r="N559" s="12" t="s">
        <v>51</v>
      </c>
      <c r="P559" s="10" t="n">
        <v>113</v>
      </c>
      <c r="Q559" s="12" t="s">
        <v>35</v>
      </c>
      <c r="R559" s="12" t="s">
        <v>102</v>
      </c>
      <c r="S559" s="10" t="n">
        <v>4210309</v>
      </c>
      <c r="T559" s="12" t="s">
        <v>167</v>
      </c>
      <c r="U559" s="13" t="n">
        <v>260</v>
      </c>
      <c r="W559" s="13" t="n">
        <v>0</v>
      </c>
      <c r="X559" s="12" t="s">
        <v>660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46196</v>
      </c>
      <c r="C560" s="11" t="n">
        <v>46235</v>
      </c>
      <c r="D560" s="10" t="n">
        <v>796</v>
      </c>
      <c r="E560" s="12" t="s">
        <v>210</v>
      </c>
      <c r="F560" s="10" t="n">
        <v>47</v>
      </c>
      <c r="G560" s="12" t="s">
        <v>145</v>
      </c>
      <c r="H560" s="10" t="n">
        <v>2110101</v>
      </c>
      <c r="I560" s="12" t="s">
        <v>32</v>
      </c>
      <c r="J560" s="10" t="n">
        <v>1295074</v>
      </c>
      <c r="L560" s="10" t="n">
        <v>173327</v>
      </c>
      <c r="M560" s="12" t="s">
        <v>108</v>
      </c>
      <c r="N560" s="12" t="s">
        <v>51</v>
      </c>
      <c r="P560" s="10" t="n">
        <v>113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683.06</v>
      </c>
      <c r="W560" s="13" t="n">
        <v>0</v>
      </c>
      <c r="X560" s="12" t="s">
        <v>667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46233</v>
      </c>
      <c r="C561" s="11" t="n">
        <v>46237</v>
      </c>
      <c r="D561" s="10" t="n">
        <v>642</v>
      </c>
      <c r="E561" s="12" t="s">
        <v>97</v>
      </c>
      <c r="F561" s="10" t="n">
        <v>24</v>
      </c>
      <c r="G561" s="12" t="s">
        <v>40</v>
      </c>
      <c r="H561" s="10" t="n">
        <v>1110203</v>
      </c>
      <c r="I561" s="12" t="s">
        <v>50</v>
      </c>
      <c r="J561" s="10" t="n">
        <v>1472583</v>
      </c>
      <c r="L561" s="10" t="n">
        <v>199510</v>
      </c>
      <c r="M561" s="12" t="s">
        <v>33</v>
      </c>
      <c r="N561" s="12" t="s">
        <v>51</v>
      </c>
      <c r="P561" s="10" t="n">
        <v>113</v>
      </c>
      <c r="Q561" s="12" t="s">
        <v>35</v>
      </c>
      <c r="R561" s="12" t="s">
        <v>36</v>
      </c>
      <c r="S561" s="10" t="n">
        <v>1130101</v>
      </c>
      <c r="T561" s="12" t="s">
        <v>37</v>
      </c>
      <c r="U561" s="13" t="n">
        <v>180</v>
      </c>
      <c r="W561" s="13" t="n">
        <v>0</v>
      </c>
      <c r="X561" s="12" t="s">
        <v>668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46223</v>
      </c>
      <c r="C562" s="11" t="n">
        <v>46237</v>
      </c>
      <c r="D562" s="10" t="n">
        <v>1601</v>
      </c>
      <c r="E562" s="12" t="s">
        <v>215</v>
      </c>
      <c r="F562" s="10" t="n">
        <v>24</v>
      </c>
      <c r="G562" s="12" t="s">
        <v>40</v>
      </c>
      <c r="H562" s="10" t="n">
        <v>1110203</v>
      </c>
      <c r="I562" s="12" t="s">
        <v>50</v>
      </c>
      <c r="J562" s="10" t="n">
        <v>1424074</v>
      </c>
      <c r="L562" s="10" t="n">
        <v>190897</v>
      </c>
      <c r="M562" s="12" t="s">
        <v>33</v>
      </c>
      <c r="N562" s="12" t="s">
        <v>51</v>
      </c>
      <c r="P562" s="10" t="n">
        <v>113</v>
      </c>
      <c r="Q562" s="12" t="s">
        <v>35</v>
      </c>
      <c r="R562" s="12" t="s">
        <v>36</v>
      </c>
      <c r="S562" s="10" t="n">
        <v>1130101</v>
      </c>
      <c r="T562" s="12" t="s">
        <v>37</v>
      </c>
      <c r="U562" s="13" t="n">
        <v>676.97</v>
      </c>
      <c r="W562" s="13" t="n">
        <v>0</v>
      </c>
      <c r="X562" s="12" t="s">
        <v>669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46230</v>
      </c>
      <c r="C563" s="11" t="n">
        <v>46237</v>
      </c>
      <c r="D563" s="10" t="n">
        <v>1269</v>
      </c>
      <c r="E563" s="12" t="s">
        <v>670</v>
      </c>
      <c r="F563" s="10" t="n">
        <v>24</v>
      </c>
      <c r="G563" s="12" t="s">
        <v>40</v>
      </c>
      <c r="H563" s="10" t="n">
        <v>1110203</v>
      </c>
      <c r="I563" s="12" t="s">
        <v>50</v>
      </c>
      <c r="J563" s="10" t="n">
        <v>1458373</v>
      </c>
      <c r="L563" s="10" t="n">
        <v>197275</v>
      </c>
      <c r="M563" s="12" t="s">
        <v>33</v>
      </c>
      <c r="N563" s="12" t="s">
        <v>51</v>
      </c>
      <c r="P563" s="10" t="n">
        <v>113</v>
      </c>
      <c r="Q563" s="12" t="s">
        <v>35</v>
      </c>
      <c r="R563" s="12" t="s">
        <v>36</v>
      </c>
      <c r="S563" s="10" t="n">
        <v>1130101</v>
      </c>
      <c r="T563" s="12" t="s">
        <v>37</v>
      </c>
      <c r="U563" s="13" t="n">
        <v>778</v>
      </c>
      <c r="W563" s="13" t="n">
        <v>0</v>
      </c>
      <c r="X563" s="12" t="s">
        <v>671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46219</v>
      </c>
      <c r="C564" s="11" t="n">
        <v>46237</v>
      </c>
      <c r="D564" s="10" t="n">
        <v>1636</v>
      </c>
      <c r="E564" s="12" t="s">
        <v>65</v>
      </c>
      <c r="F564" s="10" t="n">
        <v>24</v>
      </c>
      <c r="G564" s="12" t="s">
        <v>40</v>
      </c>
      <c r="H564" s="10" t="n">
        <v>1110203</v>
      </c>
      <c r="I564" s="12" t="s">
        <v>50</v>
      </c>
      <c r="J564" s="10" t="n">
        <v>1406470</v>
      </c>
      <c r="L564" s="10" t="n">
        <v>189390</v>
      </c>
      <c r="M564" s="12" t="s">
        <v>33</v>
      </c>
      <c r="N564" s="12" t="s">
        <v>51</v>
      </c>
      <c r="P564" s="10" t="n">
        <v>113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920.12</v>
      </c>
      <c r="W564" s="13" t="n">
        <v>0</v>
      </c>
      <c r="X564" s="12" t="s">
        <v>588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46218</v>
      </c>
      <c r="C565" s="11" t="n">
        <v>46237</v>
      </c>
      <c r="D565" s="10" t="n">
        <v>1636</v>
      </c>
      <c r="E565" s="12" t="s">
        <v>65</v>
      </c>
      <c r="F565" s="10" t="n">
        <v>24</v>
      </c>
      <c r="G565" s="12" t="s">
        <v>40</v>
      </c>
      <c r="H565" s="10" t="n">
        <v>1110203</v>
      </c>
      <c r="I565" s="12" t="s">
        <v>50</v>
      </c>
      <c r="J565" s="10" t="n">
        <v>1403005</v>
      </c>
      <c r="L565" s="10" t="n">
        <v>188858</v>
      </c>
      <c r="M565" s="12" t="s">
        <v>33</v>
      </c>
      <c r="N565" s="12" t="s">
        <v>51</v>
      </c>
      <c r="P565" s="10" t="n">
        <v>113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1387.05</v>
      </c>
      <c r="W565" s="13" t="n">
        <v>0</v>
      </c>
      <c r="X565" s="12" t="s">
        <v>587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46218</v>
      </c>
      <c r="C566" s="11" t="n">
        <v>46237</v>
      </c>
      <c r="D566" s="10" t="n">
        <v>1636</v>
      </c>
      <c r="E566" s="12" t="s">
        <v>65</v>
      </c>
      <c r="F566" s="10" t="n">
        <v>24</v>
      </c>
      <c r="G566" s="12" t="s">
        <v>40</v>
      </c>
      <c r="H566" s="10" t="n">
        <v>1110203</v>
      </c>
      <c r="I566" s="12" t="s">
        <v>50</v>
      </c>
      <c r="J566" s="10" t="n">
        <v>1402499</v>
      </c>
      <c r="L566" s="10" t="n">
        <v>188735</v>
      </c>
      <c r="M566" s="12" t="s">
        <v>33</v>
      </c>
      <c r="N566" s="12" t="s">
        <v>51</v>
      </c>
      <c r="P566" s="10" t="n">
        <v>113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1315.48</v>
      </c>
      <c r="W566" s="13" t="n">
        <v>0</v>
      </c>
      <c r="X566" s="12" t="s">
        <v>672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46217</v>
      </c>
      <c r="C567" s="11" t="n">
        <v>46237</v>
      </c>
      <c r="D567" s="10" t="n">
        <v>1612</v>
      </c>
      <c r="E567" s="12" t="s">
        <v>554</v>
      </c>
      <c r="F567" s="10" t="n">
        <v>24</v>
      </c>
      <c r="G567" s="12" t="s">
        <v>40</v>
      </c>
      <c r="H567" s="10" t="n">
        <v>1110203</v>
      </c>
      <c r="I567" s="12" t="s">
        <v>50</v>
      </c>
      <c r="J567" s="10" t="n">
        <v>1397698</v>
      </c>
      <c r="L567" s="10" t="n">
        <v>188008</v>
      </c>
      <c r="M567" s="12" t="s">
        <v>33</v>
      </c>
      <c r="N567" s="12" t="s">
        <v>51</v>
      </c>
      <c r="P567" s="10" t="n">
        <v>113</v>
      </c>
      <c r="Q567" s="12" t="s">
        <v>35</v>
      </c>
      <c r="R567" s="12" t="s">
        <v>36</v>
      </c>
      <c r="S567" s="10" t="n">
        <v>1130101</v>
      </c>
      <c r="T567" s="12" t="s">
        <v>37</v>
      </c>
      <c r="U567" s="13" t="n">
        <v>550.37</v>
      </c>
      <c r="W567" s="13" t="n">
        <v>0</v>
      </c>
      <c r="X567" s="12" t="s">
        <v>673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46216</v>
      </c>
      <c r="C568" s="11" t="n">
        <v>46237</v>
      </c>
      <c r="D568" s="10" t="n">
        <v>1626</v>
      </c>
      <c r="E568" s="12" t="s">
        <v>67</v>
      </c>
      <c r="F568" s="10" t="n">
        <v>24</v>
      </c>
      <c r="G568" s="12" t="s">
        <v>40</v>
      </c>
      <c r="H568" s="10" t="n">
        <v>2110101</v>
      </c>
      <c r="I568" s="12" t="s">
        <v>32</v>
      </c>
      <c r="J568" s="10" t="n">
        <v>1393879</v>
      </c>
      <c r="L568" s="10" t="n">
        <v>312916</v>
      </c>
      <c r="M568" s="12" t="s">
        <v>41</v>
      </c>
      <c r="N568" s="12" t="s">
        <v>34</v>
      </c>
      <c r="P568" s="10" t="n">
        <v>113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368.06</v>
      </c>
      <c r="W568" s="13" t="n">
        <v>0</v>
      </c>
      <c r="X568" s="12" t="s">
        <v>500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46234</v>
      </c>
      <c r="C569" s="11" t="n">
        <v>46237</v>
      </c>
      <c r="D569" s="10" t="n">
        <v>10035</v>
      </c>
      <c r="E569" s="12" t="s">
        <v>72</v>
      </c>
      <c r="F569" s="10" t="n">
        <v>34</v>
      </c>
      <c r="G569" s="12" t="s">
        <v>31</v>
      </c>
      <c r="H569" s="10" t="n">
        <v>1110203</v>
      </c>
      <c r="I569" s="12" t="s">
        <v>50</v>
      </c>
      <c r="J569" s="10" t="n">
        <v>1477872</v>
      </c>
      <c r="L569" s="10" t="n">
        <v>200494</v>
      </c>
      <c r="M569" s="12" t="s">
        <v>33</v>
      </c>
      <c r="N569" s="12" t="s">
        <v>51</v>
      </c>
      <c r="P569" s="10" t="n">
        <v>113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228</v>
      </c>
      <c r="W569" s="13" t="n">
        <v>0</v>
      </c>
      <c r="X569" s="12" t="s">
        <v>674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46230</v>
      </c>
      <c r="C570" s="11" t="n">
        <v>46237</v>
      </c>
      <c r="D570" s="10" t="n">
        <v>1363</v>
      </c>
      <c r="E570" s="12" t="s">
        <v>340</v>
      </c>
      <c r="F570" s="10" t="n">
        <v>24</v>
      </c>
      <c r="G570" s="12" t="s">
        <v>40</v>
      </c>
      <c r="H570" s="10" t="n">
        <v>1110203</v>
      </c>
      <c r="I570" s="12" t="s">
        <v>50</v>
      </c>
      <c r="J570" s="10" t="n">
        <v>1459559</v>
      </c>
      <c r="L570" s="10" t="n">
        <v>197539</v>
      </c>
      <c r="M570" s="12" t="s">
        <v>33</v>
      </c>
      <c r="N570" s="12" t="s">
        <v>51</v>
      </c>
      <c r="P570" s="10" t="n">
        <v>113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125</v>
      </c>
      <c r="W570" s="13" t="n">
        <v>0</v>
      </c>
      <c r="X570" s="12" t="s">
        <v>675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46237</v>
      </c>
      <c r="C571" s="11" t="n">
        <v>46237</v>
      </c>
      <c r="D571" s="10" t="n">
        <v>48</v>
      </c>
      <c r="E571" s="12" t="s">
        <v>78</v>
      </c>
      <c r="F571" s="10" t="n">
        <v>13</v>
      </c>
      <c r="G571" s="12" t="s">
        <v>49</v>
      </c>
      <c r="H571" s="10" t="n">
        <v>2110101</v>
      </c>
      <c r="I571" s="12" t="s">
        <v>32</v>
      </c>
      <c r="J571" s="10" t="n">
        <v>1493407</v>
      </c>
      <c r="L571" s="10" t="n">
        <v>2581</v>
      </c>
      <c r="M571" s="12" t="s">
        <v>33</v>
      </c>
      <c r="N571" s="12" t="s">
        <v>34</v>
      </c>
      <c r="P571" s="10" t="n">
        <v>113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280</v>
      </c>
      <c r="W571" s="13" t="n">
        <v>0</v>
      </c>
      <c r="X571" s="12" t="s">
        <v>676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46237</v>
      </c>
      <c r="C572" s="11" t="n">
        <v>46237</v>
      </c>
      <c r="D572" s="10" t="n">
        <v>48</v>
      </c>
      <c r="E572" s="12" t="s">
        <v>78</v>
      </c>
      <c r="F572" s="10" t="n">
        <v>13</v>
      </c>
      <c r="G572" s="12" t="s">
        <v>49</v>
      </c>
      <c r="H572" s="10" t="n">
        <v>2110101</v>
      </c>
      <c r="I572" s="12" t="s">
        <v>32</v>
      </c>
      <c r="J572" s="10" t="n">
        <v>1493427</v>
      </c>
      <c r="L572" s="10" t="n">
        <v>2582</v>
      </c>
      <c r="M572" s="12" t="s">
        <v>33</v>
      </c>
      <c r="N572" s="12" t="s">
        <v>34</v>
      </c>
      <c r="P572" s="10" t="n">
        <v>113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210</v>
      </c>
      <c r="W572" s="13" t="n">
        <v>0</v>
      </c>
      <c r="X572" s="12" t="s">
        <v>677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46231</v>
      </c>
      <c r="C573" s="11" t="n">
        <v>46237</v>
      </c>
      <c r="D573" s="10" t="n">
        <v>1328</v>
      </c>
      <c r="E573" s="12" t="s">
        <v>80</v>
      </c>
      <c r="F573" s="10" t="n">
        <v>24</v>
      </c>
      <c r="G573" s="12" t="s">
        <v>40</v>
      </c>
      <c r="H573" s="10" t="n">
        <v>1110203</v>
      </c>
      <c r="I573" s="12" t="s">
        <v>50</v>
      </c>
      <c r="J573" s="10" t="n">
        <v>1464443</v>
      </c>
      <c r="L573" s="10" t="n">
        <v>198279</v>
      </c>
      <c r="M573" s="12" t="s">
        <v>33</v>
      </c>
      <c r="N573" s="12" t="s">
        <v>51</v>
      </c>
      <c r="P573" s="10" t="n">
        <v>113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244</v>
      </c>
      <c r="W573" s="13" t="n">
        <v>0</v>
      </c>
      <c r="X573" s="12" t="s">
        <v>678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46233</v>
      </c>
      <c r="C574" s="11" t="n">
        <v>46237</v>
      </c>
      <c r="D574" s="10" t="n">
        <v>1899</v>
      </c>
      <c r="E574" s="12" t="s">
        <v>84</v>
      </c>
      <c r="F574" s="10" t="n">
        <v>24</v>
      </c>
      <c r="G574" s="12" t="s">
        <v>40</v>
      </c>
      <c r="H574" s="10" t="n">
        <v>1110203</v>
      </c>
      <c r="I574" s="12" t="s">
        <v>50</v>
      </c>
      <c r="J574" s="10" t="n">
        <v>1472608</v>
      </c>
      <c r="L574" s="10" t="n">
        <v>199512</v>
      </c>
      <c r="M574" s="12" t="s">
        <v>33</v>
      </c>
      <c r="N574" s="12" t="s">
        <v>51</v>
      </c>
      <c r="P574" s="10" t="n">
        <v>113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284.7</v>
      </c>
      <c r="W574" s="13" t="n">
        <v>0</v>
      </c>
      <c r="X574" s="12" t="s">
        <v>679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46231</v>
      </c>
      <c r="C575" s="11" t="n">
        <v>46237</v>
      </c>
      <c r="D575" s="10" t="n">
        <v>1292</v>
      </c>
      <c r="E575" s="12" t="s">
        <v>91</v>
      </c>
      <c r="F575" s="10" t="n">
        <v>24</v>
      </c>
      <c r="G575" s="12" t="s">
        <v>40</v>
      </c>
      <c r="H575" s="10" t="n">
        <v>1110203</v>
      </c>
      <c r="I575" s="12" t="s">
        <v>50</v>
      </c>
      <c r="J575" s="10" t="n">
        <v>1464433</v>
      </c>
      <c r="L575" s="10" t="n">
        <v>198276</v>
      </c>
      <c r="M575" s="12" t="s">
        <v>33</v>
      </c>
      <c r="N575" s="12" t="s">
        <v>51</v>
      </c>
      <c r="P575" s="10" t="n">
        <v>113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505.5</v>
      </c>
      <c r="W575" s="13" t="n">
        <v>0</v>
      </c>
      <c r="X575" s="12" t="s">
        <v>680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46230</v>
      </c>
      <c r="C576" s="11" t="n">
        <v>46237</v>
      </c>
      <c r="D576" s="10" t="n">
        <v>1631</v>
      </c>
      <c r="E576" s="12" t="s">
        <v>95</v>
      </c>
      <c r="F576" s="10" t="n">
        <v>24</v>
      </c>
      <c r="G576" s="12" t="s">
        <v>40</v>
      </c>
      <c r="H576" s="10" t="n">
        <v>1110203</v>
      </c>
      <c r="I576" s="12" t="s">
        <v>50</v>
      </c>
      <c r="J576" s="10" t="n">
        <v>1459264</v>
      </c>
      <c r="L576" s="10" t="n">
        <v>197493</v>
      </c>
      <c r="M576" s="12" t="s">
        <v>33</v>
      </c>
      <c r="N576" s="12" t="s">
        <v>51</v>
      </c>
      <c r="P576" s="10" t="n">
        <v>113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272.52</v>
      </c>
      <c r="W576" s="13" t="n">
        <v>0</v>
      </c>
      <c r="X576" s="12" t="s">
        <v>681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46238</v>
      </c>
      <c r="C577" s="11" t="n">
        <v>46238</v>
      </c>
      <c r="D577" s="10" t="n">
        <v>862</v>
      </c>
      <c r="E577" s="12" t="s">
        <v>682</v>
      </c>
      <c r="F577" s="10" t="n">
        <v>24</v>
      </c>
      <c r="G577" s="12" t="s">
        <v>40</v>
      </c>
      <c r="H577" s="10" t="n">
        <v>1110203</v>
      </c>
      <c r="I577" s="12" t="s">
        <v>50</v>
      </c>
      <c r="J577" s="10" t="n">
        <v>1498421</v>
      </c>
      <c r="L577" s="10" t="n">
        <v>202608</v>
      </c>
      <c r="M577" s="12" t="s">
        <v>33</v>
      </c>
      <c r="N577" s="12" t="s">
        <v>51</v>
      </c>
      <c r="P577" s="10" t="n">
        <v>101</v>
      </c>
      <c r="Q577" s="12" t="s">
        <v>69</v>
      </c>
      <c r="R577" s="12" t="s">
        <v>88</v>
      </c>
      <c r="S577" s="10" t="n">
        <v>4210233</v>
      </c>
      <c r="T577" s="12" t="s">
        <v>304</v>
      </c>
      <c r="U577" s="13" t="n">
        <v>270.9</v>
      </c>
      <c r="W577" s="13" t="n">
        <v>0</v>
      </c>
      <c r="X577" s="12" t="s">
        <v>683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46235</v>
      </c>
      <c r="C578" s="11" t="n">
        <v>46238</v>
      </c>
      <c r="D578" s="10" t="n">
        <v>642</v>
      </c>
      <c r="E578" s="12" t="s">
        <v>97</v>
      </c>
      <c r="F578" s="10" t="n">
        <v>24</v>
      </c>
      <c r="G578" s="12" t="s">
        <v>40</v>
      </c>
      <c r="H578" s="10" t="n">
        <v>1110203</v>
      </c>
      <c r="I578" s="12" t="s">
        <v>50</v>
      </c>
      <c r="J578" s="10" t="n">
        <v>1481858</v>
      </c>
      <c r="L578" s="10" t="n">
        <v>201136</v>
      </c>
      <c r="M578" s="12" t="s">
        <v>33</v>
      </c>
      <c r="N578" s="12" t="s">
        <v>51</v>
      </c>
      <c r="P578" s="10" t="n">
        <v>113</v>
      </c>
      <c r="Q578" s="12" t="s">
        <v>35</v>
      </c>
      <c r="R578" s="12" t="s">
        <v>36</v>
      </c>
      <c r="S578" s="10" t="n">
        <v>1130101</v>
      </c>
      <c r="T578" s="12" t="s">
        <v>37</v>
      </c>
      <c r="U578" s="13" t="n">
        <v>180</v>
      </c>
      <c r="W578" s="13" t="n">
        <v>0</v>
      </c>
      <c r="X578" s="12" t="s">
        <v>684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46238</v>
      </c>
      <c r="C579" s="11" t="n">
        <v>46238</v>
      </c>
      <c r="D579" s="10" t="n">
        <v>1961</v>
      </c>
      <c r="E579" s="12" t="s">
        <v>100</v>
      </c>
      <c r="F579" s="10" t="n">
        <v>34</v>
      </c>
      <c r="G579" s="12" t="s">
        <v>31</v>
      </c>
      <c r="H579" s="10" t="n">
        <v>1110203</v>
      </c>
      <c r="I579" s="12" t="s">
        <v>50</v>
      </c>
      <c r="J579" s="10" t="n">
        <v>1500425</v>
      </c>
      <c r="L579" s="10" t="n">
        <v>203688</v>
      </c>
      <c r="M579" s="12" t="s">
        <v>33</v>
      </c>
      <c r="N579" s="12" t="s">
        <v>51</v>
      </c>
      <c r="P579" s="10" t="n">
        <v>101</v>
      </c>
      <c r="Q579" s="12" t="s">
        <v>69</v>
      </c>
      <c r="R579" s="12" t="s">
        <v>102</v>
      </c>
      <c r="S579" s="10" t="n">
        <v>4210310</v>
      </c>
      <c r="T579" s="12" t="s">
        <v>103</v>
      </c>
      <c r="U579" s="13" t="n">
        <v>100</v>
      </c>
      <c r="W579" s="13" t="n">
        <v>0</v>
      </c>
      <c r="X579" s="12" t="s">
        <v>685</v>
      </c>
      <c r="Z579" s="1" t="str">
        <f aca="false">IF($T579="","",IFERROR(INDEX('Resumo Grupos'!$AC$3:$AC$200,MATCH($T579,'Resumo Grupos'!$AB$3:$AB$200,0)),"n/d"))</f>
        <v>Despesa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46218</v>
      </c>
      <c r="C580" s="11" t="n">
        <v>46238</v>
      </c>
      <c r="D580" s="10" t="n">
        <v>1637</v>
      </c>
      <c r="E580" s="12" t="s">
        <v>418</v>
      </c>
      <c r="F580" s="10" t="n">
        <v>24</v>
      </c>
      <c r="G580" s="12" t="s">
        <v>40</v>
      </c>
      <c r="H580" s="10" t="n">
        <v>1110203</v>
      </c>
      <c r="I580" s="12" t="s">
        <v>50</v>
      </c>
      <c r="J580" s="10" t="n">
        <v>1401287</v>
      </c>
      <c r="L580" s="10" t="n">
        <v>188467</v>
      </c>
      <c r="M580" s="12" t="s">
        <v>33</v>
      </c>
      <c r="N580" s="12" t="s">
        <v>51</v>
      </c>
      <c r="P580" s="10" t="n">
        <v>113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479.64</v>
      </c>
      <c r="W580" s="13" t="n">
        <v>0</v>
      </c>
      <c r="X580" s="12" t="s">
        <v>686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46223</v>
      </c>
      <c r="C581" s="11" t="n">
        <v>46238</v>
      </c>
      <c r="D581" s="10" t="n">
        <v>1705</v>
      </c>
      <c r="E581" s="12" t="s">
        <v>43</v>
      </c>
      <c r="F581" s="10" t="n">
        <v>24</v>
      </c>
      <c r="G581" s="12" t="s">
        <v>40</v>
      </c>
      <c r="H581" s="10" t="n">
        <v>1110203</v>
      </c>
      <c r="I581" s="12" t="s">
        <v>50</v>
      </c>
      <c r="J581" s="10" t="n">
        <v>1424532</v>
      </c>
      <c r="L581" s="10" t="n">
        <v>190904</v>
      </c>
      <c r="M581" s="12" t="s">
        <v>33</v>
      </c>
      <c r="N581" s="12" t="s">
        <v>51</v>
      </c>
      <c r="P581" s="10" t="n">
        <v>113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637.11</v>
      </c>
      <c r="W581" s="13" t="n">
        <v>0</v>
      </c>
      <c r="X581" s="12" t="s">
        <v>687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46223</v>
      </c>
      <c r="C582" s="11" t="n">
        <v>46238</v>
      </c>
      <c r="D582" s="10" t="n">
        <v>1705</v>
      </c>
      <c r="E582" s="12" t="s">
        <v>43</v>
      </c>
      <c r="F582" s="10" t="n">
        <v>24</v>
      </c>
      <c r="G582" s="12" t="s">
        <v>40</v>
      </c>
      <c r="H582" s="10" t="n">
        <v>1110203</v>
      </c>
      <c r="I582" s="12" t="s">
        <v>50</v>
      </c>
      <c r="J582" s="10" t="n">
        <v>1424528</v>
      </c>
      <c r="L582" s="10" t="n">
        <v>190903</v>
      </c>
      <c r="M582" s="12" t="s">
        <v>33</v>
      </c>
      <c r="N582" s="12" t="s">
        <v>51</v>
      </c>
      <c r="P582" s="10" t="n">
        <v>113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53.95</v>
      </c>
      <c r="W582" s="13" t="n">
        <v>0</v>
      </c>
      <c r="X582" s="12" t="s">
        <v>688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46231</v>
      </c>
      <c r="C583" s="11" t="n">
        <v>46238</v>
      </c>
      <c r="D583" s="10" t="n">
        <v>1642</v>
      </c>
      <c r="E583" s="12" t="s">
        <v>254</v>
      </c>
      <c r="F583" s="10" t="n">
        <v>24</v>
      </c>
      <c r="G583" s="12" t="s">
        <v>40</v>
      </c>
      <c r="H583" s="10" t="n">
        <v>1110203</v>
      </c>
      <c r="I583" s="12" t="s">
        <v>50</v>
      </c>
      <c r="J583" s="10" t="n">
        <v>1464440</v>
      </c>
      <c r="L583" s="10" t="n">
        <v>198277</v>
      </c>
      <c r="M583" s="12" t="s">
        <v>33</v>
      </c>
      <c r="N583" s="12" t="s">
        <v>51</v>
      </c>
      <c r="P583" s="10" t="n">
        <v>113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355.62</v>
      </c>
      <c r="W583" s="13" t="n">
        <v>0</v>
      </c>
      <c r="X583" s="12" t="s">
        <v>689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46225</v>
      </c>
      <c r="C584" s="11" t="n">
        <v>46238</v>
      </c>
      <c r="D584" s="10" t="n">
        <v>1608</v>
      </c>
      <c r="E584" s="12" t="s">
        <v>266</v>
      </c>
      <c r="F584" s="10" t="n">
        <v>24</v>
      </c>
      <c r="G584" s="12" t="s">
        <v>40</v>
      </c>
      <c r="H584" s="10" t="n">
        <v>1110203</v>
      </c>
      <c r="I584" s="12" t="s">
        <v>50</v>
      </c>
      <c r="J584" s="10" t="n">
        <v>1434778</v>
      </c>
      <c r="L584" s="10" t="n">
        <v>193756</v>
      </c>
      <c r="M584" s="12" t="s">
        <v>33</v>
      </c>
      <c r="N584" s="12" t="s">
        <v>51</v>
      </c>
      <c r="P584" s="10" t="n">
        <v>113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554.4</v>
      </c>
      <c r="W584" s="13" t="n">
        <v>0</v>
      </c>
      <c r="X584" s="12" t="s">
        <v>690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46238</v>
      </c>
      <c r="C585" s="11" t="n">
        <v>46238</v>
      </c>
      <c r="D585" s="10" t="n">
        <v>1037</v>
      </c>
      <c r="E585" s="12" t="s">
        <v>125</v>
      </c>
      <c r="F585" s="10" t="n">
        <v>34</v>
      </c>
      <c r="G585" s="12" t="s">
        <v>31</v>
      </c>
      <c r="H585" s="10" t="n">
        <v>1110203</v>
      </c>
      <c r="I585" s="12" t="s">
        <v>50</v>
      </c>
      <c r="J585" s="10" t="n">
        <v>1500239</v>
      </c>
      <c r="L585" s="10" t="n">
        <v>203659</v>
      </c>
      <c r="M585" s="12" t="s">
        <v>33</v>
      </c>
      <c r="N585" s="12" t="s">
        <v>51</v>
      </c>
      <c r="P585" s="10" t="n">
        <v>113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380</v>
      </c>
      <c r="W585" s="13" t="n">
        <v>0</v>
      </c>
      <c r="X585" s="12" t="s">
        <v>691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46219</v>
      </c>
      <c r="C586" s="11" t="n">
        <v>46238</v>
      </c>
      <c r="D586" s="10" t="n">
        <v>10009</v>
      </c>
      <c r="E586" s="12" t="s">
        <v>76</v>
      </c>
      <c r="F586" s="10" t="n">
        <v>24</v>
      </c>
      <c r="G586" s="12" t="s">
        <v>40</v>
      </c>
      <c r="H586" s="10" t="n">
        <v>1110203</v>
      </c>
      <c r="I586" s="12" t="s">
        <v>50</v>
      </c>
      <c r="J586" s="10" t="n">
        <v>1406034</v>
      </c>
      <c r="L586" s="10" t="n">
        <v>189282</v>
      </c>
      <c r="M586" s="12" t="s">
        <v>33</v>
      </c>
      <c r="N586" s="12" t="s">
        <v>51</v>
      </c>
      <c r="P586" s="10" t="n">
        <v>113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691.62</v>
      </c>
      <c r="W586" s="13" t="n">
        <v>0</v>
      </c>
      <c r="X586" s="12" t="s">
        <v>525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46238</v>
      </c>
      <c r="C587" s="11" t="n">
        <v>46238</v>
      </c>
      <c r="D587" s="10" t="n">
        <v>48</v>
      </c>
      <c r="E587" s="12" t="s">
        <v>78</v>
      </c>
      <c r="F587" s="10" t="n">
        <v>34</v>
      </c>
      <c r="G587" s="12" t="s">
        <v>31</v>
      </c>
      <c r="H587" s="10" t="n">
        <v>2110101</v>
      </c>
      <c r="I587" s="12" t="s">
        <v>32</v>
      </c>
      <c r="J587" s="10" t="n">
        <v>1500211</v>
      </c>
      <c r="L587" s="10" t="n">
        <v>2585</v>
      </c>
      <c r="M587" s="12" t="s">
        <v>33</v>
      </c>
      <c r="N587" s="12" t="s">
        <v>34</v>
      </c>
      <c r="P587" s="10" t="n">
        <v>113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1910</v>
      </c>
      <c r="W587" s="13" t="n">
        <v>0</v>
      </c>
      <c r="X587" s="12" t="s">
        <v>692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46214</v>
      </c>
      <c r="C588" s="11" t="n">
        <v>46238</v>
      </c>
      <c r="D588" s="10" t="n">
        <v>666</v>
      </c>
      <c r="E588" s="12" t="s">
        <v>82</v>
      </c>
      <c r="F588" s="10" t="n">
        <v>24</v>
      </c>
      <c r="G588" s="12" t="s">
        <v>40</v>
      </c>
      <c r="H588" s="10" t="n">
        <v>2110101</v>
      </c>
      <c r="I588" s="12" t="s">
        <v>32</v>
      </c>
      <c r="J588" s="10" t="n">
        <v>1381906</v>
      </c>
      <c r="L588" s="10" t="n">
        <v>7874</v>
      </c>
      <c r="M588" s="12" t="s">
        <v>191</v>
      </c>
      <c r="N588" s="12" t="s">
        <v>34</v>
      </c>
      <c r="P588" s="10" t="n">
        <v>113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378.88</v>
      </c>
      <c r="W588" s="13" t="n">
        <v>0</v>
      </c>
      <c r="X588" s="12" t="s">
        <v>440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46220</v>
      </c>
      <c r="C589" s="11" t="n">
        <v>46238</v>
      </c>
      <c r="D589" s="10" t="n">
        <v>1676</v>
      </c>
      <c r="E589" s="12" t="s">
        <v>243</v>
      </c>
      <c r="F589" s="10" t="n">
        <v>24</v>
      </c>
      <c r="G589" s="12" t="s">
        <v>40</v>
      </c>
      <c r="H589" s="10" t="n">
        <v>1110203</v>
      </c>
      <c r="I589" s="12" t="s">
        <v>50</v>
      </c>
      <c r="J589" s="10" t="n">
        <v>1410577</v>
      </c>
      <c r="L589" s="10" t="n">
        <v>190085</v>
      </c>
      <c r="M589" s="12" t="s">
        <v>33</v>
      </c>
      <c r="N589" s="12" t="s">
        <v>51</v>
      </c>
      <c r="P589" s="10" t="n">
        <v>113</v>
      </c>
      <c r="Q589" s="12" t="s">
        <v>35</v>
      </c>
      <c r="R589" s="12" t="s">
        <v>36</v>
      </c>
      <c r="S589" s="10" t="n">
        <v>1130101</v>
      </c>
      <c r="T589" s="12" t="s">
        <v>37</v>
      </c>
      <c r="U589" s="13" t="n">
        <v>505.58</v>
      </c>
      <c r="W589" s="13" t="n">
        <v>0</v>
      </c>
      <c r="X589" s="12" t="s">
        <v>610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46225</v>
      </c>
      <c r="C590" s="11" t="n">
        <v>46239</v>
      </c>
      <c r="D590" s="10" t="n">
        <v>1635</v>
      </c>
      <c r="E590" s="12" t="s">
        <v>110</v>
      </c>
      <c r="F590" s="10" t="n">
        <v>24</v>
      </c>
      <c r="G590" s="12" t="s">
        <v>40</v>
      </c>
      <c r="H590" s="10" t="n">
        <v>1110203</v>
      </c>
      <c r="I590" s="12" t="s">
        <v>50</v>
      </c>
      <c r="J590" s="10" t="n">
        <v>1435985</v>
      </c>
      <c r="L590" s="10" t="n">
        <v>194025</v>
      </c>
      <c r="M590" s="12" t="s">
        <v>33</v>
      </c>
      <c r="N590" s="12" t="s">
        <v>51</v>
      </c>
      <c r="P590" s="10" t="n">
        <v>113</v>
      </c>
      <c r="Q590" s="12" t="s">
        <v>35</v>
      </c>
      <c r="R590" s="12" t="s">
        <v>36</v>
      </c>
      <c r="S590" s="10" t="n">
        <v>1130101</v>
      </c>
      <c r="T590" s="12" t="s">
        <v>37</v>
      </c>
      <c r="U590" s="13" t="n">
        <v>109.52</v>
      </c>
      <c r="W590" s="13" t="n">
        <v>0</v>
      </c>
      <c r="X590" s="12" t="s">
        <v>693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46220</v>
      </c>
      <c r="C591" s="11" t="n">
        <v>46239</v>
      </c>
      <c r="D591" s="10" t="n">
        <v>1613</v>
      </c>
      <c r="E591" s="12" t="s">
        <v>159</v>
      </c>
      <c r="F591" s="10" t="n">
        <v>24</v>
      </c>
      <c r="G591" s="12" t="s">
        <v>40</v>
      </c>
      <c r="H591" s="10" t="n">
        <v>1110203</v>
      </c>
      <c r="I591" s="12" t="s">
        <v>50</v>
      </c>
      <c r="J591" s="10" t="n">
        <v>1410738</v>
      </c>
      <c r="L591" s="10" t="n">
        <v>190120</v>
      </c>
      <c r="M591" s="12" t="s">
        <v>33</v>
      </c>
      <c r="N591" s="12" t="s">
        <v>51</v>
      </c>
      <c r="P591" s="10" t="n">
        <v>113</v>
      </c>
      <c r="Q591" s="12" t="s">
        <v>35</v>
      </c>
      <c r="R591" s="12" t="s">
        <v>36</v>
      </c>
      <c r="S591" s="10" t="n">
        <v>1130101</v>
      </c>
      <c r="T591" s="12" t="s">
        <v>37</v>
      </c>
      <c r="U591" s="13" t="n">
        <v>512.49</v>
      </c>
      <c r="W591" s="13" t="n">
        <v>0</v>
      </c>
      <c r="X591" s="12" t="s">
        <v>614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46227</v>
      </c>
      <c r="C592" s="11" t="n">
        <v>46239</v>
      </c>
      <c r="D592" s="10" t="n">
        <v>1613</v>
      </c>
      <c r="E592" s="12" t="s">
        <v>159</v>
      </c>
      <c r="F592" s="10" t="n">
        <v>24</v>
      </c>
      <c r="G592" s="12" t="s">
        <v>40</v>
      </c>
      <c r="H592" s="10" t="n">
        <v>1110203</v>
      </c>
      <c r="I592" s="12" t="s">
        <v>50</v>
      </c>
      <c r="J592" s="10" t="n">
        <v>1443755</v>
      </c>
      <c r="L592" s="10" t="n">
        <v>195248</v>
      </c>
      <c r="M592" s="12" t="s">
        <v>33</v>
      </c>
      <c r="N592" s="12" t="s">
        <v>51</v>
      </c>
      <c r="P592" s="10" t="n">
        <v>113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395.62</v>
      </c>
      <c r="W592" s="13" t="n">
        <v>0</v>
      </c>
      <c r="X592" s="12" t="s">
        <v>694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46218</v>
      </c>
      <c r="C593" s="11" t="n">
        <v>46239</v>
      </c>
      <c r="D593" s="10" t="n">
        <v>1608</v>
      </c>
      <c r="E593" s="12" t="s">
        <v>266</v>
      </c>
      <c r="F593" s="10" t="n">
        <v>24</v>
      </c>
      <c r="G593" s="12" t="s">
        <v>40</v>
      </c>
      <c r="H593" s="10" t="n">
        <v>1110203</v>
      </c>
      <c r="I593" s="12" t="s">
        <v>50</v>
      </c>
      <c r="J593" s="10" t="n">
        <v>1401884</v>
      </c>
      <c r="L593" s="10" t="n">
        <v>188607</v>
      </c>
      <c r="M593" s="12" t="s">
        <v>33</v>
      </c>
      <c r="N593" s="12" t="s">
        <v>51</v>
      </c>
      <c r="P593" s="10" t="n">
        <v>113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1207.28</v>
      </c>
      <c r="W593" s="13" t="n">
        <v>0</v>
      </c>
      <c r="X593" s="12" t="s">
        <v>615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46219</v>
      </c>
      <c r="C594" s="11" t="n">
        <v>46239</v>
      </c>
      <c r="D594" s="10" t="n">
        <v>1616</v>
      </c>
      <c r="E594" s="12" t="s">
        <v>218</v>
      </c>
      <c r="F594" s="10" t="n">
        <v>24</v>
      </c>
      <c r="G594" s="12" t="s">
        <v>40</v>
      </c>
      <c r="H594" s="10" t="n">
        <v>1110203</v>
      </c>
      <c r="I594" s="12" t="s">
        <v>50</v>
      </c>
      <c r="J594" s="10" t="n">
        <v>1406257</v>
      </c>
      <c r="L594" s="10" t="n">
        <v>189335</v>
      </c>
      <c r="M594" s="12" t="s">
        <v>33</v>
      </c>
      <c r="N594" s="12" t="s">
        <v>51</v>
      </c>
      <c r="P594" s="10" t="n">
        <v>113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607.58</v>
      </c>
      <c r="W594" s="13" t="n">
        <v>0</v>
      </c>
      <c r="X594" s="12" t="s">
        <v>616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46205</v>
      </c>
      <c r="C595" s="11" t="n">
        <v>46239</v>
      </c>
      <c r="D595" s="10" t="n">
        <v>1217</v>
      </c>
      <c r="E595" s="12" t="s">
        <v>314</v>
      </c>
      <c r="F595" s="10" t="n">
        <v>24</v>
      </c>
      <c r="G595" s="12" t="s">
        <v>40</v>
      </c>
      <c r="H595" s="10" t="n">
        <v>2110101</v>
      </c>
      <c r="I595" s="12" t="s">
        <v>32</v>
      </c>
      <c r="J595" s="10" t="n">
        <v>1339965</v>
      </c>
      <c r="L595" s="10" t="n">
        <v>4467</v>
      </c>
      <c r="M595" s="12" t="s">
        <v>191</v>
      </c>
      <c r="N595" s="12" t="s">
        <v>34</v>
      </c>
      <c r="P595" s="10" t="n">
        <v>113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819.53</v>
      </c>
      <c r="W595" s="13" t="n">
        <v>0</v>
      </c>
      <c r="X595" s="12" t="s">
        <v>315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46209</v>
      </c>
      <c r="C596" s="11" t="n">
        <v>46239</v>
      </c>
      <c r="D596" s="10" t="n">
        <v>1768</v>
      </c>
      <c r="E596" s="12" t="s">
        <v>318</v>
      </c>
      <c r="F596" s="10" t="n">
        <v>34</v>
      </c>
      <c r="G596" s="12" t="s">
        <v>31</v>
      </c>
      <c r="H596" s="10" t="n">
        <v>1110202</v>
      </c>
      <c r="I596" s="12" t="s">
        <v>179</v>
      </c>
      <c r="J596" s="10" t="n">
        <v>628286</v>
      </c>
      <c r="L596" s="10" t="n">
        <v>81552</v>
      </c>
      <c r="M596" s="12" t="s">
        <v>147</v>
      </c>
      <c r="N596" s="12" t="s">
        <v>51</v>
      </c>
      <c r="P596" s="10" t="n">
        <v>102</v>
      </c>
      <c r="Q596" s="12" t="s">
        <v>101</v>
      </c>
      <c r="R596" s="12" t="s">
        <v>88</v>
      </c>
      <c r="S596" s="10" t="n">
        <v>4210202</v>
      </c>
      <c r="T596" s="12" t="s">
        <v>319</v>
      </c>
      <c r="U596" s="13" t="n">
        <v>2431.5</v>
      </c>
      <c r="W596" s="13" t="n">
        <v>0</v>
      </c>
      <c r="X596" s="12" t="s">
        <v>320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46218</v>
      </c>
      <c r="C597" s="11" t="n">
        <v>46239</v>
      </c>
      <c r="D597" s="10" t="n">
        <v>1815</v>
      </c>
      <c r="E597" s="12" t="s">
        <v>175</v>
      </c>
      <c r="F597" s="10" t="n">
        <v>24</v>
      </c>
      <c r="G597" s="12" t="s">
        <v>40</v>
      </c>
      <c r="H597" s="10" t="n">
        <v>1110203</v>
      </c>
      <c r="I597" s="12" t="s">
        <v>50</v>
      </c>
      <c r="J597" s="10" t="n">
        <v>1403062</v>
      </c>
      <c r="L597" s="10" t="n">
        <v>188874</v>
      </c>
      <c r="M597" s="12" t="s">
        <v>33</v>
      </c>
      <c r="N597" s="12" t="s">
        <v>51</v>
      </c>
      <c r="P597" s="10" t="n">
        <v>113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2806.5</v>
      </c>
      <c r="W597" s="13" t="n">
        <v>0</v>
      </c>
      <c r="X597" s="12" t="s">
        <v>532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46225</v>
      </c>
      <c r="C598" s="11" t="n">
        <v>46239</v>
      </c>
      <c r="D598" s="10" t="n">
        <v>1815</v>
      </c>
      <c r="E598" s="12" t="s">
        <v>175</v>
      </c>
      <c r="F598" s="10" t="n">
        <v>24</v>
      </c>
      <c r="G598" s="12" t="s">
        <v>40</v>
      </c>
      <c r="H598" s="10" t="n">
        <v>1110203</v>
      </c>
      <c r="I598" s="12" t="s">
        <v>50</v>
      </c>
      <c r="J598" s="10" t="n">
        <v>1436047</v>
      </c>
      <c r="L598" s="10" t="n">
        <v>194034</v>
      </c>
      <c r="M598" s="12" t="s">
        <v>33</v>
      </c>
      <c r="N598" s="12" t="s">
        <v>51</v>
      </c>
      <c r="P598" s="10" t="n">
        <v>113</v>
      </c>
      <c r="Q598" s="12" t="s">
        <v>35</v>
      </c>
      <c r="R598" s="12" t="s">
        <v>36</v>
      </c>
      <c r="S598" s="10" t="n">
        <v>1130101</v>
      </c>
      <c r="T598" s="12" t="s">
        <v>37</v>
      </c>
      <c r="U598" s="13" t="n">
        <v>1164.4</v>
      </c>
      <c r="W598" s="13" t="n">
        <v>0</v>
      </c>
      <c r="X598" s="12" t="s">
        <v>619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46219</v>
      </c>
      <c r="C599" s="11" t="n">
        <v>46239</v>
      </c>
      <c r="D599" s="10" t="n">
        <v>1699</v>
      </c>
      <c r="E599" s="12" t="s">
        <v>74</v>
      </c>
      <c r="F599" s="10" t="n">
        <v>24</v>
      </c>
      <c r="G599" s="12" t="s">
        <v>40</v>
      </c>
      <c r="H599" s="10" t="n">
        <v>1110203</v>
      </c>
      <c r="I599" s="12" t="s">
        <v>50</v>
      </c>
      <c r="J599" s="10" t="n">
        <v>1406627</v>
      </c>
      <c r="L599" s="10" t="n">
        <v>189424</v>
      </c>
      <c r="M599" s="12" t="s">
        <v>33</v>
      </c>
      <c r="N599" s="12" t="s">
        <v>51</v>
      </c>
      <c r="P599" s="10" t="n">
        <v>113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1021.84</v>
      </c>
      <c r="W599" s="13" t="n">
        <v>0</v>
      </c>
      <c r="X599" s="12" t="s">
        <v>533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46234</v>
      </c>
      <c r="C600" s="11" t="n">
        <v>46239</v>
      </c>
      <c r="D600" s="10" t="n">
        <v>581</v>
      </c>
      <c r="E600" s="12" t="s">
        <v>233</v>
      </c>
      <c r="F600" s="10" t="n">
        <v>24</v>
      </c>
      <c r="G600" s="12" t="s">
        <v>40</v>
      </c>
      <c r="H600" s="10" t="n">
        <v>1110203</v>
      </c>
      <c r="I600" s="12" t="s">
        <v>50</v>
      </c>
      <c r="J600" s="10" t="n">
        <v>1477772</v>
      </c>
      <c r="L600" s="10" t="n">
        <v>200463</v>
      </c>
      <c r="M600" s="12" t="s">
        <v>33</v>
      </c>
      <c r="N600" s="12" t="s">
        <v>51</v>
      </c>
      <c r="P600" s="10" t="n">
        <v>113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266</v>
      </c>
      <c r="W600" s="13" t="n">
        <v>0</v>
      </c>
      <c r="X600" s="12" t="s">
        <v>695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46233</v>
      </c>
      <c r="C601" s="11" t="n">
        <v>46239</v>
      </c>
      <c r="D601" s="10" t="n">
        <v>1778</v>
      </c>
      <c r="E601" s="12" t="s">
        <v>696</v>
      </c>
      <c r="F601" s="10" t="n">
        <v>24</v>
      </c>
      <c r="G601" s="12" t="s">
        <v>40</v>
      </c>
      <c r="H601" s="10" t="n">
        <v>1110203</v>
      </c>
      <c r="I601" s="12" t="s">
        <v>50</v>
      </c>
      <c r="J601" s="10" t="n">
        <v>1474004</v>
      </c>
      <c r="L601" s="10" t="n">
        <v>199826</v>
      </c>
      <c r="M601" s="12" t="s">
        <v>33</v>
      </c>
      <c r="N601" s="12" t="s">
        <v>51</v>
      </c>
      <c r="P601" s="10" t="n">
        <v>113</v>
      </c>
      <c r="Q601" s="12" t="s">
        <v>35</v>
      </c>
      <c r="R601" s="12" t="s">
        <v>88</v>
      </c>
      <c r="S601" s="10" t="n">
        <v>4210207</v>
      </c>
      <c r="T601" s="12" t="s">
        <v>697</v>
      </c>
      <c r="U601" s="13" t="n">
        <v>620.88</v>
      </c>
      <c r="W601" s="13" t="n">
        <v>0</v>
      </c>
      <c r="X601" s="12" t="s">
        <v>698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46233</v>
      </c>
      <c r="C602" s="11" t="n">
        <v>46239</v>
      </c>
      <c r="D602" s="10" t="n">
        <v>1625</v>
      </c>
      <c r="E602" s="12" t="s">
        <v>283</v>
      </c>
      <c r="F602" s="10" t="n">
        <v>24</v>
      </c>
      <c r="G602" s="12" t="s">
        <v>40</v>
      </c>
      <c r="H602" s="10" t="n">
        <v>1110203</v>
      </c>
      <c r="I602" s="12" t="s">
        <v>50</v>
      </c>
      <c r="J602" s="10" t="n">
        <v>1472784</v>
      </c>
      <c r="L602" s="10" t="n">
        <v>199543</v>
      </c>
      <c r="M602" s="12" t="s">
        <v>33</v>
      </c>
      <c r="N602" s="12" t="s">
        <v>51</v>
      </c>
      <c r="P602" s="10" t="n">
        <v>113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3840</v>
      </c>
      <c r="W602" s="13" t="n">
        <v>0</v>
      </c>
      <c r="X602" s="12" t="s">
        <v>699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46239</v>
      </c>
      <c r="D603" s="10" t="n">
        <v>33</v>
      </c>
      <c r="E603" s="12" t="s">
        <v>289</v>
      </c>
      <c r="F603" s="10" t="n">
        <v>34</v>
      </c>
      <c r="G603" s="12" t="s">
        <v>31</v>
      </c>
      <c r="H603" s="10" t="n">
        <v>1110203</v>
      </c>
      <c r="I603" s="12" t="s">
        <v>50</v>
      </c>
      <c r="J603" s="10" t="n">
        <v>910921</v>
      </c>
      <c r="L603" s="10" t="n">
        <v>120198</v>
      </c>
      <c r="M603" s="12" t="s">
        <v>191</v>
      </c>
      <c r="N603" s="12" t="s">
        <v>51</v>
      </c>
      <c r="P603" s="10" t="n">
        <v>102</v>
      </c>
      <c r="Q603" s="12" t="s">
        <v>101</v>
      </c>
      <c r="R603" s="12" t="s">
        <v>102</v>
      </c>
      <c r="S603" s="10" t="n">
        <v>4210301</v>
      </c>
      <c r="T603" s="12" t="s">
        <v>131</v>
      </c>
      <c r="U603" s="13" t="n">
        <v>222.91</v>
      </c>
      <c r="W603" s="13" t="n">
        <v>0</v>
      </c>
      <c r="X603" s="12" t="s">
        <v>700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46216</v>
      </c>
      <c r="C604" s="11" t="n">
        <v>46239</v>
      </c>
      <c r="D604" s="10" t="n">
        <v>10012</v>
      </c>
      <c r="E604" s="12" t="s">
        <v>373</v>
      </c>
      <c r="F604" s="10" t="n">
        <v>24</v>
      </c>
      <c r="G604" s="12" t="s">
        <v>40</v>
      </c>
      <c r="H604" s="10" t="n">
        <v>2110101</v>
      </c>
      <c r="I604" s="12" t="s">
        <v>32</v>
      </c>
      <c r="J604" s="10" t="n">
        <v>1393698</v>
      </c>
      <c r="L604" s="10" t="n">
        <v>1962669</v>
      </c>
      <c r="M604" s="12" t="s">
        <v>108</v>
      </c>
      <c r="N604" s="12" t="s">
        <v>34</v>
      </c>
      <c r="P604" s="10" t="n">
        <v>113</v>
      </c>
      <c r="Q604" s="12" t="s">
        <v>35</v>
      </c>
      <c r="R604" s="12" t="s">
        <v>36</v>
      </c>
      <c r="S604" s="10" t="n">
        <v>1130101</v>
      </c>
      <c r="T604" s="12" t="s">
        <v>37</v>
      </c>
      <c r="U604" s="13" t="n">
        <v>1504.05</v>
      </c>
      <c r="W604" s="13" t="n">
        <v>0</v>
      </c>
      <c r="X604" s="12" t="s">
        <v>623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46218</v>
      </c>
      <c r="C605" s="11" t="n">
        <v>46239</v>
      </c>
      <c r="D605" s="10" t="n">
        <v>1136</v>
      </c>
      <c r="E605" s="12" t="s">
        <v>701</v>
      </c>
      <c r="F605" s="10" t="n">
        <v>24</v>
      </c>
      <c r="G605" s="12" t="s">
        <v>40</v>
      </c>
      <c r="H605" s="10" t="n">
        <v>1110203</v>
      </c>
      <c r="I605" s="12" t="s">
        <v>50</v>
      </c>
      <c r="J605" s="10" t="n">
        <v>1401333</v>
      </c>
      <c r="L605" s="10" t="n">
        <v>188482</v>
      </c>
      <c r="M605" s="12" t="s">
        <v>33</v>
      </c>
      <c r="N605" s="12" t="s">
        <v>51</v>
      </c>
      <c r="P605" s="10" t="n">
        <v>113</v>
      </c>
      <c r="Q605" s="12" t="s">
        <v>35</v>
      </c>
      <c r="R605" s="12" t="s">
        <v>36</v>
      </c>
      <c r="S605" s="10" t="n">
        <v>1130101</v>
      </c>
      <c r="T605" s="12" t="s">
        <v>37</v>
      </c>
      <c r="U605" s="13" t="n">
        <v>665.28</v>
      </c>
      <c r="W605" s="13" t="n">
        <v>0</v>
      </c>
      <c r="X605" s="12" t="s">
        <v>702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46218</v>
      </c>
      <c r="C606" s="11" t="n">
        <v>46239</v>
      </c>
      <c r="D606" s="10" t="n">
        <v>10010</v>
      </c>
      <c r="E606" s="12" t="s">
        <v>375</v>
      </c>
      <c r="F606" s="10" t="n">
        <v>24</v>
      </c>
      <c r="G606" s="12" t="s">
        <v>40</v>
      </c>
      <c r="H606" s="10" t="n">
        <v>1110203</v>
      </c>
      <c r="I606" s="12" t="s">
        <v>50</v>
      </c>
      <c r="J606" s="10" t="n">
        <v>1401340</v>
      </c>
      <c r="L606" s="10" t="n">
        <v>188485</v>
      </c>
      <c r="M606" s="12" t="s">
        <v>33</v>
      </c>
      <c r="N606" s="12" t="s">
        <v>51</v>
      </c>
      <c r="P606" s="10" t="n">
        <v>113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306.48</v>
      </c>
      <c r="W606" s="13" t="n">
        <v>0</v>
      </c>
      <c r="X606" s="12" t="s">
        <v>703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46238</v>
      </c>
      <c r="C607" s="11" t="n">
        <v>46240</v>
      </c>
      <c r="D607" s="10" t="n">
        <v>642</v>
      </c>
      <c r="E607" s="12" t="s">
        <v>97</v>
      </c>
      <c r="F607" s="10" t="n">
        <v>24</v>
      </c>
      <c r="G607" s="12" t="s">
        <v>40</v>
      </c>
      <c r="H607" s="10" t="n">
        <v>1110203</v>
      </c>
      <c r="I607" s="12" t="s">
        <v>50</v>
      </c>
      <c r="J607" s="10" t="n">
        <v>1499220</v>
      </c>
      <c r="L607" s="10" t="n">
        <v>203399</v>
      </c>
      <c r="M607" s="12" t="s">
        <v>33</v>
      </c>
      <c r="N607" s="12" t="s">
        <v>51</v>
      </c>
      <c r="P607" s="10" t="n">
        <v>113</v>
      </c>
      <c r="Q607" s="12" t="s">
        <v>35</v>
      </c>
      <c r="R607" s="12" t="s">
        <v>36</v>
      </c>
      <c r="S607" s="10" t="n">
        <v>1130101</v>
      </c>
      <c r="T607" s="12" t="s">
        <v>37</v>
      </c>
      <c r="U607" s="13" t="n">
        <v>180</v>
      </c>
      <c r="W607" s="13" t="n">
        <v>0</v>
      </c>
      <c r="X607" s="12" t="s">
        <v>704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46233</v>
      </c>
      <c r="C608" s="11" t="n">
        <v>46240</v>
      </c>
      <c r="D608" s="10" t="n">
        <v>10018</v>
      </c>
      <c r="E608" s="12" t="s">
        <v>30</v>
      </c>
      <c r="F608" s="10" t="n">
        <v>34</v>
      </c>
      <c r="G608" s="12" t="s">
        <v>31</v>
      </c>
      <c r="H608" s="10" t="n">
        <v>1110203</v>
      </c>
      <c r="I608" s="12" t="s">
        <v>50</v>
      </c>
      <c r="J608" s="10" t="n">
        <v>1473982</v>
      </c>
      <c r="L608" s="10" t="n">
        <v>199815</v>
      </c>
      <c r="M608" s="12" t="s">
        <v>33</v>
      </c>
      <c r="N608" s="12" t="s">
        <v>51</v>
      </c>
      <c r="P608" s="10" t="n">
        <v>113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733.78</v>
      </c>
      <c r="W608" s="13" t="n">
        <v>0</v>
      </c>
      <c r="X608" s="12" t="s">
        <v>421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46225</v>
      </c>
      <c r="C609" s="11" t="n">
        <v>46240</v>
      </c>
      <c r="D609" s="10" t="n">
        <v>1705</v>
      </c>
      <c r="E609" s="12" t="s">
        <v>43</v>
      </c>
      <c r="F609" s="10" t="n">
        <v>24</v>
      </c>
      <c r="G609" s="12" t="s">
        <v>40</v>
      </c>
      <c r="H609" s="10" t="n">
        <v>1110203</v>
      </c>
      <c r="I609" s="12" t="s">
        <v>50</v>
      </c>
      <c r="J609" s="10" t="n">
        <v>1435843</v>
      </c>
      <c r="L609" s="10" t="n">
        <v>193986</v>
      </c>
      <c r="M609" s="12" t="s">
        <v>33</v>
      </c>
      <c r="N609" s="12" t="s">
        <v>51</v>
      </c>
      <c r="P609" s="10" t="n">
        <v>113</v>
      </c>
      <c r="Q609" s="12" t="s">
        <v>35</v>
      </c>
      <c r="R609" s="12" t="s">
        <v>36</v>
      </c>
      <c r="S609" s="10" t="n">
        <v>1130101</v>
      </c>
      <c r="T609" s="12" t="s">
        <v>37</v>
      </c>
      <c r="U609" s="13" t="n">
        <v>203.42</v>
      </c>
      <c r="W609" s="13" t="n">
        <v>0</v>
      </c>
      <c r="X609" s="12" t="s">
        <v>705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46225</v>
      </c>
      <c r="C610" s="11" t="n">
        <v>46240</v>
      </c>
      <c r="D610" s="10" t="n">
        <v>1705</v>
      </c>
      <c r="E610" s="12" t="s">
        <v>43</v>
      </c>
      <c r="F610" s="10" t="n">
        <v>24</v>
      </c>
      <c r="G610" s="12" t="s">
        <v>40</v>
      </c>
      <c r="H610" s="10" t="n">
        <v>1110203</v>
      </c>
      <c r="I610" s="12" t="s">
        <v>50</v>
      </c>
      <c r="J610" s="10" t="n">
        <v>1435833</v>
      </c>
      <c r="L610" s="10" t="n">
        <v>193984</v>
      </c>
      <c r="M610" s="12" t="s">
        <v>33</v>
      </c>
      <c r="N610" s="12" t="s">
        <v>51</v>
      </c>
      <c r="P610" s="10" t="n">
        <v>113</v>
      </c>
      <c r="Q610" s="12" t="s">
        <v>35</v>
      </c>
      <c r="R610" s="12" t="s">
        <v>36</v>
      </c>
      <c r="S610" s="10" t="n">
        <v>1130101</v>
      </c>
      <c r="T610" s="12" t="s">
        <v>37</v>
      </c>
      <c r="U610" s="13" t="n">
        <v>1717.19</v>
      </c>
      <c r="W610" s="13" t="n">
        <v>0</v>
      </c>
      <c r="X610" s="12" t="s">
        <v>706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46230</v>
      </c>
      <c r="C611" s="11" t="n">
        <v>46240</v>
      </c>
      <c r="D611" s="10" t="n">
        <v>1621</v>
      </c>
      <c r="E611" s="12" t="s">
        <v>62</v>
      </c>
      <c r="F611" s="10" t="n">
        <v>24</v>
      </c>
      <c r="G611" s="12" t="s">
        <v>40</v>
      </c>
      <c r="H611" s="10" t="n">
        <v>1110203</v>
      </c>
      <c r="I611" s="12" t="s">
        <v>50</v>
      </c>
      <c r="J611" s="10" t="n">
        <v>1459311</v>
      </c>
      <c r="L611" s="10" t="n">
        <v>197502</v>
      </c>
      <c r="M611" s="12" t="s">
        <v>33</v>
      </c>
      <c r="N611" s="12" t="s">
        <v>51</v>
      </c>
      <c r="P611" s="10" t="n">
        <v>113</v>
      </c>
      <c r="Q611" s="12" t="s">
        <v>35</v>
      </c>
      <c r="R611" s="12" t="s">
        <v>36</v>
      </c>
      <c r="S611" s="10" t="n">
        <v>1130101</v>
      </c>
      <c r="T611" s="12" t="s">
        <v>37</v>
      </c>
      <c r="U611" s="13" t="n">
        <v>305.98</v>
      </c>
      <c r="W611" s="13" t="n">
        <v>0</v>
      </c>
      <c r="X611" s="12" t="s">
        <v>707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46225</v>
      </c>
      <c r="C612" s="11" t="n">
        <v>46240</v>
      </c>
      <c r="D612" s="10" t="n">
        <v>1152</v>
      </c>
      <c r="E612" s="12" t="s">
        <v>355</v>
      </c>
      <c r="F612" s="10" t="n">
        <v>24</v>
      </c>
      <c r="G612" s="12" t="s">
        <v>40</v>
      </c>
      <c r="H612" s="10" t="n">
        <v>1110203</v>
      </c>
      <c r="I612" s="12" t="s">
        <v>50</v>
      </c>
      <c r="J612" s="10" t="n">
        <v>1435813</v>
      </c>
      <c r="L612" s="10" t="n">
        <v>193974</v>
      </c>
      <c r="M612" s="12" t="s">
        <v>33</v>
      </c>
      <c r="N612" s="12" t="s">
        <v>51</v>
      </c>
      <c r="P612" s="10" t="n">
        <v>113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1040</v>
      </c>
      <c r="W612" s="13" t="n">
        <v>0</v>
      </c>
      <c r="X612" s="12" t="s">
        <v>708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46219</v>
      </c>
      <c r="C613" s="11" t="n">
        <v>46240</v>
      </c>
      <c r="D613" s="10" t="n">
        <v>1718</v>
      </c>
      <c r="E613" s="12" t="s">
        <v>263</v>
      </c>
      <c r="F613" s="10" t="n">
        <v>24</v>
      </c>
      <c r="G613" s="12" t="s">
        <v>40</v>
      </c>
      <c r="H613" s="10" t="n">
        <v>1110203</v>
      </c>
      <c r="I613" s="12" t="s">
        <v>50</v>
      </c>
      <c r="J613" s="10" t="n">
        <v>1407321</v>
      </c>
      <c r="L613" s="10" t="n">
        <v>189605</v>
      </c>
      <c r="M613" s="12" t="s">
        <v>33</v>
      </c>
      <c r="N613" s="12" t="s">
        <v>51</v>
      </c>
      <c r="P613" s="10" t="n">
        <v>113</v>
      </c>
      <c r="Q613" s="12" t="s">
        <v>35</v>
      </c>
      <c r="R613" s="12" t="s">
        <v>36</v>
      </c>
      <c r="S613" s="10" t="n">
        <v>1130101</v>
      </c>
      <c r="T613" s="12" t="s">
        <v>37</v>
      </c>
      <c r="U613" s="13" t="n">
        <v>580.89</v>
      </c>
      <c r="W613" s="13" t="n">
        <v>0</v>
      </c>
      <c r="X613" s="12" t="s">
        <v>625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46212</v>
      </c>
      <c r="C614" s="11" t="n">
        <v>46240</v>
      </c>
      <c r="D614" s="10" t="n">
        <v>1612</v>
      </c>
      <c r="E614" s="12" t="s">
        <v>554</v>
      </c>
      <c r="F614" s="10" t="n">
        <v>24</v>
      </c>
      <c r="G614" s="12" t="s">
        <v>40</v>
      </c>
      <c r="H614" s="10" t="n">
        <v>2110101</v>
      </c>
      <c r="I614" s="12" t="s">
        <v>32</v>
      </c>
      <c r="J614" s="10" t="n">
        <v>1374035</v>
      </c>
      <c r="L614" s="10" t="n">
        <v>2299705</v>
      </c>
      <c r="M614" s="12" t="s">
        <v>41</v>
      </c>
      <c r="N614" s="12" t="s">
        <v>34</v>
      </c>
      <c r="P614" s="10" t="n">
        <v>113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658.6</v>
      </c>
      <c r="W614" s="13" t="n">
        <v>0</v>
      </c>
      <c r="X614" s="12" t="s">
        <v>555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46212</v>
      </c>
      <c r="C615" s="11" t="n">
        <v>46240</v>
      </c>
      <c r="D615" s="10" t="n">
        <v>1612</v>
      </c>
      <c r="E615" s="12" t="s">
        <v>554</v>
      </c>
      <c r="F615" s="10" t="n">
        <v>24</v>
      </c>
      <c r="G615" s="12" t="s">
        <v>40</v>
      </c>
      <c r="H615" s="10" t="n">
        <v>2110101</v>
      </c>
      <c r="I615" s="12" t="s">
        <v>32</v>
      </c>
      <c r="J615" s="10" t="n">
        <v>1374249</v>
      </c>
      <c r="L615" s="10" t="n">
        <v>2299703</v>
      </c>
      <c r="M615" s="12" t="s">
        <v>41</v>
      </c>
      <c r="N615" s="12" t="s">
        <v>34</v>
      </c>
      <c r="P615" s="10" t="n">
        <v>113</v>
      </c>
      <c r="Q615" s="12" t="s">
        <v>35</v>
      </c>
      <c r="R615" s="12" t="s">
        <v>36</v>
      </c>
      <c r="S615" s="10" t="n">
        <v>1130101</v>
      </c>
      <c r="T615" s="12" t="s">
        <v>37</v>
      </c>
      <c r="U615" s="13" t="n">
        <v>377.46</v>
      </c>
      <c r="W615" s="13" t="n">
        <v>0</v>
      </c>
      <c r="X615" s="12" t="s">
        <v>556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46233</v>
      </c>
      <c r="C616" s="11" t="n">
        <v>46240</v>
      </c>
      <c r="D616" s="10" t="n">
        <v>1609</v>
      </c>
      <c r="E616" s="12" t="s">
        <v>338</v>
      </c>
      <c r="F616" s="10" t="n">
        <v>24</v>
      </c>
      <c r="G616" s="12" t="s">
        <v>40</v>
      </c>
      <c r="H616" s="10" t="n">
        <v>1110203</v>
      </c>
      <c r="I616" s="12" t="s">
        <v>50</v>
      </c>
      <c r="J616" s="10" t="n">
        <v>1472930</v>
      </c>
      <c r="L616" s="10" t="n">
        <v>199578</v>
      </c>
      <c r="M616" s="12" t="s">
        <v>33</v>
      </c>
      <c r="N616" s="12" t="s">
        <v>51</v>
      </c>
      <c r="P616" s="10" t="n">
        <v>113</v>
      </c>
      <c r="Q616" s="12" t="s">
        <v>35</v>
      </c>
      <c r="R616" s="12" t="s">
        <v>36</v>
      </c>
      <c r="S616" s="10" t="n">
        <v>1130101</v>
      </c>
      <c r="T616" s="12" t="s">
        <v>37</v>
      </c>
      <c r="U616" s="13" t="n">
        <v>524.65</v>
      </c>
      <c r="W616" s="13" t="n">
        <v>0</v>
      </c>
      <c r="X616" s="12" t="s">
        <v>709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46213</v>
      </c>
      <c r="C617" s="11" t="n">
        <v>46240</v>
      </c>
      <c r="D617" s="10" t="n">
        <v>1107</v>
      </c>
      <c r="E617" s="12" t="s">
        <v>194</v>
      </c>
      <c r="F617" s="10" t="n">
        <v>24</v>
      </c>
      <c r="G617" s="12" t="s">
        <v>40</v>
      </c>
      <c r="H617" s="10" t="n">
        <v>2110101</v>
      </c>
      <c r="I617" s="12" t="s">
        <v>32</v>
      </c>
      <c r="J617" s="10" t="n">
        <v>1376909</v>
      </c>
      <c r="L617" s="10" t="n">
        <v>426652</v>
      </c>
      <c r="M617" s="12" t="s">
        <v>41</v>
      </c>
      <c r="N617" s="12" t="s">
        <v>34</v>
      </c>
      <c r="P617" s="10" t="n">
        <v>113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682.63</v>
      </c>
      <c r="W617" s="13" t="n">
        <v>0</v>
      </c>
      <c r="X617" s="12" t="s">
        <v>563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46235</v>
      </c>
      <c r="C618" s="11" t="n">
        <v>46240</v>
      </c>
      <c r="D618" s="10" t="n">
        <v>1899</v>
      </c>
      <c r="E618" s="12" t="s">
        <v>84</v>
      </c>
      <c r="F618" s="10" t="n">
        <v>24</v>
      </c>
      <c r="G618" s="12" t="s">
        <v>40</v>
      </c>
      <c r="H618" s="10" t="n">
        <v>1110203</v>
      </c>
      <c r="I618" s="12" t="s">
        <v>50</v>
      </c>
      <c r="J618" s="10" t="n">
        <v>1481877</v>
      </c>
      <c r="L618" s="10" t="n">
        <v>201140</v>
      </c>
      <c r="M618" s="12" t="s">
        <v>33</v>
      </c>
      <c r="N618" s="12" t="s">
        <v>51</v>
      </c>
      <c r="P618" s="10" t="n">
        <v>113</v>
      </c>
      <c r="Q618" s="12" t="s">
        <v>35</v>
      </c>
      <c r="R618" s="12" t="s">
        <v>36</v>
      </c>
      <c r="S618" s="10" t="n">
        <v>1130101</v>
      </c>
      <c r="T618" s="12" t="s">
        <v>37</v>
      </c>
      <c r="U618" s="13" t="n">
        <v>357.1</v>
      </c>
      <c r="W618" s="13" t="n">
        <v>0</v>
      </c>
      <c r="X618" s="12" t="s">
        <v>710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46223</v>
      </c>
      <c r="C619" s="11" t="n">
        <v>46240</v>
      </c>
      <c r="D619" s="10" t="n">
        <v>1624</v>
      </c>
      <c r="E619" s="12" t="s">
        <v>241</v>
      </c>
      <c r="F619" s="10" t="n">
        <v>24</v>
      </c>
      <c r="G619" s="12" t="s">
        <v>40</v>
      </c>
      <c r="H619" s="10" t="n">
        <v>1110203</v>
      </c>
      <c r="I619" s="12" t="s">
        <v>50</v>
      </c>
      <c r="J619" s="10" t="n">
        <v>1423731</v>
      </c>
      <c r="L619" s="10" t="n">
        <v>190892</v>
      </c>
      <c r="M619" s="12" t="s">
        <v>33</v>
      </c>
      <c r="N619" s="12" t="s">
        <v>51</v>
      </c>
      <c r="P619" s="10" t="n">
        <v>113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381</v>
      </c>
      <c r="W619" s="13" t="n">
        <v>0</v>
      </c>
      <c r="X619" s="12" t="s">
        <v>711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46232</v>
      </c>
      <c r="C620" s="11" t="n">
        <v>46240</v>
      </c>
      <c r="D620" s="10" t="n">
        <v>1739</v>
      </c>
      <c r="E620" s="12" t="s">
        <v>712</v>
      </c>
      <c r="F620" s="10" t="n">
        <v>24</v>
      </c>
      <c r="G620" s="12" t="s">
        <v>40</v>
      </c>
      <c r="H620" s="10" t="n">
        <v>1110203</v>
      </c>
      <c r="I620" s="12" t="s">
        <v>50</v>
      </c>
      <c r="J620" s="10" t="n">
        <v>1468979</v>
      </c>
      <c r="L620" s="10" t="n">
        <v>198994</v>
      </c>
      <c r="M620" s="12" t="s">
        <v>33</v>
      </c>
      <c r="N620" s="12" t="s">
        <v>51</v>
      </c>
      <c r="P620" s="10" t="n">
        <v>113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306.18</v>
      </c>
      <c r="W620" s="13" t="n">
        <v>0</v>
      </c>
      <c r="X620" s="12" t="s">
        <v>713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46228</v>
      </c>
      <c r="C621" s="11" t="n">
        <v>46241</v>
      </c>
      <c r="D621" s="10" t="n">
        <v>1635</v>
      </c>
      <c r="E621" s="12" t="s">
        <v>110</v>
      </c>
      <c r="F621" s="10" t="n">
        <v>24</v>
      </c>
      <c r="G621" s="12" t="s">
        <v>40</v>
      </c>
      <c r="H621" s="10" t="n">
        <v>1110203</v>
      </c>
      <c r="I621" s="12" t="s">
        <v>50</v>
      </c>
      <c r="J621" s="10" t="n">
        <v>1448481</v>
      </c>
      <c r="L621" s="10" t="n">
        <v>196060</v>
      </c>
      <c r="M621" s="12" t="s">
        <v>33</v>
      </c>
      <c r="N621" s="12" t="s">
        <v>51</v>
      </c>
      <c r="P621" s="10" t="n">
        <v>113</v>
      </c>
      <c r="Q621" s="12" t="s">
        <v>35</v>
      </c>
      <c r="R621" s="12" t="s">
        <v>36</v>
      </c>
      <c r="S621" s="10" t="n">
        <v>1130101</v>
      </c>
      <c r="T621" s="12" t="s">
        <v>37</v>
      </c>
      <c r="U621" s="13" t="n">
        <v>740.52</v>
      </c>
      <c r="W621" s="13" t="n">
        <v>0</v>
      </c>
      <c r="X621" s="12" t="s">
        <v>714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46231</v>
      </c>
      <c r="C622" s="11" t="n">
        <v>46241</v>
      </c>
      <c r="D622" s="10" t="n">
        <v>1723</v>
      </c>
      <c r="E622" s="12" t="s">
        <v>298</v>
      </c>
      <c r="F622" s="10" t="n">
        <v>24</v>
      </c>
      <c r="G622" s="12" t="s">
        <v>40</v>
      </c>
      <c r="H622" s="10" t="n">
        <v>1110203</v>
      </c>
      <c r="I622" s="12" t="s">
        <v>50</v>
      </c>
      <c r="J622" s="10" t="n">
        <v>1464594</v>
      </c>
      <c r="L622" s="10" t="n">
        <v>198316</v>
      </c>
      <c r="M622" s="12" t="s">
        <v>33</v>
      </c>
      <c r="N622" s="12" t="s">
        <v>51</v>
      </c>
      <c r="P622" s="10" t="n">
        <v>113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1262.8</v>
      </c>
      <c r="W622" s="13" t="n">
        <v>0</v>
      </c>
      <c r="X622" s="12" t="s">
        <v>715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46212</v>
      </c>
      <c r="C623" s="11" t="n">
        <v>46241</v>
      </c>
      <c r="D623" s="10" t="n">
        <v>1718</v>
      </c>
      <c r="E623" s="12" t="s">
        <v>263</v>
      </c>
      <c r="F623" s="10" t="n">
        <v>24</v>
      </c>
      <c r="G623" s="12" t="s">
        <v>40</v>
      </c>
      <c r="H623" s="10" t="n">
        <v>2110101</v>
      </c>
      <c r="I623" s="12" t="s">
        <v>32</v>
      </c>
      <c r="J623" s="10" t="n">
        <v>1374907</v>
      </c>
      <c r="L623" s="10" t="n">
        <v>681127</v>
      </c>
      <c r="M623" s="12" t="s">
        <v>41</v>
      </c>
      <c r="N623" s="12" t="s">
        <v>34</v>
      </c>
      <c r="P623" s="10" t="n">
        <v>113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509.25</v>
      </c>
      <c r="W623" s="13" t="n">
        <v>0</v>
      </c>
      <c r="X623" s="12" t="s">
        <v>570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46234</v>
      </c>
      <c r="C624" s="11" t="n">
        <v>46241</v>
      </c>
      <c r="D624" s="10" t="n">
        <v>1608</v>
      </c>
      <c r="E624" s="12" t="s">
        <v>266</v>
      </c>
      <c r="F624" s="10" t="n">
        <v>24</v>
      </c>
      <c r="G624" s="12" t="s">
        <v>40</v>
      </c>
      <c r="H624" s="10" t="n">
        <v>1110203</v>
      </c>
      <c r="I624" s="12" t="s">
        <v>50</v>
      </c>
      <c r="J624" s="10" t="n">
        <v>1477793</v>
      </c>
      <c r="L624" s="10" t="n">
        <v>200474</v>
      </c>
      <c r="M624" s="12" t="s">
        <v>33</v>
      </c>
      <c r="N624" s="12" t="s">
        <v>51</v>
      </c>
      <c r="P624" s="10" t="n">
        <v>113</v>
      </c>
      <c r="Q624" s="12" t="s">
        <v>35</v>
      </c>
      <c r="R624" s="12" t="s">
        <v>36</v>
      </c>
      <c r="S624" s="10" t="n">
        <v>1130101</v>
      </c>
      <c r="T624" s="12" t="s">
        <v>37</v>
      </c>
      <c r="U624" s="13" t="n">
        <v>328.14</v>
      </c>
      <c r="W624" s="13" t="n">
        <v>0</v>
      </c>
      <c r="X624" s="12" t="s">
        <v>716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46217</v>
      </c>
      <c r="C625" s="11" t="n">
        <v>46241</v>
      </c>
      <c r="D625" s="10" t="n">
        <v>1611</v>
      </c>
      <c r="E625" s="12" t="s">
        <v>235</v>
      </c>
      <c r="F625" s="10" t="n">
        <v>24</v>
      </c>
      <c r="G625" s="12" t="s">
        <v>40</v>
      </c>
      <c r="H625" s="10" t="n">
        <v>1110203</v>
      </c>
      <c r="I625" s="12" t="s">
        <v>50</v>
      </c>
      <c r="J625" s="10" t="n">
        <v>1397337</v>
      </c>
      <c r="L625" s="10" t="n">
        <v>187915</v>
      </c>
      <c r="M625" s="12" t="s">
        <v>33</v>
      </c>
      <c r="N625" s="12" t="s">
        <v>51</v>
      </c>
      <c r="P625" s="10" t="n">
        <v>113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278.28</v>
      </c>
      <c r="W625" s="13" t="n">
        <v>0</v>
      </c>
      <c r="X625" s="12" t="s">
        <v>654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46227</v>
      </c>
      <c r="C626" s="11" t="n">
        <v>46241</v>
      </c>
      <c r="D626" s="10" t="n">
        <v>1700</v>
      </c>
      <c r="E626" s="12" t="s">
        <v>717</v>
      </c>
      <c r="F626" s="10" t="n">
        <v>24</v>
      </c>
      <c r="G626" s="12" t="s">
        <v>40</v>
      </c>
      <c r="H626" s="10" t="n">
        <v>1110203</v>
      </c>
      <c r="I626" s="12" t="s">
        <v>50</v>
      </c>
      <c r="J626" s="10" t="n">
        <v>1444956</v>
      </c>
      <c r="L626" s="10" t="n">
        <v>195512</v>
      </c>
      <c r="M626" s="12" t="s">
        <v>33</v>
      </c>
      <c r="N626" s="12" t="s">
        <v>51</v>
      </c>
      <c r="P626" s="10" t="n">
        <v>113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690</v>
      </c>
      <c r="W626" s="13" t="n">
        <v>0</v>
      </c>
      <c r="X626" s="12" t="s">
        <v>718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46232</v>
      </c>
      <c r="C627" s="11" t="n">
        <v>46241</v>
      </c>
      <c r="D627" s="10" t="n">
        <v>1932</v>
      </c>
      <c r="E627" s="12" t="s">
        <v>345</v>
      </c>
      <c r="F627" s="10" t="n">
        <v>34</v>
      </c>
      <c r="G627" s="12" t="s">
        <v>31</v>
      </c>
      <c r="H627" s="10" t="n">
        <v>1110203</v>
      </c>
      <c r="I627" s="12" t="s">
        <v>50</v>
      </c>
      <c r="J627" s="10" t="n">
        <v>1469462</v>
      </c>
      <c r="L627" s="10" t="n">
        <v>199057</v>
      </c>
      <c r="M627" s="12" t="s">
        <v>33</v>
      </c>
      <c r="N627" s="12" t="s">
        <v>51</v>
      </c>
      <c r="P627" s="10" t="n">
        <v>101</v>
      </c>
      <c r="Q627" s="12" t="s">
        <v>69</v>
      </c>
      <c r="R627" s="12" t="s">
        <v>102</v>
      </c>
      <c r="S627" s="10" t="n">
        <v>4210315</v>
      </c>
      <c r="T627" s="12" t="s">
        <v>346</v>
      </c>
      <c r="U627" s="13" t="n">
        <v>119.97</v>
      </c>
      <c r="W627" s="13" t="n">
        <v>0</v>
      </c>
      <c r="X627" s="12" t="s">
        <v>719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46227</v>
      </c>
      <c r="C628" s="11" t="n">
        <v>46241</v>
      </c>
      <c r="D628" s="10" t="n">
        <v>1666</v>
      </c>
      <c r="E628" s="12" t="s">
        <v>93</v>
      </c>
      <c r="F628" s="10" t="n">
        <v>24</v>
      </c>
      <c r="G628" s="12" t="s">
        <v>40</v>
      </c>
      <c r="H628" s="10" t="n">
        <v>1110203</v>
      </c>
      <c r="I628" s="12" t="s">
        <v>50</v>
      </c>
      <c r="J628" s="10" t="n">
        <v>1443864</v>
      </c>
      <c r="L628" s="10" t="n">
        <v>195265</v>
      </c>
      <c r="M628" s="12" t="s">
        <v>33</v>
      </c>
      <c r="N628" s="12" t="s">
        <v>51</v>
      </c>
      <c r="P628" s="10" t="n">
        <v>113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6221.08</v>
      </c>
      <c r="W628" s="13" t="n">
        <v>0</v>
      </c>
      <c r="X628" s="12" t="s">
        <v>655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46228</v>
      </c>
      <c r="C629" s="11" t="n">
        <v>46241</v>
      </c>
      <c r="D629" s="10" t="n">
        <v>1643</v>
      </c>
      <c r="E629" s="12" t="s">
        <v>245</v>
      </c>
      <c r="F629" s="10" t="n">
        <v>24</v>
      </c>
      <c r="G629" s="12" t="s">
        <v>40</v>
      </c>
      <c r="H629" s="10" t="n">
        <v>1110203</v>
      </c>
      <c r="I629" s="12" t="s">
        <v>50</v>
      </c>
      <c r="J629" s="10" t="n">
        <v>1448223</v>
      </c>
      <c r="L629" s="10" t="n">
        <v>196009</v>
      </c>
      <c r="M629" s="12" t="s">
        <v>33</v>
      </c>
      <c r="N629" s="12" t="s">
        <v>51</v>
      </c>
      <c r="P629" s="10" t="n">
        <v>113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228</v>
      </c>
      <c r="W629" s="13" t="n">
        <v>0</v>
      </c>
      <c r="X629" s="12" t="s">
        <v>720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46221</v>
      </c>
      <c r="C630" s="11" t="n">
        <v>46241</v>
      </c>
      <c r="D630" s="10" t="n">
        <v>1402</v>
      </c>
      <c r="E630" s="12" t="s">
        <v>721</v>
      </c>
      <c r="F630" s="10" t="n">
        <v>24</v>
      </c>
      <c r="G630" s="12" t="s">
        <v>40</v>
      </c>
      <c r="H630" s="10" t="n">
        <v>2110405</v>
      </c>
      <c r="I630" s="12" t="s">
        <v>87</v>
      </c>
      <c r="J630" s="10" t="n">
        <v>1414989</v>
      </c>
      <c r="L630" s="10" t="n">
        <v>190765</v>
      </c>
      <c r="M630" s="12" t="s">
        <v>33</v>
      </c>
      <c r="N630" s="12" t="s">
        <v>51</v>
      </c>
      <c r="P630" s="10" t="n">
        <v>113</v>
      </c>
      <c r="Q630" s="12" t="s">
        <v>35</v>
      </c>
      <c r="R630" s="12" t="s">
        <v>88</v>
      </c>
      <c r="S630" s="10" t="n">
        <v>4210299</v>
      </c>
      <c r="T630" s="12" t="s">
        <v>312</v>
      </c>
      <c r="U630" s="13" t="n">
        <v>1109.15</v>
      </c>
      <c r="W630" s="13" t="n">
        <v>0</v>
      </c>
      <c r="X630" s="12" t="s">
        <v>722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46226</v>
      </c>
      <c r="C631" s="11" t="n">
        <v>46242</v>
      </c>
      <c r="D631" s="10" t="n">
        <v>1659</v>
      </c>
      <c r="E631" s="12" t="s">
        <v>60</v>
      </c>
      <c r="F631" s="10" t="n">
        <v>24</v>
      </c>
      <c r="G631" s="12" t="s">
        <v>40</v>
      </c>
      <c r="H631" s="10" t="n">
        <v>1110203</v>
      </c>
      <c r="I631" s="12" t="s">
        <v>50</v>
      </c>
      <c r="J631" s="10" t="n">
        <v>1439433</v>
      </c>
      <c r="L631" s="10" t="n">
        <v>194549</v>
      </c>
      <c r="M631" s="12" t="s">
        <v>33</v>
      </c>
      <c r="N631" s="12" t="s">
        <v>51</v>
      </c>
      <c r="P631" s="10" t="n">
        <v>113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1006.04</v>
      </c>
      <c r="W631" s="13" t="n">
        <v>0</v>
      </c>
      <c r="X631" s="12" t="s">
        <v>723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46237</v>
      </c>
      <c r="C632" s="11" t="n">
        <v>46242</v>
      </c>
      <c r="D632" s="10" t="n">
        <v>1695</v>
      </c>
      <c r="E632" s="12" t="s">
        <v>39</v>
      </c>
      <c r="F632" s="10" t="n">
        <v>24</v>
      </c>
      <c r="G632" s="12" t="s">
        <v>40</v>
      </c>
      <c r="H632" s="10" t="n">
        <v>1110203</v>
      </c>
      <c r="I632" s="12" t="s">
        <v>50</v>
      </c>
      <c r="J632" s="10" t="n">
        <v>1493381</v>
      </c>
      <c r="L632" s="10" t="n">
        <v>202553</v>
      </c>
      <c r="M632" s="12" t="s">
        <v>33</v>
      </c>
      <c r="N632" s="12" t="s">
        <v>51</v>
      </c>
      <c r="P632" s="10" t="n">
        <v>113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1563.41</v>
      </c>
      <c r="W632" s="13" t="n">
        <v>0</v>
      </c>
      <c r="X632" s="12" t="s">
        <v>724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46237</v>
      </c>
      <c r="C633" s="11" t="n">
        <v>46242</v>
      </c>
      <c r="D633" s="10" t="n">
        <v>1815</v>
      </c>
      <c r="E633" s="12" t="s">
        <v>175</v>
      </c>
      <c r="F633" s="10" t="n">
        <v>24</v>
      </c>
      <c r="G633" s="12" t="s">
        <v>40</v>
      </c>
      <c r="H633" s="10" t="n">
        <v>1110203</v>
      </c>
      <c r="I633" s="12" t="s">
        <v>50</v>
      </c>
      <c r="J633" s="10" t="n">
        <v>1493125</v>
      </c>
      <c r="L633" s="10" t="n">
        <v>202488</v>
      </c>
      <c r="M633" s="12" t="s">
        <v>33</v>
      </c>
      <c r="N633" s="12" t="s">
        <v>51</v>
      </c>
      <c r="P633" s="10" t="n">
        <v>113</v>
      </c>
      <c r="Q633" s="12" t="s">
        <v>35</v>
      </c>
      <c r="R633" s="12" t="s">
        <v>36</v>
      </c>
      <c r="S633" s="10" t="n">
        <v>1130101</v>
      </c>
      <c r="T633" s="12" t="s">
        <v>37</v>
      </c>
      <c r="U633" s="13" t="n">
        <v>439.5</v>
      </c>
      <c r="W633" s="13" t="n">
        <v>0</v>
      </c>
      <c r="X633" s="12" t="s">
        <v>725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46225</v>
      </c>
      <c r="C634" s="11" t="n">
        <v>46242</v>
      </c>
      <c r="D634" s="10" t="n">
        <v>1672</v>
      </c>
      <c r="E634" s="12" t="s">
        <v>53</v>
      </c>
      <c r="F634" s="10" t="n">
        <v>24</v>
      </c>
      <c r="G634" s="12" t="s">
        <v>40</v>
      </c>
      <c r="H634" s="10" t="n">
        <v>1110203</v>
      </c>
      <c r="I634" s="12" t="s">
        <v>50</v>
      </c>
      <c r="J634" s="10" t="n">
        <v>1435902</v>
      </c>
      <c r="L634" s="10" t="n">
        <v>194002</v>
      </c>
      <c r="M634" s="12" t="s">
        <v>33</v>
      </c>
      <c r="N634" s="12" t="s">
        <v>51</v>
      </c>
      <c r="P634" s="10" t="n">
        <v>113</v>
      </c>
      <c r="Q634" s="12" t="s">
        <v>35</v>
      </c>
      <c r="R634" s="12" t="s">
        <v>36</v>
      </c>
      <c r="S634" s="10" t="n">
        <v>1130101</v>
      </c>
      <c r="T634" s="12" t="s">
        <v>37</v>
      </c>
      <c r="U634" s="13" t="n">
        <v>1821.1</v>
      </c>
      <c r="W634" s="13" t="n">
        <v>0</v>
      </c>
      <c r="X634" s="12" t="s">
        <v>726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46237</v>
      </c>
      <c r="C635" s="11" t="n">
        <v>46242</v>
      </c>
      <c r="D635" s="10" t="n">
        <v>754</v>
      </c>
      <c r="E635" s="12" t="s">
        <v>55</v>
      </c>
      <c r="F635" s="10" t="n">
        <v>24</v>
      </c>
      <c r="G635" s="12" t="s">
        <v>40</v>
      </c>
      <c r="H635" s="10" t="n">
        <v>1110203</v>
      </c>
      <c r="I635" s="12" t="s">
        <v>50</v>
      </c>
      <c r="J635" s="10" t="n">
        <v>1495072</v>
      </c>
      <c r="L635" s="10" t="n">
        <v>202733</v>
      </c>
      <c r="M635" s="12" t="s">
        <v>33</v>
      </c>
      <c r="N635" s="12" t="s">
        <v>51</v>
      </c>
      <c r="P635" s="10" t="n">
        <v>113</v>
      </c>
      <c r="Q635" s="12" t="s">
        <v>35</v>
      </c>
      <c r="R635" s="12" t="s">
        <v>36</v>
      </c>
      <c r="S635" s="10" t="n">
        <v>1130101</v>
      </c>
      <c r="T635" s="12" t="s">
        <v>37</v>
      </c>
      <c r="U635" s="13" t="n">
        <v>3277.5</v>
      </c>
      <c r="W635" s="13" t="n">
        <v>0</v>
      </c>
      <c r="X635" s="12" t="s">
        <v>727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46216</v>
      </c>
      <c r="C636" s="11" t="n">
        <v>46243</v>
      </c>
      <c r="D636" s="10" t="n">
        <v>1636</v>
      </c>
      <c r="E636" s="12" t="s">
        <v>65</v>
      </c>
      <c r="F636" s="10" t="n">
        <v>24</v>
      </c>
      <c r="G636" s="12" t="s">
        <v>40</v>
      </c>
      <c r="H636" s="10" t="n">
        <v>1110203</v>
      </c>
      <c r="I636" s="12" t="s">
        <v>50</v>
      </c>
      <c r="J636" s="10" t="n">
        <v>1393186</v>
      </c>
      <c r="L636" s="10" t="n">
        <v>187324</v>
      </c>
      <c r="M636" s="12" t="s">
        <v>33</v>
      </c>
      <c r="N636" s="12" t="s">
        <v>51</v>
      </c>
      <c r="P636" s="10" t="n">
        <v>113</v>
      </c>
      <c r="Q636" s="12" t="s">
        <v>35</v>
      </c>
      <c r="R636" s="12" t="s">
        <v>88</v>
      </c>
      <c r="S636" s="10" t="n">
        <v>4210227</v>
      </c>
      <c r="T636" s="12" t="s">
        <v>119</v>
      </c>
      <c r="U636" s="13" t="n">
        <v>292.39</v>
      </c>
      <c r="W636" s="13" t="n">
        <v>0</v>
      </c>
      <c r="X636" s="12" t="s">
        <v>728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46153</v>
      </c>
      <c r="C637" s="11" t="n">
        <v>46243</v>
      </c>
      <c r="D637" s="10" t="n">
        <v>10006</v>
      </c>
      <c r="E637" s="12" t="s">
        <v>86</v>
      </c>
      <c r="F637" s="10" t="n">
        <v>46</v>
      </c>
      <c r="G637" s="12" t="s">
        <v>388</v>
      </c>
      <c r="H637" s="10" t="n">
        <v>2110405</v>
      </c>
      <c r="I637" s="12" t="s">
        <v>87</v>
      </c>
      <c r="J637" s="10" t="n">
        <v>1230712</v>
      </c>
      <c r="L637" s="10" t="n">
        <v>163750</v>
      </c>
      <c r="M637" s="12" t="s">
        <v>41</v>
      </c>
      <c r="N637" s="12" t="s">
        <v>51</v>
      </c>
      <c r="P637" s="10" t="n">
        <v>101</v>
      </c>
      <c r="Q637" s="12" t="s">
        <v>69</v>
      </c>
      <c r="R637" s="12" t="s">
        <v>88</v>
      </c>
      <c r="S637" s="10" t="n">
        <v>4210232</v>
      </c>
      <c r="T637" s="12" t="s">
        <v>89</v>
      </c>
      <c r="U637" s="13" t="n">
        <v>415.26</v>
      </c>
      <c r="W637" s="13" t="n">
        <v>0</v>
      </c>
      <c r="X637" s="12" t="s">
        <v>412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46153</v>
      </c>
      <c r="C638" s="11" t="n">
        <v>46244</v>
      </c>
      <c r="D638" s="10" t="n">
        <v>1176</v>
      </c>
      <c r="E638" s="12" t="s">
        <v>377</v>
      </c>
      <c r="F638" s="10" t="n">
        <v>24</v>
      </c>
      <c r="G638" s="12" t="s">
        <v>40</v>
      </c>
      <c r="H638" s="10" t="n">
        <v>1110203</v>
      </c>
      <c r="I638" s="12" t="s">
        <v>50</v>
      </c>
      <c r="J638" s="10" t="n">
        <v>1083394</v>
      </c>
      <c r="L638" s="10" t="n">
        <v>143444</v>
      </c>
      <c r="M638" s="12" t="s">
        <v>191</v>
      </c>
      <c r="N638" s="12" t="s">
        <v>51</v>
      </c>
      <c r="P638" s="10" t="n">
        <v>101</v>
      </c>
      <c r="Q638" s="12" t="s">
        <v>69</v>
      </c>
      <c r="R638" s="12" t="s">
        <v>378</v>
      </c>
      <c r="S638" s="10" t="n">
        <v>2110901</v>
      </c>
      <c r="T638" s="12" t="s">
        <v>379</v>
      </c>
      <c r="U638" s="13" t="n">
        <v>2336.36</v>
      </c>
      <c r="W638" s="13" t="n">
        <v>0</v>
      </c>
      <c r="X638" s="12" t="s">
        <v>729</v>
      </c>
      <c r="Z638" s="1" t="str">
        <f aca="false">IF($T638="","",IFERROR(INDEX('Resumo Grupos'!$AC$3:$AC$200,MATCH($T638,'Resumo Grupos'!$AB$3:$AB$200,0)),"n/d"))</f>
        <v>Empréstimo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46183</v>
      </c>
      <c r="C639" s="11" t="n">
        <v>46244</v>
      </c>
      <c r="D639" s="10" t="n">
        <v>1100</v>
      </c>
      <c r="E639" s="12" t="s">
        <v>387</v>
      </c>
      <c r="F639" s="10" t="n">
        <v>46</v>
      </c>
      <c r="G639" s="12" t="s">
        <v>388</v>
      </c>
      <c r="H639" s="10" t="n">
        <v>2110101</v>
      </c>
      <c r="I639" s="12" t="s">
        <v>32</v>
      </c>
      <c r="J639" s="10" t="n">
        <v>1230732</v>
      </c>
      <c r="L639" s="10" t="n">
        <v>1399</v>
      </c>
      <c r="M639" s="12" t="s">
        <v>41</v>
      </c>
      <c r="N639" s="12" t="s">
        <v>390</v>
      </c>
      <c r="P639" s="10" t="n">
        <v>101</v>
      </c>
      <c r="Q639" s="12" t="s">
        <v>69</v>
      </c>
      <c r="R639" s="12" t="s">
        <v>391</v>
      </c>
      <c r="S639" s="10" t="n">
        <v>2110101</v>
      </c>
      <c r="T639" s="12" t="s">
        <v>32</v>
      </c>
      <c r="U639" s="13" t="n">
        <v>226.66</v>
      </c>
      <c r="W639" s="13" t="n">
        <v>0</v>
      </c>
      <c r="X639" s="12" t="s">
        <v>730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46224</v>
      </c>
      <c r="C640" s="11" t="n">
        <v>46244</v>
      </c>
      <c r="D640" s="10" t="n">
        <v>1100</v>
      </c>
      <c r="E640" s="12" t="s">
        <v>387</v>
      </c>
      <c r="F640" s="10" t="n">
        <v>46</v>
      </c>
      <c r="G640" s="12" t="s">
        <v>388</v>
      </c>
      <c r="H640" s="10" t="n">
        <v>1110203</v>
      </c>
      <c r="I640" s="12" t="s">
        <v>50</v>
      </c>
      <c r="J640" s="10" t="n">
        <v>1427624</v>
      </c>
      <c r="L640" s="10" t="n">
        <v>190916</v>
      </c>
      <c r="M640" s="12" t="s">
        <v>33</v>
      </c>
      <c r="N640" s="12" t="s">
        <v>51</v>
      </c>
      <c r="P640" s="10" t="n">
        <v>113</v>
      </c>
      <c r="Q640" s="12" t="s">
        <v>35</v>
      </c>
      <c r="R640" s="12" t="s">
        <v>88</v>
      </c>
      <c r="S640" s="10" t="n">
        <v>4210227</v>
      </c>
      <c r="T640" s="12" t="s">
        <v>119</v>
      </c>
      <c r="U640" s="13" t="n">
        <v>400</v>
      </c>
      <c r="W640" s="13" t="n">
        <v>0</v>
      </c>
      <c r="X640" s="12" t="s">
        <v>731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46223</v>
      </c>
      <c r="C641" s="11" t="n">
        <v>46244</v>
      </c>
      <c r="D641" s="10" t="n">
        <v>1601</v>
      </c>
      <c r="E641" s="12" t="s">
        <v>215</v>
      </c>
      <c r="F641" s="10" t="n">
        <v>24</v>
      </c>
      <c r="G641" s="12" t="s">
        <v>40</v>
      </c>
      <c r="H641" s="10" t="n">
        <v>1110203</v>
      </c>
      <c r="I641" s="12" t="s">
        <v>50</v>
      </c>
      <c r="J641" s="10" t="n">
        <v>1424091</v>
      </c>
      <c r="L641" s="10" t="n">
        <v>190898</v>
      </c>
      <c r="M641" s="12" t="s">
        <v>33</v>
      </c>
      <c r="N641" s="12" t="s">
        <v>51</v>
      </c>
      <c r="P641" s="10" t="n">
        <v>113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676.97</v>
      </c>
      <c r="W641" s="13" t="n">
        <v>0</v>
      </c>
      <c r="X641" s="12" t="s">
        <v>669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46078</v>
      </c>
      <c r="C642" s="11" t="n">
        <v>46244</v>
      </c>
      <c r="D642" s="10" t="n">
        <v>1869</v>
      </c>
      <c r="E642" s="12" t="s">
        <v>393</v>
      </c>
      <c r="F642" s="10" t="n">
        <v>46</v>
      </c>
      <c r="G642" s="12" t="s">
        <v>388</v>
      </c>
      <c r="H642" s="10" t="n">
        <v>2110101</v>
      </c>
      <c r="I642" s="12" t="s">
        <v>32</v>
      </c>
      <c r="J642" s="10" t="n">
        <v>717667</v>
      </c>
      <c r="L642" s="10" t="n">
        <v>93850</v>
      </c>
      <c r="M642" s="12" t="s">
        <v>147</v>
      </c>
      <c r="N642" s="12" t="s">
        <v>51</v>
      </c>
      <c r="P642" s="10" t="n">
        <v>113</v>
      </c>
      <c r="Q642" s="12" t="s">
        <v>35</v>
      </c>
      <c r="R642" s="12" t="s">
        <v>88</v>
      </c>
      <c r="S642" s="10" t="n">
        <v>4210227</v>
      </c>
      <c r="T642" s="12" t="s">
        <v>119</v>
      </c>
      <c r="U642" s="13" t="n">
        <v>283.66</v>
      </c>
      <c r="W642" s="13" t="n">
        <v>0</v>
      </c>
      <c r="X642" s="12" t="s">
        <v>732</v>
      </c>
      <c r="Z642" s="1" t="str">
        <f aca="false">IF($T642="","",IFERROR(INDEX('Resumo Grupos'!$AC$3:$AC$200,MATCH($T642,'Resumo Grupos'!$AB$3:$AB$200,0)),"n/d"))</f>
        <v>Despesa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46235</v>
      </c>
      <c r="C643" s="11" t="n">
        <v>46244</v>
      </c>
      <c r="D643" s="10" t="n">
        <v>1723</v>
      </c>
      <c r="E643" s="12" t="s">
        <v>298</v>
      </c>
      <c r="F643" s="10" t="n">
        <v>24</v>
      </c>
      <c r="G643" s="12" t="s">
        <v>40</v>
      </c>
      <c r="H643" s="10" t="n">
        <v>1110203</v>
      </c>
      <c r="I643" s="12" t="s">
        <v>50</v>
      </c>
      <c r="J643" s="10" t="n">
        <v>1482026</v>
      </c>
      <c r="L643" s="10" t="n">
        <v>201167</v>
      </c>
      <c r="M643" s="12" t="s">
        <v>33</v>
      </c>
      <c r="N643" s="12" t="s">
        <v>51</v>
      </c>
      <c r="P643" s="10" t="n">
        <v>113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1349.7</v>
      </c>
      <c r="W643" s="13" t="n">
        <v>0</v>
      </c>
      <c r="X643" s="12" t="s">
        <v>733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46234</v>
      </c>
      <c r="C644" s="11" t="n">
        <v>46244</v>
      </c>
      <c r="D644" s="10" t="n">
        <v>1621</v>
      </c>
      <c r="E644" s="12" t="s">
        <v>62</v>
      </c>
      <c r="F644" s="10" t="n">
        <v>24</v>
      </c>
      <c r="G644" s="12" t="s">
        <v>40</v>
      </c>
      <c r="H644" s="10" t="n">
        <v>1110203</v>
      </c>
      <c r="I644" s="12" t="s">
        <v>50</v>
      </c>
      <c r="J644" s="10" t="n">
        <v>1478276</v>
      </c>
      <c r="L644" s="10" t="n">
        <v>200565</v>
      </c>
      <c r="M644" s="12" t="s">
        <v>33</v>
      </c>
      <c r="N644" s="12" t="s">
        <v>51</v>
      </c>
      <c r="P644" s="10" t="n">
        <v>113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315.97</v>
      </c>
      <c r="W644" s="13" t="n">
        <v>0</v>
      </c>
      <c r="X644" s="12" t="s">
        <v>734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46219</v>
      </c>
      <c r="C645" s="11" t="n">
        <v>46244</v>
      </c>
      <c r="D645" s="10" t="n">
        <v>1636</v>
      </c>
      <c r="E645" s="12" t="s">
        <v>65</v>
      </c>
      <c r="F645" s="10" t="n">
        <v>24</v>
      </c>
      <c r="G645" s="12" t="s">
        <v>40</v>
      </c>
      <c r="H645" s="10" t="n">
        <v>1110203</v>
      </c>
      <c r="I645" s="12" t="s">
        <v>50</v>
      </c>
      <c r="J645" s="10" t="n">
        <v>1406454</v>
      </c>
      <c r="L645" s="10" t="n">
        <v>189386</v>
      </c>
      <c r="M645" s="12" t="s">
        <v>33</v>
      </c>
      <c r="N645" s="12" t="s">
        <v>51</v>
      </c>
      <c r="P645" s="10" t="n">
        <v>113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920.12</v>
      </c>
      <c r="W645" s="13" t="n">
        <v>0</v>
      </c>
      <c r="X645" s="12" t="s">
        <v>588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46218</v>
      </c>
      <c r="C646" s="11" t="n">
        <v>46244</v>
      </c>
      <c r="D646" s="10" t="n">
        <v>1636</v>
      </c>
      <c r="E646" s="12" t="s">
        <v>65</v>
      </c>
      <c r="F646" s="10" t="n">
        <v>24</v>
      </c>
      <c r="G646" s="12" t="s">
        <v>40</v>
      </c>
      <c r="H646" s="10" t="n">
        <v>1110203</v>
      </c>
      <c r="I646" s="12" t="s">
        <v>50</v>
      </c>
      <c r="J646" s="10" t="n">
        <v>1403006</v>
      </c>
      <c r="L646" s="10" t="n">
        <v>188859</v>
      </c>
      <c r="M646" s="12" t="s">
        <v>33</v>
      </c>
      <c r="N646" s="12" t="s">
        <v>51</v>
      </c>
      <c r="P646" s="10" t="n">
        <v>113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1387.05</v>
      </c>
      <c r="W646" s="13" t="n">
        <v>0</v>
      </c>
      <c r="X646" s="12" t="s">
        <v>587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46218</v>
      </c>
      <c r="C647" s="11" t="n">
        <v>46244</v>
      </c>
      <c r="D647" s="10" t="n">
        <v>1636</v>
      </c>
      <c r="E647" s="12" t="s">
        <v>65</v>
      </c>
      <c r="F647" s="10" t="n">
        <v>24</v>
      </c>
      <c r="G647" s="12" t="s">
        <v>40</v>
      </c>
      <c r="H647" s="10" t="n">
        <v>1110203</v>
      </c>
      <c r="I647" s="12" t="s">
        <v>50</v>
      </c>
      <c r="J647" s="10" t="n">
        <v>1402501</v>
      </c>
      <c r="L647" s="10" t="n">
        <v>188736</v>
      </c>
      <c r="M647" s="12" t="s">
        <v>33</v>
      </c>
      <c r="N647" s="12" t="s">
        <v>51</v>
      </c>
      <c r="P647" s="10" t="n">
        <v>113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1315.48</v>
      </c>
      <c r="W647" s="13" t="n">
        <v>0</v>
      </c>
      <c r="X647" s="12" t="s">
        <v>672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46198</v>
      </c>
      <c r="C648" s="11" t="n">
        <v>46244</v>
      </c>
      <c r="D648" s="10" t="n">
        <v>1218</v>
      </c>
      <c r="E648" s="12" t="s">
        <v>121</v>
      </c>
      <c r="F648" s="10" t="n">
        <v>24</v>
      </c>
      <c r="G648" s="12" t="s">
        <v>40</v>
      </c>
      <c r="H648" s="10" t="n">
        <v>2110101</v>
      </c>
      <c r="I648" s="12" t="s">
        <v>32</v>
      </c>
      <c r="J648" s="10" t="n">
        <v>1305945</v>
      </c>
      <c r="L648" s="10" t="n">
        <v>9495</v>
      </c>
      <c r="M648" s="12" t="s">
        <v>182</v>
      </c>
      <c r="N648" s="12" t="s">
        <v>34</v>
      </c>
      <c r="P648" s="10" t="n">
        <v>113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531.18</v>
      </c>
      <c r="W648" s="13" t="n">
        <v>0</v>
      </c>
      <c r="X648" s="12" t="s">
        <v>122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46237</v>
      </c>
      <c r="C649" s="11" t="n">
        <v>46244</v>
      </c>
      <c r="D649" s="10" t="n">
        <v>1626</v>
      </c>
      <c r="E649" s="12" t="s">
        <v>67</v>
      </c>
      <c r="F649" s="10" t="n">
        <v>24</v>
      </c>
      <c r="G649" s="12" t="s">
        <v>40</v>
      </c>
      <c r="H649" s="10" t="n">
        <v>1110203</v>
      </c>
      <c r="I649" s="12" t="s">
        <v>50</v>
      </c>
      <c r="J649" s="10" t="n">
        <v>1495125</v>
      </c>
      <c r="L649" s="10" t="n">
        <v>202737</v>
      </c>
      <c r="M649" s="12" t="s">
        <v>33</v>
      </c>
      <c r="N649" s="12" t="s">
        <v>51</v>
      </c>
      <c r="P649" s="10" t="n">
        <v>113</v>
      </c>
      <c r="Q649" s="12" t="s">
        <v>35</v>
      </c>
      <c r="R649" s="12" t="s">
        <v>36</v>
      </c>
      <c r="S649" s="10" t="n">
        <v>1130101</v>
      </c>
      <c r="T649" s="12" t="s">
        <v>37</v>
      </c>
      <c r="U649" s="13" t="n">
        <v>416.64</v>
      </c>
      <c r="W649" s="13" t="n">
        <v>0</v>
      </c>
      <c r="X649" s="12" t="s">
        <v>735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46230</v>
      </c>
      <c r="C650" s="11" t="n">
        <v>46244</v>
      </c>
      <c r="D650" s="10" t="n">
        <v>513</v>
      </c>
      <c r="E650" s="12" t="s">
        <v>407</v>
      </c>
      <c r="F650" s="10" t="n">
        <v>24</v>
      </c>
      <c r="G650" s="12" t="s">
        <v>40</v>
      </c>
      <c r="H650" s="10" t="n">
        <v>1110203</v>
      </c>
      <c r="I650" s="12" t="s">
        <v>50</v>
      </c>
      <c r="J650" s="10" t="n">
        <v>1459285</v>
      </c>
      <c r="L650" s="10" t="n">
        <v>197498</v>
      </c>
      <c r="M650" s="12" t="s">
        <v>33</v>
      </c>
      <c r="N650" s="12" t="s">
        <v>51</v>
      </c>
      <c r="P650" s="10" t="n">
        <v>101</v>
      </c>
      <c r="Q650" s="12" t="s">
        <v>69</v>
      </c>
      <c r="R650" s="12" t="s">
        <v>102</v>
      </c>
      <c r="S650" s="10" t="n">
        <v>4210315</v>
      </c>
      <c r="T650" s="12" t="s">
        <v>346</v>
      </c>
      <c r="U650" s="13" t="n">
        <v>160</v>
      </c>
      <c r="W650" s="13" t="n">
        <v>0</v>
      </c>
      <c r="X650" s="12" t="s">
        <v>347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46238</v>
      </c>
      <c r="C651" s="11" t="n">
        <v>46244</v>
      </c>
      <c r="D651" s="10" t="n">
        <v>1328</v>
      </c>
      <c r="E651" s="12" t="s">
        <v>80</v>
      </c>
      <c r="F651" s="10" t="n">
        <v>24</v>
      </c>
      <c r="G651" s="12" t="s">
        <v>40</v>
      </c>
      <c r="H651" s="10" t="n">
        <v>1110203</v>
      </c>
      <c r="I651" s="12" t="s">
        <v>50</v>
      </c>
      <c r="J651" s="10" t="n">
        <v>1499888</v>
      </c>
      <c r="L651" s="10" t="n">
        <v>203578</v>
      </c>
      <c r="M651" s="12" t="s">
        <v>33</v>
      </c>
      <c r="N651" s="12" t="s">
        <v>51</v>
      </c>
      <c r="P651" s="10" t="n">
        <v>113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219.3</v>
      </c>
      <c r="W651" s="13" t="n">
        <v>0</v>
      </c>
      <c r="X651" s="12" t="s">
        <v>736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46223</v>
      </c>
      <c r="C652" s="11" t="n">
        <v>46244</v>
      </c>
      <c r="D652" s="10" t="n">
        <v>607</v>
      </c>
      <c r="E652" s="12" t="s">
        <v>415</v>
      </c>
      <c r="F652" s="10" t="n">
        <v>24</v>
      </c>
      <c r="G652" s="12" t="s">
        <v>40</v>
      </c>
      <c r="H652" s="10" t="n">
        <v>1110203</v>
      </c>
      <c r="I652" s="12" t="s">
        <v>50</v>
      </c>
      <c r="J652" s="10" t="n">
        <v>1424634</v>
      </c>
      <c r="L652" s="10" t="n">
        <v>190909</v>
      </c>
      <c r="M652" s="12" t="s">
        <v>33</v>
      </c>
      <c r="N652" s="12" t="s">
        <v>51</v>
      </c>
      <c r="P652" s="10" t="n">
        <v>113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446.28</v>
      </c>
      <c r="W652" s="13" t="n">
        <v>0</v>
      </c>
      <c r="X652" s="12" t="s">
        <v>737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46192</v>
      </c>
      <c r="C653" s="11" t="n">
        <v>46244</v>
      </c>
      <c r="D653" s="10" t="n">
        <v>33</v>
      </c>
      <c r="E653" s="12" t="s">
        <v>289</v>
      </c>
      <c r="F653" s="10" t="n">
        <v>34</v>
      </c>
      <c r="G653" s="12" t="s">
        <v>31</v>
      </c>
      <c r="H653" s="10" t="n">
        <v>2110405</v>
      </c>
      <c r="I653" s="12" t="s">
        <v>87</v>
      </c>
      <c r="J653" s="10" t="n">
        <v>1273759</v>
      </c>
      <c r="L653" s="10" t="n">
        <v>168794</v>
      </c>
      <c r="M653" s="12" t="s">
        <v>41</v>
      </c>
      <c r="N653" s="12" t="s">
        <v>51</v>
      </c>
      <c r="P653" s="10" t="n">
        <v>101</v>
      </c>
      <c r="Q653" s="12" t="s">
        <v>69</v>
      </c>
      <c r="R653" s="12" t="s">
        <v>163</v>
      </c>
      <c r="S653" s="10" t="n">
        <v>1240203</v>
      </c>
      <c r="T653" s="12" t="s">
        <v>164</v>
      </c>
      <c r="U653" s="13" t="n">
        <v>666.66</v>
      </c>
      <c r="W653" s="13" t="n">
        <v>0</v>
      </c>
      <c r="X653" s="12" t="s">
        <v>411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46211</v>
      </c>
      <c r="C654" s="11" t="n">
        <v>46244</v>
      </c>
      <c r="D654" s="10" t="n">
        <v>33</v>
      </c>
      <c r="E654" s="12" t="s">
        <v>289</v>
      </c>
      <c r="F654" s="10" t="n">
        <v>34</v>
      </c>
      <c r="G654" s="12" t="s">
        <v>31</v>
      </c>
      <c r="H654" s="10" t="n">
        <v>1110203</v>
      </c>
      <c r="I654" s="12" t="s">
        <v>50</v>
      </c>
      <c r="J654" s="10" t="n">
        <v>1370733</v>
      </c>
      <c r="L654" s="10" t="n">
        <v>184338</v>
      </c>
      <c r="M654" s="12" t="s">
        <v>33</v>
      </c>
      <c r="N654" s="12" t="s">
        <v>51</v>
      </c>
      <c r="P654" s="10" t="n">
        <v>101</v>
      </c>
      <c r="Q654" s="12" t="s">
        <v>69</v>
      </c>
      <c r="R654" s="12" t="s">
        <v>88</v>
      </c>
      <c r="S654" s="10" t="n">
        <v>4210222</v>
      </c>
      <c r="T654" s="12" t="s">
        <v>738</v>
      </c>
      <c r="U654" s="13" t="n">
        <v>666.67</v>
      </c>
      <c r="W654" s="13" t="n">
        <v>0</v>
      </c>
      <c r="X654" s="12" t="s">
        <v>739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46221</v>
      </c>
      <c r="C655" s="11" t="n">
        <v>46244</v>
      </c>
      <c r="D655" s="10" t="n">
        <v>1671</v>
      </c>
      <c r="E655" s="12" t="s">
        <v>457</v>
      </c>
      <c r="F655" s="10" t="n">
        <v>24</v>
      </c>
      <c r="G655" s="12" t="s">
        <v>40</v>
      </c>
      <c r="H655" s="10" t="n">
        <v>1110203</v>
      </c>
      <c r="I655" s="12" t="s">
        <v>50</v>
      </c>
      <c r="J655" s="10" t="n">
        <v>1415173</v>
      </c>
      <c r="L655" s="10" t="n">
        <v>190798</v>
      </c>
      <c r="M655" s="12" t="s">
        <v>33</v>
      </c>
      <c r="N655" s="12" t="s">
        <v>51</v>
      </c>
      <c r="P655" s="10" t="n">
        <v>113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823.61</v>
      </c>
      <c r="W655" s="13" t="n">
        <v>0</v>
      </c>
      <c r="X655" s="12" t="s">
        <v>740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46221</v>
      </c>
      <c r="C656" s="11" t="n">
        <v>46244</v>
      </c>
      <c r="D656" s="10" t="n">
        <v>1671</v>
      </c>
      <c r="E656" s="12" t="s">
        <v>457</v>
      </c>
      <c r="F656" s="10" t="n">
        <v>24</v>
      </c>
      <c r="G656" s="12" t="s">
        <v>40</v>
      </c>
      <c r="H656" s="10" t="n">
        <v>1110203</v>
      </c>
      <c r="I656" s="12" t="s">
        <v>50</v>
      </c>
      <c r="J656" s="10" t="n">
        <v>1415265</v>
      </c>
      <c r="L656" s="10" t="n">
        <v>190811</v>
      </c>
      <c r="M656" s="12" t="s">
        <v>33</v>
      </c>
      <c r="N656" s="12" t="s">
        <v>51</v>
      </c>
      <c r="P656" s="10" t="n">
        <v>113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1142.36</v>
      </c>
      <c r="W656" s="13" t="n">
        <v>0</v>
      </c>
      <c r="X656" s="12" t="s">
        <v>741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46221</v>
      </c>
      <c r="C657" s="11" t="n">
        <v>46244</v>
      </c>
      <c r="D657" s="10" t="n">
        <v>1671</v>
      </c>
      <c r="E657" s="12" t="s">
        <v>457</v>
      </c>
      <c r="F657" s="10" t="n">
        <v>24</v>
      </c>
      <c r="G657" s="12" t="s">
        <v>40</v>
      </c>
      <c r="H657" s="10" t="n">
        <v>1110203</v>
      </c>
      <c r="I657" s="12" t="s">
        <v>50</v>
      </c>
      <c r="J657" s="10" t="n">
        <v>1415252</v>
      </c>
      <c r="L657" s="10" t="n">
        <v>190805</v>
      </c>
      <c r="M657" s="12" t="s">
        <v>33</v>
      </c>
      <c r="N657" s="12" t="s">
        <v>51</v>
      </c>
      <c r="P657" s="10" t="n">
        <v>113</v>
      </c>
      <c r="Q657" s="12" t="s">
        <v>35</v>
      </c>
      <c r="R657" s="12" t="s">
        <v>36</v>
      </c>
      <c r="S657" s="10" t="n">
        <v>1130101</v>
      </c>
      <c r="T657" s="12" t="s">
        <v>37</v>
      </c>
      <c r="U657" s="13" t="n">
        <v>1413.72</v>
      </c>
      <c r="W657" s="13" t="n">
        <v>0</v>
      </c>
      <c r="X657" s="12" t="s">
        <v>742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46221</v>
      </c>
      <c r="C658" s="11" t="n">
        <v>46244</v>
      </c>
      <c r="D658" s="10" t="n">
        <v>1671</v>
      </c>
      <c r="E658" s="12" t="s">
        <v>457</v>
      </c>
      <c r="F658" s="10" t="n">
        <v>24</v>
      </c>
      <c r="G658" s="12" t="s">
        <v>40</v>
      </c>
      <c r="H658" s="10" t="n">
        <v>1110203</v>
      </c>
      <c r="I658" s="12" t="s">
        <v>50</v>
      </c>
      <c r="J658" s="10" t="n">
        <v>1415222</v>
      </c>
      <c r="L658" s="10" t="n">
        <v>190799</v>
      </c>
      <c r="M658" s="12" t="s">
        <v>33</v>
      </c>
      <c r="N658" s="12" t="s">
        <v>51</v>
      </c>
      <c r="P658" s="10" t="n">
        <v>113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1472.09</v>
      </c>
      <c r="W658" s="13" t="n">
        <v>0</v>
      </c>
      <c r="X658" s="12" t="s">
        <v>743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46218</v>
      </c>
      <c r="C659" s="11" t="n">
        <v>46245</v>
      </c>
      <c r="D659" s="10" t="n">
        <v>1637</v>
      </c>
      <c r="E659" s="12" t="s">
        <v>418</v>
      </c>
      <c r="F659" s="10" t="n">
        <v>24</v>
      </c>
      <c r="G659" s="12" t="s">
        <v>40</v>
      </c>
      <c r="H659" s="10" t="n">
        <v>1110203</v>
      </c>
      <c r="I659" s="12" t="s">
        <v>50</v>
      </c>
      <c r="J659" s="10" t="n">
        <v>1401272</v>
      </c>
      <c r="L659" s="10" t="n">
        <v>188461</v>
      </c>
      <c r="M659" s="12" t="s">
        <v>33</v>
      </c>
      <c r="N659" s="12" t="s">
        <v>51</v>
      </c>
      <c r="P659" s="10" t="n">
        <v>113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639.52</v>
      </c>
      <c r="W659" s="13" t="n">
        <v>0</v>
      </c>
      <c r="X659" s="12" t="s">
        <v>744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46232</v>
      </c>
      <c r="C660" s="11" t="n">
        <v>46245</v>
      </c>
      <c r="D660" s="10" t="n">
        <v>1635</v>
      </c>
      <c r="E660" s="12" t="s">
        <v>110</v>
      </c>
      <c r="F660" s="10" t="n">
        <v>24</v>
      </c>
      <c r="G660" s="12" t="s">
        <v>40</v>
      </c>
      <c r="H660" s="10" t="n">
        <v>1110203</v>
      </c>
      <c r="I660" s="12" t="s">
        <v>50</v>
      </c>
      <c r="J660" s="10" t="n">
        <v>1469137</v>
      </c>
      <c r="L660" s="10" t="n">
        <v>199023</v>
      </c>
      <c r="M660" s="12" t="s">
        <v>33</v>
      </c>
      <c r="N660" s="12" t="s">
        <v>51</v>
      </c>
      <c r="P660" s="10" t="n">
        <v>113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926.71</v>
      </c>
      <c r="W660" s="13" t="n">
        <v>0</v>
      </c>
      <c r="X660" s="12" t="s">
        <v>745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46230</v>
      </c>
      <c r="C661" s="11" t="n">
        <v>46245</v>
      </c>
      <c r="D661" s="10" t="n">
        <v>1705</v>
      </c>
      <c r="E661" s="12" t="s">
        <v>43</v>
      </c>
      <c r="F661" s="10" t="n">
        <v>24</v>
      </c>
      <c r="G661" s="12" t="s">
        <v>40</v>
      </c>
      <c r="H661" s="10" t="n">
        <v>1110203</v>
      </c>
      <c r="I661" s="12" t="s">
        <v>50</v>
      </c>
      <c r="J661" s="10" t="n">
        <v>1459409</v>
      </c>
      <c r="L661" s="10" t="n">
        <v>197513</v>
      </c>
      <c r="M661" s="12" t="s">
        <v>33</v>
      </c>
      <c r="N661" s="12" t="s">
        <v>51</v>
      </c>
      <c r="P661" s="10" t="n">
        <v>113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868.27</v>
      </c>
      <c r="W661" s="13" t="n">
        <v>0</v>
      </c>
      <c r="X661" s="12" t="s">
        <v>746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46230</v>
      </c>
      <c r="C662" s="11" t="n">
        <v>46245</v>
      </c>
      <c r="D662" s="10" t="n">
        <v>1705</v>
      </c>
      <c r="E662" s="12" t="s">
        <v>43</v>
      </c>
      <c r="F662" s="10" t="n">
        <v>24</v>
      </c>
      <c r="G662" s="12" t="s">
        <v>40</v>
      </c>
      <c r="H662" s="10" t="n">
        <v>1110203</v>
      </c>
      <c r="I662" s="12" t="s">
        <v>50</v>
      </c>
      <c r="J662" s="10" t="n">
        <v>1459418</v>
      </c>
      <c r="L662" s="10" t="n">
        <v>197514</v>
      </c>
      <c r="M662" s="12" t="s">
        <v>33</v>
      </c>
      <c r="N662" s="12" t="s">
        <v>51</v>
      </c>
      <c r="P662" s="10" t="n">
        <v>113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659.74</v>
      </c>
      <c r="W662" s="13" t="n">
        <v>0</v>
      </c>
      <c r="X662" s="12" t="s">
        <v>747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46226</v>
      </c>
      <c r="C663" s="11" t="n">
        <v>46245</v>
      </c>
      <c r="D663" s="10" t="n">
        <v>10014</v>
      </c>
      <c r="E663" s="12" t="s">
        <v>748</v>
      </c>
      <c r="F663" s="10" t="n">
        <v>24</v>
      </c>
      <c r="G663" s="12" t="s">
        <v>40</v>
      </c>
      <c r="H663" s="10" t="n">
        <v>1110203</v>
      </c>
      <c r="I663" s="12" t="s">
        <v>50</v>
      </c>
      <c r="J663" s="10" t="n">
        <v>1439368</v>
      </c>
      <c r="L663" s="10" t="n">
        <v>194537</v>
      </c>
      <c r="M663" s="12" t="s">
        <v>33</v>
      </c>
      <c r="N663" s="12" t="s">
        <v>51</v>
      </c>
      <c r="P663" s="10" t="n">
        <v>113</v>
      </c>
      <c r="Q663" s="12" t="s">
        <v>35</v>
      </c>
      <c r="R663" s="12" t="s">
        <v>36</v>
      </c>
      <c r="S663" s="10" t="n">
        <v>1130101</v>
      </c>
      <c r="T663" s="12" t="s">
        <v>37</v>
      </c>
      <c r="U663" s="13" t="n">
        <v>1009.92</v>
      </c>
      <c r="W663" s="13" t="n">
        <v>0</v>
      </c>
      <c r="X663" s="12" t="s">
        <v>749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46225</v>
      </c>
      <c r="C664" s="11" t="n">
        <v>46245</v>
      </c>
      <c r="D664" s="10" t="n">
        <v>1668</v>
      </c>
      <c r="E664" s="12" t="s">
        <v>138</v>
      </c>
      <c r="F664" s="10" t="n">
        <v>24</v>
      </c>
      <c r="G664" s="12" t="s">
        <v>40</v>
      </c>
      <c r="H664" s="10" t="n">
        <v>1110203</v>
      </c>
      <c r="I664" s="12" t="s">
        <v>50</v>
      </c>
      <c r="J664" s="10" t="n">
        <v>1436109</v>
      </c>
      <c r="L664" s="10" t="n">
        <v>194046</v>
      </c>
      <c r="M664" s="12" t="s">
        <v>33</v>
      </c>
      <c r="N664" s="12" t="s">
        <v>51</v>
      </c>
      <c r="P664" s="10" t="n">
        <v>113</v>
      </c>
      <c r="Q664" s="12" t="s">
        <v>35</v>
      </c>
      <c r="R664" s="12" t="s">
        <v>88</v>
      </c>
      <c r="S664" s="10" t="n">
        <v>4210299</v>
      </c>
      <c r="T664" s="12" t="s">
        <v>312</v>
      </c>
      <c r="U664" s="13" t="n">
        <v>391.26</v>
      </c>
      <c r="W664" s="13" t="n">
        <v>0</v>
      </c>
      <c r="X664" s="12" t="s">
        <v>750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46197</v>
      </c>
      <c r="C665" s="11" t="n">
        <v>46245</v>
      </c>
      <c r="D665" s="10" t="n">
        <v>607</v>
      </c>
      <c r="E665" s="12" t="s">
        <v>415</v>
      </c>
      <c r="F665" s="10" t="n">
        <v>24</v>
      </c>
      <c r="G665" s="12" t="s">
        <v>40</v>
      </c>
      <c r="H665" s="10" t="n">
        <v>2110101</v>
      </c>
      <c r="I665" s="12" t="s">
        <v>32</v>
      </c>
      <c r="J665" s="10" t="n">
        <v>1300232</v>
      </c>
      <c r="L665" s="10" t="n">
        <v>10860</v>
      </c>
      <c r="M665" s="12" t="s">
        <v>191</v>
      </c>
      <c r="N665" s="12" t="s">
        <v>34</v>
      </c>
      <c r="P665" s="10" t="n">
        <v>113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1361.81</v>
      </c>
      <c r="W665" s="13" t="n">
        <v>0</v>
      </c>
      <c r="X665" s="12" t="s">
        <v>416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46225</v>
      </c>
      <c r="C666" s="11" t="n">
        <v>46246</v>
      </c>
      <c r="D666" s="10" t="n">
        <v>1635</v>
      </c>
      <c r="E666" s="12" t="s">
        <v>110</v>
      </c>
      <c r="F666" s="10" t="n">
        <v>24</v>
      </c>
      <c r="G666" s="12" t="s">
        <v>40</v>
      </c>
      <c r="H666" s="10" t="n">
        <v>1110203</v>
      </c>
      <c r="I666" s="12" t="s">
        <v>50</v>
      </c>
      <c r="J666" s="10" t="n">
        <v>1436001</v>
      </c>
      <c r="L666" s="10" t="n">
        <v>194026</v>
      </c>
      <c r="M666" s="12" t="s">
        <v>33</v>
      </c>
      <c r="N666" s="12" t="s">
        <v>51</v>
      </c>
      <c r="P666" s="10" t="n">
        <v>113</v>
      </c>
      <c r="Q666" s="12" t="s">
        <v>35</v>
      </c>
      <c r="R666" s="12" t="s">
        <v>36</v>
      </c>
      <c r="S666" s="10" t="n">
        <v>1130101</v>
      </c>
      <c r="T666" s="12" t="s">
        <v>37</v>
      </c>
      <c r="U666" s="13" t="n">
        <v>109.51</v>
      </c>
      <c r="W666" s="13" t="n">
        <v>0</v>
      </c>
      <c r="X666" s="12" t="s">
        <v>693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46234</v>
      </c>
      <c r="C667" s="11" t="n">
        <v>46246</v>
      </c>
      <c r="D667" s="10" t="n">
        <v>1613</v>
      </c>
      <c r="E667" s="12" t="s">
        <v>159</v>
      </c>
      <c r="F667" s="10" t="n">
        <v>24</v>
      </c>
      <c r="G667" s="12" t="s">
        <v>40</v>
      </c>
      <c r="H667" s="10" t="n">
        <v>1110203</v>
      </c>
      <c r="I667" s="12" t="s">
        <v>50</v>
      </c>
      <c r="J667" s="10" t="n">
        <v>1478653</v>
      </c>
      <c r="L667" s="10" t="n">
        <v>200645</v>
      </c>
      <c r="M667" s="12" t="s">
        <v>33</v>
      </c>
      <c r="N667" s="12" t="s">
        <v>51</v>
      </c>
      <c r="P667" s="10" t="n">
        <v>113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1190.19</v>
      </c>
      <c r="W667" s="13" t="n">
        <v>0</v>
      </c>
      <c r="X667" s="12" t="s">
        <v>751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46227</v>
      </c>
      <c r="C668" s="11" t="n">
        <v>46246</v>
      </c>
      <c r="D668" s="10" t="n">
        <v>1613</v>
      </c>
      <c r="E668" s="12" t="s">
        <v>159</v>
      </c>
      <c r="F668" s="10" t="n">
        <v>24</v>
      </c>
      <c r="G668" s="12" t="s">
        <v>40</v>
      </c>
      <c r="H668" s="10" t="n">
        <v>1110203</v>
      </c>
      <c r="I668" s="12" t="s">
        <v>50</v>
      </c>
      <c r="J668" s="10" t="n">
        <v>1443769</v>
      </c>
      <c r="L668" s="10" t="n">
        <v>195249</v>
      </c>
      <c r="M668" s="12" t="s">
        <v>33</v>
      </c>
      <c r="N668" s="12" t="s">
        <v>51</v>
      </c>
      <c r="P668" s="10" t="n">
        <v>113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395.62</v>
      </c>
      <c r="W668" s="13" t="n">
        <v>0</v>
      </c>
      <c r="X668" s="12" t="s">
        <v>694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46226</v>
      </c>
      <c r="C669" s="11" t="n">
        <v>46246</v>
      </c>
      <c r="D669" s="10" t="n">
        <v>1608</v>
      </c>
      <c r="E669" s="12" t="s">
        <v>266</v>
      </c>
      <c r="F669" s="10" t="n">
        <v>24</v>
      </c>
      <c r="G669" s="12" t="s">
        <v>40</v>
      </c>
      <c r="H669" s="10" t="n">
        <v>1110203</v>
      </c>
      <c r="I669" s="12" t="s">
        <v>50</v>
      </c>
      <c r="J669" s="10" t="n">
        <v>1439299</v>
      </c>
      <c r="L669" s="10" t="n">
        <v>194524</v>
      </c>
      <c r="M669" s="12" t="s">
        <v>33</v>
      </c>
      <c r="N669" s="12" t="s">
        <v>51</v>
      </c>
      <c r="P669" s="10" t="n">
        <v>113</v>
      </c>
      <c r="Q669" s="12" t="s">
        <v>35</v>
      </c>
      <c r="R669" s="12" t="s">
        <v>36</v>
      </c>
      <c r="S669" s="10" t="n">
        <v>1130101</v>
      </c>
      <c r="T669" s="12" t="s">
        <v>37</v>
      </c>
      <c r="U669" s="13" t="n">
        <v>1188</v>
      </c>
      <c r="W669" s="13" t="n">
        <v>0</v>
      </c>
      <c r="X669" s="12" t="s">
        <v>752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46218</v>
      </c>
      <c r="C670" s="11" t="n">
        <v>46246</v>
      </c>
      <c r="D670" s="10" t="n">
        <v>1608</v>
      </c>
      <c r="E670" s="12" t="s">
        <v>266</v>
      </c>
      <c r="F670" s="10" t="n">
        <v>24</v>
      </c>
      <c r="G670" s="12" t="s">
        <v>40</v>
      </c>
      <c r="H670" s="10" t="n">
        <v>1110203</v>
      </c>
      <c r="I670" s="12" t="s">
        <v>50</v>
      </c>
      <c r="J670" s="10" t="n">
        <v>1401887</v>
      </c>
      <c r="L670" s="10" t="n">
        <v>188609</v>
      </c>
      <c r="M670" s="12" t="s">
        <v>33</v>
      </c>
      <c r="N670" s="12" t="s">
        <v>51</v>
      </c>
      <c r="P670" s="10" t="n">
        <v>113</v>
      </c>
      <c r="Q670" s="12" t="s">
        <v>35</v>
      </c>
      <c r="R670" s="12" t="s">
        <v>36</v>
      </c>
      <c r="S670" s="10" t="n">
        <v>1130101</v>
      </c>
      <c r="T670" s="12" t="s">
        <v>37</v>
      </c>
      <c r="U670" s="13" t="n">
        <v>1207.28</v>
      </c>
      <c r="W670" s="13" t="n">
        <v>0</v>
      </c>
      <c r="X670" s="12" t="s">
        <v>615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46219</v>
      </c>
      <c r="C671" s="11" t="n">
        <v>46246</v>
      </c>
      <c r="D671" s="10" t="n">
        <v>1616</v>
      </c>
      <c r="E671" s="12" t="s">
        <v>218</v>
      </c>
      <c r="F671" s="10" t="n">
        <v>24</v>
      </c>
      <c r="G671" s="12" t="s">
        <v>40</v>
      </c>
      <c r="H671" s="10" t="n">
        <v>1110203</v>
      </c>
      <c r="I671" s="12" t="s">
        <v>50</v>
      </c>
      <c r="J671" s="10" t="n">
        <v>1406260</v>
      </c>
      <c r="L671" s="10" t="n">
        <v>189338</v>
      </c>
      <c r="M671" s="12" t="s">
        <v>33</v>
      </c>
      <c r="N671" s="12" t="s">
        <v>51</v>
      </c>
      <c r="P671" s="10" t="n">
        <v>113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607.58</v>
      </c>
      <c r="W671" s="13" t="n">
        <v>0</v>
      </c>
      <c r="X671" s="12" t="s">
        <v>616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46226</v>
      </c>
      <c r="C672" s="11" t="n">
        <v>46246</v>
      </c>
      <c r="D672" s="10" t="n">
        <v>957</v>
      </c>
      <c r="E672" s="12" t="s">
        <v>58</v>
      </c>
      <c r="F672" s="10" t="n">
        <v>24</v>
      </c>
      <c r="G672" s="12" t="s">
        <v>40</v>
      </c>
      <c r="H672" s="10" t="n">
        <v>1110203</v>
      </c>
      <c r="I672" s="12" t="s">
        <v>50</v>
      </c>
      <c r="J672" s="10" t="n">
        <v>1438915</v>
      </c>
      <c r="L672" s="10" t="n">
        <v>194428</v>
      </c>
      <c r="M672" s="12" t="s">
        <v>33</v>
      </c>
      <c r="N672" s="12" t="s">
        <v>51</v>
      </c>
      <c r="P672" s="10" t="n">
        <v>113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1501.36</v>
      </c>
      <c r="W672" s="13" t="n">
        <v>0</v>
      </c>
      <c r="X672" s="12" t="s">
        <v>753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46227</v>
      </c>
      <c r="C673" s="11" t="n">
        <v>46246</v>
      </c>
      <c r="D673" s="10" t="n">
        <v>1842</v>
      </c>
      <c r="E673" s="12" t="s">
        <v>626</v>
      </c>
      <c r="F673" s="10" t="n">
        <v>24</v>
      </c>
      <c r="G673" s="12" t="s">
        <v>40</v>
      </c>
      <c r="H673" s="10" t="n">
        <v>1110203</v>
      </c>
      <c r="I673" s="12" t="s">
        <v>50</v>
      </c>
      <c r="J673" s="10" t="n">
        <v>1443912</v>
      </c>
      <c r="L673" s="10" t="n">
        <v>195274</v>
      </c>
      <c r="M673" s="12" t="s">
        <v>33</v>
      </c>
      <c r="N673" s="12" t="s">
        <v>51</v>
      </c>
      <c r="P673" s="10" t="n">
        <v>113</v>
      </c>
      <c r="Q673" s="12" t="s">
        <v>35</v>
      </c>
      <c r="R673" s="12" t="s">
        <v>88</v>
      </c>
      <c r="S673" s="10" t="n">
        <v>4210229</v>
      </c>
      <c r="T673" s="12" t="s">
        <v>627</v>
      </c>
      <c r="U673" s="13" t="n">
        <v>325</v>
      </c>
      <c r="W673" s="13" t="n">
        <v>0</v>
      </c>
      <c r="X673" s="12" t="s">
        <v>754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46225</v>
      </c>
      <c r="C674" s="11" t="n">
        <v>46246</v>
      </c>
      <c r="D674" s="10" t="n">
        <v>1815</v>
      </c>
      <c r="E674" s="12" t="s">
        <v>175</v>
      </c>
      <c r="F674" s="10" t="n">
        <v>24</v>
      </c>
      <c r="G674" s="12" t="s">
        <v>40</v>
      </c>
      <c r="H674" s="10" t="n">
        <v>1110203</v>
      </c>
      <c r="I674" s="12" t="s">
        <v>50</v>
      </c>
      <c r="J674" s="10" t="n">
        <v>1436049</v>
      </c>
      <c r="L674" s="10" t="n">
        <v>194036</v>
      </c>
      <c r="M674" s="12" t="s">
        <v>33</v>
      </c>
      <c r="N674" s="12" t="s">
        <v>51</v>
      </c>
      <c r="P674" s="10" t="n">
        <v>113</v>
      </c>
      <c r="Q674" s="12" t="s">
        <v>35</v>
      </c>
      <c r="R674" s="12" t="s">
        <v>36</v>
      </c>
      <c r="S674" s="10" t="n">
        <v>1130101</v>
      </c>
      <c r="T674" s="12" t="s">
        <v>37</v>
      </c>
      <c r="U674" s="13" t="n">
        <v>1164.4</v>
      </c>
      <c r="W674" s="13" t="n">
        <v>0</v>
      </c>
      <c r="X674" s="12" t="s">
        <v>619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46226</v>
      </c>
      <c r="C675" s="11" t="n">
        <v>46246</v>
      </c>
      <c r="D675" s="10" t="n">
        <v>10011</v>
      </c>
      <c r="E675" s="12" t="s">
        <v>302</v>
      </c>
      <c r="F675" s="10" t="n">
        <v>24</v>
      </c>
      <c r="G675" s="12" t="s">
        <v>40</v>
      </c>
      <c r="H675" s="10" t="n">
        <v>1110203</v>
      </c>
      <c r="I675" s="12" t="s">
        <v>50</v>
      </c>
      <c r="J675" s="10" t="n">
        <v>1438950</v>
      </c>
      <c r="L675" s="10" t="n">
        <v>194437</v>
      </c>
      <c r="M675" s="12" t="s">
        <v>33</v>
      </c>
      <c r="N675" s="12" t="s">
        <v>51</v>
      </c>
      <c r="P675" s="10" t="n">
        <v>113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591.06</v>
      </c>
      <c r="W675" s="13" t="n">
        <v>0</v>
      </c>
      <c r="X675" s="12" t="s">
        <v>755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46216</v>
      </c>
      <c r="C676" s="11" t="n">
        <v>46246</v>
      </c>
      <c r="D676" s="10" t="n">
        <v>10012</v>
      </c>
      <c r="E676" s="12" t="s">
        <v>373</v>
      </c>
      <c r="F676" s="10" t="n">
        <v>24</v>
      </c>
      <c r="G676" s="12" t="s">
        <v>40</v>
      </c>
      <c r="H676" s="10" t="n">
        <v>2110101</v>
      </c>
      <c r="I676" s="12" t="s">
        <v>32</v>
      </c>
      <c r="J676" s="10" t="n">
        <v>1393698</v>
      </c>
      <c r="L676" s="10" t="n">
        <v>1962669</v>
      </c>
      <c r="M676" s="12" t="s">
        <v>41</v>
      </c>
      <c r="N676" s="12" t="s">
        <v>34</v>
      </c>
      <c r="P676" s="10" t="n">
        <v>113</v>
      </c>
      <c r="Q676" s="12" t="s">
        <v>35</v>
      </c>
      <c r="R676" s="12" t="s">
        <v>36</v>
      </c>
      <c r="S676" s="10" t="n">
        <v>1130101</v>
      </c>
      <c r="T676" s="12" t="s">
        <v>37</v>
      </c>
      <c r="U676" s="13" t="n">
        <v>1504.05</v>
      </c>
      <c r="W676" s="13" t="n">
        <v>0</v>
      </c>
      <c r="X676" s="12" t="s">
        <v>623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46233</v>
      </c>
      <c r="C677" s="11" t="n">
        <v>46246</v>
      </c>
      <c r="D677" s="10" t="n">
        <v>1734</v>
      </c>
      <c r="E677" s="12" t="s">
        <v>459</v>
      </c>
      <c r="F677" s="10" t="n">
        <v>24</v>
      </c>
      <c r="G677" s="12" t="s">
        <v>40</v>
      </c>
      <c r="H677" s="10" t="n">
        <v>1110203</v>
      </c>
      <c r="I677" s="12" t="s">
        <v>50</v>
      </c>
      <c r="J677" s="10" t="n">
        <v>1473551</v>
      </c>
      <c r="L677" s="10" t="n">
        <v>199710</v>
      </c>
      <c r="M677" s="12" t="s">
        <v>33</v>
      </c>
      <c r="N677" s="12" t="s">
        <v>51</v>
      </c>
      <c r="P677" s="10" t="n">
        <v>113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894.16</v>
      </c>
      <c r="W677" s="13" t="n">
        <v>0</v>
      </c>
      <c r="X677" s="12" t="s">
        <v>756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46233</v>
      </c>
      <c r="C678" s="11" t="n">
        <v>46247</v>
      </c>
      <c r="D678" s="10" t="n">
        <v>10002</v>
      </c>
      <c r="E678" s="12" t="s">
        <v>465</v>
      </c>
      <c r="F678" s="10" t="n">
        <v>24</v>
      </c>
      <c r="G678" s="12" t="s">
        <v>40</v>
      </c>
      <c r="H678" s="10" t="n">
        <v>1110203</v>
      </c>
      <c r="I678" s="12" t="s">
        <v>50</v>
      </c>
      <c r="J678" s="10" t="n">
        <v>1472951</v>
      </c>
      <c r="L678" s="10" t="n">
        <v>199581</v>
      </c>
      <c r="M678" s="12" t="s">
        <v>33</v>
      </c>
      <c r="N678" s="12" t="s">
        <v>51</v>
      </c>
      <c r="P678" s="10" t="n">
        <v>113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830.88</v>
      </c>
      <c r="W678" s="13" t="n">
        <v>0</v>
      </c>
      <c r="X678" s="12" t="s">
        <v>757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46219</v>
      </c>
      <c r="C679" s="11" t="n">
        <v>46247</v>
      </c>
      <c r="D679" s="10" t="n">
        <v>1718</v>
      </c>
      <c r="E679" s="12" t="s">
        <v>263</v>
      </c>
      <c r="F679" s="10" t="n">
        <v>24</v>
      </c>
      <c r="G679" s="12" t="s">
        <v>40</v>
      </c>
      <c r="H679" s="10" t="n">
        <v>1110203</v>
      </c>
      <c r="I679" s="12" t="s">
        <v>50</v>
      </c>
      <c r="J679" s="10" t="n">
        <v>1407330</v>
      </c>
      <c r="L679" s="10" t="n">
        <v>189607</v>
      </c>
      <c r="M679" s="12" t="s">
        <v>33</v>
      </c>
      <c r="N679" s="12" t="s">
        <v>51</v>
      </c>
      <c r="P679" s="10" t="n">
        <v>113</v>
      </c>
      <c r="Q679" s="12" t="s">
        <v>35</v>
      </c>
      <c r="R679" s="12" t="s">
        <v>36</v>
      </c>
      <c r="S679" s="10" t="n">
        <v>1130101</v>
      </c>
      <c r="T679" s="12" t="s">
        <v>37</v>
      </c>
      <c r="U679" s="13" t="n">
        <v>580.9</v>
      </c>
      <c r="W679" s="13" t="n">
        <v>0</v>
      </c>
      <c r="X679" s="12" t="s">
        <v>625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46226</v>
      </c>
      <c r="C680" s="11" t="n">
        <v>46247</v>
      </c>
      <c r="D680" s="10" t="n">
        <v>1616</v>
      </c>
      <c r="E680" s="12" t="s">
        <v>218</v>
      </c>
      <c r="F680" s="10" t="n">
        <v>24</v>
      </c>
      <c r="G680" s="12" t="s">
        <v>40</v>
      </c>
      <c r="H680" s="10" t="n">
        <v>1110203</v>
      </c>
      <c r="I680" s="12" t="s">
        <v>50</v>
      </c>
      <c r="J680" s="10" t="n">
        <v>1440011</v>
      </c>
      <c r="L680" s="10" t="n">
        <v>194711</v>
      </c>
      <c r="M680" s="12" t="s">
        <v>33</v>
      </c>
      <c r="N680" s="12" t="s">
        <v>51</v>
      </c>
      <c r="P680" s="10" t="n">
        <v>113</v>
      </c>
      <c r="Q680" s="12" t="s">
        <v>35</v>
      </c>
      <c r="R680" s="12" t="s">
        <v>36</v>
      </c>
      <c r="S680" s="10" t="n">
        <v>1130101</v>
      </c>
      <c r="T680" s="12" t="s">
        <v>37</v>
      </c>
      <c r="U680" s="13" t="n">
        <v>727.23</v>
      </c>
      <c r="W680" s="13" t="n">
        <v>0</v>
      </c>
      <c r="X680" s="12" t="s">
        <v>758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46233</v>
      </c>
      <c r="C681" s="11" t="n">
        <v>46247</v>
      </c>
      <c r="D681" s="10" t="n">
        <v>1740</v>
      </c>
      <c r="E681" s="12" t="s">
        <v>560</v>
      </c>
      <c r="F681" s="10" t="n">
        <v>24</v>
      </c>
      <c r="G681" s="12" t="s">
        <v>40</v>
      </c>
      <c r="H681" s="10" t="n">
        <v>1110203</v>
      </c>
      <c r="I681" s="12" t="s">
        <v>50</v>
      </c>
      <c r="J681" s="10" t="n">
        <v>1473207</v>
      </c>
      <c r="L681" s="10" t="n">
        <v>199630</v>
      </c>
      <c r="M681" s="12" t="s">
        <v>33</v>
      </c>
      <c r="N681" s="12" t="s">
        <v>51</v>
      </c>
      <c r="P681" s="10" t="n">
        <v>113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459.25</v>
      </c>
      <c r="W681" s="13" t="n">
        <v>0</v>
      </c>
      <c r="X681" s="12" t="s">
        <v>759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46223</v>
      </c>
      <c r="C682" s="11" t="n">
        <v>46247</v>
      </c>
      <c r="D682" s="10" t="n">
        <v>1624</v>
      </c>
      <c r="E682" s="12" t="s">
        <v>241</v>
      </c>
      <c r="F682" s="10" t="n">
        <v>24</v>
      </c>
      <c r="G682" s="12" t="s">
        <v>40</v>
      </c>
      <c r="H682" s="10" t="n">
        <v>1110203</v>
      </c>
      <c r="I682" s="12" t="s">
        <v>50</v>
      </c>
      <c r="J682" s="10" t="n">
        <v>1423734</v>
      </c>
      <c r="L682" s="10" t="n">
        <v>190893</v>
      </c>
      <c r="M682" s="12" t="s">
        <v>33</v>
      </c>
      <c r="N682" s="12" t="s">
        <v>51</v>
      </c>
      <c r="P682" s="10" t="n">
        <v>113</v>
      </c>
      <c r="Q682" s="12" t="s">
        <v>35</v>
      </c>
      <c r="R682" s="12" t="s">
        <v>36</v>
      </c>
      <c r="S682" s="10" t="n">
        <v>1130101</v>
      </c>
      <c r="T682" s="12" t="s">
        <v>37</v>
      </c>
      <c r="U682" s="13" t="n">
        <v>381</v>
      </c>
      <c r="W682" s="13" t="n">
        <v>0</v>
      </c>
      <c r="X682" s="12" t="s">
        <v>711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46227</v>
      </c>
      <c r="C683" s="11" t="n">
        <v>46248</v>
      </c>
      <c r="D683" s="10" t="n">
        <v>1921</v>
      </c>
      <c r="E683" s="12" t="s">
        <v>107</v>
      </c>
      <c r="F683" s="10" t="n">
        <v>24</v>
      </c>
      <c r="G683" s="12" t="s">
        <v>40</v>
      </c>
      <c r="H683" s="10" t="n">
        <v>1110203</v>
      </c>
      <c r="I683" s="12" t="s">
        <v>50</v>
      </c>
      <c r="J683" s="10" t="n">
        <v>1443816</v>
      </c>
      <c r="L683" s="10" t="n">
        <v>195257</v>
      </c>
      <c r="M683" s="12" t="s">
        <v>33</v>
      </c>
      <c r="N683" s="12" t="s">
        <v>51</v>
      </c>
      <c r="P683" s="10" t="n">
        <v>113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581.65</v>
      </c>
      <c r="W683" s="13" t="n">
        <v>0</v>
      </c>
      <c r="X683" s="12" t="s">
        <v>760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46228</v>
      </c>
      <c r="C684" s="11" t="n">
        <v>46248</v>
      </c>
      <c r="D684" s="10" t="n">
        <v>1635</v>
      </c>
      <c r="E684" s="12" t="s">
        <v>110</v>
      </c>
      <c r="F684" s="10" t="n">
        <v>24</v>
      </c>
      <c r="G684" s="12" t="s">
        <v>40</v>
      </c>
      <c r="H684" s="10" t="n">
        <v>1110203</v>
      </c>
      <c r="I684" s="12" t="s">
        <v>50</v>
      </c>
      <c r="J684" s="10" t="n">
        <v>1448485</v>
      </c>
      <c r="L684" s="10" t="n">
        <v>196062</v>
      </c>
      <c r="M684" s="12" t="s">
        <v>33</v>
      </c>
      <c r="N684" s="12" t="s">
        <v>51</v>
      </c>
      <c r="P684" s="10" t="n">
        <v>113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740.52</v>
      </c>
      <c r="W684" s="13" t="n">
        <v>0</v>
      </c>
      <c r="X684" s="12" t="s">
        <v>714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46227</v>
      </c>
      <c r="C685" s="11" t="n">
        <v>46248</v>
      </c>
      <c r="D685" s="10" t="n">
        <v>1608</v>
      </c>
      <c r="E685" s="12" t="s">
        <v>266</v>
      </c>
      <c r="F685" s="10" t="n">
        <v>24</v>
      </c>
      <c r="G685" s="12" t="s">
        <v>40</v>
      </c>
      <c r="H685" s="10" t="n">
        <v>1110203</v>
      </c>
      <c r="I685" s="12" t="s">
        <v>50</v>
      </c>
      <c r="J685" s="10" t="n">
        <v>1444853</v>
      </c>
      <c r="L685" s="10" t="n">
        <v>195494</v>
      </c>
      <c r="M685" s="12" t="s">
        <v>33</v>
      </c>
      <c r="N685" s="12" t="s">
        <v>51</v>
      </c>
      <c r="P685" s="10" t="n">
        <v>113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1111.12</v>
      </c>
      <c r="W685" s="13" t="n">
        <v>0</v>
      </c>
      <c r="X685" s="12" t="s">
        <v>761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46237</v>
      </c>
      <c r="C686" s="11" t="n">
        <v>46248</v>
      </c>
      <c r="D686" s="10" t="n">
        <v>1683</v>
      </c>
      <c r="E686" s="12" t="s">
        <v>123</v>
      </c>
      <c r="F686" s="10" t="n">
        <v>34</v>
      </c>
      <c r="G686" s="12" t="s">
        <v>31</v>
      </c>
      <c r="H686" s="10" t="n">
        <v>1110203</v>
      </c>
      <c r="I686" s="12" t="s">
        <v>50</v>
      </c>
      <c r="J686" s="10" t="n">
        <v>1493066</v>
      </c>
      <c r="L686" s="10" t="n">
        <v>202461</v>
      </c>
      <c r="M686" s="12" t="s">
        <v>33</v>
      </c>
      <c r="N686" s="12" t="s">
        <v>51</v>
      </c>
      <c r="P686" s="10" t="n">
        <v>113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120</v>
      </c>
      <c r="W686" s="13" t="n">
        <v>0</v>
      </c>
      <c r="X686" s="12" t="s">
        <v>124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46238</v>
      </c>
      <c r="C687" s="11" t="n">
        <v>46248</v>
      </c>
      <c r="D687" s="10" t="n">
        <v>1683</v>
      </c>
      <c r="E687" s="12" t="s">
        <v>123</v>
      </c>
      <c r="F687" s="10" t="n">
        <v>34</v>
      </c>
      <c r="G687" s="12" t="s">
        <v>31</v>
      </c>
      <c r="H687" s="10" t="n">
        <v>1110203</v>
      </c>
      <c r="I687" s="12" t="s">
        <v>50</v>
      </c>
      <c r="J687" s="10" t="n">
        <v>1498983</v>
      </c>
      <c r="L687" s="10" t="n">
        <v>203336</v>
      </c>
      <c r="M687" s="12" t="s">
        <v>33</v>
      </c>
      <c r="N687" s="12" t="s">
        <v>51</v>
      </c>
      <c r="P687" s="10" t="n">
        <v>113</v>
      </c>
      <c r="Q687" s="12" t="s">
        <v>35</v>
      </c>
      <c r="R687" s="12" t="s">
        <v>36</v>
      </c>
      <c r="S687" s="10" t="n">
        <v>1130101</v>
      </c>
      <c r="T687" s="12" t="s">
        <v>37</v>
      </c>
      <c r="U687" s="13" t="n">
        <v>144.5</v>
      </c>
      <c r="W687" s="13" t="n">
        <v>0</v>
      </c>
      <c r="X687" s="12" t="s">
        <v>124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46227</v>
      </c>
      <c r="C688" s="11" t="n">
        <v>46248</v>
      </c>
      <c r="D688" s="10" t="n">
        <v>1700</v>
      </c>
      <c r="E688" s="12" t="s">
        <v>717</v>
      </c>
      <c r="F688" s="10" t="n">
        <v>24</v>
      </c>
      <c r="G688" s="12" t="s">
        <v>40</v>
      </c>
      <c r="H688" s="10" t="n">
        <v>1110203</v>
      </c>
      <c r="I688" s="12" t="s">
        <v>50</v>
      </c>
      <c r="J688" s="10" t="n">
        <v>1444978</v>
      </c>
      <c r="L688" s="10" t="n">
        <v>195524</v>
      </c>
      <c r="M688" s="12" t="s">
        <v>33</v>
      </c>
      <c r="N688" s="12" t="s">
        <v>51</v>
      </c>
      <c r="P688" s="10" t="n">
        <v>113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690</v>
      </c>
      <c r="W688" s="13" t="n">
        <v>0</v>
      </c>
      <c r="X688" s="12" t="s">
        <v>718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46221</v>
      </c>
      <c r="C689" s="11" t="n">
        <v>46248</v>
      </c>
      <c r="D689" s="10" t="n">
        <v>1830</v>
      </c>
      <c r="E689" s="12" t="s">
        <v>762</v>
      </c>
      <c r="F689" s="10" t="n">
        <v>24</v>
      </c>
      <c r="G689" s="12" t="s">
        <v>40</v>
      </c>
      <c r="H689" s="10" t="n">
        <v>1110203</v>
      </c>
      <c r="I689" s="12" t="s">
        <v>50</v>
      </c>
      <c r="J689" s="10" t="n">
        <v>1415299</v>
      </c>
      <c r="L689" s="10" t="n">
        <v>1124</v>
      </c>
      <c r="M689" s="12" t="s">
        <v>33</v>
      </c>
      <c r="N689" s="12" t="s">
        <v>51</v>
      </c>
      <c r="P689" s="10" t="n">
        <v>101</v>
      </c>
      <c r="Q689" s="12" t="s">
        <v>69</v>
      </c>
      <c r="R689" s="12" t="s">
        <v>102</v>
      </c>
      <c r="S689" s="10" t="n">
        <v>4210319</v>
      </c>
      <c r="T689" s="12" t="s">
        <v>763</v>
      </c>
      <c r="U689" s="13" t="n">
        <v>55</v>
      </c>
      <c r="W689" s="13" t="n">
        <v>0</v>
      </c>
      <c r="X689" s="12" t="s">
        <v>764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46235</v>
      </c>
      <c r="C690" s="11" t="n">
        <v>46248</v>
      </c>
      <c r="D690" s="10" t="n">
        <v>1749</v>
      </c>
      <c r="E690" s="12" t="s">
        <v>142</v>
      </c>
      <c r="F690" s="10" t="n">
        <v>24</v>
      </c>
      <c r="G690" s="12" t="s">
        <v>40</v>
      </c>
      <c r="H690" s="10" t="n">
        <v>1110203</v>
      </c>
      <c r="I690" s="12" t="s">
        <v>50</v>
      </c>
      <c r="J690" s="10" t="n">
        <v>1482084</v>
      </c>
      <c r="L690" s="10" t="n">
        <v>201176</v>
      </c>
      <c r="M690" s="12" t="s">
        <v>33</v>
      </c>
      <c r="N690" s="12" t="s">
        <v>51</v>
      </c>
      <c r="P690" s="10" t="n">
        <v>113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2975.9</v>
      </c>
      <c r="W690" s="13" t="n">
        <v>0</v>
      </c>
      <c r="X690" s="12" t="s">
        <v>765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46223</v>
      </c>
      <c r="C691" s="11" t="n">
        <v>46248</v>
      </c>
      <c r="D691" s="10" t="n">
        <v>10012</v>
      </c>
      <c r="E691" s="12" t="s">
        <v>373</v>
      </c>
      <c r="F691" s="10" t="n">
        <v>24</v>
      </c>
      <c r="G691" s="12" t="s">
        <v>40</v>
      </c>
      <c r="H691" s="10" t="n">
        <v>1110203</v>
      </c>
      <c r="I691" s="12" t="s">
        <v>50</v>
      </c>
      <c r="J691" s="10" t="n">
        <v>1423840</v>
      </c>
      <c r="L691" s="10" t="n">
        <v>190896</v>
      </c>
      <c r="M691" s="12" t="s">
        <v>33</v>
      </c>
      <c r="N691" s="12" t="s">
        <v>51</v>
      </c>
      <c r="P691" s="10" t="n">
        <v>113</v>
      </c>
      <c r="Q691" s="12" t="s">
        <v>35</v>
      </c>
      <c r="R691" s="12" t="s">
        <v>36</v>
      </c>
      <c r="S691" s="10" t="n">
        <v>1130101</v>
      </c>
      <c r="T691" s="12" t="s">
        <v>37</v>
      </c>
      <c r="U691" s="13" t="n">
        <v>945.12</v>
      </c>
      <c r="W691" s="13" t="n">
        <v>0</v>
      </c>
      <c r="X691" s="12" t="s">
        <v>766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46227</v>
      </c>
      <c r="C692" s="11" t="n">
        <v>46248</v>
      </c>
      <c r="D692" s="10" t="n">
        <v>1666</v>
      </c>
      <c r="E692" s="12" t="s">
        <v>93</v>
      </c>
      <c r="F692" s="10" t="n">
        <v>24</v>
      </c>
      <c r="G692" s="12" t="s">
        <v>40</v>
      </c>
      <c r="H692" s="10" t="n">
        <v>1110203</v>
      </c>
      <c r="I692" s="12" t="s">
        <v>50</v>
      </c>
      <c r="J692" s="10" t="n">
        <v>1443874</v>
      </c>
      <c r="L692" s="10" t="n">
        <v>195268</v>
      </c>
      <c r="M692" s="12" t="s">
        <v>33</v>
      </c>
      <c r="N692" s="12" t="s">
        <v>51</v>
      </c>
      <c r="P692" s="10" t="n">
        <v>113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6409.6</v>
      </c>
      <c r="W692" s="13" t="n">
        <v>0</v>
      </c>
      <c r="X692" s="12" t="s">
        <v>655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46226</v>
      </c>
      <c r="C693" s="11" t="n">
        <v>46249</v>
      </c>
      <c r="D693" s="10" t="n">
        <v>1659</v>
      </c>
      <c r="E693" s="12" t="s">
        <v>60</v>
      </c>
      <c r="F693" s="10" t="n">
        <v>24</v>
      </c>
      <c r="G693" s="12" t="s">
        <v>40</v>
      </c>
      <c r="H693" s="10" t="n">
        <v>1110203</v>
      </c>
      <c r="I693" s="12" t="s">
        <v>50</v>
      </c>
      <c r="J693" s="10" t="n">
        <v>1439439</v>
      </c>
      <c r="L693" s="10" t="n">
        <v>194551</v>
      </c>
      <c r="M693" s="12" t="s">
        <v>33</v>
      </c>
      <c r="N693" s="12" t="s">
        <v>51</v>
      </c>
      <c r="P693" s="10" t="n">
        <v>113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1006.03</v>
      </c>
      <c r="W693" s="13" t="n">
        <v>0</v>
      </c>
      <c r="X693" s="12" t="s">
        <v>723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46237</v>
      </c>
      <c r="C694" s="11" t="n">
        <v>46249</v>
      </c>
      <c r="D694" s="10" t="n">
        <v>1695</v>
      </c>
      <c r="E694" s="12" t="s">
        <v>39</v>
      </c>
      <c r="F694" s="10" t="n">
        <v>24</v>
      </c>
      <c r="G694" s="12" t="s">
        <v>40</v>
      </c>
      <c r="H694" s="10" t="n">
        <v>1110203</v>
      </c>
      <c r="I694" s="12" t="s">
        <v>50</v>
      </c>
      <c r="J694" s="10" t="n">
        <v>1493384</v>
      </c>
      <c r="L694" s="10" t="n">
        <v>202558</v>
      </c>
      <c r="M694" s="12" t="s">
        <v>33</v>
      </c>
      <c r="N694" s="12" t="s">
        <v>51</v>
      </c>
      <c r="P694" s="10" t="n">
        <v>113</v>
      </c>
      <c r="Q694" s="12" t="s">
        <v>35</v>
      </c>
      <c r="R694" s="12" t="s">
        <v>36</v>
      </c>
      <c r="S694" s="10" t="n">
        <v>1130101</v>
      </c>
      <c r="T694" s="12" t="s">
        <v>37</v>
      </c>
      <c r="U694" s="13" t="n">
        <v>1563.41</v>
      </c>
      <c r="W694" s="13" t="n">
        <v>0</v>
      </c>
      <c r="X694" s="12" t="s">
        <v>724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46234</v>
      </c>
      <c r="C695" s="11" t="n">
        <v>46249</v>
      </c>
      <c r="D695" s="10" t="n">
        <v>1705</v>
      </c>
      <c r="E695" s="12" t="s">
        <v>43</v>
      </c>
      <c r="F695" s="10" t="n">
        <v>24</v>
      </c>
      <c r="G695" s="12" t="s">
        <v>40</v>
      </c>
      <c r="H695" s="10" t="n">
        <v>1110203</v>
      </c>
      <c r="I695" s="12" t="s">
        <v>50</v>
      </c>
      <c r="J695" s="10" t="n">
        <v>1477956</v>
      </c>
      <c r="L695" s="10" t="n">
        <v>200506</v>
      </c>
      <c r="M695" s="12" t="s">
        <v>33</v>
      </c>
      <c r="N695" s="12" t="s">
        <v>51</v>
      </c>
      <c r="P695" s="10" t="n">
        <v>113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2636.73</v>
      </c>
      <c r="W695" s="13" t="n">
        <v>0</v>
      </c>
      <c r="X695" s="12" t="s">
        <v>767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46234</v>
      </c>
      <c r="C696" s="11" t="n">
        <v>46249</v>
      </c>
      <c r="D696" s="10" t="n">
        <v>1705</v>
      </c>
      <c r="E696" s="12" t="s">
        <v>43</v>
      </c>
      <c r="F696" s="10" t="n">
        <v>24</v>
      </c>
      <c r="G696" s="12" t="s">
        <v>40</v>
      </c>
      <c r="H696" s="10" t="n">
        <v>1110203</v>
      </c>
      <c r="I696" s="12" t="s">
        <v>50</v>
      </c>
      <c r="J696" s="10" t="n">
        <v>1478184</v>
      </c>
      <c r="L696" s="10" t="n">
        <v>200546</v>
      </c>
      <c r="M696" s="12" t="s">
        <v>33</v>
      </c>
      <c r="N696" s="12" t="s">
        <v>51</v>
      </c>
      <c r="P696" s="10" t="n">
        <v>113</v>
      </c>
      <c r="Q696" s="12" t="s">
        <v>35</v>
      </c>
      <c r="R696" s="12" t="s">
        <v>36</v>
      </c>
      <c r="S696" s="10" t="n">
        <v>1130101</v>
      </c>
      <c r="T696" s="12" t="s">
        <v>37</v>
      </c>
      <c r="U696" s="13" t="n">
        <v>538.46</v>
      </c>
      <c r="W696" s="13" t="n">
        <v>0</v>
      </c>
      <c r="X696" s="12" t="s">
        <v>768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46234</v>
      </c>
      <c r="C697" s="11" t="n">
        <v>46249</v>
      </c>
      <c r="D697" s="10" t="n">
        <v>1705</v>
      </c>
      <c r="E697" s="12" t="s">
        <v>43</v>
      </c>
      <c r="F697" s="10" t="n">
        <v>24</v>
      </c>
      <c r="G697" s="12" t="s">
        <v>40</v>
      </c>
      <c r="H697" s="10" t="n">
        <v>1110203</v>
      </c>
      <c r="I697" s="12" t="s">
        <v>50</v>
      </c>
      <c r="J697" s="10" t="n">
        <v>1478170</v>
      </c>
      <c r="L697" s="10" t="n">
        <v>200545</v>
      </c>
      <c r="M697" s="12" t="s">
        <v>33</v>
      </c>
      <c r="N697" s="12" t="s">
        <v>51</v>
      </c>
      <c r="P697" s="10" t="n">
        <v>113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190.71</v>
      </c>
      <c r="W697" s="13" t="n">
        <v>0</v>
      </c>
      <c r="X697" s="12" t="s">
        <v>769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46234</v>
      </c>
      <c r="C698" s="11" t="n">
        <v>46249</v>
      </c>
      <c r="D698" s="10" t="n">
        <v>1705</v>
      </c>
      <c r="E698" s="12" t="s">
        <v>43</v>
      </c>
      <c r="F698" s="10" t="n">
        <v>24</v>
      </c>
      <c r="G698" s="12" t="s">
        <v>40</v>
      </c>
      <c r="H698" s="10" t="n">
        <v>1110203</v>
      </c>
      <c r="I698" s="12" t="s">
        <v>50</v>
      </c>
      <c r="J698" s="10" t="n">
        <v>1478135</v>
      </c>
      <c r="L698" s="10" t="n">
        <v>200534</v>
      </c>
      <c r="M698" s="12" t="s">
        <v>33</v>
      </c>
      <c r="N698" s="12" t="s">
        <v>51</v>
      </c>
      <c r="P698" s="10" t="n">
        <v>113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327.46</v>
      </c>
      <c r="W698" s="13" t="n">
        <v>0</v>
      </c>
      <c r="X698" s="12" t="s">
        <v>770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46234</v>
      </c>
      <c r="C699" s="11" t="n">
        <v>46249</v>
      </c>
      <c r="D699" s="10" t="n">
        <v>1705</v>
      </c>
      <c r="E699" s="12" t="s">
        <v>43</v>
      </c>
      <c r="F699" s="10" t="n">
        <v>24</v>
      </c>
      <c r="G699" s="12" t="s">
        <v>40</v>
      </c>
      <c r="H699" s="10" t="n">
        <v>1110203</v>
      </c>
      <c r="I699" s="12" t="s">
        <v>50</v>
      </c>
      <c r="J699" s="10" t="n">
        <v>1478071</v>
      </c>
      <c r="L699" s="10" t="n">
        <v>200520</v>
      </c>
      <c r="M699" s="12" t="s">
        <v>33</v>
      </c>
      <c r="N699" s="12" t="s">
        <v>51</v>
      </c>
      <c r="P699" s="10" t="n">
        <v>113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45.18</v>
      </c>
      <c r="W699" s="13" t="n">
        <v>0</v>
      </c>
      <c r="X699" s="12" t="s">
        <v>771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46205</v>
      </c>
      <c r="C700" s="11" t="n">
        <v>46249</v>
      </c>
      <c r="D700" s="10" t="n">
        <v>1217</v>
      </c>
      <c r="E700" s="12" t="s">
        <v>314</v>
      </c>
      <c r="F700" s="10" t="n">
        <v>24</v>
      </c>
      <c r="G700" s="12" t="s">
        <v>40</v>
      </c>
      <c r="H700" s="10" t="n">
        <v>2110101</v>
      </c>
      <c r="I700" s="12" t="s">
        <v>32</v>
      </c>
      <c r="J700" s="10" t="n">
        <v>1339965</v>
      </c>
      <c r="L700" s="10" t="n">
        <v>4467</v>
      </c>
      <c r="M700" s="12" t="s">
        <v>182</v>
      </c>
      <c r="N700" s="12" t="s">
        <v>34</v>
      </c>
      <c r="P700" s="10" t="n">
        <v>113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819.53</v>
      </c>
      <c r="W700" s="13" t="n">
        <v>0</v>
      </c>
      <c r="X700" s="12" t="s">
        <v>315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46097</v>
      </c>
      <c r="C701" s="11" t="n">
        <v>46249</v>
      </c>
      <c r="D701" s="10" t="n">
        <v>1867</v>
      </c>
      <c r="E701" s="12" t="s">
        <v>448</v>
      </c>
      <c r="F701" s="10" t="n">
        <v>24</v>
      </c>
      <c r="G701" s="12" t="s">
        <v>40</v>
      </c>
      <c r="H701" s="10" t="n">
        <v>2110405</v>
      </c>
      <c r="I701" s="12" t="s">
        <v>87</v>
      </c>
      <c r="J701" s="10" t="n">
        <v>808550</v>
      </c>
      <c r="L701" s="10" t="n">
        <v>2026</v>
      </c>
      <c r="M701" s="12" t="s">
        <v>147</v>
      </c>
      <c r="N701" s="12" t="s">
        <v>51</v>
      </c>
      <c r="P701" s="10" t="n">
        <v>101</v>
      </c>
      <c r="Q701" s="12" t="s">
        <v>69</v>
      </c>
      <c r="R701" s="12" t="s">
        <v>449</v>
      </c>
      <c r="S701" s="10" t="n">
        <v>4210401</v>
      </c>
      <c r="T701" s="12" t="s">
        <v>450</v>
      </c>
      <c r="U701" s="13" t="n">
        <v>228.88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Impostos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46127</v>
      </c>
      <c r="C702" s="11" t="n">
        <v>46249</v>
      </c>
      <c r="D702" s="10" t="n">
        <v>512</v>
      </c>
      <c r="E702" s="12" t="s">
        <v>453</v>
      </c>
      <c r="F702" s="10" t="n">
        <v>34</v>
      </c>
      <c r="G702" s="12" t="s">
        <v>31</v>
      </c>
      <c r="H702" s="10" t="n">
        <v>2110405</v>
      </c>
      <c r="I702" s="12" t="s">
        <v>87</v>
      </c>
      <c r="J702" s="10" t="n">
        <v>954215</v>
      </c>
      <c r="L702" s="10" t="n">
        <v>126220</v>
      </c>
      <c r="M702" s="12" t="s">
        <v>182</v>
      </c>
      <c r="N702" s="12" t="s">
        <v>51</v>
      </c>
      <c r="P702" s="10" t="n">
        <v>101</v>
      </c>
      <c r="Q702" s="12" t="s">
        <v>69</v>
      </c>
      <c r="R702" s="12" t="s">
        <v>454</v>
      </c>
      <c r="S702" s="10" t="n">
        <v>4210111</v>
      </c>
      <c r="T702" s="12" t="s">
        <v>455</v>
      </c>
      <c r="U702" s="13" t="n">
        <v>5700</v>
      </c>
      <c r="W702" s="13" t="n">
        <v>0</v>
      </c>
      <c r="X702" s="12" t="s">
        <v>456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46223</v>
      </c>
      <c r="C703" s="11" t="n">
        <v>46251</v>
      </c>
      <c r="D703" s="10" t="n">
        <v>1705</v>
      </c>
      <c r="E703" s="12" t="s">
        <v>43</v>
      </c>
      <c r="F703" s="10" t="n">
        <v>24</v>
      </c>
      <c r="G703" s="12" t="s">
        <v>40</v>
      </c>
      <c r="H703" s="10" t="n">
        <v>1110203</v>
      </c>
      <c r="I703" s="12" t="s">
        <v>50</v>
      </c>
      <c r="J703" s="10" t="n">
        <v>1424522</v>
      </c>
      <c r="L703" s="10" t="n">
        <v>190902</v>
      </c>
      <c r="M703" s="12" t="s">
        <v>33</v>
      </c>
      <c r="N703" s="12" t="s">
        <v>51</v>
      </c>
      <c r="P703" s="10" t="n">
        <v>113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114.61</v>
      </c>
      <c r="W703" s="13" t="n">
        <v>0</v>
      </c>
      <c r="X703" s="12" t="s">
        <v>773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46223</v>
      </c>
      <c r="C704" s="11" t="n">
        <v>46251</v>
      </c>
      <c r="D704" s="10" t="n">
        <v>1601</v>
      </c>
      <c r="E704" s="12" t="s">
        <v>215</v>
      </c>
      <c r="F704" s="10" t="n">
        <v>24</v>
      </c>
      <c r="G704" s="12" t="s">
        <v>40</v>
      </c>
      <c r="H704" s="10" t="n">
        <v>1110203</v>
      </c>
      <c r="I704" s="12" t="s">
        <v>50</v>
      </c>
      <c r="J704" s="10" t="n">
        <v>1424101</v>
      </c>
      <c r="L704" s="10" t="n">
        <v>190899</v>
      </c>
      <c r="M704" s="12" t="s">
        <v>33</v>
      </c>
      <c r="N704" s="12" t="s">
        <v>51</v>
      </c>
      <c r="P704" s="10" t="n">
        <v>113</v>
      </c>
      <c r="Q704" s="12" t="s">
        <v>35</v>
      </c>
      <c r="R704" s="12" t="s">
        <v>36</v>
      </c>
      <c r="S704" s="10" t="n">
        <v>1130101</v>
      </c>
      <c r="T704" s="12" t="s">
        <v>37</v>
      </c>
      <c r="U704" s="13" t="n">
        <v>676.98</v>
      </c>
      <c r="W704" s="13" t="n">
        <v>0</v>
      </c>
      <c r="X704" s="12" t="s">
        <v>669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46237</v>
      </c>
      <c r="C705" s="11" t="n">
        <v>46251</v>
      </c>
      <c r="D705" s="10" t="n">
        <v>1626</v>
      </c>
      <c r="E705" s="12" t="s">
        <v>67</v>
      </c>
      <c r="F705" s="10" t="n">
        <v>24</v>
      </c>
      <c r="G705" s="12" t="s">
        <v>40</v>
      </c>
      <c r="H705" s="10" t="n">
        <v>1110203</v>
      </c>
      <c r="I705" s="12" t="s">
        <v>50</v>
      </c>
      <c r="J705" s="10" t="n">
        <v>1495128</v>
      </c>
      <c r="L705" s="10" t="n">
        <v>202739</v>
      </c>
      <c r="M705" s="12" t="s">
        <v>33</v>
      </c>
      <c r="N705" s="12" t="s">
        <v>51</v>
      </c>
      <c r="P705" s="10" t="n">
        <v>113</v>
      </c>
      <c r="Q705" s="12" t="s">
        <v>35</v>
      </c>
      <c r="R705" s="12" t="s">
        <v>36</v>
      </c>
      <c r="S705" s="10" t="n">
        <v>1130101</v>
      </c>
      <c r="T705" s="12" t="s">
        <v>37</v>
      </c>
      <c r="U705" s="13" t="n">
        <v>416.64</v>
      </c>
      <c r="W705" s="13" t="n">
        <v>0</v>
      </c>
      <c r="X705" s="12" t="s">
        <v>735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46221</v>
      </c>
      <c r="C706" s="11" t="n">
        <v>46251</v>
      </c>
      <c r="D706" s="10" t="n">
        <v>1671</v>
      </c>
      <c r="E706" s="12" t="s">
        <v>457</v>
      </c>
      <c r="F706" s="10" t="n">
        <v>24</v>
      </c>
      <c r="G706" s="12" t="s">
        <v>40</v>
      </c>
      <c r="H706" s="10" t="n">
        <v>1110203</v>
      </c>
      <c r="I706" s="12" t="s">
        <v>50</v>
      </c>
      <c r="J706" s="10" t="n">
        <v>1415308</v>
      </c>
      <c r="L706" s="10" t="n">
        <v>190812</v>
      </c>
      <c r="M706" s="12" t="s">
        <v>33</v>
      </c>
      <c r="N706" s="12" t="s">
        <v>51</v>
      </c>
      <c r="P706" s="10" t="n">
        <v>113</v>
      </c>
      <c r="Q706" s="12" t="s">
        <v>35</v>
      </c>
      <c r="R706" s="12" t="s">
        <v>36</v>
      </c>
      <c r="S706" s="10" t="n">
        <v>1130101</v>
      </c>
      <c r="T706" s="12" t="s">
        <v>37</v>
      </c>
      <c r="U706" s="13" t="n">
        <v>1142.36</v>
      </c>
      <c r="W706" s="13" t="n">
        <v>0</v>
      </c>
      <c r="X706" s="12" t="s">
        <v>741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46221</v>
      </c>
      <c r="C707" s="11" t="n">
        <v>46251</v>
      </c>
      <c r="D707" s="10" t="n">
        <v>1671</v>
      </c>
      <c r="E707" s="12" t="s">
        <v>457</v>
      </c>
      <c r="F707" s="10" t="n">
        <v>24</v>
      </c>
      <c r="G707" s="12" t="s">
        <v>40</v>
      </c>
      <c r="H707" s="10" t="n">
        <v>1110203</v>
      </c>
      <c r="I707" s="12" t="s">
        <v>50</v>
      </c>
      <c r="J707" s="10" t="n">
        <v>1415259</v>
      </c>
      <c r="L707" s="10" t="n">
        <v>190807</v>
      </c>
      <c r="M707" s="12" t="s">
        <v>33</v>
      </c>
      <c r="N707" s="12" t="s">
        <v>51</v>
      </c>
      <c r="P707" s="10" t="n">
        <v>113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1413.72</v>
      </c>
      <c r="W707" s="13" t="n">
        <v>0</v>
      </c>
      <c r="X707" s="12" t="s">
        <v>742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46218</v>
      </c>
      <c r="C708" s="11" t="n">
        <v>46252</v>
      </c>
      <c r="D708" s="10" t="n">
        <v>1637</v>
      </c>
      <c r="E708" s="12" t="s">
        <v>418</v>
      </c>
      <c r="F708" s="10" t="n">
        <v>24</v>
      </c>
      <c r="G708" s="12" t="s">
        <v>40</v>
      </c>
      <c r="H708" s="10" t="n">
        <v>1110203</v>
      </c>
      <c r="I708" s="12" t="s">
        <v>50</v>
      </c>
      <c r="J708" s="10" t="n">
        <v>1401284</v>
      </c>
      <c r="L708" s="10" t="n">
        <v>188463</v>
      </c>
      <c r="M708" s="12" t="s">
        <v>33</v>
      </c>
      <c r="N708" s="12" t="s">
        <v>51</v>
      </c>
      <c r="P708" s="10" t="n">
        <v>113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479.64</v>
      </c>
      <c r="W708" s="13" t="n">
        <v>0</v>
      </c>
      <c r="X708" s="12" t="s">
        <v>774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46206</v>
      </c>
      <c r="C709" s="11" t="n">
        <v>46252</v>
      </c>
      <c r="D709" s="10" t="n">
        <v>33</v>
      </c>
      <c r="E709" s="12" t="s">
        <v>289</v>
      </c>
      <c r="F709" s="10" t="n">
        <v>34</v>
      </c>
      <c r="G709" s="12" t="s">
        <v>31</v>
      </c>
      <c r="H709" s="10" t="n">
        <v>1110203</v>
      </c>
      <c r="I709" s="12" t="s">
        <v>50</v>
      </c>
      <c r="J709" s="10" t="n">
        <v>1345312</v>
      </c>
      <c r="L709" s="10" t="n">
        <v>180690</v>
      </c>
      <c r="M709" s="12" t="s">
        <v>108</v>
      </c>
      <c r="N709" s="12" t="s">
        <v>51</v>
      </c>
      <c r="P709" s="10" t="n">
        <v>101</v>
      </c>
      <c r="Q709" s="12" t="s">
        <v>69</v>
      </c>
      <c r="R709" s="12" t="s">
        <v>88</v>
      </c>
      <c r="S709" s="10" t="n">
        <v>4210203</v>
      </c>
      <c r="T709" s="12" t="s">
        <v>290</v>
      </c>
      <c r="U709" s="13" t="n">
        <v>247.27</v>
      </c>
      <c r="W709" s="13" t="n">
        <v>0</v>
      </c>
      <c r="X709" s="12" t="s">
        <v>484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46225</v>
      </c>
      <c r="C710" s="11" t="n">
        <v>46253</v>
      </c>
      <c r="D710" s="10" t="n">
        <v>1635</v>
      </c>
      <c r="E710" s="12" t="s">
        <v>110</v>
      </c>
      <c r="F710" s="10" t="n">
        <v>24</v>
      </c>
      <c r="G710" s="12" t="s">
        <v>40</v>
      </c>
      <c r="H710" s="10" t="n">
        <v>1110203</v>
      </c>
      <c r="I710" s="12" t="s">
        <v>50</v>
      </c>
      <c r="J710" s="10" t="n">
        <v>1436017</v>
      </c>
      <c r="L710" s="10" t="n">
        <v>194028</v>
      </c>
      <c r="M710" s="12" t="s">
        <v>33</v>
      </c>
      <c r="N710" s="12" t="s">
        <v>51</v>
      </c>
      <c r="P710" s="10" t="n">
        <v>113</v>
      </c>
      <c r="Q710" s="12" t="s">
        <v>35</v>
      </c>
      <c r="R710" s="12" t="s">
        <v>36</v>
      </c>
      <c r="S710" s="10" t="n">
        <v>1130101</v>
      </c>
      <c r="T710" s="12" t="s">
        <v>37</v>
      </c>
      <c r="U710" s="13" t="n">
        <v>109.51</v>
      </c>
      <c r="W710" s="13" t="n">
        <v>0</v>
      </c>
      <c r="X710" s="12" t="s">
        <v>693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46234</v>
      </c>
      <c r="C711" s="11" t="n">
        <v>46253</v>
      </c>
      <c r="D711" s="10" t="n">
        <v>1613</v>
      </c>
      <c r="E711" s="12" t="s">
        <v>159</v>
      </c>
      <c r="F711" s="10" t="n">
        <v>24</v>
      </c>
      <c r="G711" s="12" t="s">
        <v>40</v>
      </c>
      <c r="H711" s="10" t="n">
        <v>1110203</v>
      </c>
      <c r="I711" s="12" t="s">
        <v>50</v>
      </c>
      <c r="J711" s="10" t="n">
        <v>1478654</v>
      </c>
      <c r="L711" s="10" t="n">
        <v>200647</v>
      </c>
      <c r="M711" s="12" t="s">
        <v>33</v>
      </c>
      <c r="N711" s="12" t="s">
        <v>51</v>
      </c>
      <c r="P711" s="10" t="n">
        <v>113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1190.19</v>
      </c>
      <c r="W711" s="13" t="n">
        <v>0</v>
      </c>
      <c r="X711" s="12" t="s">
        <v>751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46216</v>
      </c>
      <c r="C712" s="11" t="n">
        <v>46253</v>
      </c>
      <c r="D712" s="10" t="n">
        <v>10012</v>
      </c>
      <c r="E712" s="12" t="s">
        <v>373</v>
      </c>
      <c r="F712" s="10" t="n">
        <v>24</v>
      </c>
      <c r="G712" s="12" t="s">
        <v>40</v>
      </c>
      <c r="H712" s="10" t="n">
        <v>2110101</v>
      </c>
      <c r="I712" s="12" t="s">
        <v>32</v>
      </c>
      <c r="J712" s="10" t="n">
        <v>1393698</v>
      </c>
      <c r="L712" s="10" t="n">
        <v>1962669</v>
      </c>
      <c r="M712" s="12" t="s">
        <v>191</v>
      </c>
      <c r="N712" s="12" t="s">
        <v>34</v>
      </c>
      <c r="P712" s="10" t="n">
        <v>113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1504.06</v>
      </c>
      <c r="W712" s="13" t="n">
        <v>0</v>
      </c>
      <c r="X712" s="12" t="s">
        <v>623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46223</v>
      </c>
      <c r="C713" s="11" t="n">
        <v>46254</v>
      </c>
      <c r="D713" s="10" t="n">
        <v>607</v>
      </c>
      <c r="E713" s="12" t="s">
        <v>415</v>
      </c>
      <c r="F713" s="10" t="n">
        <v>24</v>
      </c>
      <c r="G713" s="12" t="s">
        <v>40</v>
      </c>
      <c r="H713" s="10" t="n">
        <v>1110203</v>
      </c>
      <c r="I713" s="12" t="s">
        <v>50</v>
      </c>
      <c r="J713" s="10" t="n">
        <v>1424640</v>
      </c>
      <c r="L713" s="10" t="n">
        <v>190910</v>
      </c>
      <c r="M713" s="12" t="s">
        <v>33</v>
      </c>
      <c r="N713" s="12" t="s">
        <v>51</v>
      </c>
      <c r="P713" s="10" t="n">
        <v>113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446.28</v>
      </c>
      <c r="W713" s="13" t="n">
        <v>0</v>
      </c>
      <c r="X713" s="12" t="s">
        <v>737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46223</v>
      </c>
      <c r="C714" s="11" t="n">
        <v>46254</v>
      </c>
      <c r="D714" s="10" t="n">
        <v>33</v>
      </c>
      <c r="E714" s="12" t="s">
        <v>289</v>
      </c>
      <c r="F714" s="10" t="n">
        <v>34</v>
      </c>
      <c r="G714" s="12" t="s">
        <v>31</v>
      </c>
      <c r="H714" s="10" t="n">
        <v>1110203</v>
      </c>
      <c r="I714" s="12" t="s">
        <v>50</v>
      </c>
      <c r="J714" s="10" t="n">
        <v>1424244</v>
      </c>
      <c r="L714" s="10" t="n">
        <v>190900</v>
      </c>
      <c r="M714" s="12" t="s">
        <v>108</v>
      </c>
      <c r="N714" s="12" t="s">
        <v>51</v>
      </c>
      <c r="P714" s="10" t="n">
        <v>101</v>
      </c>
      <c r="Q714" s="12" t="s">
        <v>69</v>
      </c>
      <c r="R714" s="12" t="s">
        <v>454</v>
      </c>
      <c r="S714" s="10" t="n">
        <v>4210107</v>
      </c>
      <c r="T714" s="12" t="s">
        <v>509</v>
      </c>
      <c r="U714" s="13" t="n">
        <v>138.3</v>
      </c>
      <c r="W714" s="13" t="n">
        <v>0</v>
      </c>
      <c r="X714" s="12" t="s">
        <v>775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46223</v>
      </c>
      <c r="C715" s="11" t="n">
        <v>46254</v>
      </c>
      <c r="D715" s="10" t="n">
        <v>1624</v>
      </c>
      <c r="E715" s="12" t="s">
        <v>241</v>
      </c>
      <c r="F715" s="10" t="n">
        <v>24</v>
      </c>
      <c r="G715" s="12" t="s">
        <v>40</v>
      </c>
      <c r="H715" s="10" t="n">
        <v>1110203</v>
      </c>
      <c r="I715" s="12" t="s">
        <v>50</v>
      </c>
      <c r="J715" s="10" t="n">
        <v>1423737</v>
      </c>
      <c r="L715" s="10" t="n">
        <v>190894</v>
      </c>
      <c r="M715" s="12" t="s">
        <v>33</v>
      </c>
      <c r="N715" s="12" t="s">
        <v>51</v>
      </c>
      <c r="P715" s="10" t="n">
        <v>113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381</v>
      </c>
      <c r="W715" s="13" t="n">
        <v>0</v>
      </c>
      <c r="X715" s="12" t="s">
        <v>711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46227</v>
      </c>
      <c r="C716" s="11" t="n">
        <v>46255</v>
      </c>
      <c r="D716" s="10" t="n">
        <v>1700</v>
      </c>
      <c r="E716" s="12" t="s">
        <v>717</v>
      </c>
      <c r="F716" s="10" t="n">
        <v>24</v>
      </c>
      <c r="G716" s="12" t="s">
        <v>40</v>
      </c>
      <c r="H716" s="10" t="n">
        <v>1110203</v>
      </c>
      <c r="I716" s="12" t="s">
        <v>50</v>
      </c>
      <c r="J716" s="10" t="n">
        <v>1444985</v>
      </c>
      <c r="L716" s="10" t="n">
        <v>195527</v>
      </c>
      <c r="M716" s="12" t="s">
        <v>33</v>
      </c>
      <c r="N716" s="12" t="s">
        <v>51</v>
      </c>
      <c r="P716" s="10" t="n">
        <v>113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690</v>
      </c>
      <c r="W716" s="13" t="n">
        <v>0</v>
      </c>
      <c r="X716" s="12" t="s">
        <v>718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46197</v>
      </c>
      <c r="C717" s="11" t="n">
        <v>46255</v>
      </c>
      <c r="D717" s="10" t="n">
        <v>607</v>
      </c>
      <c r="E717" s="12" t="s">
        <v>415</v>
      </c>
      <c r="F717" s="10" t="n">
        <v>24</v>
      </c>
      <c r="G717" s="12" t="s">
        <v>40</v>
      </c>
      <c r="H717" s="10" t="n">
        <v>2110101</v>
      </c>
      <c r="I717" s="12" t="s">
        <v>32</v>
      </c>
      <c r="J717" s="10" t="n">
        <v>1300232</v>
      </c>
      <c r="L717" s="10" t="n">
        <v>10860</v>
      </c>
      <c r="M717" s="12" t="s">
        <v>182</v>
      </c>
      <c r="N717" s="12" t="s">
        <v>34</v>
      </c>
      <c r="P717" s="10" t="n">
        <v>113</v>
      </c>
      <c r="Q717" s="12" t="s">
        <v>35</v>
      </c>
      <c r="R717" s="12" t="s">
        <v>36</v>
      </c>
      <c r="S717" s="10" t="n">
        <v>1130101</v>
      </c>
      <c r="T717" s="12" t="s">
        <v>37</v>
      </c>
      <c r="U717" s="13" t="n">
        <v>1361.81</v>
      </c>
      <c r="W717" s="13" t="n">
        <v>0</v>
      </c>
      <c r="X717" s="12" t="s">
        <v>416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46226</v>
      </c>
      <c r="C718" s="11" t="n">
        <v>46256</v>
      </c>
      <c r="D718" s="10" t="n">
        <v>1659</v>
      </c>
      <c r="E718" s="12" t="s">
        <v>60</v>
      </c>
      <c r="F718" s="10" t="n">
        <v>24</v>
      </c>
      <c r="G718" s="12" t="s">
        <v>40</v>
      </c>
      <c r="H718" s="10" t="n">
        <v>1110203</v>
      </c>
      <c r="I718" s="12" t="s">
        <v>50</v>
      </c>
      <c r="J718" s="10" t="n">
        <v>1439443</v>
      </c>
      <c r="L718" s="10" t="n">
        <v>194553</v>
      </c>
      <c r="M718" s="12" t="s">
        <v>33</v>
      </c>
      <c r="N718" s="12" t="s">
        <v>51</v>
      </c>
      <c r="P718" s="10" t="n">
        <v>113</v>
      </c>
      <c r="Q718" s="12" t="s">
        <v>35</v>
      </c>
      <c r="R718" s="12" t="s">
        <v>36</v>
      </c>
      <c r="S718" s="10" t="n">
        <v>1130101</v>
      </c>
      <c r="T718" s="12" t="s">
        <v>37</v>
      </c>
      <c r="U718" s="13" t="n">
        <v>1006.03</v>
      </c>
      <c r="W718" s="13" t="n">
        <v>0</v>
      </c>
      <c r="X718" s="12" t="s">
        <v>723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46237</v>
      </c>
      <c r="C719" s="11" t="n">
        <v>46256</v>
      </c>
      <c r="D719" s="10" t="n">
        <v>1695</v>
      </c>
      <c r="E719" s="12" t="s">
        <v>39</v>
      </c>
      <c r="F719" s="10" t="n">
        <v>24</v>
      </c>
      <c r="G719" s="12" t="s">
        <v>40</v>
      </c>
      <c r="H719" s="10" t="n">
        <v>1110203</v>
      </c>
      <c r="I719" s="12" t="s">
        <v>50</v>
      </c>
      <c r="J719" s="10" t="n">
        <v>1493386</v>
      </c>
      <c r="L719" s="10" t="n">
        <v>202559</v>
      </c>
      <c r="M719" s="12" t="s">
        <v>33</v>
      </c>
      <c r="N719" s="12" t="s">
        <v>51</v>
      </c>
      <c r="P719" s="10" t="n">
        <v>113</v>
      </c>
      <c r="Q719" s="12" t="s">
        <v>35</v>
      </c>
      <c r="R719" s="12" t="s">
        <v>36</v>
      </c>
      <c r="S719" s="10" t="n">
        <v>1130101</v>
      </c>
      <c r="T719" s="12" t="s">
        <v>37</v>
      </c>
      <c r="U719" s="13" t="n">
        <v>1563.4</v>
      </c>
      <c r="W719" s="13" t="n">
        <v>0</v>
      </c>
      <c r="X719" s="12" t="s">
        <v>724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46165</v>
      </c>
      <c r="C720" s="11" t="n">
        <v>46256</v>
      </c>
      <c r="D720" s="10" t="n">
        <v>639</v>
      </c>
      <c r="E720" s="12" t="s">
        <v>551</v>
      </c>
      <c r="F720" s="10" t="n">
        <v>24</v>
      </c>
      <c r="G720" s="12" t="s">
        <v>40</v>
      </c>
      <c r="H720" s="10" t="n">
        <v>2110405</v>
      </c>
      <c r="I720" s="12" t="s">
        <v>87</v>
      </c>
      <c r="J720" s="10" t="n">
        <v>1141287</v>
      </c>
      <c r="L720" s="10" t="n">
        <v>151507</v>
      </c>
      <c r="M720" s="12" t="s">
        <v>108</v>
      </c>
      <c r="N720" s="12" t="s">
        <v>51</v>
      </c>
      <c r="P720" s="10" t="n">
        <v>101</v>
      </c>
      <c r="Q720" s="12" t="s">
        <v>69</v>
      </c>
      <c r="R720" s="12" t="s">
        <v>88</v>
      </c>
      <c r="S720" s="10" t="n">
        <v>4210216</v>
      </c>
      <c r="T720" s="12" t="s">
        <v>552</v>
      </c>
      <c r="U720" s="13" t="n">
        <v>396.67</v>
      </c>
      <c r="W720" s="13" t="n">
        <v>0</v>
      </c>
      <c r="X720" s="12" t="s">
        <v>553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46226</v>
      </c>
      <c r="C721" s="11" t="n">
        <v>46256</v>
      </c>
      <c r="D721" s="10" t="n">
        <v>957</v>
      </c>
      <c r="E721" s="12" t="s">
        <v>58</v>
      </c>
      <c r="F721" s="10" t="n">
        <v>24</v>
      </c>
      <c r="G721" s="12" t="s">
        <v>40</v>
      </c>
      <c r="H721" s="10" t="n">
        <v>1110203</v>
      </c>
      <c r="I721" s="12" t="s">
        <v>50</v>
      </c>
      <c r="J721" s="10" t="n">
        <v>1438918</v>
      </c>
      <c r="L721" s="10" t="n">
        <v>194429</v>
      </c>
      <c r="M721" s="12" t="s">
        <v>33</v>
      </c>
      <c r="N721" s="12" t="s">
        <v>51</v>
      </c>
      <c r="P721" s="10" t="n">
        <v>113</v>
      </c>
      <c r="Q721" s="12" t="s">
        <v>35</v>
      </c>
      <c r="R721" s="12" t="s">
        <v>36</v>
      </c>
      <c r="S721" s="10" t="n">
        <v>1130101</v>
      </c>
      <c r="T721" s="12" t="s">
        <v>37</v>
      </c>
      <c r="U721" s="13" t="n">
        <v>1501.38</v>
      </c>
      <c r="W721" s="13" t="n">
        <v>0</v>
      </c>
      <c r="X721" s="12" t="s">
        <v>753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46226</v>
      </c>
      <c r="C722" s="11" t="n">
        <v>46256</v>
      </c>
      <c r="D722" s="10" t="n">
        <v>10011</v>
      </c>
      <c r="E722" s="12" t="s">
        <v>302</v>
      </c>
      <c r="F722" s="10" t="n">
        <v>24</v>
      </c>
      <c r="G722" s="12" t="s">
        <v>40</v>
      </c>
      <c r="H722" s="10" t="n">
        <v>1110203</v>
      </c>
      <c r="I722" s="12" t="s">
        <v>50</v>
      </c>
      <c r="J722" s="10" t="n">
        <v>1438959</v>
      </c>
      <c r="L722" s="10" t="n">
        <v>194439</v>
      </c>
      <c r="M722" s="12" t="s">
        <v>33</v>
      </c>
      <c r="N722" s="12" t="s">
        <v>51</v>
      </c>
      <c r="P722" s="10" t="n">
        <v>113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591.07</v>
      </c>
      <c r="W722" s="13" t="n">
        <v>0</v>
      </c>
      <c r="X722" s="12" t="s">
        <v>755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46237</v>
      </c>
      <c r="C723" s="11" t="n">
        <v>46258</v>
      </c>
      <c r="D723" s="10" t="n">
        <v>1626</v>
      </c>
      <c r="E723" s="12" t="s">
        <v>67</v>
      </c>
      <c r="F723" s="10" t="n">
        <v>24</v>
      </c>
      <c r="G723" s="12" t="s">
        <v>40</v>
      </c>
      <c r="H723" s="10" t="n">
        <v>1110203</v>
      </c>
      <c r="I723" s="12" t="s">
        <v>50</v>
      </c>
      <c r="J723" s="10" t="n">
        <v>1495138</v>
      </c>
      <c r="L723" s="10" t="n">
        <v>202740</v>
      </c>
      <c r="M723" s="12" t="s">
        <v>33</v>
      </c>
      <c r="N723" s="12" t="s">
        <v>51</v>
      </c>
      <c r="P723" s="10" t="n">
        <v>113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416.64</v>
      </c>
      <c r="W723" s="13" t="n">
        <v>0</v>
      </c>
      <c r="X723" s="12" t="s">
        <v>735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46205</v>
      </c>
      <c r="C724" s="11" t="n">
        <v>46259</v>
      </c>
      <c r="D724" s="10" t="n">
        <v>1217</v>
      </c>
      <c r="E724" s="12" t="s">
        <v>314</v>
      </c>
      <c r="F724" s="10" t="n">
        <v>24</v>
      </c>
      <c r="G724" s="12" t="s">
        <v>40</v>
      </c>
      <c r="H724" s="10" t="n">
        <v>2110101</v>
      </c>
      <c r="I724" s="12" t="s">
        <v>32</v>
      </c>
      <c r="J724" s="10" t="n">
        <v>1339965</v>
      </c>
      <c r="L724" s="10" t="n">
        <v>4467</v>
      </c>
      <c r="M724" s="12" t="s">
        <v>147</v>
      </c>
      <c r="N724" s="12" t="s">
        <v>34</v>
      </c>
      <c r="P724" s="10" t="n">
        <v>113</v>
      </c>
      <c r="Q724" s="12" t="s">
        <v>35</v>
      </c>
      <c r="R724" s="12" t="s">
        <v>36</v>
      </c>
      <c r="S724" s="10" t="n">
        <v>1130101</v>
      </c>
      <c r="T724" s="12" t="s">
        <v>37</v>
      </c>
      <c r="U724" s="13" t="n">
        <v>818.55</v>
      </c>
      <c r="W724" s="13" t="n">
        <v>0</v>
      </c>
      <c r="X724" s="12" t="s">
        <v>315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46013</v>
      </c>
      <c r="C725" s="11" t="n">
        <v>46259</v>
      </c>
      <c r="D725" s="10" t="n">
        <v>17</v>
      </c>
      <c r="E725" s="12" t="s">
        <v>287</v>
      </c>
      <c r="F725" s="10" t="n">
        <v>48</v>
      </c>
      <c r="G725" s="12" t="s">
        <v>583</v>
      </c>
      <c r="H725" s="10" t="n">
        <v>2110405</v>
      </c>
      <c r="I725" s="12" t="s">
        <v>87</v>
      </c>
      <c r="J725" s="10" t="n">
        <v>660421</v>
      </c>
      <c r="L725" s="10" t="n">
        <v>86128</v>
      </c>
      <c r="M725" s="12" t="s">
        <v>197</v>
      </c>
      <c r="N725" s="12" t="s">
        <v>51</v>
      </c>
      <c r="P725" s="10" t="n">
        <v>101</v>
      </c>
      <c r="Q725" s="12" t="s">
        <v>69</v>
      </c>
      <c r="R725" s="12" t="s">
        <v>271</v>
      </c>
      <c r="S725" s="10" t="n">
        <v>4220199</v>
      </c>
      <c r="T725" s="12" t="s">
        <v>272</v>
      </c>
      <c r="U725" s="13" t="n">
        <v>362.14</v>
      </c>
      <c r="W725" s="13" t="n">
        <v>0</v>
      </c>
      <c r="X725" s="12" t="s">
        <v>586</v>
      </c>
      <c r="Z725" s="1" t="str">
        <f aca="false">IF($T725="","",IFERROR(INDEX('Resumo Grupos'!$AC$3:$AC$200,MATCH($T725,'Resumo Grupos'!$AB$3:$AB$200,0)),"n/d"))</f>
        <v>Pagamentos outros não operacionais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46029</v>
      </c>
      <c r="C726" s="11" t="n">
        <v>46259</v>
      </c>
      <c r="D726" s="10" t="n">
        <v>17</v>
      </c>
      <c r="E726" s="12" t="s">
        <v>287</v>
      </c>
      <c r="F726" s="10" t="n">
        <v>48</v>
      </c>
      <c r="G726" s="12" t="s">
        <v>583</v>
      </c>
      <c r="H726" s="10" t="n">
        <v>2110405</v>
      </c>
      <c r="I726" s="12" t="s">
        <v>87</v>
      </c>
      <c r="J726" s="10" t="n">
        <v>660305</v>
      </c>
      <c r="L726" s="10" t="n">
        <v>86116</v>
      </c>
      <c r="M726" s="12" t="s">
        <v>197</v>
      </c>
      <c r="N726" s="12" t="s">
        <v>51</v>
      </c>
      <c r="P726" s="10" t="n">
        <v>101</v>
      </c>
      <c r="Q726" s="12" t="s">
        <v>69</v>
      </c>
      <c r="R726" s="12" t="s">
        <v>271</v>
      </c>
      <c r="S726" s="10" t="n">
        <v>4220199</v>
      </c>
      <c r="T726" s="12" t="s">
        <v>272</v>
      </c>
      <c r="U726" s="13" t="n">
        <v>84.03</v>
      </c>
      <c r="W726" s="13" t="n">
        <v>0</v>
      </c>
      <c r="X726" s="12" t="s">
        <v>585</v>
      </c>
      <c r="Z726" s="1" t="str">
        <f aca="false">IF($T726="","",IFERROR(INDEX('Resumo Grupos'!$AC$3:$AC$200,MATCH($T726,'Resumo Grupos'!$AB$3:$AB$200,0)),"n/d"))</f>
        <v>Pagamentos outros não operacionais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46023</v>
      </c>
      <c r="C727" s="16" t="n">
        <v>46260</v>
      </c>
      <c r="D727" s="1" t="n">
        <v>515</v>
      </c>
      <c r="E727" s="1" t="s">
        <v>68</v>
      </c>
      <c r="F727" s="1" t="n">
        <v>34</v>
      </c>
      <c r="G727" s="1" t="s">
        <v>31</v>
      </c>
      <c r="H727" s="1" t="n">
        <v>2110405</v>
      </c>
      <c r="I727" s="1" t="s">
        <v>87</v>
      </c>
      <c r="J727" s="1" t="n">
        <v>1012266</v>
      </c>
      <c r="L727" s="1" t="n">
        <v>133812</v>
      </c>
      <c r="M727" s="1" t="s">
        <v>197</v>
      </c>
      <c r="N727" s="1" t="s">
        <v>51</v>
      </c>
      <c r="P727" s="1" t="n">
        <v>101</v>
      </c>
      <c r="Q727" s="1" t="s">
        <v>69</v>
      </c>
      <c r="R727" s="1" t="s">
        <v>378</v>
      </c>
      <c r="S727" s="1" t="n">
        <v>2110901</v>
      </c>
      <c r="T727" s="1" t="s">
        <v>379</v>
      </c>
      <c r="U727" s="17" t="n">
        <v>4168.41</v>
      </c>
      <c r="W727" s="1" t="n">
        <v>0</v>
      </c>
      <c r="X727" s="1" t="s">
        <v>776</v>
      </c>
      <c r="Z727" s="1" t="str">
        <f aca="false">IF($T727="","",IFERROR(INDEX('Resumo Grupos'!$AC$3:$AC$200,MATCH($T727,'Resumo Grupos'!$AB$3:$AB$200,0)),"n/d"))</f>
        <v>Empréstimo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46223</v>
      </c>
      <c r="C728" s="16" t="n">
        <v>46264</v>
      </c>
      <c r="D728" s="1" t="n">
        <v>607</v>
      </c>
      <c r="E728" s="1" t="s">
        <v>415</v>
      </c>
      <c r="F728" s="1" t="n">
        <v>24</v>
      </c>
      <c r="G728" s="1" t="s">
        <v>40</v>
      </c>
      <c r="H728" s="1" t="n">
        <v>1110203</v>
      </c>
      <c r="I728" s="1" t="s">
        <v>50</v>
      </c>
      <c r="J728" s="1" t="n">
        <v>1424650</v>
      </c>
      <c r="K728" s="19"/>
      <c r="L728" s="1" t="n">
        <v>190911</v>
      </c>
      <c r="M728" s="1" t="s">
        <v>33</v>
      </c>
      <c r="N728" s="1" t="s">
        <v>51</v>
      </c>
      <c r="P728" s="1" t="n">
        <v>113</v>
      </c>
      <c r="Q728" s="1" t="s">
        <v>35</v>
      </c>
      <c r="R728" s="1" t="s">
        <v>36</v>
      </c>
      <c r="S728" s="1" t="n">
        <v>1130101</v>
      </c>
      <c r="T728" s="1" t="s">
        <v>37</v>
      </c>
      <c r="U728" s="17" t="n">
        <v>446.28</v>
      </c>
      <c r="V728" s="20"/>
      <c r="W728" s="1" t="n">
        <v>0</v>
      </c>
      <c r="X728" s="1" t="s">
        <v>737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" t="n">
        <v>2</v>
      </c>
      <c r="B729" s="15" t="n">
        <v>46196</v>
      </c>
      <c r="C729" s="16" t="n">
        <v>46266</v>
      </c>
      <c r="D729" s="1" t="n">
        <v>875</v>
      </c>
      <c r="E729" s="1" t="s">
        <v>151</v>
      </c>
      <c r="F729" s="1" t="n">
        <v>47</v>
      </c>
      <c r="G729" s="1" t="s">
        <v>145</v>
      </c>
      <c r="H729" s="1" t="n">
        <v>2110101</v>
      </c>
      <c r="I729" s="1" t="s">
        <v>32</v>
      </c>
      <c r="J729" s="1" t="n">
        <v>1295066</v>
      </c>
      <c r="L729" s="1" t="n">
        <v>173322</v>
      </c>
      <c r="M729" s="1" t="s">
        <v>41</v>
      </c>
      <c r="N729" s="1" t="s">
        <v>51</v>
      </c>
      <c r="P729" s="1" t="n">
        <v>113</v>
      </c>
      <c r="Q729" s="1" t="s">
        <v>35</v>
      </c>
      <c r="R729" s="1" t="s">
        <v>36</v>
      </c>
      <c r="S729" s="1" t="n">
        <v>1130101</v>
      </c>
      <c r="T729" s="1" t="s">
        <v>37</v>
      </c>
      <c r="U729" s="17" t="n">
        <v>1290.16</v>
      </c>
      <c r="W729" s="1" t="n">
        <v>0</v>
      </c>
      <c r="X729" s="1" t="s">
        <v>777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" t="n">
        <v>2</v>
      </c>
      <c r="B730" s="15" t="n">
        <v>46226</v>
      </c>
      <c r="C730" s="16" t="n">
        <v>46266</v>
      </c>
      <c r="D730" s="1" t="n">
        <v>957</v>
      </c>
      <c r="E730" s="1" t="s">
        <v>58</v>
      </c>
      <c r="F730" s="1" t="n">
        <v>24</v>
      </c>
      <c r="G730" s="1" t="s">
        <v>40</v>
      </c>
      <c r="H730" s="1" t="n">
        <v>1110203</v>
      </c>
      <c r="I730" s="1" t="s">
        <v>50</v>
      </c>
      <c r="J730" s="1" t="n">
        <v>1438932</v>
      </c>
      <c r="L730" s="1" t="n">
        <v>194431</v>
      </c>
      <c r="M730" s="1" t="s">
        <v>33</v>
      </c>
      <c r="N730" s="1" t="s">
        <v>51</v>
      </c>
      <c r="P730" s="1" t="n">
        <v>113</v>
      </c>
      <c r="Q730" s="1" t="s">
        <v>35</v>
      </c>
      <c r="R730" s="1" t="s">
        <v>36</v>
      </c>
      <c r="S730" s="1" t="n">
        <v>1130101</v>
      </c>
      <c r="T730" s="1" t="s">
        <v>37</v>
      </c>
      <c r="U730" s="17" t="n">
        <v>1501.38</v>
      </c>
      <c r="W730" s="1" t="n">
        <v>0</v>
      </c>
      <c r="X730" s="1" t="s">
        <v>753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" t="n">
        <v>2</v>
      </c>
      <c r="B731" s="15" t="n">
        <v>46055</v>
      </c>
      <c r="C731" s="16" t="n">
        <v>46266</v>
      </c>
      <c r="D731" s="1" t="n">
        <v>10039</v>
      </c>
      <c r="E731" s="1" t="s">
        <v>181</v>
      </c>
      <c r="F731" s="1" t="n">
        <v>47</v>
      </c>
      <c r="G731" s="1" t="s">
        <v>145</v>
      </c>
      <c r="H731" s="1" t="n">
        <v>2110405</v>
      </c>
      <c r="I731" s="1" t="s">
        <v>87</v>
      </c>
      <c r="J731" s="1" t="n">
        <v>846832</v>
      </c>
      <c r="L731" s="1" t="n">
        <v>111506</v>
      </c>
      <c r="M731" s="1" t="s">
        <v>584</v>
      </c>
      <c r="N731" s="1" t="s">
        <v>51</v>
      </c>
      <c r="P731" s="1" t="n">
        <v>113</v>
      </c>
      <c r="Q731" s="1" t="s">
        <v>35</v>
      </c>
      <c r="R731" s="1" t="s">
        <v>88</v>
      </c>
      <c r="S731" s="1" t="n">
        <v>4210227</v>
      </c>
      <c r="T731" s="1" t="s">
        <v>119</v>
      </c>
      <c r="U731" s="17" t="n">
        <v>378.82</v>
      </c>
      <c r="W731" s="1" t="n">
        <v>0</v>
      </c>
      <c r="X731" s="1" t="s">
        <v>778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" t="n">
        <v>2</v>
      </c>
      <c r="B732" s="15" t="n">
        <v>46226</v>
      </c>
      <c r="C732" s="16" t="n">
        <v>46266</v>
      </c>
      <c r="D732" s="1" t="n">
        <v>10011</v>
      </c>
      <c r="E732" s="1" t="s">
        <v>302</v>
      </c>
      <c r="F732" s="1" t="n">
        <v>24</v>
      </c>
      <c r="G732" s="1" t="s">
        <v>40</v>
      </c>
      <c r="H732" s="1" t="n">
        <v>1110203</v>
      </c>
      <c r="I732" s="1" t="s">
        <v>50</v>
      </c>
      <c r="J732" s="1" t="n">
        <v>1438962</v>
      </c>
      <c r="L732" s="1" t="n">
        <v>194443</v>
      </c>
      <c r="M732" s="1" t="s">
        <v>33</v>
      </c>
      <c r="N732" s="1" t="s">
        <v>51</v>
      </c>
      <c r="P732" s="1" t="n">
        <v>113</v>
      </c>
      <c r="Q732" s="1" t="s">
        <v>35</v>
      </c>
      <c r="R732" s="1" t="s">
        <v>36</v>
      </c>
      <c r="S732" s="1" t="n">
        <v>1130101</v>
      </c>
      <c r="T732" s="1" t="s">
        <v>37</v>
      </c>
      <c r="U732" s="17" t="n">
        <v>591.07</v>
      </c>
      <c r="W732" s="1" t="n">
        <v>0</v>
      </c>
      <c r="X732" s="1" t="s">
        <v>755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" t="n">
        <v>2</v>
      </c>
      <c r="B733" s="15" t="n">
        <v>45992</v>
      </c>
      <c r="C733" s="16" t="n">
        <v>46266</v>
      </c>
      <c r="D733" s="1" t="n">
        <v>983</v>
      </c>
      <c r="E733" s="1" t="s">
        <v>196</v>
      </c>
      <c r="F733" s="1" t="n">
        <v>47</v>
      </c>
      <c r="G733" s="1" t="s">
        <v>145</v>
      </c>
      <c r="H733" s="1" t="n">
        <v>2110101</v>
      </c>
      <c r="I733" s="1" t="s">
        <v>32</v>
      </c>
      <c r="J733" s="1" t="n">
        <v>361903</v>
      </c>
      <c r="L733" s="1" t="n">
        <v>47174</v>
      </c>
      <c r="M733" s="1" t="s">
        <v>779</v>
      </c>
      <c r="N733" s="1" t="s">
        <v>51</v>
      </c>
      <c r="P733" s="1" t="n">
        <v>113</v>
      </c>
      <c r="Q733" s="1" t="s">
        <v>35</v>
      </c>
      <c r="R733" s="1" t="s">
        <v>198</v>
      </c>
      <c r="S733" s="1" t="n">
        <v>1240103</v>
      </c>
      <c r="T733" s="1" t="s">
        <v>199</v>
      </c>
      <c r="U733" s="17" t="n">
        <v>1898</v>
      </c>
      <c r="W733" s="1" t="n">
        <v>0</v>
      </c>
      <c r="X733" s="1" t="s">
        <v>780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" t="n">
        <v>2</v>
      </c>
      <c r="B734" s="15" t="n">
        <v>46238</v>
      </c>
      <c r="C734" s="16" t="n">
        <v>46269</v>
      </c>
      <c r="D734" s="1" t="n">
        <v>862</v>
      </c>
      <c r="E734" s="1" t="s">
        <v>682</v>
      </c>
      <c r="F734" s="1" t="n">
        <v>24</v>
      </c>
      <c r="G734" s="1" t="s">
        <v>40</v>
      </c>
      <c r="H734" s="1" t="n">
        <v>1110203</v>
      </c>
      <c r="I734" s="1" t="s">
        <v>50</v>
      </c>
      <c r="J734" s="1" t="n">
        <v>1498421</v>
      </c>
      <c r="L734" s="1" t="n">
        <v>202608</v>
      </c>
      <c r="M734" s="1" t="s">
        <v>108</v>
      </c>
      <c r="N734" s="1" t="s">
        <v>51</v>
      </c>
      <c r="P734" s="1" t="n">
        <v>101</v>
      </c>
      <c r="Q734" s="1" t="s">
        <v>69</v>
      </c>
      <c r="R734" s="1" t="s">
        <v>88</v>
      </c>
      <c r="S734" s="1" t="n">
        <v>4210233</v>
      </c>
      <c r="T734" s="1" t="s">
        <v>304</v>
      </c>
      <c r="U734" s="17" t="n">
        <v>270.9</v>
      </c>
      <c r="W734" s="1" t="n">
        <v>0</v>
      </c>
      <c r="Z734" s="1" t="str">
        <f aca="false">IF($T734="","",IFERROR(INDEX('Resumo Grupos'!$AC$3:$AC$200,MATCH($T734,'Resumo Grupos'!$AB$3:$AB$200,0)),"n/d"))</f>
        <v>Despesa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" t="n">
        <v>2</v>
      </c>
      <c r="B735" s="15" t="n">
        <v>46209</v>
      </c>
      <c r="C735" s="16" t="n">
        <v>46269</v>
      </c>
      <c r="D735" s="1" t="n">
        <v>1768</v>
      </c>
      <c r="E735" s="1" t="s">
        <v>318</v>
      </c>
      <c r="F735" s="1" t="n">
        <v>34</v>
      </c>
      <c r="G735" s="1" t="s">
        <v>31</v>
      </c>
      <c r="H735" s="1" t="n">
        <v>1110202</v>
      </c>
      <c r="I735" s="1" t="s">
        <v>179</v>
      </c>
      <c r="J735" s="1" t="n">
        <v>628286</v>
      </c>
      <c r="L735" s="1" t="n">
        <v>81552</v>
      </c>
      <c r="M735" s="1" t="s">
        <v>584</v>
      </c>
      <c r="N735" s="1" t="s">
        <v>51</v>
      </c>
      <c r="P735" s="1" t="n">
        <v>102</v>
      </c>
      <c r="Q735" s="1" t="s">
        <v>101</v>
      </c>
      <c r="R735" s="1" t="s">
        <v>88</v>
      </c>
      <c r="S735" s="1" t="n">
        <v>4210202</v>
      </c>
      <c r="T735" s="1" t="s">
        <v>319</v>
      </c>
      <c r="U735" s="17" t="n">
        <v>2431.5</v>
      </c>
      <c r="W735" s="1" t="n">
        <v>0</v>
      </c>
      <c r="X735" s="1" t="s">
        <v>320</v>
      </c>
      <c r="Z735" s="1" t="str">
        <f aca="false">IF($T735="","",IFERROR(INDEX('Resumo Grupos'!$AC$3:$AC$200,MATCH($T735,'Resumo Grupos'!$AB$3:$AB$200,0)),"n/d"))</f>
        <v>Despesa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" t="n">
        <v>2</v>
      </c>
      <c r="B736" s="15" t="n">
        <v>46232</v>
      </c>
      <c r="C736" s="16" t="n">
        <v>46272</v>
      </c>
      <c r="D736" s="1" t="n">
        <v>1932</v>
      </c>
      <c r="E736" s="1" t="s">
        <v>345</v>
      </c>
      <c r="F736" s="1" t="n">
        <v>34</v>
      </c>
      <c r="G736" s="1" t="s">
        <v>31</v>
      </c>
      <c r="H736" s="1" t="n">
        <v>1110203</v>
      </c>
      <c r="I736" s="1" t="s">
        <v>50</v>
      </c>
      <c r="J736" s="1" t="n">
        <v>1469462</v>
      </c>
      <c r="L736" s="1" t="n">
        <v>199057</v>
      </c>
      <c r="M736" s="1" t="s">
        <v>108</v>
      </c>
      <c r="N736" s="1" t="s">
        <v>51</v>
      </c>
      <c r="P736" s="1" t="n">
        <v>101</v>
      </c>
      <c r="Q736" s="1" t="s">
        <v>69</v>
      </c>
      <c r="R736" s="1" t="s">
        <v>102</v>
      </c>
      <c r="S736" s="1" t="n">
        <v>4210315</v>
      </c>
      <c r="T736" s="1" t="s">
        <v>346</v>
      </c>
      <c r="U736" s="17" t="n">
        <v>119.97</v>
      </c>
      <c r="W736" s="1" t="n">
        <v>0</v>
      </c>
      <c r="X736" s="1" t="s">
        <v>719</v>
      </c>
      <c r="Z736" s="1" t="str">
        <f aca="false">IF($T736="","",IFERROR(INDEX('Resumo Grupos'!$AC$3:$AC$200,MATCH($T736,'Resumo Grupos'!$AB$3:$AB$200,0)),"n/d"))</f>
        <v>Despesa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" t="n">
        <v>2</v>
      </c>
      <c r="B737" s="15" t="n">
        <v>46224</v>
      </c>
      <c r="C737" s="16" t="n">
        <v>46275</v>
      </c>
      <c r="D737" s="1" t="n">
        <v>1100</v>
      </c>
      <c r="E737" s="1" t="s">
        <v>387</v>
      </c>
      <c r="F737" s="1" t="n">
        <v>46</v>
      </c>
      <c r="G737" s="1" t="s">
        <v>388</v>
      </c>
      <c r="H737" s="1" t="n">
        <v>1110203</v>
      </c>
      <c r="I737" s="1" t="s">
        <v>50</v>
      </c>
      <c r="J737" s="1" t="n">
        <v>1427624</v>
      </c>
      <c r="L737" s="1" t="n">
        <v>190916</v>
      </c>
      <c r="M737" s="1" t="s">
        <v>108</v>
      </c>
      <c r="N737" s="1" t="s">
        <v>51</v>
      </c>
      <c r="P737" s="1" t="n">
        <v>113</v>
      </c>
      <c r="Q737" s="1" t="s">
        <v>35</v>
      </c>
      <c r="R737" s="1" t="s">
        <v>88</v>
      </c>
      <c r="S737" s="1" t="n">
        <v>4210227</v>
      </c>
      <c r="T737" s="1" t="s">
        <v>119</v>
      </c>
      <c r="U737" s="17" t="n">
        <v>400</v>
      </c>
      <c r="W737" s="1" t="n">
        <v>0</v>
      </c>
      <c r="X737" s="1" t="s">
        <v>781</v>
      </c>
      <c r="Z737" s="1" t="str">
        <f aca="false">IF($T737="","",IFERROR(INDEX('Resumo Grupos'!$AC$3:$AC$200,MATCH($T737,'Resumo Grupos'!$AB$3:$AB$200,0)),"n/d"))</f>
        <v>Despesa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" t="n">
        <v>2</v>
      </c>
      <c r="B738" s="15" t="n">
        <v>46191</v>
      </c>
      <c r="C738" s="16" t="n">
        <v>46275</v>
      </c>
      <c r="D738" s="1" t="n">
        <v>957</v>
      </c>
      <c r="E738" s="1" t="s">
        <v>58</v>
      </c>
      <c r="F738" s="1" t="n">
        <v>24</v>
      </c>
      <c r="G738" s="1" t="s">
        <v>40</v>
      </c>
      <c r="H738" s="1" t="n">
        <v>2110101</v>
      </c>
      <c r="I738" s="1" t="s">
        <v>32</v>
      </c>
      <c r="J738" s="1" t="n">
        <v>1268715</v>
      </c>
      <c r="L738" s="1" t="n">
        <v>20440</v>
      </c>
      <c r="M738" s="1" t="s">
        <v>33</v>
      </c>
      <c r="N738" s="1" t="s">
        <v>34</v>
      </c>
      <c r="P738" s="1" t="n">
        <v>113</v>
      </c>
      <c r="Q738" s="1" t="s">
        <v>35</v>
      </c>
      <c r="R738" s="1" t="s">
        <v>36</v>
      </c>
      <c r="S738" s="1" t="n">
        <v>1130101</v>
      </c>
      <c r="T738" s="1" t="s">
        <v>37</v>
      </c>
      <c r="U738" s="17" t="n">
        <v>128.85</v>
      </c>
      <c r="W738" s="1" t="n">
        <v>0</v>
      </c>
      <c r="X738" s="1" t="s">
        <v>782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" t="n">
        <v>2</v>
      </c>
      <c r="B739" s="15" t="n">
        <v>46230</v>
      </c>
      <c r="C739" s="16" t="n">
        <v>46275</v>
      </c>
      <c r="D739" s="1" t="n">
        <v>513</v>
      </c>
      <c r="E739" s="1" t="s">
        <v>407</v>
      </c>
      <c r="F739" s="1" t="n">
        <v>24</v>
      </c>
      <c r="G739" s="1" t="s">
        <v>40</v>
      </c>
      <c r="H739" s="1" t="n">
        <v>1110203</v>
      </c>
      <c r="I739" s="1" t="s">
        <v>50</v>
      </c>
      <c r="J739" s="1" t="n">
        <v>1459285</v>
      </c>
      <c r="L739" s="1" t="n">
        <v>197498</v>
      </c>
      <c r="M739" s="1" t="s">
        <v>108</v>
      </c>
      <c r="N739" s="1" t="s">
        <v>51</v>
      </c>
      <c r="P739" s="1" t="n">
        <v>101</v>
      </c>
      <c r="Q739" s="1" t="s">
        <v>69</v>
      </c>
      <c r="R739" s="1" t="s">
        <v>102</v>
      </c>
      <c r="S739" s="1" t="n">
        <v>4210315</v>
      </c>
      <c r="T739" s="1" t="s">
        <v>346</v>
      </c>
      <c r="U739" s="17" t="n">
        <v>160</v>
      </c>
      <c r="W739" s="1" t="n">
        <v>0</v>
      </c>
      <c r="X739" s="1" t="s">
        <v>347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" t="n">
        <v>2</v>
      </c>
      <c r="B740" s="15" t="n">
        <v>46211</v>
      </c>
      <c r="C740" s="16" t="n">
        <v>46275</v>
      </c>
      <c r="D740" s="1" t="n">
        <v>33</v>
      </c>
      <c r="E740" s="1" t="s">
        <v>289</v>
      </c>
      <c r="F740" s="1" t="n">
        <v>34</v>
      </c>
      <c r="G740" s="1" t="s">
        <v>31</v>
      </c>
      <c r="H740" s="1" t="n">
        <v>1110203</v>
      </c>
      <c r="I740" s="1" t="s">
        <v>50</v>
      </c>
      <c r="J740" s="1" t="n">
        <v>1370733</v>
      </c>
      <c r="L740" s="1" t="n">
        <v>184338</v>
      </c>
      <c r="M740" s="1" t="s">
        <v>108</v>
      </c>
      <c r="N740" s="1" t="s">
        <v>51</v>
      </c>
      <c r="P740" s="1" t="n">
        <v>101</v>
      </c>
      <c r="Q740" s="1" t="s">
        <v>69</v>
      </c>
      <c r="R740" s="1" t="s">
        <v>88</v>
      </c>
      <c r="S740" s="1" t="n">
        <v>4210222</v>
      </c>
      <c r="T740" s="1" t="s">
        <v>738</v>
      </c>
      <c r="U740" s="17" t="n">
        <v>666.67</v>
      </c>
      <c r="W740" s="1" t="n">
        <v>0</v>
      </c>
      <c r="X740" s="1" t="s">
        <v>739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" t="n">
        <v>2</v>
      </c>
      <c r="B741" s="15" t="n">
        <v>46097</v>
      </c>
      <c r="C741" s="16" t="n">
        <v>46280</v>
      </c>
      <c r="D741" s="1" t="n">
        <v>1867</v>
      </c>
      <c r="E741" s="1" t="s">
        <v>448</v>
      </c>
      <c r="F741" s="1" t="n">
        <v>24</v>
      </c>
      <c r="G741" s="1" t="s">
        <v>40</v>
      </c>
      <c r="H741" s="1" t="n">
        <v>2110405</v>
      </c>
      <c r="I741" s="1" t="s">
        <v>87</v>
      </c>
      <c r="J741" s="1" t="n">
        <v>808550</v>
      </c>
      <c r="L741" s="1" t="n">
        <v>2026</v>
      </c>
      <c r="M741" s="1" t="s">
        <v>584</v>
      </c>
      <c r="N741" s="1" t="s">
        <v>51</v>
      </c>
      <c r="P741" s="1" t="n">
        <v>101</v>
      </c>
      <c r="Q741" s="1" t="s">
        <v>69</v>
      </c>
      <c r="R741" s="1" t="s">
        <v>449</v>
      </c>
      <c r="S741" s="1" t="n">
        <v>4210401</v>
      </c>
      <c r="T741" s="1" t="s">
        <v>450</v>
      </c>
      <c r="U741" s="17" t="n">
        <v>228.88</v>
      </c>
      <c r="W741" s="1" t="n">
        <v>0</v>
      </c>
      <c r="X741" s="1" t="s">
        <v>783</v>
      </c>
      <c r="Z741" s="1" t="str">
        <f aca="false">IF($T741="","",IFERROR(INDEX('Resumo Grupos'!$AC$3:$AC$200,MATCH($T741,'Resumo Grupos'!$AB$3:$AB$200,0)),"n/d"))</f>
        <v>Impostos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" t="n">
        <v>2</v>
      </c>
      <c r="B742" s="15" t="n">
        <v>46127</v>
      </c>
      <c r="C742" s="16" t="n">
        <v>46280</v>
      </c>
      <c r="D742" s="1" t="n">
        <v>512</v>
      </c>
      <c r="E742" s="1" t="s">
        <v>453</v>
      </c>
      <c r="F742" s="1" t="n">
        <v>34</v>
      </c>
      <c r="G742" s="1" t="s">
        <v>31</v>
      </c>
      <c r="H742" s="1" t="n">
        <v>2110405</v>
      </c>
      <c r="I742" s="1" t="s">
        <v>87</v>
      </c>
      <c r="J742" s="1" t="n">
        <v>954215</v>
      </c>
      <c r="L742" s="1" t="n">
        <v>126220</v>
      </c>
      <c r="M742" s="1" t="s">
        <v>147</v>
      </c>
      <c r="N742" s="1" t="s">
        <v>51</v>
      </c>
      <c r="P742" s="1" t="n">
        <v>101</v>
      </c>
      <c r="Q742" s="1" t="s">
        <v>69</v>
      </c>
      <c r="R742" s="1" t="s">
        <v>454</v>
      </c>
      <c r="S742" s="1" t="n">
        <v>4210111</v>
      </c>
      <c r="T742" s="1" t="s">
        <v>455</v>
      </c>
      <c r="U742" s="17" t="n">
        <v>5700</v>
      </c>
      <c r="W742" s="1" t="n">
        <v>0</v>
      </c>
      <c r="X742" s="1" t="s">
        <v>456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" t="n">
        <v>2</v>
      </c>
      <c r="B743" s="15" t="n">
        <v>46226</v>
      </c>
      <c r="C743" s="16" t="n">
        <v>46281</v>
      </c>
      <c r="D743" s="1" t="n">
        <v>957</v>
      </c>
      <c r="E743" s="1" t="s">
        <v>58</v>
      </c>
      <c r="F743" s="1" t="n">
        <v>24</v>
      </c>
      <c r="G743" s="1" t="s">
        <v>40</v>
      </c>
      <c r="H743" s="1" t="n">
        <v>1110203</v>
      </c>
      <c r="I743" s="1" t="s">
        <v>50</v>
      </c>
      <c r="J743" s="1" t="n">
        <v>1438939</v>
      </c>
      <c r="L743" s="1" t="n">
        <v>194433</v>
      </c>
      <c r="M743" s="1" t="s">
        <v>33</v>
      </c>
      <c r="N743" s="1" t="s">
        <v>51</v>
      </c>
      <c r="P743" s="1" t="n">
        <v>113</v>
      </c>
      <c r="Q743" s="1" t="s">
        <v>35</v>
      </c>
      <c r="R743" s="1" t="s">
        <v>36</v>
      </c>
      <c r="S743" s="1" t="n">
        <v>1130101</v>
      </c>
      <c r="T743" s="1" t="s">
        <v>37</v>
      </c>
      <c r="U743" s="17" t="n">
        <v>1501.38</v>
      </c>
      <c r="W743" s="1" t="n">
        <v>0</v>
      </c>
      <c r="X743" s="1" t="s">
        <v>753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" t="n">
        <v>2</v>
      </c>
      <c r="B744" s="15" t="n">
        <v>46206</v>
      </c>
      <c r="C744" s="16" t="n">
        <v>46283</v>
      </c>
      <c r="D744" s="1" t="n">
        <v>33</v>
      </c>
      <c r="E744" s="1" t="s">
        <v>289</v>
      </c>
      <c r="F744" s="1" t="n">
        <v>34</v>
      </c>
      <c r="G744" s="1" t="s">
        <v>31</v>
      </c>
      <c r="H744" s="1" t="n">
        <v>1110203</v>
      </c>
      <c r="I744" s="1" t="s">
        <v>50</v>
      </c>
      <c r="J744" s="1" t="n">
        <v>1345312</v>
      </c>
      <c r="L744" s="1" t="n">
        <v>180690</v>
      </c>
      <c r="M744" s="1" t="s">
        <v>41</v>
      </c>
      <c r="N744" s="1" t="s">
        <v>51</v>
      </c>
      <c r="P744" s="1" t="n">
        <v>101</v>
      </c>
      <c r="Q744" s="1" t="s">
        <v>69</v>
      </c>
      <c r="R744" s="1" t="s">
        <v>88</v>
      </c>
      <c r="S744" s="1" t="n">
        <v>4210203</v>
      </c>
      <c r="T744" s="1" t="s">
        <v>290</v>
      </c>
      <c r="U744" s="17" t="n">
        <v>247.27</v>
      </c>
      <c r="W744" s="1" t="n">
        <v>0</v>
      </c>
      <c r="X744" s="1" t="s">
        <v>484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" t="n">
        <v>2</v>
      </c>
      <c r="B745" s="15" t="n">
        <v>46223</v>
      </c>
      <c r="C745" s="16" t="n">
        <v>46285</v>
      </c>
      <c r="D745" s="1" t="n">
        <v>33</v>
      </c>
      <c r="E745" s="1" t="s">
        <v>289</v>
      </c>
      <c r="F745" s="1" t="n">
        <v>34</v>
      </c>
      <c r="G745" s="1" t="s">
        <v>31</v>
      </c>
      <c r="H745" s="1" t="n">
        <v>1110203</v>
      </c>
      <c r="I745" s="1" t="s">
        <v>50</v>
      </c>
      <c r="J745" s="1" t="n">
        <v>1424244</v>
      </c>
      <c r="L745" s="1" t="n">
        <v>190900</v>
      </c>
      <c r="M745" s="1" t="s">
        <v>41</v>
      </c>
      <c r="N745" s="1" t="s">
        <v>51</v>
      </c>
      <c r="P745" s="1" t="n">
        <v>101</v>
      </c>
      <c r="Q745" s="1" t="s">
        <v>69</v>
      </c>
      <c r="R745" s="1" t="s">
        <v>454</v>
      </c>
      <c r="S745" s="1" t="n">
        <v>4210107</v>
      </c>
      <c r="T745" s="1" t="s">
        <v>509</v>
      </c>
      <c r="U745" s="17" t="n">
        <v>138.3</v>
      </c>
      <c r="W745" s="1" t="n">
        <v>0</v>
      </c>
      <c r="X745" s="1" t="s">
        <v>775</v>
      </c>
      <c r="Z745" s="1" t="str">
        <f aca="false">IF($T745="","",IFERROR(INDEX('Resumo Grupos'!$AC$3:$AC$200,MATCH($T745,'Resumo Grupos'!$AB$3:$AB$200,0)),"n/d"))</f>
        <v>Despesa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" t="n">
        <v>2</v>
      </c>
      <c r="B746" s="15" t="n">
        <v>46029</v>
      </c>
      <c r="C746" s="16" t="n">
        <v>46290</v>
      </c>
      <c r="D746" s="1" t="n">
        <v>17</v>
      </c>
      <c r="E746" s="1" t="s">
        <v>287</v>
      </c>
      <c r="F746" s="1" t="n">
        <v>48</v>
      </c>
      <c r="G746" s="1" t="s">
        <v>583</v>
      </c>
      <c r="H746" s="1" t="n">
        <v>2110405</v>
      </c>
      <c r="I746" s="1" t="s">
        <v>87</v>
      </c>
      <c r="J746" s="1" t="n">
        <v>660305</v>
      </c>
      <c r="L746" s="1" t="n">
        <v>86116</v>
      </c>
      <c r="M746" s="1" t="s">
        <v>664</v>
      </c>
      <c r="N746" s="1" t="s">
        <v>51</v>
      </c>
      <c r="P746" s="1" t="n">
        <v>101</v>
      </c>
      <c r="Q746" s="1" t="s">
        <v>69</v>
      </c>
      <c r="R746" s="1" t="s">
        <v>271</v>
      </c>
      <c r="S746" s="1" t="n">
        <v>4220199</v>
      </c>
      <c r="T746" s="1" t="s">
        <v>272</v>
      </c>
      <c r="U746" s="17" t="n">
        <v>84.03</v>
      </c>
      <c r="W746" s="1" t="n">
        <v>0</v>
      </c>
      <c r="X746" s="1" t="s">
        <v>585</v>
      </c>
      <c r="Z746" s="1" t="str">
        <f aca="false">IF($T746="","",IFERROR(INDEX('Resumo Grupos'!$AC$3:$AC$200,MATCH($T746,'Resumo Grupos'!$AB$3:$AB$200,0)),"n/d"))</f>
        <v>Pagamentos outros não operacionais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" t="n">
        <v>2</v>
      </c>
      <c r="B747" s="15" t="n">
        <v>46013</v>
      </c>
      <c r="C747" s="16" t="n">
        <v>46290</v>
      </c>
      <c r="D747" s="1" t="n">
        <v>17</v>
      </c>
      <c r="E747" s="1" t="s">
        <v>287</v>
      </c>
      <c r="F747" s="1" t="n">
        <v>48</v>
      </c>
      <c r="G747" s="1" t="s">
        <v>583</v>
      </c>
      <c r="H747" s="1" t="n">
        <v>2110405</v>
      </c>
      <c r="I747" s="1" t="s">
        <v>87</v>
      </c>
      <c r="J747" s="1" t="n">
        <v>660421</v>
      </c>
      <c r="L747" s="1" t="n">
        <v>86128</v>
      </c>
      <c r="M747" s="1" t="s">
        <v>664</v>
      </c>
      <c r="N747" s="1" t="s">
        <v>51</v>
      </c>
      <c r="P747" s="1" t="n">
        <v>101</v>
      </c>
      <c r="Q747" s="1" t="s">
        <v>69</v>
      </c>
      <c r="R747" s="1" t="s">
        <v>271</v>
      </c>
      <c r="S747" s="1" t="n">
        <v>4220199</v>
      </c>
      <c r="T747" s="1" t="s">
        <v>272</v>
      </c>
      <c r="U747" s="17" t="n">
        <v>362.14</v>
      </c>
      <c r="W747" s="1" t="n">
        <v>0</v>
      </c>
      <c r="X747" s="1" t="s">
        <v>586</v>
      </c>
      <c r="Z747" s="1" t="str">
        <f aca="false">IF($T747="","",IFERROR(INDEX('Resumo Grupos'!$AC$3:$AC$200,MATCH($T747,'Resumo Grupos'!$AB$3:$AB$200,0)),"n/d"))</f>
        <v>Pagamentos outros não operacionais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" t="n">
        <v>2</v>
      </c>
      <c r="B748" s="15" t="n">
        <v>46023</v>
      </c>
      <c r="C748" s="16" t="n">
        <v>46293</v>
      </c>
      <c r="D748" s="1" t="n">
        <v>515</v>
      </c>
      <c r="E748" s="1" t="s">
        <v>68</v>
      </c>
      <c r="F748" s="1" t="n">
        <v>34</v>
      </c>
      <c r="G748" s="1" t="s">
        <v>31</v>
      </c>
      <c r="H748" s="1" t="n">
        <v>2110405</v>
      </c>
      <c r="I748" s="1" t="s">
        <v>87</v>
      </c>
      <c r="J748" s="1" t="n">
        <v>1012266</v>
      </c>
      <c r="L748" s="1" t="n">
        <v>133812</v>
      </c>
      <c r="M748" s="1" t="s">
        <v>664</v>
      </c>
      <c r="N748" s="1" t="s">
        <v>51</v>
      </c>
      <c r="P748" s="1" t="n">
        <v>101</v>
      </c>
      <c r="Q748" s="1" t="s">
        <v>69</v>
      </c>
      <c r="R748" s="1" t="s">
        <v>378</v>
      </c>
      <c r="S748" s="1" t="n">
        <v>2110901</v>
      </c>
      <c r="T748" s="1" t="s">
        <v>379</v>
      </c>
      <c r="U748" s="17" t="n">
        <v>4168.41</v>
      </c>
      <c r="W748" s="1" t="n">
        <v>0</v>
      </c>
      <c r="X748" s="1" t="s">
        <v>784</v>
      </c>
      <c r="Z748" s="1" t="str">
        <f aca="false">IF($T748="","",IFERROR(INDEX('Resumo Grupos'!$AC$3:$AC$200,MATCH($T748,'Resumo Grupos'!$AB$3:$AB$200,0)),"n/d"))</f>
        <v>Empréstimo</v>
      </c>
      <c r="AA748" s="1" t="str">
        <f aca="false">IF($T748="","",IF(COUNTIF('Resumo Grupos'!$AE$3:$AE$40,$T748)&gt;0,"NAO","SIM"))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ADRIANO FEITOSA OLIVEIRA LTDA</v>
      </c>
      <c r="C2" s="17" t="n">
        <f aca="false">Report!U10</f>
        <v>260</v>
      </c>
      <c r="D2" s="1" t="str">
        <f aca="false">Report!X10</f>
        <v>NF 313 ELLEN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BRAGA TABACARIA EIRELI ME</v>
      </c>
      <c r="C3" s="17" t="n">
        <f aca="false">Report!U11</f>
        <v>837.48</v>
      </c>
      <c r="D3" s="1" t="str">
        <f aca="false">Report!X11</f>
        <v>NF 18534 ELLEN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BRASIL NORTE BEBIDAS S/A</v>
      </c>
      <c r="C4" s="17" t="n">
        <f aca="false">Report!U12</f>
        <v>16.61</v>
      </c>
      <c r="D4" s="1" t="str">
        <f aca="false">Report!X12</f>
        <v>NF 1877756 ELLEN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BRASIL NORTE BEBIDAS S/A</v>
      </c>
      <c r="C5" s="17" t="n">
        <f aca="false">Report!U13</f>
        <v>192.43</v>
      </c>
      <c r="D5" s="1" t="str">
        <f aca="false">Report!X13</f>
        <v>NF 1159468 ELLEN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BRASIL NORTE BEBIDAS S/A</v>
      </c>
      <c r="C6" s="17" t="n">
        <f aca="false">Report!U14</f>
        <v>544.32</v>
      </c>
      <c r="D6" s="1" t="str">
        <f aca="false">Report!X14</f>
        <v>NF 1159469 ELLEN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1081.08</v>
      </c>
      <c r="D7" s="1" t="str">
        <f aca="false">Report!X15</f>
        <v>NF 1877757 ELLEN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H L M PADARIA E CONFEITARIA LTDA</v>
      </c>
      <c r="C8" s="17" t="n">
        <f aca="false">Report!U16</f>
        <v>120</v>
      </c>
      <c r="D8" s="1" t="str">
        <f aca="false">Report!X16</f>
        <v>NF 15 COMPRAS-BOLO PG NO P 27/6 ELLEN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MARE DISTRIBUIDORA DE BEBIDAS E DE PRODUTOS ALIMENTICIOS LTDA</v>
      </c>
      <c r="C9" s="17" t="n">
        <f aca="false">Report!U17</f>
        <v>1837.1</v>
      </c>
      <c r="D9" s="1" t="str">
        <f aca="false">Report!X17</f>
        <v>NF 1366479 ELLEN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SILVA E SANTOS FRIGORIFICO LTDA</v>
      </c>
      <c r="C10" s="17" t="n">
        <f aca="false">Report!U18</f>
        <v>920</v>
      </c>
      <c r="D10" s="1" t="str">
        <f aca="false">Report!X18</f>
        <v>NF 31246 ELLEN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SILVA E SANTOS FRIGORIFICO LTDA</v>
      </c>
      <c r="C11" s="17" t="n">
        <f aca="false">Report!U19</f>
        <v>1538.7</v>
      </c>
      <c r="D11" s="1" t="str">
        <f aca="false">Report!X19</f>
        <v>NF 31247 ELLEN</v>
      </c>
    </row>
    <row r="12" customFormat="false" ht="12.75" hidden="false" customHeight="true" outlineLevel="0" collapsed="false">
      <c r="A12" s="16" t="n">
        <f aca="false">Report!C20</f>
        <v>46201</v>
      </c>
      <c r="B12" s="1" t="str">
        <f aca="false">Report!E20</f>
        <v>FUNNY PET DISTRIBUIDORA DE ALIMENTOS PAR</v>
      </c>
      <c r="C12" s="17" t="n">
        <f aca="false">Report!U20</f>
        <v>1589.28</v>
      </c>
      <c r="D12" s="1" t="str">
        <f aca="false">Report!X20</f>
        <v>NF 20499 ELLEN</v>
      </c>
    </row>
    <row r="13" customFormat="false" ht="12.75" hidden="false" customHeight="true" outlineLevel="0" collapsed="false">
      <c r="A13" s="16" t="n">
        <f aca="false">Report!C21</f>
        <v>46202</v>
      </c>
      <c r="B13" s="1" t="str">
        <f aca="false">Report!E21</f>
        <v>ADRIANA DISTRIBUIDORA DE PRODUTOS ALIMEN</v>
      </c>
      <c r="C13" s="17" t="n">
        <f aca="false">Report!U21</f>
        <v>791.32</v>
      </c>
      <c r="D13" s="1" t="str">
        <f aca="false">Report!X21</f>
        <v>NF 878392 ELLEN</v>
      </c>
    </row>
    <row r="14" customFormat="false" ht="12.75" hidden="false" customHeight="true" outlineLevel="0" collapsed="false">
      <c r="A14" s="16" t="n">
        <f aca="false">Report!C22</f>
        <v>46202</v>
      </c>
      <c r="B14" s="1" t="str">
        <f aca="false">Report!E22</f>
        <v>CRBS S/A</v>
      </c>
      <c r="C14" s="17" t="n">
        <f aca="false">Report!U22</f>
        <v>1062.39</v>
      </c>
      <c r="D14" s="1" t="str">
        <f aca="false">Report!X22</f>
        <v>NF 869753 ELLEN</v>
      </c>
    </row>
    <row r="15" customFormat="false" ht="12.75" hidden="false" customHeight="true" outlineLevel="0" collapsed="false">
      <c r="A15" s="16" t="n">
        <f aca="false">Report!C23</f>
        <v>46202</v>
      </c>
      <c r="B15" s="1" t="str">
        <f aca="false">Report!E23</f>
        <v>CRBS S/A</v>
      </c>
      <c r="C15" s="17" t="n">
        <f aca="false">Report!U23</f>
        <v>1.55</v>
      </c>
      <c r="D15" s="1" t="str">
        <f aca="false">Report!X23</f>
        <v>NF 869753 REF TARIFA AMBEV - ELLEN</v>
      </c>
    </row>
    <row r="16" customFormat="false" ht="12.75" hidden="false" customHeight="true" outlineLevel="0" collapsed="false">
      <c r="A16" s="16" t="n">
        <f aca="false">Report!C24</f>
        <v>46202</v>
      </c>
      <c r="B16" s="1" t="str">
        <f aca="false">Report!E24</f>
        <v>DUNORTE DISTRIBUIDORA DE PRODUTOS DE CONSUMO LTDA</v>
      </c>
      <c r="C16" s="17" t="n">
        <f aca="false">Report!U24</f>
        <v>641.14</v>
      </c>
      <c r="D16" s="1" t="str">
        <f aca="false">Report!X24</f>
        <v>NF 3202460 ELLEN</v>
      </c>
    </row>
    <row r="17" customFormat="false" ht="12.75" hidden="false" customHeight="true" outlineLevel="0" collapsed="false">
      <c r="A17" s="16" t="n">
        <f aca="false">Report!C25</f>
        <v>46202</v>
      </c>
      <c r="B17" s="1" t="str">
        <f aca="false">Report!E25</f>
        <v>FENNIX BRASIL DISTRIBUIDORA DE PRODUTOS</v>
      </c>
      <c r="C17" s="17" t="n">
        <f aca="false">Report!U25</f>
        <v>675.34</v>
      </c>
      <c r="D17" s="1" t="n">
        <f aca="false">Report!X25</f>
        <v>0</v>
      </c>
    </row>
    <row r="18" customFormat="false" ht="12.75" hidden="false" customHeight="true" outlineLevel="0" collapsed="false">
      <c r="A18" s="16" t="n">
        <f aca="false">Report!C27</f>
        <v>46202</v>
      </c>
      <c r="B18" s="1" t="str">
        <f aca="false">Report!E27</f>
        <v>J W N DOS SANTOS</v>
      </c>
      <c r="C18" s="17" t="n">
        <f aca="false">Report!U27</f>
        <v>212</v>
      </c>
      <c r="D18" s="1" t="str">
        <f aca="false">Report!X27</f>
        <v>NF 305 ELLEN</v>
      </c>
    </row>
    <row r="19" customFormat="false" ht="12.75" hidden="false" customHeight="true" outlineLevel="0" collapsed="false">
      <c r="A19" s="16" t="n">
        <f aca="false">Report!C28</f>
        <v>46202</v>
      </c>
      <c r="B19" s="1" t="str">
        <f aca="false">Report!E28</f>
        <v>L S M COMERCIO DE ALIMENTOS E NAVEGACAO</v>
      </c>
      <c r="C19" s="17" t="n">
        <f aca="false">Report!U28</f>
        <v>1909.5</v>
      </c>
      <c r="D19" s="1" t="str">
        <f aca="false">Report!X28</f>
        <v>NF 303660 ELLEN</v>
      </c>
    </row>
    <row r="20" customFormat="false" ht="12.75" hidden="false" customHeight="true" outlineLevel="0" collapsed="false">
      <c r="A20" s="16" t="n">
        <f aca="false">Report!C29</f>
        <v>46202</v>
      </c>
      <c r="B20" s="1" t="str">
        <f aca="false">Report!E29</f>
        <v>NESTLÉ BRASIL LTDA.</v>
      </c>
      <c r="C20" s="17" t="n">
        <f aca="false">Report!U29</f>
        <v>1537.8</v>
      </c>
      <c r="D20" s="1" t="str">
        <f aca="false">Report!X29</f>
        <v>NF 1416973 ELLEN</v>
      </c>
    </row>
    <row r="21" customFormat="false" ht="12.75" hidden="false" customHeight="true" outlineLevel="0" collapsed="false">
      <c r="A21" s="16" t="n">
        <f aca="false">Report!C30</f>
        <v>46202</v>
      </c>
      <c r="B21" s="1" t="str">
        <f aca="false">Report!E30</f>
        <v>NEYLIANE S DE OLIVEIRA &amp; CIA LTDA</v>
      </c>
      <c r="C21" s="17" t="n">
        <f aca="false">Report!U30</f>
        <v>210</v>
      </c>
      <c r="D21" s="1" t="str">
        <f aca="false">Report!X30</f>
        <v>COMPRAS - 15L DE AÇAI - PG NO P 29/6/26 ELLEN</v>
      </c>
    </row>
    <row r="22" customFormat="false" ht="12.75" hidden="false" customHeight="true" outlineLevel="0" collapsed="false">
      <c r="A22" s="16" t="n">
        <f aca="false">Report!C31</f>
        <v>46202</v>
      </c>
      <c r="B22" s="1" t="str">
        <f aca="false">Report!E31</f>
        <v>NOVA FRIOS COMERCIO ATACADISTA DE LATICINIOS LTDA</v>
      </c>
      <c r="C22" s="17" t="n">
        <f aca="false">Report!U31</f>
        <v>162.56</v>
      </c>
      <c r="D22" s="1" t="str">
        <f aca="false">Report!X31</f>
        <v>NF 3858 ELLEN</v>
      </c>
    </row>
    <row r="23" customFormat="false" ht="12.75" hidden="false" customHeight="true" outlineLevel="0" collapsed="false">
      <c r="A23" s="16" t="n">
        <f aca="false">Report!C32</f>
        <v>46202</v>
      </c>
      <c r="B23" s="1" t="str">
        <f aca="false">Report!E32</f>
        <v>NSB COMERCIO ATACADISTA E VAREJISTA DE P</v>
      </c>
      <c r="C23" s="17" t="n">
        <f aca="false">Report!U32</f>
        <v>383.24</v>
      </c>
      <c r="D23" s="1" t="str">
        <f aca="false">Report!X32</f>
        <v>NF 7725 ELLEN</v>
      </c>
    </row>
    <row r="24" customFormat="false" ht="12.75" hidden="false" customHeight="true" outlineLevel="0" collapsed="false">
      <c r="A24" s="16" t="n">
        <f aca="false">Report!C33</f>
        <v>46202</v>
      </c>
      <c r="B24" s="1" t="str">
        <f aca="false">Report!E33</f>
        <v>PANIFICADORA E CONFEITARIA REAL MADRI LTDA</v>
      </c>
      <c r="C24" s="17" t="n">
        <f aca="false">Report!U33</f>
        <v>307.2</v>
      </c>
      <c r="D24" s="1" t="str">
        <f aca="false">Report!X33</f>
        <v>NF 679 ELLEN</v>
      </c>
    </row>
    <row r="25" customFormat="false" ht="12.75" hidden="false" customHeight="true" outlineLevel="0" collapsed="false">
      <c r="A25" s="16" t="n">
        <f aca="false">Report!C35</f>
        <v>46202</v>
      </c>
      <c r="B25" s="1" t="str">
        <f aca="false">Report!E35</f>
        <v>SAO JOSE COMERCIO DE LATICINIOS E FRIOS</v>
      </c>
      <c r="C25" s="17" t="n">
        <f aca="false">Report!U35</f>
        <v>454.65</v>
      </c>
      <c r="D25" s="1" t="str">
        <f aca="false">Report!X35</f>
        <v>NF 3457 ELLEN</v>
      </c>
    </row>
    <row r="26" customFormat="false" ht="12.75" hidden="false" customHeight="true" outlineLevel="0" collapsed="false">
      <c r="A26" s="16" t="n">
        <f aca="false">Report!C36</f>
        <v>46202</v>
      </c>
      <c r="B26" s="1" t="str">
        <f aca="false">Report!E36</f>
        <v>SOUZA CRUZ LTDA.</v>
      </c>
      <c r="C26" s="17" t="n">
        <f aca="false">Report!U36</f>
        <v>5403.15</v>
      </c>
      <c r="D26" s="1" t="str">
        <f aca="false">Report!X36</f>
        <v>NF 562635 ELLEN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T. M. L. DA SILVA LTDA</v>
      </c>
      <c r="C27" s="17" t="n">
        <f aca="false">Report!U37</f>
        <v>298.83</v>
      </c>
      <c r="D27" s="1" t="str">
        <f aca="false">Report!X37</f>
        <v>NF 15043 ELLEN</v>
      </c>
    </row>
    <row r="28" customFormat="false" ht="12.75" hidden="false" customHeight="true" outlineLevel="0" collapsed="false">
      <c r="A28" s="16" t="n">
        <f aca="false">Report!C38</f>
        <v>46203</v>
      </c>
      <c r="B28" s="1" t="str">
        <f aca="false">Report!E38</f>
        <v>ADICSO FABIAN GONZALEZ MONTILLA 70302186</v>
      </c>
      <c r="C28" s="17" t="n">
        <f aca="false">Report!U38</f>
        <v>180</v>
      </c>
      <c r="D28" s="1" t="str">
        <f aca="false">Report!X38</f>
        <v>NF 513 ELLEN</v>
      </c>
    </row>
    <row r="29" customFormat="false" ht="12.75" hidden="false" customHeight="true" outlineLevel="0" collapsed="false">
      <c r="A29" s="16" t="n">
        <f aca="false">Report!C39</f>
        <v>46203</v>
      </c>
      <c r="B29" s="1" t="str">
        <f aca="false">Report!E39</f>
        <v>ADRIANO FEITOSA OLIVEIRA LTDA</v>
      </c>
      <c r="C29" s="17" t="n">
        <f aca="false">Report!U39</f>
        <v>899.95</v>
      </c>
      <c r="D29" s="1" t="str">
        <f aca="false">Report!X39</f>
        <v>NF 316 ELLEN</v>
      </c>
    </row>
    <row r="30" customFormat="false" ht="12.75" hidden="false" customHeight="true" outlineLevel="0" collapsed="false">
      <c r="A30" s="16" t="n">
        <f aca="false">Report!C42</f>
        <v>46203</v>
      </c>
      <c r="B30" s="1" t="str">
        <f aca="false">Report!E42</f>
        <v>BF COMERCIO DE ALIMENTOS REPRESENTACAO L</v>
      </c>
      <c r="C30" s="17" t="n">
        <f aca="false">Report!U42</f>
        <v>303.19</v>
      </c>
      <c r="D30" s="1" t="str">
        <f aca="false">Report!X42</f>
        <v>NF 20868 ELLEN</v>
      </c>
    </row>
    <row r="31" customFormat="false" ht="12.75" hidden="false" customHeight="true" outlineLevel="0" collapsed="false">
      <c r="A31" s="16" t="n">
        <f aca="false">Report!C43</f>
        <v>46203</v>
      </c>
      <c r="B31" s="1" t="str">
        <f aca="false">Report!E43</f>
        <v>BONNA VITTA INDUSTRIA E COMERCIO LTDA.</v>
      </c>
      <c r="C31" s="17" t="n">
        <f aca="false">Report!U43</f>
        <v>642.4</v>
      </c>
      <c r="D31" s="1" t="str">
        <f aca="false">Report!X43</f>
        <v>NF 518105 ELLEN</v>
      </c>
    </row>
    <row r="32" customFormat="false" ht="12.75" hidden="false" customHeight="true" outlineLevel="0" collapsed="false">
      <c r="A32" s="16" t="n">
        <f aca="false">Report!C44</f>
        <v>46203</v>
      </c>
      <c r="B32" s="1" t="str">
        <f aca="false">Report!E44</f>
        <v>BRASIL NORTE BEBIDAS S/A</v>
      </c>
      <c r="C32" s="17" t="n">
        <f aca="false">Report!U44</f>
        <v>203.42</v>
      </c>
      <c r="D32" s="1" t="str">
        <f aca="false">Report!X44</f>
        <v>NF 1161723 ELLEN</v>
      </c>
    </row>
    <row r="33" customFormat="false" ht="12.75" hidden="false" customHeight="true" outlineLevel="0" collapsed="false">
      <c r="A33" s="16" t="n">
        <f aca="false">Report!C45</f>
        <v>46203</v>
      </c>
      <c r="B33" s="1" t="str">
        <f aca="false">Report!E45</f>
        <v>BRASIL NORTE BEBIDAS S/A</v>
      </c>
      <c r="C33" s="17" t="n">
        <f aca="false">Report!U45</f>
        <v>639.86</v>
      </c>
      <c r="D33" s="1" t="str">
        <f aca="false">Report!X45</f>
        <v>NF 1162362 ELLEN</v>
      </c>
    </row>
    <row r="34" customFormat="false" ht="12.75" hidden="false" customHeight="true" outlineLevel="0" collapsed="false">
      <c r="A34" s="16" t="n">
        <f aca="false">Report!C46</f>
        <v>46203</v>
      </c>
      <c r="B34" s="1" t="str">
        <f aca="false">Report!E46</f>
        <v>BRASIL NORTE BEBIDAS S/A</v>
      </c>
      <c r="C34" s="17" t="n">
        <f aca="false">Report!U46</f>
        <v>2177.76</v>
      </c>
      <c r="D34" s="1" t="str">
        <f aca="false">Report!X46</f>
        <v>NF 1880950 ELLEN</v>
      </c>
    </row>
    <row r="35" customFormat="false" ht="12.75" hidden="false" customHeight="true" outlineLevel="0" collapsed="false">
      <c r="A35" s="16" t="n">
        <f aca="false">Report!C47</f>
        <v>46203</v>
      </c>
      <c r="B35" s="1" t="str">
        <f aca="false">Report!E47</f>
        <v>BRASIL NORTE BEBIDAS S/A</v>
      </c>
      <c r="C35" s="17" t="n">
        <f aca="false">Report!U47</f>
        <v>1014.01</v>
      </c>
      <c r="D35" s="1" t="str">
        <f aca="false">Report!X47</f>
        <v>NF 1161721 ELLEN</v>
      </c>
    </row>
    <row r="36" customFormat="false" ht="12.75" hidden="false" customHeight="true" outlineLevel="0" collapsed="false">
      <c r="A36" s="16" t="n">
        <f aca="false">Report!C48</f>
        <v>46203</v>
      </c>
      <c r="B36" s="1" t="str">
        <f aca="false">Report!E48</f>
        <v>COMPRAS NA PORTA AVULSO</v>
      </c>
      <c r="C36" s="17" t="n">
        <f aca="false">Report!U48</f>
        <v>961</v>
      </c>
      <c r="D36" s="1" t="str">
        <f aca="false">Report!X48</f>
        <v>COMPRAS NA PORTA S/N 06/26 -KEILA</v>
      </c>
    </row>
    <row r="37" customFormat="false" ht="12.75" hidden="false" customHeight="true" outlineLevel="0" collapsed="false">
      <c r="A37" s="16" t="n">
        <f aca="false">Report!C50</f>
        <v>46203</v>
      </c>
      <c r="B37" s="1" t="str">
        <f aca="false">Report!E50</f>
        <v>E. D. SENA &amp; CIA LTDA</v>
      </c>
      <c r="C37" s="17" t="n">
        <f aca="false">Report!U50</f>
        <v>531.18</v>
      </c>
      <c r="D37" s="1" t="str">
        <f aca="false">Report!X50</f>
        <v>NF 9495 ELLEN</v>
      </c>
    </row>
    <row r="38" customFormat="false" ht="12.75" hidden="false" customHeight="true" outlineLevel="0" collapsed="false">
      <c r="A38" s="16" t="n">
        <f aca="false">Report!C51</f>
        <v>46203</v>
      </c>
      <c r="B38" s="1" t="str">
        <f aca="false">Report!E51</f>
        <v>EDSON AGUIAR DE SOUZA</v>
      </c>
      <c r="C38" s="17" t="n">
        <f aca="false">Report!U51</f>
        <v>190.5</v>
      </c>
      <c r="D38" s="1" t="str">
        <f aca="false">Report!X51</f>
        <v>COMPRAS - CHEIRO-VERDE - ELLEN</v>
      </c>
    </row>
    <row r="39" customFormat="false" ht="12.75" hidden="false" customHeight="true" outlineLevel="0" collapsed="false">
      <c r="A39" s="16" t="n">
        <f aca="false">Report!C52</f>
        <v>46203</v>
      </c>
      <c r="B39" s="1" t="str">
        <f aca="false">Report!E52</f>
        <v>EDSON AGUIAR DE SOUZA</v>
      </c>
      <c r="C39" s="17" t="n">
        <f aca="false">Report!U52</f>
        <v>183</v>
      </c>
      <c r="D39" s="1" t="str">
        <f aca="false">Report!X52</f>
        <v>COMPRAS - CHEIRO-VERDE - ELLEN</v>
      </c>
    </row>
    <row r="40" customFormat="false" ht="12.75" hidden="false" customHeight="true" outlineLevel="0" collapsed="false">
      <c r="A40" s="16" t="n">
        <f aca="false">Report!C53</f>
        <v>46203</v>
      </c>
      <c r="B40" s="1" t="str">
        <f aca="false">Report!E53</f>
        <v>EDSON AGUIAR DE SOUZA</v>
      </c>
      <c r="C40" s="17" t="n">
        <f aca="false">Report!U53</f>
        <v>105</v>
      </c>
      <c r="D40" s="1" t="str">
        <f aca="false">Report!X53</f>
        <v>COMPRAS - CHEIRO-VERDE - ELLEN</v>
      </c>
    </row>
    <row r="41" customFormat="false" ht="12.75" hidden="false" customHeight="true" outlineLevel="0" collapsed="false">
      <c r="A41" s="16" t="n">
        <f aca="false">Report!C54</f>
        <v>46203</v>
      </c>
      <c r="B41" s="1" t="str">
        <f aca="false">Report!E54</f>
        <v>EDSON AGUIAR DE SOUZA</v>
      </c>
      <c r="C41" s="17" t="n">
        <f aca="false">Report!U54</f>
        <v>97</v>
      </c>
      <c r="D41" s="1" t="str">
        <f aca="false">Report!X54</f>
        <v>COMPRAS - CHEIRO-VERDE - ELLEN</v>
      </c>
    </row>
    <row r="42" customFormat="false" ht="12.75" hidden="false" customHeight="true" outlineLevel="0" collapsed="false">
      <c r="A42" s="16" t="n">
        <f aca="false">Report!C55</f>
        <v>46203</v>
      </c>
      <c r="B42" s="1" t="str">
        <f aca="false">Report!E55</f>
        <v>EDSON AGUIAR DE SOUZA</v>
      </c>
      <c r="C42" s="17" t="n">
        <f aca="false">Report!U55</f>
        <v>141</v>
      </c>
      <c r="D42" s="1" t="str">
        <f aca="false">Report!X55</f>
        <v>COMPRAS - CHEIRO-VERDE - ELLEN</v>
      </c>
    </row>
    <row r="43" customFormat="false" ht="12.75" hidden="false" customHeight="true" outlineLevel="0" collapsed="false">
      <c r="A43" s="16" t="n">
        <f aca="false">Report!C56</f>
        <v>46203</v>
      </c>
      <c r="B43" s="1" t="str">
        <f aca="false">Report!E56</f>
        <v>EDSON AGUIAR DE SOUZA</v>
      </c>
      <c r="C43" s="17" t="n">
        <f aca="false">Report!U56</f>
        <v>54</v>
      </c>
      <c r="D43" s="1" t="str">
        <f aca="false">Report!X56</f>
        <v>COMPRAS - CHEIRO-VERDE - ELLEN</v>
      </c>
    </row>
    <row r="44" customFormat="false" ht="12.75" hidden="false" customHeight="true" outlineLevel="0" collapsed="false">
      <c r="A44" s="16" t="n">
        <f aca="false">Report!C57</f>
        <v>46203</v>
      </c>
      <c r="B44" s="1" t="str">
        <f aca="false">Report!E57</f>
        <v>EDSON AGUIAR DE SOUZA</v>
      </c>
      <c r="C44" s="17" t="n">
        <f aca="false">Report!U57</f>
        <v>115.5</v>
      </c>
      <c r="D44" s="1" t="str">
        <f aca="false">Report!X57</f>
        <v>COMPRAS - CHEIRO-VERDE - ELLEN</v>
      </c>
    </row>
    <row r="45" customFormat="false" ht="12.75" hidden="false" customHeight="true" outlineLevel="0" collapsed="false">
      <c r="A45" s="16" t="n">
        <f aca="false">Report!C58</f>
        <v>46203</v>
      </c>
      <c r="B45" s="1" t="str">
        <f aca="false">Report!E58</f>
        <v>EDSON AGUIAR DE SOUZA</v>
      </c>
      <c r="C45" s="17" t="n">
        <f aca="false">Report!U58</f>
        <v>130</v>
      </c>
      <c r="D45" s="1" t="str">
        <f aca="false">Report!X58</f>
        <v>COMPRAS - CHEIRO-VERDE - ELLEN</v>
      </c>
    </row>
    <row r="46" customFormat="false" ht="12.75" hidden="false" customHeight="true" outlineLevel="0" collapsed="false">
      <c r="A46" s="16" t="n">
        <f aca="false">Report!C59</f>
        <v>46203</v>
      </c>
      <c r="B46" s="1" t="str">
        <f aca="false">Report!E59</f>
        <v>FEIRA</v>
      </c>
      <c r="C46" s="17" t="n">
        <f aca="false">Report!U59</f>
        <v>390</v>
      </c>
      <c r="D46" s="1" t="str">
        <f aca="false">Report!X59</f>
        <v>FEIRA SR RENATO-PG P LJ1-ALHO/MACA-SOMAR C NF2517-ELLEN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H L M PADARIA E CONFEITARIA LTDA</v>
      </c>
      <c r="C47" s="17" t="n">
        <f aca="false">Report!U62</f>
        <v>140</v>
      </c>
      <c r="D47" s="1" t="str">
        <f aca="false">Report!X62</f>
        <v>NF 16 COMPRAS-BOLO PG NO P 30/6 ELLEN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I. P. DIAS LTDA</v>
      </c>
      <c r="C48" s="17" t="n">
        <f aca="false">Report!U63</f>
        <v>338.79</v>
      </c>
      <c r="D48" s="1" t="str">
        <f aca="false">Report!X63</f>
        <v>NF 847 ELLEN</v>
      </c>
    </row>
    <row r="49" customFormat="false" ht="12.75" hidden="false" customHeight="true" outlineLevel="0" collapsed="false">
      <c r="A49" s="16" t="n">
        <f aca="false">Report!C64</f>
        <v>46203</v>
      </c>
      <c r="B49" s="1" t="str">
        <f aca="false">Report!E64</f>
        <v>INNOVAR DISTRIBUIDORA DE COSMETICOS E MEDICAMENTOS LTDA</v>
      </c>
      <c r="C49" s="17" t="n">
        <f aca="false">Report!U64</f>
        <v>360.24</v>
      </c>
      <c r="D49" s="1" t="str">
        <f aca="false">Report!X64</f>
        <v>NF 102727 ELLEN</v>
      </c>
    </row>
    <row r="50" customFormat="false" ht="12.75" hidden="false" customHeight="true" outlineLevel="0" collapsed="false">
      <c r="A50" s="16" t="n">
        <f aca="false">Report!C65</f>
        <v>46203</v>
      </c>
      <c r="B50" s="1" t="str">
        <f aca="false">Report!E65</f>
        <v>NATUREZA COMERCIO DE DESCARTAVEIS LTDA</v>
      </c>
      <c r="C50" s="17" t="n">
        <f aca="false">Report!U65</f>
        <v>212.4</v>
      </c>
      <c r="D50" s="1" t="str">
        <f aca="false">Report!X65</f>
        <v>NF 27994 ELLEN</v>
      </c>
    </row>
    <row r="51" customFormat="false" ht="12.75" hidden="false" customHeight="true" outlineLevel="0" collapsed="false">
      <c r="A51" s="16" t="n">
        <f aca="false">Report!C66</f>
        <v>46203</v>
      </c>
      <c r="B51" s="1" t="str">
        <f aca="false">Report!E66</f>
        <v>NATUREZA COMERCIO DE DESCARTAVEIS LTDA</v>
      </c>
      <c r="C51" s="17" t="n">
        <f aca="false">Report!U66</f>
        <v>326.83</v>
      </c>
      <c r="D51" s="1" t="str">
        <f aca="false">Report!X66</f>
        <v>NF 729265 ELLEN</v>
      </c>
    </row>
    <row r="52" customFormat="false" ht="12.75" hidden="false" customHeight="true" outlineLevel="0" collapsed="false">
      <c r="A52" s="16" t="n">
        <f aca="false">Report!C67</f>
        <v>46203</v>
      </c>
      <c r="B52" s="1" t="str">
        <f aca="false">Report!E67</f>
        <v>NEYLIANE S DE OLIVEIRA &amp; CIA LTDA</v>
      </c>
      <c r="C52" s="17" t="n">
        <f aca="false">Report!U67</f>
        <v>1748.86</v>
      </c>
      <c r="D52" s="1" t="str">
        <f aca="false">Report!X67</f>
        <v>FEIRA SR RENATO- PG P LJ1 - ELLEN</v>
      </c>
    </row>
    <row r="53" customFormat="false" ht="12.75" hidden="false" customHeight="true" outlineLevel="0" collapsed="false">
      <c r="A53" s="16" t="n">
        <f aca="false">Report!C68</f>
        <v>46203</v>
      </c>
      <c r="B53" s="1" t="str">
        <f aca="false">Report!E68</f>
        <v>ORIENTE COM. ATACADISTA E REPRES. LTDA</v>
      </c>
      <c r="C53" s="17" t="n">
        <f aca="false">Report!U68</f>
        <v>1834</v>
      </c>
      <c r="D53" s="1" t="str">
        <f aca="false">Report!X68</f>
        <v>NF 1773 ELLEN</v>
      </c>
    </row>
    <row r="54" customFormat="false" ht="12.75" hidden="false" customHeight="true" outlineLevel="0" collapsed="false">
      <c r="A54" s="16" t="n">
        <f aca="false">Report!C70</f>
        <v>46204</v>
      </c>
      <c r="B54" s="1" t="str">
        <f aca="false">Report!E70</f>
        <v>A. CORREA JUNIOR</v>
      </c>
      <c r="C54" s="17" t="n">
        <f aca="false">Report!U70</f>
        <v>1290.17</v>
      </c>
      <c r="D54" s="1" t="str">
        <f aca="false">Report!X70</f>
        <v>NF 1829 CARTÃO DIA 1 PARC 1/3 - ELLEN</v>
      </c>
    </row>
    <row r="55" customFormat="false" ht="12.75" hidden="false" customHeight="true" outlineLevel="0" collapsed="false">
      <c r="A55" s="16" t="n">
        <f aca="false">Report!C71</f>
        <v>46204</v>
      </c>
      <c r="B55" s="1" t="str">
        <f aca="false">Report!E71</f>
        <v>ADRIANA DISTRIBUIDORA DE PRODUTOS ALIMEN</v>
      </c>
      <c r="C55" s="17" t="n">
        <f aca="false">Report!U71</f>
        <v>589.08</v>
      </c>
      <c r="D55" s="1" t="str">
        <f aca="false">Report!X71</f>
        <v>NF 878758 ELLEN</v>
      </c>
    </row>
    <row r="56" customFormat="false" ht="12.75" hidden="false" customHeight="true" outlineLevel="0" collapsed="false">
      <c r="A56" s="16" t="n">
        <f aca="false">Report!C74</f>
        <v>46204</v>
      </c>
      <c r="B56" s="1" t="str">
        <f aca="false">Report!E74</f>
        <v>BRF S A</v>
      </c>
      <c r="C56" s="17" t="n">
        <f aca="false">Report!U74</f>
        <v>1104.14</v>
      </c>
      <c r="D56" s="1" t="str">
        <f aca="false">Report!X74</f>
        <v>NF 1595886 ELLEN</v>
      </c>
    </row>
    <row r="57" customFormat="false" ht="12.75" hidden="false" customHeight="true" outlineLevel="0" collapsed="false">
      <c r="A57" s="16" t="n">
        <f aca="false">Report!C75</f>
        <v>46204</v>
      </c>
      <c r="B57" s="1" t="str">
        <f aca="false">Report!E75</f>
        <v>BRF S A</v>
      </c>
      <c r="C57" s="17" t="n">
        <f aca="false">Report!U75</f>
        <v>671.16</v>
      </c>
      <c r="D57" s="1" t="str">
        <f aca="false">Report!X75</f>
        <v>NF 1598763 ELLEN</v>
      </c>
    </row>
    <row r="58" customFormat="false" ht="12.75" hidden="false" customHeight="true" outlineLevel="0" collapsed="false">
      <c r="A58" s="16" t="n">
        <f aca="false">Report!C78</f>
        <v>46204</v>
      </c>
      <c r="B58" s="1" t="str">
        <f aca="false">Report!E78</f>
        <v>FALCAO INDUSTRIA DE ALIMENTOS LTDA</v>
      </c>
      <c r="C58" s="17" t="n">
        <f aca="false">Report!U78</f>
        <v>922.07</v>
      </c>
      <c r="D58" s="1" t="str">
        <f aca="false">Report!X78</f>
        <v>NF 34450 ELLEN</v>
      </c>
    </row>
    <row r="59" customFormat="false" ht="12.75" hidden="false" customHeight="true" outlineLevel="0" collapsed="false">
      <c r="A59" s="16" t="n">
        <f aca="false">Report!C79</f>
        <v>46204</v>
      </c>
      <c r="B59" s="1" t="str">
        <f aca="false">Report!E79</f>
        <v>FALCAO INDUSTRIA DE ALIMENTOS LTDA</v>
      </c>
      <c r="C59" s="17" t="n">
        <f aca="false">Report!U79</f>
        <v>550.99</v>
      </c>
      <c r="D59" s="1" t="str">
        <f aca="false">Report!X79</f>
        <v>NF 30199 ELLEN</v>
      </c>
    </row>
    <row r="60" customFormat="false" ht="12.75" hidden="false" customHeight="true" outlineLevel="0" collapsed="false">
      <c r="A60" s="16" t="n">
        <f aca="false">Report!C80</f>
        <v>46204</v>
      </c>
      <c r="B60" s="1" t="str">
        <f aca="false">Report!E80</f>
        <v>FALCAO INDUSTRIA DE ALIMENTOS LTDA</v>
      </c>
      <c r="C60" s="17" t="n">
        <f aca="false">Report!U80</f>
        <v>551.88</v>
      </c>
      <c r="D60" s="1" t="str">
        <f aca="false">Report!X80</f>
        <v>NF 30415 ELLEN</v>
      </c>
    </row>
    <row r="61" customFormat="false" ht="12.75" hidden="false" customHeight="true" outlineLevel="0" collapsed="false">
      <c r="A61" s="16" t="n">
        <f aca="false">Report!C81</f>
        <v>46204</v>
      </c>
      <c r="B61" s="1" t="str">
        <f aca="false">Report!E81</f>
        <v>ILTON DA SILVA DOURADO 75418711253</v>
      </c>
      <c r="C61" s="17" t="n">
        <f aca="false">Report!U81</f>
        <v>1195</v>
      </c>
      <c r="D61" s="1" t="str">
        <f aca="false">Report!X81</f>
        <v>NF 2316 CARTÃO DIA 1 - AV - ELLEN</v>
      </c>
    </row>
    <row r="62" customFormat="false" ht="12.75" hidden="false" customHeight="true" outlineLevel="0" collapsed="false">
      <c r="A62" s="16" t="n">
        <f aca="false">Report!C82</f>
        <v>46204</v>
      </c>
      <c r="B62" s="1" t="str">
        <f aca="false">Report!E82</f>
        <v>J G COMERCIO DE PRODUTOS ALIMENTICIOS LTDA</v>
      </c>
      <c r="C62" s="17" t="n">
        <f aca="false">Report!U82</f>
        <v>314.44</v>
      </c>
      <c r="D62" s="1" t="str">
        <f aca="false">Report!X82</f>
        <v>NF 388857 ELLEN</v>
      </c>
    </row>
    <row r="63" customFormat="false" ht="12.75" hidden="false" customHeight="true" outlineLevel="0" collapsed="false">
      <c r="A63" s="16" t="n">
        <f aca="false">Report!C83</f>
        <v>46204</v>
      </c>
      <c r="B63" s="1" t="str">
        <f aca="false">Report!E83</f>
        <v>J W N DOS SANTOS</v>
      </c>
      <c r="C63" s="17" t="n">
        <f aca="false">Report!U83</f>
        <v>310</v>
      </c>
      <c r="D63" s="1" t="str">
        <f aca="false">Report!X83</f>
        <v>NF 325 ELLEN</v>
      </c>
    </row>
    <row r="64" customFormat="false" ht="12.75" hidden="false" customHeight="true" outlineLevel="0" collapsed="false">
      <c r="A64" s="16" t="n">
        <f aca="false">Report!C84</f>
        <v>46204</v>
      </c>
      <c r="B64" s="1" t="str">
        <f aca="false">Report!E84</f>
        <v>JUROS A FORNECEDOR</v>
      </c>
      <c r="C64" s="17" t="n">
        <f aca="false">Report!U84</f>
        <v>70.33</v>
      </c>
      <c r="D64" s="1" t="str">
        <f aca="false">Report!X84</f>
        <v>JUROS FORNEC. MO2</v>
      </c>
    </row>
    <row r="65" customFormat="false" ht="12.75" hidden="false" customHeight="true" outlineLevel="0" collapsed="false">
      <c r="A65" s="16" t="n">
        <f aca="false">Report!C86</f>
        <v>46204</v>
      </c>
      <c r="B65" s="1" t="str">
        <f aca="false">Report!E86</f>
        <v>LINU LOJAS DE VARIEDADES LTDA</v>
      </c>
      <c r="C65" s="17" t="n">
        <f aca="false">Report!U86</f>
        <v>2913</v>
      </c>
      <c r="D65" s="1" t="str">
        <f aca="false">Report!X86</f>
        <v>NF 596 CARTÃO DIA 1 - AV -ELLEN</v>
      </c>
    </row>
    <row r="66" customFormat="false" ht="12.75" hidden="false" customHeight="true" outlineLevel="0" collapsed="false">
      <c r="A66" s="16" t="n">
        <f aca="false">Report!C87</f>
        <v>46204</v>
      </c>
      <c r="B66" s="1" t="str">
        <f aca="false">Report!E87</f>
        <v>LUIS HENRIQUE FROTA MAGALHAES</v>
      </c>
      <c r="C66" s="17" t="n">
        <f aca="false">Report!U87</f>
        <v>351.53</v>
      </c>
      <c r="D66" s="1" t="str">
        <f aca="false">Report!X87</f>
        <v>NF 1948 CARTÃO DIA 1 - PARC 1/2 - ELLEN</v>
      </c>
    </row>
    <row r="67" customFormat="false" ht="12.75" hidden="false" customHeight="true" outlineLevel="0" collapsed="false">
      <c r="A67" s="16" t="n">
        <f aca="false">Report!C90</f>
        <v>46204</v>
      </c>
      <c r="B67" s="1" t="str">
        <f aca="false">Report!E90</f>
        <v>NEYLIANE S DE OLIVEIRA &amp; CIA LTDA</v>
      </c>
      <c r="C67" s="17" t="n">
        <f aca="false">Report!U90</f>
        <v>210</v>
      </c>
      <c r="D67" s="1" t="str">
        <f aca="false">Report!X90</f>
        <v>COMPRAS - 15L DE ACAI - PG NO P 1/7/26 ELLEN</v>
      </c>
    </row>
    <row r="68" customFormat="false" ht="12.75" hidden="false" customHeight="true" outlineLevel="0" collapsed="false">
      <c r="A68" s="16" t="n">
        <f aca="false">Report!C91</f>
        <v>46204</v>
      </c>
      <c r="B68" s="1" t="str">
        <f aca="false">Report!E91</f>
        <v>OESA COMERCIO E REPRESENTACOES S/A</v>
      </c>
      <c r="C68" s="17" t="n">
        <f aca="false">Report!U91</f>
        <v>61.57</v>
      </c>
      <c r="D68" s="1" t="str">
        <f aca="false">Report!X91</f>
        <v>NF 416678 ELLEN</v>
      </c>
    </row>
    <row r="69" customFormat="false" ht="12.75" hidden="false" customHeight="true" outlineLevel="0" collapsed="false">
      <c r="A69" s="16" t="n">
        <f aca="false">Report!C93</f>
        <v>46204</v>
      </c>
      <c r="B69" s="1" t="str">
        <f aca="false">Report!E93</f>
        <v>PANIFICADORA E CONFEITARIA REAL MADRI LTDA</v>
      </c>
      <c r="C69" s="17" t="n">
        <f aca="false">Report!U93</f>
        <v>345.65</v>
      </c>
      <c r="D69" s="1" t="str">
        <f aca="false">Report!X93</f>
        <v>NF 685 ELLEN</v>
      </c>
    </row>
    <row r="70" customFormat="false" ht="12.75" hidden="false" customHeight="true" outlineLevel="0" collapsed="false">
      <c r="A70" s="16" t="n">
        <f aca="false">Report!C96</f>
        <v>46204</v>
      </c>
      <c r="B70" s="1" t="str">
        <f aca="false">Report!E96</f>
        <v>SHMILY COMERCIO DE ARTIGOS DO VESTUARIO</v>
      </c>
      <c r="C70" s="17" t="n">
        <f aca="false">Report!U96</f>
        <v>1377</v>
      </c>
      <c r="D70" s="1" t="str">
        <f aca="false">Report!X96</f>
        <v>NF 420 CARTÃO DIA - AV - ELLEN</v>
      </c>
    </row>
    <row r="71" customFormat="false" ht="12.75" hidden="false" customHeight="true" outlineLevel="0" collapsed="false">
      <c r="A71" s="16" t="n">
        <f aca="false">Report!C98</f>
        <v>46204</v>
      </c>
      <c r="B71" s="1" t="str">
        <f aca="false">Report!E98</f>
        <v>TRES CORACOES ALIMENTOS S.A.</v>
      </c>
      <c r="C71" s="17" t="n">
        <f aca="false">Report!U98</f>
        <v>877.26</v>
      </c>
      <c r="D71" s="1" t="str">
        <f aca="false">Report!X98</f>
        <v>NF 346452 ELLEN</v>
      </c>
    </row>
    <row r="72" customFormat="false" ht="12.75" hidden="false" customHeight="true" outlineLevel="0" collapsed="false">
      <c r="A72" s="16" t="n">
        <f aca="false">Report!C99</f>
        <v>46204</v>
      </c>
      <c r="B72" s="1" t="str">
        <f aca="false">Report!E99</f>
        <v>XF 10 LOJA DE VARIEDADES LTDA</v>
      </c>
      <c r="C72" s="17" t="n">
        <f aca="false">Report!U99</f>
        <v>683.06</v>
      </c>
      <c r="D72" s="1" t="str">
        <f aca="false">Report!X99</f>
        <v>NF 1006 CARTÃO DIA 1 PARC 1/2 - ELLEN</v>
      </c>
    </row>
    <row r="73" customFormat="false" ht="12.75" hidden="false" customHeight="true" outlineLevel="0" collapsed="false">
      <c r="A73" s="16" t="n">
        <f aca="false">Report!C100</f>
        <v>46205</v>
      </c>
      <c r="B73" s="1" t="str">
        <f aca="false">Report!E100</f>
        <v>ADICSO FABIAN GONZALEZ MONTILLA 70302186</v>
      </c>
      <c r="C73" s="17" t="n">
        <f aca="false">Report!U100</f>
        <v>180</v>
      </c>
      <c r="D73" s="1" t="str">
        <f aca="false">Report!X100</f>
        <v>NF 515 ELLEN</v>
      </c>
    </row>
    <row r="74" customFormat="false" ht="12.75" hidden="false" customHeight="true" outlineLevel="0" collapsed="false">
      <c r="A74" s="16" t="n">
        <f aca="false">Report!C101</f>
        <v>46205</v>
      </c>
      <c r="B74" s="1" t="str">
        <f aca="false">Report!E101</f>
        <v>BRASIL NORTE BEBIDAS S/A</v>
      </c>
      <c r="C74" s="17" t="n">
        <f aca="false">Report!U101</f>
        <v>1579.97</v>
      </c>
      <c r="D74" s="1" t="str">
        <f aca="false">Report!X101</f>
        <v>NF 1887053 ELLEN</v>
      </c>
    </row>
    <row r="75" customFormat="false" ht="12.75" hidden="false" customHeight="true" outlineLevel="0" collapsed="false">
      <c r="A75" s="16" t="n">
        <f aca="false">Report!C102</f>
        <v>46205</v>
      </c>
      <c r="B75" s="1" t="str">
        <f aca="false">Report!E102</f>
        <v>BRASIL NORTE BEBIDAS S/A</v>
      </c>
      <c r="C75" s="17" t="n">
        <f aca="false">Report!U102</f>
        <v>105.91</v>
      </c>
      <c r="D75" s="1" t="str">
        <f aca="false">Report!X102</f>
        <v>NF 1165748 ELLEN</v>
      </c>
    </row>
    <row r="76" customFormat="false" ht="12.75" hidden="false" customHeight="true" outlineLevel="0" collapsed="false">
      <c r="A76" s="16" t="n">
        <f aca="false">Report!C103</f>
        <v>46205</v>
      </c>
      <c r="B76" s="1" t="str">
        <f aca="false">Report!E103</f>
        <v>CB COMERCIO E DISTRIBUIDORA DE ALIMENTOS</v>
      </c>
      <c r="C76" s="17" t="n">
        <f aca="false">Report!U103</f>
        <v>844.74</v>
      </c>
      <c r="D76" s="1" t="str">
        <f aca="false">Report!X103</f>
        <v>NF 843147 ELLEN</v>
      </c>
    </row>
    <row r="77" customFormat="false" ht="12.75" hidden="false" customHeight="true" outlineLevel="0" collapsed="false">
      <c r="A77" s="16" t="n">
        <f aca="false">Report!C104</f>
        <v>46205</v>
      </c>
      <c r="B77" s="1" t="str">
        <f aca="false">Report!E104</f>
        <v>DUNORTE DISTRIBUIDORA DE PRODUTOS DE CONSUMO LTDA</v>
      </c>
      <c r="C77" s="17" t="n">
        <f aca="false">Report!U104</f>
        <v>1105.95</v>
      </c>
      <c r="D77" s="1" t="str">
        <f aca="false">Report!X104</f>
        <v>NF 3201284 ELLEN</v>
      </c>
    </row>
    <row r="78" customFormat="false" ht="12.75" hidden="false" customHeight="true" outlineLevel="0" collapsed="false">
      <c r="A78" s="16" t="n">
        <f aca="false">Report!C105</f>
        <v>46205</v>
      </c>
      <c r="B78" s="1" t="str">
        <f aca="false">Report!E105</f>
        <v>DURAES DISTRIBUIDORA DE ESTIVAS LTDA</v>
      </c>
      <c r="C78" s="17" t="n">
        <f aca="false">Report!U105</f>
        <v>383.47</v>
      </c>
      <c r="D78" s="1" t="str">
        <f aca="false">Report!X105</f>
        <v>NF 645628 ELLEN</v>
      </c>
    </row>
    <row r="79" customFormat="false" ht="12.75" hidden="false" customHeight="true" outlineLevel="0" collapsed="false">
      <c r="A79" s="16" t="n">
        <f aca="false">Report!C106</f>
        <v>46205</v>
      </c>
      <c r="B79" s="1" t="str">
        <f aca="false">Report!E106</f>
        <v>FH DISTRIBUIDORA DE ALIM. E BEBIDAS LTDA</v>
      </c>
      <c r="C79" s="17" t="n">
        <f aca="false">Report!U106</f>
        <v>496.2</v>
      </c>
      <c r="D79" s="1" t="str">
        <f aca="false">Report!X106</f>
        <v>NF 326863 ELLEN</v>
      </c>
    </row>
    <row r="80" customFormat="false" ht="12.75" hidden="false" customHeight="true" outlineLevel="0" collapsed="false">
      <c r="A80" s="16" t="n">
        <f aca="false">Report!C107</f>
        <v>46205</v>
      </c>
      <c r="B80" s="1" t="str">
        <f aca="false">Report!E107</f>
        <v>H L M PADARIA E CONFEITARIA LTDA</v>
      </c>
      <c r="C80" s="17" t="n">
        <f aca="false">Report!U107</f>
        <v>140</v>
      </c>
      <c r="D80" s="1" t="str">
        <f aca="false">Report!X107</f>
        <v>NF 64 COMPRAS-BOLO PG NO P 2/7 ELLEN</v>
      </c>
    </row>
    <row r="81" customFormat="false" ht="12.75" hidden="false" customHeight="true" outlineLevel="0" collapsed="false">
      <c r="A81" s="16" t="n">
        <f aca="false">Report!C114</f>
        <v>46205</v>
      </c>
      <c r="B81" s="1" t="str">
        <f aca="false">Report!E114</f>
        <v>J G COMERCIO DE PRODUTOS ALIMENTICIOS LTDA</v>
      </c>
      <c r="C81" s="17" t="n">
        <f aca="false">Report!U114</f>
        <v>2664.53</v>
      </c>
      <c r="D81" s="1" t="str">
        <f aca="false">Report!X114</f>
        <v>NF 387833 ELLEN</v>
      </c>
    </row>
    <row r="82" customFormat="false" ht="12.75" hidden="false" customHeight="true" outlineLevel="0" collapsed="false">
      <c r="A82" s="16" t="n">
        <f aca="false">Report!C115</f>
        <v>46205</v>
      </c>
      <c r="B82" s="1" t="str">
        <f aca="false">Report!E115</f>
        <v>LIMA E BARANDA COMERCIO DE PRODUTOS REGI</v>
      </c>
      <c r="C82" s="17" t="n">
        <f aca="false">Report!U115</f>
        <v>199</v>
      </c>
      <c r="D82" s="1" t="str">
        <f aca="false">Report!X115</f>
        <v>NF 31144 ELLEN</v>
      </c>
    </row>
    <row r="83" customFormat="false" ht="12.75" hidden="false" customHeight="true" outlineLevel="0" collapsed="false">
      <c r="A83" s="16" t="n">
        <f aca="false">Report!C116</f>
        <v>46205</v>
      </c>
      <c r="B83" s="1" t="str">
        <f aca="false">Report!E116</f>
        <v>MARTINS COM SERV DISTR SA</v>
      </c>
      <c r="C83" s="17" t="n">
        <f aca="false">Report!U116</f>
        <v>613.33</v>
      </c>
      <c r="D83" s="1" t="str">
        <f aca="false">Report!X116</f>
        <v>NF 1771887 ELLEN</v>
      </c>
    </row>
    <row r="84" customFormat="false" ht="12.75" hidden="false" customHeight="true" outlineLevel="0" collapsed="false">
      <c r="A84" s="16" t="n">
        <f aca="false">Report!C117</f>
        <v>46205</v>
      </c>
      <c r="B84" s="1" t="str">
        <f aca="false">Report!E117</f>
        <v>NESTLÉ BRASIL LTDA.</v>
      </c>
      <c r="C84" s="17" t="n">
        <f aca="false">Report!U117</f>
        <v>731.24</v>
      </c>
      <c r="D84" s="1" t="str">
        <f aca="false">Report!X117</f>
        <v>NF 1415530 ELLEN</v>
      </c>
    </row>
    <row r="85" customFormat="false" ht="12.75" hidden="false" customHeight="true" outlineLevel="0" collapsed="false">
      <c r="A85" s="16" t="n">
        <f aca="false">Report!C118</f>
        <v>46205</v>
      </c>
      <c r="B85" s="1" t="str">
        <f aca="false">Report!E118</f>
        <v>NESTLÉ BRASIL LTDA.</v>
      </c>
      <c r="C85" s="17" t="n">
        <f aca="false">Report!U118</f>
        <v>1484.53</v>
      </c>
      <c r="D85" s="1" t="str">
        <f aca="false">Report!X118</f>
        <v>NF 1415529 ELLEN</v>
      </c>
    </row>
    <row r="86" customFormat="false" ht="12.75" hidden="false" customHeight="true" outlineLevel="0" collapsed="false">
      <c r="A86" s="16" t="n">
        <f aca="false">Report!C119</f>
        <v>46205</v>
      </c>
      <c r="B86" s="1" t="str">
        <f aca="false">Report!E119</f>
        <v>REAL BEBIDAS DA AMAZONIA LTDA</v>
      </c>
      <c r="C86" s="17" t="n">
        <f aca="false">Report!U119</f>
        <v>262</v>
      </c>
      <c r="D86" s="1" t="str">
        <f aca="false">Report!X119</f>
        <v>NF 590547 ELLEN</v>
      </c>
    </row>
    <row r="87" customFormat="false" ht="12.75" hidden="false" customHeight="true" outlineLevel="0" collapsed="false">
      <c r="A87" s="16" t="n">
        <f aca="false">Report!C120</f>
        <v>46205</v>
      </c>
      <c r="B87" s="1" t="str">
        <f aca="false">Report!E120</f>
        <v>RISADINHA LTDA</v>
      </c>
      <c r="C87" s="17" t="n">
        <f aca="false">Report!U120</f>
        <v>550.4</v>
      </c>
      <c r="D87" s="1" t="str">
        <f aca="false">Report!X120</f>
        <v>NF 658429 ELLEN</v>
      </c>
    </row>
    <row r="88" customFormat="false" ht="12.75" hidden="false" customHeight="true" outlineLevel="0" collapsed="false">
      <c r="A88" s="16" t="n">
        <f aca="false">Report!C121</f>
        <v>46205</v>
      </c>
      <c r="B88" s="1" t="str">
        <f aca="false">Report!E121</f>
        <v>SL DISTRIBUIDORA COM. DE PROD. ALIMENTIC</v>
      </c>
      <c r="C88" s="17" t="n">
        <f aca="false">Report!U121</f>
        <v>552.38</v>
      </c>
      <c r="D88" s="1" t="str">
        <f aca="false">Report!X121</f>
        <v>NF 10423 ELLEN</v>
      </c>
    </row>
    <row r="89" customFormat="false" ht="12.75" hidden="false" customHeight="true" outlineLevel="0" collapsed="false">
      <c r="A89" s="16" t="n">
        <f aca="false">Report!C122</f>
        <v>46205</v>
      </c>
      <c r="B89" s="1" t="str">
        <f aca="false">Report!E122</f>
        <v>T A DE MATTOS COMIM EIRELI</v>
      </c>
      <c r="C89" s="17" t="n">
        <f aca="false">Report!U122</f>
        <v>228</v>
      </c>
      <c r="D89" s="1" t="str">
        <f aca="false">Report!X122</f>
        <v>NF 10605 ELLEN</v>
      </c>
    </row>
    <row r="90" customFormat="false" ht="12.75" hidden="false" customHeight="true" outlineLevel="0" collapsed="false">
      <c r="A90" s="16" t="n">
        <f aca="false">Report!C125</f>
        <v>46206</v>
      </c>
      <c r="B90" s="1" t="str">
        <f aca="false">Report!E125</f>
        <v>BRAGA TABACARIA EIRELI ME</v>
      </c>
      <c r="C90" s="17" t="n">
        <f aca="false">Report!U125</f>
        <v>1433.64</v>
      </c>
      <c r="D90" s="1" t="str">
        <f aca="false">Report!X125</f>
        <v>NF 18762 ELLEN</v>
      </c>
    </row>
    <row r="91" customFormat="false" ht="12.75" hidden="false" customHeight="true" outlineLevel="0" collapsed="false">
      <c r="A91" s="16" t="n">
        <f aca="false">Report!C126</f>
        <v>46206</v>
      </c>
      <c r="B91" s="1" t="str">
        <f aca="false">Report!E126</f>
        <v>BRAGA TABACARIA EIRELI ME</v>
      </c>
      <c r="C91" s="17" t="n">
        <f aca="false">Report!U126</f>
        <v>796.74</v>
      </c>
      <c r="D91" s="1" t="str">
        <f aca="false">Report!X126</f>
        <v>NF 18889 ELLEN</v>
      </c>
    </row>
    <row r="92" customFormat="false" ht="12.75" hidden="false" customHeight="true" outlineLevel="0" collapsed="false">
      <c r="A92" s="16" t="n">
        <f aca="false">Report!C127</f>
        <v>46206</v>
      </c>
      <c r="B92" s="1" t="str">
        <f aca="false">Report!E127</f>
        <v>BRAGA TABACARIA EIRELI ME</v>
      </c>
      <c r="C92" s="17" t="n">
        <f aca="false">Report!U127</f>
        <v>534.44</v>
      </c>
      <c r="D92" s="1" t="str">
        <f aca="false">Report!X127</f>
        <v>S/NF - CATUABA/COPO/XAROPE-ELLEN</v>
      </c>
    </row>
    <row r="93" customFormat="false" ht="12.75" hidden="false" customHeight="true" outlineLevel="0" collapsed="false">
      <c r="A93" s="16" t="n">
        <f aca="false">Report!C128</f>
        <v>46206</v>
      </c>
      <c r="B93" s="1" t="str">
        <f aca="false">Report!E128</f>
        <v>BROTHERS  INDUSTRIA DE ALIMENTOS LTDA</v>
      </c>
      <c r="C93" s="17" t="n">
        <f aca="false">Report!U128</f>
        <v>305.38</v>
      </c>
      <c r="D93" s="1" t="str">
        <f aca="false">Report!X128</f>
        <v>NF 102906 ELLEN</v>
      </c>
    </row>
    <row r="94" customFormat="false" ht="12.75" hidden="false" customHeight="true" outlineLevel="0" collapsed="false">
      <c r="A94" s="16" t="n">
        <f aca="false">Report!C131</f>
        <v>46206</v>
      </c>
      <c r="B94" s="1" t="str">
        <f aca="false">Report!E131</f>
        <v>CRBS S/A</v>
      </c>
      <c r="C94" s="17" t="n">
        <f aca="false">Report!U131</f>
        <v>2177.83</v>
      </c>
      <c r="D94" s="1" t="str">
        <f aca="false">Report!X131</f>
        <v>NF 877177 ELLEN</v>
      </c>
    </row>
    <row r="95" customFormat="false" ht="12.75" hidden="false" customHeight="true" outlineLevel="0" collapsed="false">
      <c r="A95" s="16" t="n">
        <f aca="false">Report!C132</f>
        <v>46206</v>
      </c>
      <c r="B95" s="1" t="str">
        <f aca="false">Report!E132</f>
        <v>CRBS S/A</v>
      </c>
      <c r="C95" s="17" t="n">
        <f aca="false">Report!U132</f>
        <v>1.55</v>
      </c>
      <c r="D95" s="1" t="str">
        <f aca="false">Report!X132</f>
        <v>NF 877177 REF TARIFA AMBEV - ELLEN</v>
      </c>
    </row>
    <row r="96" customFormat="false" ht="12.75" hidden="false" customHeight="true" outlineLevel="0" collapsed="false">
      <c r="A96" s="16" t="n">
        <f aca="false">Report!C135</f>
        <v>46206</v>
      </c>
      <c r="B96" s="1" t="str">
        <f aca="false">Report!E135</f>
        <v>DISTRIBUIDORA FARIAS LTDA.</v>
      </c>
      <c r="C96" s="17" t="n">
        <f aca="false">Report!U135</f>
        <v>658.25</v>
      </c>
      <c r="D96" s="1" t="str">
        <f aca="false">Report!X135</f>
        <v>NF 674938 ELLEN</v>
      </c>
    </row>
    <row r="97" customFormat="false" ht="12.75" hidden="false" customHeight="true" outlineLevel="0" collapsed="false">
      <c r="A97" s="16" t="n">
        <f aca="false">Report!C136</f>
        <v>46206</v>
      </c>
      <c r="B97" s="1" t="str">
        <f aca="false">Report!E136</f>
        <v>DISTRIBUIDORA FARIAS LTDA.</v>
      </c>
      <c r="C97" s="17" t="n">
        <f aca="false">Report!U136</f>
        <v>1055.34</v>
      </c>
      <c r="D97" s="1" t="str">
        <f aca="false">Report!X136</f>
        <v>NF 674937 ELLEN</v>
      </c>
    </row>
    <row r="98" customFormat="false" ht="12.75" hidden="false" customHeight="true" outlineLevel="0" collapsed="false">
      <c r="A98" s="16" t="n">
        <f aca="false">Report!C137</f>
        <v>46206</v>
      </c>
      <c r="B98" s="1" t="str">
        <f aca="false">Report!E137</f>
        <v>DISTRIBUIDORA LOPES LTDA</v>
      </c>
      <c r="C98" s="17" t="n">
        <f aca="false">Report!U137</f>
        <v>1154.89</v>
      </c>
      <c r="D98" s="1" t="str">
        <f aca="false">Report!X137</f>
        <v>NF 1676804 ELLEN</v>
      </c>
    </row>
    <row r="99" customFormat="false" ht="12.75" hidden="false" customHeight="true" outlineLevel="0" collapsed="false">
      <c r="A99" s="16" t="n">
        <f aca="false">Report!C138</f>
        <v>46206</v>
      </c>
      <c r="B99" s="1" t="str">
        <f aca="false">Report!E138</f>
        <v>DUNORTE DISTRIBUIDORA DE PRODUTOS DE CONSUMO LTDA</v>
      </c>
      <c r="C99" s="17" t="n">
        <f aca="false">Report!U138</f>
        <v>892.08</v>
      </c>
      <c r="D99" s="1" t="str">
        <f aca="false">Report!X138</f>
        <v>NF 3201857 ELLEN</v>
      </c>
    </row>
    <row r="100" customFormat="false" ht="12.75" hidden="false" customHeight="true" outlineLevel="0" collapsed="false">
      <c r="A100" s="16" t="n">
        <f aca="false">Report!C144</f>
        <v>46206</v>
      </c>
      <c r="B100" s="1" t="str">
        <f aca="false">Report!E144</f>
        <v>FEIRA</v>
      </c>
      <c r="C100" s="17" t="n">
        <f aca="false">Report!U144</f>
        <v>280</v>
      </c>
      <c r="D100" s="1" t="str">
        <f aca="false">Report!X144</f>
        <v>FEIRA SR RENATO-PERA/UVA-SOMAR C NF2522-PG POTE LJ2-ELLEN</v>
      </c>
    </row>
    <row r="101" customFormat="false" ht="12.75" hidden="false" customHeight="true" outlineLevel="0" collapsed="false">
      <c r="A101" s="16" t="n">
        <f aca="false">Report!C145</f>
        <v>46206</v>
      </c>
      <c r="B101" s="1" t="str">
        <f aca="false">Report!E145</f>
        <v>FENNIX BRASIL DISTRIBUIDORA DE PRODUTOS</v>
      </c>
      <c r="C101" s="17" t="n">
        <f aca="false">Report!U145</f>
        <v>866.36</v>
      </c>
      <c r="D101" s="1" t="str">
        <f aca="false">Report!X145</f>
        <v>NF 394904 ELLEN</v>
      </c>
    </row>
    <row r="102" customFormat="false" ht="12.75" hidden="false" customHeight="true" outlineLevel="0" collapsed="false">
      <c r="A102" s="16" t="n">
        <f aca="false">Report!C148</f>
        <v>46206</v>
      </c>
      <c r="B102" s="1" t="str">
        <f aca="false">Report!E148</f>
        <v>H L M PADARIA E CONFEITARIA LTDA</v>
      </c>
      <c r="C102" s="17" t="n">
        <f aca="false">Report!U148</f>
        <v>120</v>
      </c>
      <c r="D102" s="1" t="str">
        <f aca="false">Report!X148</f>
        <v>NF 17 COMPRAS-BOLO PG NO P 3/7 ELLEN</v>
      </c>
    </row>
    <row r="103" customFormat="false" ht="12.75" hidden="false" customHeight="true" outlineLevel="0" collapsed="false">
      <c r="A103" s="16" t="n">
        <f aca="false">Report!C151</f>
        <v>46206</v>
      </c>
      <c r="B103" s="1" t="str">
        <f aca="false">Report!E151</f>
        <v>J G COMERCIO DE PRODUTOS ALIMENTICIOS LTDA</v>
      </c>
      <c r="C103" s="17" t="n">
        <f aca="false">Report!U151</f>
        <v>371.88</v>
      </c>
      <c r="D103" s="1" t="str">
        <f aca="false">Report!X151</f>
        <v>NF 389368 ELLEN</v>
      </c>
    </row>
    <row r="104" customFormat="false" ht="12.75" hidden="false" customHeight="true" outlineLevel="0" collapsed="false">
      <c r="A104" s="16" t="n">
        <f aca="false">Report!C152</f>
        <v>46206</v>
      </c>
      <c r="B104" s="1" t="str">
        <f aca="false">Report!E152</f>
        <v>L S M COMERCIO DE ALIMENTOS E NAVEGACAO</v>
      </c>
      <c r="C104" s="17" t="n">
        <f aca="false">Report!U152</f>
        <v>1184.07</v>
      </c>
      <c r="D104" s="1" t="str">
        <f aca="false">Report!X152</f>
        <v>NF 305929 ELLEN</v>
      </c>
    </row>
    <row r="105" customFormat="false" ht="12.75" hidden="false" customHeight="true" outlineLevel="0" collapsed="false">
      <c r="A105" s="16" t="n">
        <f aca="false">Report!C155</f>
        <v>46206</v>
      </c>
      <c r="B105" s="1" t="str">
        <f aca="false">Report!E155</f>
        <v>MAXFRI DISTRIUIDORA LTDA</v>
      </c>
      <c r="C105" s="17" t="n">
        <f aca="false">Report!U155</f>
        <v>1997.03</v>
      </c>
      <c r="D105" s="1" t="str">
        <f aca="false">Report!X155</f>
        <v>NF 14560 ELLEN</v>
      </c>
    </row>
    <row r="106" customFormat="false" ht="12.75" hidden="false" customHeight="true" outlineLevel="0" collapsed="false">
      <c r="A106" s="16" t="n">
        <f aca="false">Report!C156</f>
        <v>46206</v>
      </c>
      <c r="B106" s="1" t="str">
        <f aca="false">Report!E156</f>
        <v>NEYLIANE S DE OLIVEIRA &amp; CIA LTDA</v>
      </c>
      <c r="C106" s="17" t="n">
        <f aca="false">Report!U156</f>
        <v>280</v>
      </c>
      <c r="D106" s="1" t="str">
        <f aca="false">Report!X156</f>
        <v>COMPRAS-20L DE ACAI-PG NO P 3/7/26-ELLEN</v>
      </c>
    </row>
    <row r="107" customFormat="false" ht="12.75" hidden="false" customHeight="true" outlineLevel="0" collapsed="false">
      <c r="A107" s="16" t="n">
        <f aca="false">Report!C157</f>
        <v>46206</v>
      </c>
      <c r="B107" s="1" t="str">
        <f aca="false">Report!E157</f>
        <v>NEYLIANE S DE OLIVEIRA &amp; CIA LTDA</v>
      </c>
      <c r="C107" s="17" t="n">
        <f aca="false">Report!U157</f>
        <v>1082.6</v>
      </c>
      <c r="D107" s="1" t="str">
        <f aca="false">Report!X157</f>
        <v>FEIRA SR RENATO - PG POTE LJ2 - ELLEN</v>
      </c>
    </row>
    <row r="108" customFormat="false" ht="12.75" hidden="false" customHeight="true" outlineLevel="0" collapsed="false">
      <c r="A108" s="16" t="n">
        <f aca="false">Report!C159</f>
        <v>46206</v>
      </c>
      <c r="B108" s="1" t="str">
        <f aca="false">Report!E159</f>
        <v>OESA COMERCIO E REPRESENTACOES S/A</v>
      </c>
      <c r="C108" s="17" t="n">
        <f aca="false">Report!U159</f>
        <v>619.99</v>
      </c>
      <c r="D108" s="1" t="str">
        <f aca="false">Report!X159</f>
        <v>NF 419092 ELLEN</v>
      </c>
    </row>
    <row r="109" customFormat="false" ht="12.75" hidden="false" customHeight="true" outlineLevel="0" collapsed="false">
      <c r="A109" s="16" t="n">
        <f aca="false">Report!C165</f>
        <v>46206</v>
      </c>
      <c r="B109" s="1" t="str">
        <f aca="false">Report!E165</f>
        <v>SOUZA CRUZ LTDA.</v>
      </c>
      <c r="C109" s="17" t="n">
        <f aca="false">Report!U165</f>
        <v>5761.35</v>
      </c>
      <c r="D109" s="1" t="str">
        <f aca="false">Report!X165</f>
        <v>NF 564993 ELLEN</v>
      </c>
    </row>
    <row r="110" customFormat="false" ht="12.75" hidden="false" customHeight="true" outlineLevel="0" collapsed="false">
      <c r="A110" s="16" t="n">
        <f aca="false">Report!C168</f>
        <v>46207</v>
      </c>
      <c r="B110" s="1" t="str">
        <f aca="false">Report!E168</f>
        <v>BRASIL NORTE BEBIDAS S/A</v>
      </c>
      <c r="C110" s="17" t="n">
        <f aca="false">Report!U168</f>
        <v>50.85</v>
      </c>
      <c r="D110" s="1" t="str">
        <f aca="false">Report!X168</f>
        <v>NF 1169404 ELLEN</v>
      </c>
    </row>
    <row r="111" customFormat="false" ht="12.75" hidden="false" customHeight="true" outlineLevel="0" collapsed="false">
      <c r="A111" s="16" t="n">
        <f aca="false">Report!C169</f>
        <v>46207</v>
      </c>
      <c r="B111" s="1" t="str">
        <f aca="false">Report!E169</f>
        <v>BRASIL NORTE BEBIDAS S/A</v>
      </c>
      <c r="C111" s="17" t="n">
        <f aca="false">Report!U169</f>
        <v>467.76</v>
      </c>
      <c r="D111" s="1" t="str">
        <f aca="false">Report!X169</f>
        <v>NF 1890993 ELLEN</v>
      </c>
    </row>
    <row r="112" customFormat="false" ht="12.75" hidden="false" customHeight="true" outlineLevel="0" collapsed="false">
      <c r="A112" s="16" t="n">
        <f aca="false">Report!C170</f>
        <v>46207</v>
      </c>
      <c r="B112" s="1" t="str">
        <f aca="false">Report!E170</f>
        <v>COMERCIO DE FRIOS MANAUS LTDA</v>
      </c>
      <c r="C112" s="17" t="n">
        <f aca="false">Report!U170</f>
        <v>4001</v>
      </c>
      <c r="D112" s="1" t="str">
        <f aca="false">Report!X170</f>
        <v>NF 172089 ELLEN</v>
      </c>
    </row>
    <row r="113" customFormat="false" ht="12.75" hidden="false" customHeight="true" outlineLevel="0" collapsed="false">
      <c r="A113" s="16" t="n">
        <f aca="false">Report!C171</f>
        <v>46207</v>
      </c>
      <c r="B113" s="1" t="str">
        <f aca="false">Report!E171</f>
        <v>H L M PADARIA E CONFEITARIA LTDA</v>
      </c>
      <c r="C113" s="17" t="n">
        <f aca="false">Report!U171</f>
        <v>140</v>
      </c>
      <c r="D113" s="1" t="str">
        <f aca="false">Report!X171</f>
        <v>NF 65 COMPRAS BOLO - PG NO P 4/7 ELLEN</v>
      </c>
    </row>
    <row r="114" customFormat="false" ht="12.75" hidden="false" customHeight="true" outlineLevel="0" collapsed="false">
      <c r="A114" s="16" t="n">
        <f aca="false">Report!C172</f>
        <v>46207</v>
      </c>
      <c r="B114" s="1" t="str">
        <f aca="false">Report!E172</f>
        <v>MAXFRI DISTRIUIDORA LTDA</v>
      </c>
      <c r="C114" s="17" t="n">
        <f aca="false">Report!U172</f>
        <v>2606.5</v>
      </c>
      <c r="D114" s="1" t="str">
        <f aca="false">Report!X172</f>
        <v>NF 14569 ELLEN</v>
      </c>
    </row>
    <row r="115" customFormat="false" ht="12.75" hidden="false" customHeight="true" outlineLevel="0" collapsed="false">
      <c r="A115" s="16" t="n">
        <f aca="false">Report!C173</f>
        <v>46207</v>
      </c>
      <c r="B115" s="1" t="str">
        <f aca="false">Report!E173</f>
        <v>OPPORTUNITY ALIMENTOS PARA ANIMAIS LTDA</v>
      </c>
      <c r="C115" s="17" t="n">
        <f aca="false">Report!U173</f>
        <v>938.27</v>
      </c>
      <c r="D115" s="1" t="str">
        <f aca="false">Report!X173</f>
        <v>NF 33745 ELLEN</v>
      </c>
    </row>
    <row r="116" customFormat="false" ht="12.75" hidden="false" customHeight="true" outlineLevel="0" collapsed="false">
      <c r="A116" s="16" t="n">
        <f aca="false">Report!C176</f>
        <v>46209</v>
      </c>
      <c r="B116" s="1" t="str">
        <f aca="false">Report!E176</f>
        <v>ADRIANA DISTRIBUIDORA DE PRODUTOS ALIMEN</v>
      </c>
      <c r="C116" s="17" t="n">
        <f aca="false">Report!U176</f>
        <v>791.31</v>
      </c>
      <c r="D116" s="1" t="str">
        <f aca="false">Report!X176</f>
        <v>NF 878392 ELLEN</v>
      </c>
    </row>
    <row r="117" customFormat="false" ht="12.75" hidden="false" customHeight="true" outlineLevel="0" collapsed="false">
      <c r="A117" s="16" t="n">
        <f aca="false">Report!C177</f>
        <v>46209</v>
      </c>
      <c r="B117" s="1" t="str">
        <f aca="false">Report!E177</f>
        <v>DUNORTE DISTRIBUIDORA DE PRODUTOS DE CONSUMO LTDA</v>
      </c>
      <c r="C117" s="17" t="n">
        <f aca="false">Report!U177</f>
        <v>643.05</v>
      </c>
      <c r="D117" s="1" t="str">
        <f aca="false">Report!X177</f>
        <v>NF 3202460 ELLEN</v>
      </c>
    </row>
    <row r="118" customFormat="false" ht="12.75" hidden="false" customHeight="true" outlineLevel="0" collapsed="false">
      <c r="A118" s="16" t="n">
        <f aca="false">Report!C178</f>
        <v>46209</v>
      </c>
      <c r="B118" s="1" t="str">
        <f aca="false">Report!E178</f>
        <v>DURAES DISTRIBUIDORA DE ESTIVAS LTDA</v>
      </c>
      <c r="C118" s="17" t="n">
        <f aca="false">Report!U178</f>
        <v>347.17</v>
      </c>
      <c r="D118" s="1" t="str">
        <f aca="false">Report!X178</f>
        <v>NF 646732 ELLEN</v>
      </c>
    </row>
    <row r="119" customFormat="false" ht="12.75" hidden="false" customHeight="true" outlineLevel="0" collapsed="false">
      <c r="A119" s="16" t="n">
        <f aca="false">Report!C180</f>
        <v>46209</v>
      </c>
      <c r="B119" s="1" t="str">
        <f aca="false">Report!E180</f>
        <v>FE COMERCIO DE MATERIAIS DE CONSTRUCAO</v>
      </c>
      <c r="C119" s="17" t="n">
        <f aca="false">Report!U180</f>
        <v>819.53</v>
      </c>
      <c r="D119" s="1" t="str">
        <f aca="false">Report!X180</f>
        <v>NF 4467 ELLEN</v>
      </c>
    </row>
    <row r="120" customFormat="false" ht="12.75" hidden="false" customHeight="true" outlineLevel="0" collapsed="false">
      <c r="A120" s="16" t="n">
        <f aca="false">Report!C181</f>
        <v>46209</v>
      </c>
      <c r="B120" s="1" t="str">
        <f aca="false">Report!E181</f>
        <v>FENNIX BRASIL DISTRIBUIDORA DE PRODUTOS</v>
      </c>
      <c r="C120" s="17" t="n">
        <f aca="false">Report!U181</f>
        <v>675.35</v>
      </c>
      <c r="D120" s="1" t="str">
        <f aca="false">Report!X181</f>
        <v>NF 310316 ELLEN</v>
      </c>
    </row>
    <row r="121" customFormat="false" ht="12.75" hidden="false" customHeight="true" outlineLevel="0" collapsed="false">
      <c r="A121" s="16" t="n">
        <f aca="false">Report!C185</f>
        <v>46209</v>
      </c>
      <c r="B121" s="1" t="str">
        <f aca="false">Report!E185</f>
        <v>J W N DOS SANTOS</v>
      </c>
      <c r="C121" s="17" t="n">
        <f aca="false">Report!U185</f>
        <v>398</v>
      </c>
      <c r="D121" s="1" t="str">
        <f aca="false">Report!X185</f>
        <v>NF 337 ELLEN</v>
      </c>
    </row>
    <row r="122" customFormat="false" ht="12.75" hidden="false" customHeight="true" outlineLevel="0" collapsed="false">
      <c r="A122" s="16" t="n">
        <f aca="false">Report!C186</f>
        <v>46209</v>
      </c>
      <c r="B122" s="1" t="str">
        <f aca="false">Report!E186</f>
        <v>LOURIVAL ALMEIDA DA SILVA 17128784845</v>
      </c>
      <c r="C122" s="17" t="n">
        <f aca="false">Report!U186</f>
        <v>160.32</v>
      </c>
      <c r="D122" s="1" t="str">
        <f aca="false">Report!X186</f>
        <v>NF 512 ELLEN</v>
      </c>
    </row>
    <row r="123" customFormat="false" ht="12.75" hidden="false" customHeight="true" outlineLevel="0" collapsed="false">
      <c r="A123" s="16" t="n">
        <f aca="false">Report!C187</f>
        <v>46209</v>
      </c>
      <c r="B123" s="1" t="str">
        <f aca="false">Report!E187</f>
        <v>NEYLIANE S DE OLIVEIRA &amp; CIA LTDA</v>
      </c>
      <c r="C123" s="17" t="n">
        <f aca="false">Report!U187</f>
        <v>210</v>
      </c>
      <c r="D123" s="1" t="str">
        <f aca="false">Report!X187</f>
        <v>COMPRAS - 15L DE ACAI - PG NO P 6/7/26 ELLEN</v>
      </c>
    </row>
    <row r="124" customFormat="false" ht="12.75" hidden="false" customHeight="true" outlineLevel="0" collapsed="false">
      <c r="A124" s="16" t="n">
        <f aca="false">Report!C188</f>
        <v>46209</v>
      </c>
      <c r="B124" s="1" t="str">
        <f aca="false">Report!E188</f>
        <v>PANIFICADORA E CONFEITARIA REAL MADRI LTDA</v>
      </c>
      <c r="C124" s="17" t="n">
        <f aca="false">Report!U188</f>
        <v>304.75</v>
      </c>
      <c r="D124" s="1" t="str">
        <f aca="false">Report!X188</f>
        <v>NF 690 ELLEN</v>
      </c>
    </row>
    <row r="125" customFormat="false" ht="12.75" hidden="false" customHeight="true" outlineLevel="0" collapsed="false">
      <c r="A125" s="16" t="n">
        <f aca="false">Report!C191</f>
        <v>46209</v>
      </c>
      <c r="B125" s="1" t="str">
        <f aca="false">Report!E191</f>
        <v>ROCHA E PAIVA LTDA</v>
      </c>
      <c r="C125" s="17" t="n">
        <f aca="false">Report!U191</f>
        <v>591.51</v>
      </c>
      <c r="D125" s="1" t="str">
        <f aca="false">Report!X191</f>
        <v>NF 207912 ELLEN</v>
      </c>
    </row>
    <row r="126" customFormat="false" ht="12.75" hidden="false" customHeight="true" outlineLevel="0" collapsed="false">
      <c r="A126" s="16" t="n">
        <f aca="false">Report!C192</f>
        <v>46210</v>
      </c>
      <c r="B126" s="1" t="str">
        <f aca="false">Report!E192</f>
        <v>ADICSO FABIAN GONZALEZ MONTILLA 70302186</v>
      </c>
      <c r="C126" s="17" t="n">
        <f aca="false">Report!U192</f>
        <v>240</v>
      </c>
      <c r="D126" s="1" t="str">
        <f aca="false">Report!X192</f>
        <v>NF 520 ELLEN</v>
      </c>
    </row>
    <row r="127" customFormat="false" ht="12.75" hidden="false" customHeight="true" outlineLevel="0" collapsed="false">
      <c r="A127" s="16" t="n">
        <f aca="false">Report!C193</f>
        <v>46210</v>
      </c>
      <c r="B127" s="1" t="str">
        <f aca="false">Report!E193</f>
        <v>BF COMERCIO DE ALIMENTOS REPRESENTACAO L</v>
      </c>
      <c r="C127" s="17" t="n">
        <f aca="false">Report!U193</f>
        <v>303.19</v>
      </c>
      <c r="D127" s="1" t="str">
        <f aca="false">Report!X193</f>
        <v>NF 20868 ELLEN</v>
      </c>
    </row>
    <row r="128" customFormat="false" ht="12.75" hidden="false" customHeight="true" outlineLevel="0" collapsed="false">
      <c r="A128" s="16" t="n">
        <f aca="false">Report!C194</f>
        <v>46210</v>
      </c>
      <c r="B128" s="1" t="str">
        <f aca="false">Report!E194</f>
        <v>BONNA VITTA INDUSTRIA E COMERCIO LTDA.</v>
      </c>
      <c r="C128" s="17" t="n">
        <f aca="false">Report!U194</f>
        <v>642.4</v>
      </c>
      <c r="D128" s="1" t="str">
        <f aca="false">Report!X194</f>
        <v>NF 518105 ELLEN</v>
      </c>
    </row>
    <row r="129" customFormat="false" ht="12.75" hidden="false" customHeight="true" outlineLevel="0" collapsed="false">
      <c r="A129" s="16" t="n">
        <f aca="false">Report!C195</f>
        <v>46210</v>
      </c>
      <c r="B129" s="1" t="str">
        <f aca="false">Report!E195</f>
        <v>BONNA VITTA INDUSTRIA E COMERCIO LTDA.</v>
      </c>
      <c r="C129" s="17" t="n">
        <f aca="false">Report!U195</f>
        <v>684</v>
      </c>
      <c r="D129" s="1" t="str">
        <f aca="false">Report!X195</f>
        <v>NF 518753 ELLEN</v>
      </c>
    </row>
    <row r="130" customFormat="false" ht="12.75" hidden="false" customHeight="true" outlineLevel="0" collapsed="false">
      <c r="A130" s="16" t="n">
        <f aca="false">Report!C196</f>
        <v>46210</v>
      </c>
      <c r="B130" s="1" t="str">
        <f aca="false">Report!E196</f>
        <v>BRASIL NORTE BEBIDAS S/A</v>
      </c>
      <c r="C130" s="17" t="n">
        <f aca="false">Report!U196</f>
        <v>22.95</v>
      </c>
      <c r="D130" s="1" t="str">
        <f aca="false">Report!X196</f>
        <v>NF 1170564 ELLEN</v>
      </c>
    </row>
    <row r="131" customFormat="false" ht="12.75" hidden="false" customHeight="true" outlineLevel="0" collapsed="false">
      <c r="A131" s="16" t="n">
        <f aca="false">Report!C197</f>
        <v>46210</v>
      </c>
      <c r="B131" s="1" t="str">
        <f aca="false">Report!E197</f>
        <v>BRASIL NORTE BEBIDAS S/A</v>
      </c>
      <c r="C131" s="17" t="n">
        <f aca="false">Report!U197</f>
        <v>840.06</v>
      </c>
      <c r="D131" s="1" t="str">
        <f aca="false">Report!X197</f>
        <v>NF 1893322 ELLEN</v>
      </c>
    </row>
    <row r="132" customFormat="false" ht="12.75" hidden="false" customHeight="true" outlineLevel="0" collapsed="false">
      <c r="A132" s="16" t="n">
        <f aca="false">Report!C198</f>
        <v>46210</v>
      </c>
      <c r="B132" s="1" t="str">
        <f aca="false">Report!E198</f>
        <v>BRASIL NORTE BEBIDAS S/A</v>
      </c>
      <c r="C132" s="17" t="n">
        <f aca="false">Report!U198</f>
        <v>2287.85</v>
      </c>
      <c r="D132" s="1" t="str">
        <f aca="false">Report!X198</f>
        <v>NF 1171501 ELLEN</v>
      </c>
    </row>
    <row r="133" customFormat="false" ht="12.75" hidden="false" customHeight="true" outlineLevel="0" collapsed="false">
      <c r="A133" s="16" t="n">
        <f aca="false">Report!C199</f>
        <v>46210</v>
      </c>
      <c r="B133" s="1" t="str">
        <f aca="false">Report!E199</f>
        <v>BRASIL NORTE BEBIDAS S/A</v>
      </c>
      <c r="C133" s="17" t="n">
        <f aca="false">Report!U199</f>
        <v>97.97</v>
      </c>
      <c r="D133" s="1" t="n">
        <f aca="false">Report!X199</f>
        <v>0</v>
      </c>
    </row>
    <row r="134" customFormat="false" ht="12.75" hidden="false" customHeight="true" outlineLevel="0" collapsed="false">
      <c r="A134" s="16" t="n">
        <f aca="false">Report!C200</f>
        <v>46210</v>
      </c>
      <c r="B134" s="1" t="str">
        <f aca="false">Report!E200</f>
        <v>FEIRA</v>
      </c>
      <c r="C134" s="17" t="n">
        <f aca="false">Report!U200</f>
        <v>220</v>
      </c>
      <c r="D134" s="1" t="str">
        <f aca="false">Report!X200</f>
        <v>FEIRA SR RENATO - MACA/UVA-PG P LJ1 -SOMAR C NF2528-ELLEN</v>
      </c>
    </row>
    <row r="135" customFormat="false" ht="12.75" hidden="false" customHeight="true" outlineLevel="0" collapsed="false">
      <c r="A135" s="16" t="n">
        <f aca="false">Report!C201</f>
        <v>46210</v>
      </c>
      <c r="B135" s="1" t="str">
        <f aca="false">Report!E201</f>
        <v>H L M PADARIA E CONFEITARIA LTDA</v>
      </c>
      <c r="C135" s="17" t="n">
        <f aca="false">Report!U201</f>
        <v>120</v>
      </c>
      <c r="D135" s="1" t="str">
        <f aca="false">Report!X201</f>
        <v>NF 18 COMPRAS-BOLO PG NO P 7/7/26 ELLEN</v>
      </c>
    </row>
    <row r="136" customFormat="false" ht="12.75" hidden="false" customHeight="true" outlineLevel="0" collapsed="false">
      <c r="A136" s="16" t="n">
        <f aca="false">Report!C202</f>
        <v>46210</v>
      </c>
      <c r="B136" s="1" t="str">
        <f aca="false">Report!E202</f>
        <v>H. L. DO NASCIMENTO</v>
      </c>
      <c r="C136" s="17" t="n">
        <f aca="false">Report!U202</f>
        <v>358.65</v>
      </c>
      <c r="D136" s="1" t="str">
        <f aca="false">Report!X202</f>
        <v>NF 5720 ELLEN</v>
      </c>
    </row>
    <row r="137" customFormat="false" ht="12.75" hidden="false" customHeight="true" outlineLevel="0" collapsed="false">
      <c r="A137" s="16" t="n">
        <f aca="false">Report!C203</f>
        <v>46210</v>
      </c>
      <c r="B137" s="1" t="str">
        <f aca="false">Report!E203</f>
        <v>INNOVAR DISTRIBUIDORA DE COSMETICOS E MEDICAMENTOS LTDA</v>
      </c>
      <c r="C137" s="17" t="n">
        <f aca="false">Report!U203</f>
        <v>360.24</v>
      </c>
      <c r="D137" s="1" t="str">
        <f aca="false">Report!X203</f>
        <v>NF 102727 ELLEN</v>
      </c>
    </row>
    <row r="138" customFormat="false" ht="12.75" hidden="false" customHeight="true" outlineLevel="0" collapsed="false">
      <c r="A138" s="16" t="n">
        <f aca="false">Report!C204</f>
        <v>46210</v>
      </c>
      <c r="B138" s="1" t="str">
        <f aca="false">Report!E204</f>
        <v>JAB COMERCIO DE PRODUTOS ALIMENTICIOS LT</v>
      </c>
      <c r="C138" s="17" t="n">
        <f aca="false">Report!U204</f>
        <v>122</v>
      </c>
      <c r="D138" s="1" t="str">
        <f aca="false">Report!X204</f>
        <v>NF 3453 ELLEN</v>
      </c>
    </row>
    <row r="139" customFormat="false" ht="12.75" hidden="false" customHeight="true" outlineLevel="0" collapsed="false">
      <c r="A139" s="16" t="n">
        <f aca="false">Report!C205</f>
        <v>46210</v>
      </c>
      <c r="B139" s="1" t="str">
        <f aca="false">Report!E205</f>
        <v>NATUREZA COMERCIO DE DESCARTAVEIS LTDA</v>
      </c>
      <c r="C139" s="17" t="n">
        <f aca="false">Report!U205</f>
        <v>326.84</v>
      </c>
      <c r="D139" s="1" t="str">
        <f aca="false">Report!X205</f>
        <v>NF 729265 ELLEN</v>
      </c>
    </row>
    <row r="140" customFormat="false" ht="12.75" hidden="false" customHeight="true" outlineLevel="0" collapsed="false">
      <c r="A140" s="16" t="n">
        <f aca="false">Report!C206</f>
        <v>46210</v>
      </c>
      <c r="B140" s="1" t="str">
        <f aca="false">Report!E206</f>
        <v>NESTLÉ BRASIL LTDA.</v>
      </c>
      <c r="C140" s="17" t="n">
        <f aca="false">Report!U206</f>
        <v>418.83</v>
      </c>
      <c r="D140" s="1" t="str">
        <f aca="false">Report!X206</f>
        <v>NF 1420058 ELLEN</v>
      </c>
    </row>
    <row r="141" customFormat="false" ht="12.75" hidden="false" customHeight="true" outlineLevel="0" collapsed="false">
      <c r="A141" s="16" t="n">
        <f aca="false">Report!C207</f>
        <v>46210</v>
      </c>
      <c r="B141" s="1" t="str">
        <f aca="false">Report!E207</f>
        <v>NEYLIANE S DE OLIVEIRA &amp; CIA LTDA</v>
      </c>
      <c r="C141" s="17" t="n">
        <f aca="false">Report!U207</f>
        <v>2024.65</v>
      </c>
      <c r="D141" s="1" t="str">
        <f aca="false">Report!X207</f>
        <v>FEIRA SR RENATO - PG P LJ1 - ELLEN</v>
      </c>
    </row>
    <row r="142" customFormat="false" ht="12.75" hidden="false" customHeight="true" outlineLevel="0" collapsed="false">
      <c r="A142" s="16" t="n">
        <f aca="false">Report!C208</f>
        <v>46210</v>
      </c>
      <c r="B142" s="1" t="str">
        <f aca="false">Report!E208</f>
        <v>NOVA FRIOS COMERCIO ATACADISTA DE LATICINIOS LTDA</v>
      </c>
      <c r="C142" s="17" t="n">
        <f aca="false">Report!U208</f>
        <v>236.18</v>
      </c>
      <c r="D142" s="1" t="str">
        <f aca="false">Report!X208</f>
        <v>NF 3933 ELLEN</v>
      </c>
    </row>
    <row r="143" customFormat="false" ht="12.75" hidden="false" customHeight="true" outlineLevel="0" collapsed="false">
      <c r="A143" s="16" t="n">
        <f aca="false">Report!C211</f>
        <v>46210</v>
      </c>
      <c r="B143" s="1" t="str">
        <f aca="false">Report!E211</f>
        <v>SAO JOSE COMERCIO DE LATICINIOS E FRIOS</v>
      </c>
      <c r="C143" s="17" t="n">
        <f aca="false">Report!U211</f>
        <v>589.5</v>
      </c>
      <c r="D143" s="1" t="str">
        <f aca="false">Report!X211</f>
        <v>NF 3507 ELLEN</v>
      </c>
    </row>
    <row r="144" customFormat="false" ht="12.75" hidden="false" customHeight="true" outlineLevel="0" collapsed="false">
      <c r="A144" s="16" t="n">
        <f aca="false">Report!C212</f>
        <v>46210</v>
      </c>
      <c r="B144" s="1" t="str">
        <f aca="false">Report!E212</f>
        <v>SILVA E SANTOS FRIGORIFICO LTDA</v>
      </c>
      <c r="C144" s="17" t="n">
        <f aca="false">Report!U212</f>
        <v>3140</v>
      </c>
      <c r="D144" s="1" t="str">
        <f aca="false">Report!X212</f>
        <v>NF 31492 ELLEN</v>
      </c>
    </row>
    <row r="145" customFormat="false" ht="12.75" hidden="false" customHeight="true" outlineLevel="0" collapsed="false">
      <c r="A145" s="16" t="n">
        <f aca="false">Report!C213</f>
        <v>46211</v>
      </c>
      <c r="B145" s="1" t="str">
        <f aca="false">Report!E213</f>
        <v>ADRIANA DISTRIBUIDORA DE PRODUTOS ALIMEN</v>
      </c>
      <c r="C145" s="17" t="n">
        <f aca="false">Report!U213</f>
        <v>589.08</v>
      </c>
      <c r="D145" s="1" t="str">
        <f aca="false">Report!X213</f>
        <v>NF 878758 ELLEN</v>
      </c>
    </row>
    <row r="146" customFormat="false" ht="12.75" hidden="false" customHeight="true" outlineLevel="0" collapsed="false">
      <c r="A146" s="16" t="n">
        <f aca="false">Report!C215</f>
        <v>46211</v>
      </c>
      <c r="B146" s="1" t="str">
        <f aca="false">Report!E215</f>
        <v>BRF S A</v>
      </c>
      <c r="C146" s="17" t="n">
        <f aca="false">Report!U215</f>
        <v>671.15</v>
      </c>
      <c r="D146" s="1" t="str">
        <f aca="false">Report!X215</f>
        <v>NF 1598763 ELLEN</v>
      </c>
    </row>
    <row r="147" customFormat="false" ht="12.75" hidden="false" customHeight="true" outlineLevel="0" collapsed="false">
      <c r="A147" s="16" t="n">
        <f aca="false">Report!C216</f>
        <v>46211</v>
      </c>
      <c r="B147" s="1" t="str">
        <f aca="false">Report!E216</f>
        <v>BRF S A</v>
      </c>
      <c r="C147" s="17" t="n">
        <f aca="false">Report!U216</f>
        <v>1881.47</v>
      </c>
      <c r="D147" s="1" t="str">
        <f aca="false">Report!X216</f>
        <v>NF 1600681 ELLEN</v>
      </c>
    </row>
    <row r="148" customFormat="false" ht="12.75" hidden="false" customHeight="true" outlineLevel="0" collapsed="false">
      <c r="A148" s="16" t="n">
        <f aca="false">Report!C217</f>
        <v>46211</v>
      </c>
      <c r="B148" s="1" t="str">
        <f aca="false">Report!E217</f>
        <v>COARI DISTRIBUIDORA DE BEBIDAS LTDA</v>
      </c>
      <c r="C148" s="17" t="n">
        <f aca="false">Report!U217</f>
        <v>324.43</v>
      </c>
      <c r="D148" s="1" t="str">
        <f aca="false">Report!X217</f>
        <v>NF 252 ELLEN</v>
      </c>
    </row>
    <row r="149" customFormat="false" ht="12.75" hidden="false" customHeight="true" outlineLevel="0" collapsed="false">
      <c r="A149" s="16" t="n">
        <f aca="false">Report!C218</f>
        <v>46211</v>
      </c>
      <c r="B149" s="1" t="str">
        <f aca="false">Report!E218</f>
        <v>D DE J SANTOS LTDA</v>
      </c>
      <c r="C149" s="17" t="n">
        <f aca="false">Report!U218</f>
        <v>845</v>
      </c>
      <c r="D149" s="1" t="str">
        <f aca="false">Report!X218</f>
        <v>NF 253 ELLEN</v>
      </c>
    </row>
    <row r="150" customFormat="false" ht="12.75" hidden="false" customHeight="true" outlineLevel="0" collapsed="false">
      <c r="A150" s="16" t="n">
        <f aca="false">Report!C219</f>
        <v>46211</v>
      </c>
      <c r="B150" s="1" t="str">
        <f aca="false">Report!E219</f>
        <v>FUNNY PET DISTRIBUIDORA DE ALIMENTOS PAR</v>
      </c>
      <c r="C150" s="17" t="n">
        <f aca="false">Report!U219</f>
        <v>1589.28</v>
      </c>
      <c r="D150" s="1" t="str">
        <f aca="false">Report!X219</f>
        <v>NF 20499 ELLEN</v>
      </c>
    </row>
    <row r="151" customFormat="false" ht="12.75" hidden="false" customHeight="true" outlineLevel="0" collapsed="false">
      <c r="A151" s="16" t="n">
        <f aca="false">Report!C220</f>
        <v>46211</v>
      </c>
      <c r="B151" s="1" t="str">
        <f aca="false">Report!E220</f>
        <v>J G COMERCIO DE PRODUTOS ALIMENTICIOS LTDA</v>
      </c>
      <c r="C151" s="17" t="n">
        <f aca="false">Report!U220</f>
        <v>314.44</v>
      </c>
      <c r="D151" s="1" t="str">
        <f aca="false">Report!X220</f>
        <v>NF 388857 ELLEN</v>
      </c>
    </row>
    <row r="152" customFormat="false" ht="12.75" hidden="false" customHeight="true" outlineLevel="0" collapsed="false">
      <c r="A152" s="16" t="n">
        <f aca="false">Report!C221</f>
        <v>46211</v>
      </c>
      <c r="B152" s="1" t="str">
        <f aca="false">Report!E221</f>
        <v>L. DOS SANTOS PIMENTEL LTDA</v>
      </c>
      <c r="C152" s="17" t="n">
        <f aca="false">Report!U221</f>
        <v>164.5</v>
      </c>
      <c r="D152" s="1" t="str">
        <f aca="false">Report!X221</f>
        <v>NF 294 COMPRAS-IOGURTE CASEIRO-ELLEN</v>
      </c>
    </row>
    <row r="153" customFormat="false" ht="12.75" hidden="false" customHeight="true" outlineLevel="0" collapsed="false">
      <c r="A153" s="16" t="n">
        <f aca="false">Report!C222</f>
        <v>46211</v>
      </c>
      <c r="B153" s="1" t="str">
        <f aca="false">Report!E222</f>
        <v>NATUREZA COMERCIO DE DESCARTAVEIS LTDA</v>
      </c>
      <c r="C153" s="17" t="n">
        <f aca="false">Report!U222</f>
        <v>381.51</v>
      </c>
      <c r="D153" s="1" t="str">
        <f aca="false">Report!X222</f>
        <v>NF 729799 ELLEN</v>
      </c>
    </row>
    <row r="154" customFormat="false" ht="12.75" hidden="false" customHeight="true" outlineLevel="0" collapsed="false">
      <c r="A154" s="16" t="n">
        <f aca="false">Report!C223</f>
        <v>46211</v>
      </c>
      <c r="B154" s="1" t="str">
        <f aca="false">Report!E223</f>
        <v>OESA COMERCIO E REPRESENTACOES S/A</v>
      </c>
      <c r="C154" s="17" t="n">
        <f aca="false">Report!U223</f>
        <v>61.58</v>
      </c>
      <c r="D154" s="1" t="str">
        <f aca="false">Report!X223</f>
        <v>NF 416678 ELLEN</v>
      </c>
    </row>
    <row r="155" customFormat="false" ht="12.75" hidden="false" customHeight="true" outlineLevel="0" collapsed="false">
      <c r="A155" s="16" t="n">
        <f aca="false">Report!C224</f>
        <v>46211</v>
      </c>
      <c r="B155" s="1" t="str">
        <f aca="false">Report!E224</f>
        <v>ORIENTE COM. ATACADISTA E REPRES. LTDA</v>
      </c>
      <c r="C155" s="17" t="n">
        <f aca="false">Report!U224</f>
        <v>1159.5</v>
      </c>
      <c r="D155" s="1" t="str">
        <f aca="false">Report!X224</f>
        <v>NF 1996 ELLEN</v>
      </c>
    </row>
    <row r="156" customFormat="false" ht="12.75" hidden="false" customHeight="true" outlineLevel="0" collapsed="false">
      <c r="A156" s="16" t="n">
        <f aca="false">Report!C225</f>
        <v>46211</v>
      </c>
      <c r="B156" s="1" t="str">
        <f aca="false">Report!E225</f>
        <v>PANIFICADORA E CONFEITARIA REAL MADRI LTDA</v>
      </c>
      <c r="C156" s="17" t="n">
        <f aca="false">Report!U225</f>
        <v>379.6</v>
      </c>
      <c r="D156" s="1" t="str">
        <f aca="false">Report!X225</f>
        <v>NF 698 ELLEN</v>
      </c>
    </row>
    <row r="157" customFormat="false" ht="12.75" hidden="false" customHeight="true" outlineLevel="0" collapsed="false">
      <c r="A157" s="16" t="n">
        <f aca="false">Report!C227</f>
        <v>46211</v>
      </c>
      <c r="B157" s="1" t="str">
        <f aca="false">Report!E227</f>
        <v>TRES CORACOES ALIMENTOS S.A.</v>
      </c>
      <c r="C157" s="17" t="n">
        <f aca="false">Report!U227</f>
        <v>877.29</v>
      </c>
      <c r="D157" s="1" t="str">
        <f aca="false">Report!X227</f>
        <v>NF 346452 ELLEN</v>
      </c>
    </row>
    <row r="158" customFormat="false" ht="12.75" hidden="false" customHeight="true" outlineLevel="0" collapsed="false">
      <c r="A158" s="16" t="n">
        <f aca="false">Report!C228</f>
        <v>46212</v>
      </c>
      <c r="B158" s="1" t="str">
        <f aca="false">Report!E228</f>
        <v>ADICSO FABIAN GONZALEZ MONTILLA 70302186</v>
      </c>
      <c r="C158" s="17" t="n">
        <f aca="false">Report!U228</f>
        <v>240</v>
      </c>
      <c r="D158" s="1" t="str">
        <f aca="false">Report!X228</f>
        <v>NF 524 ELLEN</v>
      </c>
    </row>
    <row r="159" customFormat="false" ht="12.75" hidden="false" customHeight="true" outlineLevel="0" collapsed="false">
      <c r="A159" s="16" t="n">
        <f aca="false">Report!C229</f>
        <v>46212</v>
      </c>
      <c r="B159" s="1" t="str">
        <f aca="false">Report!E229</f>
        <v>AMERICANA DISTRIBUIDORA DE BEBIDAS E MERCADORIAS LTDA</v>
      </c>
      <c r="C159" s="17" t="n">
        <f aca="false">Report!U229</f>
        <v>155.16</v>
      </c>
      <c r="D159" s="1" t="str">
        <f aca="false">Report!X229</f>
        <v>NF 77922 ELLEN</v>
      </c>
    </row>
    <row r="160" customFormat="false" ht="12.75" hidden="false" customHeight="true" outlineLevel="0" collapsed="false">
      <c r="A160" s="16" t="n">
        <f aca="false">Report!C230</f>
        <v>46212</v>
      </c>
      <c r="B160" s="1" t="str">
        <f aca="false">Report!E230</f>
        <v>BRAGA TABACARIA EIRELI ME</v>
      </c>
      <c r="C160" s="17" t="n">
        <f aca="false">Report!U230</f>
        <v>1073.2</v>
      </c>
      <c r="D160" s="1" t="str">
        <f aca="false">Report!X230</f>
        <v>NF 18998 ELLEN</v>
      </c>
    </row>
    <row r="161" customFormat="false" ht="12.75" hidden="false" customHeight="true" outlineLevel="0" collapsed="false">
      <c r="A161" s="16" t="n">
        <f aca="false">Report!C231</f>
        <v>46212</v>
      </c>
      <c r="B161" s="1" t="str">
        <f aca="false">Report!E231</f>
        <v>BRASIL NORTE BEBIDAS S/A</v>
      </c>
      <c r="C161" s="17" t="n">
        <f aca="false">Report!U231</f>
        <v>1547.44</v>
      </c>
      <c r="D161" s="1" t="str">
        <f aca="false">Report!X231</f>
        <v>NF 1899276 ELLEN</v>
      </c>
    </row>
    <row r="162" customFormat="false" ht="12.75" hidden="false" customHeight="true" outlineLevel="0" collapsed="false">
      <c r="A162" s="16" t="n">
        <f aca="false">Report!C232</f>
        <v>46212</v>
      </c>
      <c r="B162" s="1" t="str">
        <f aca="false">Report!E232</f>
        <v>BRASIL NORTE BEBIDAS S/A</v>
      </c>
      <c r="C162" s="17" t="n">
        <f aca="false">Report!U232</f>
        <v>124.47</v>
      </c>
      <c r="D162" s="1" t="str">
        <f aca="false">Report!X232</f>
        <v>NF 1175404 ELLEN</v>
      </c>
    </row>
    <row r="163" customFormat="false" ht="12.75" hidden="false" customHeight="true" outlineLevel="0" collapsed="false">
      <c r="A163" s="16" t="n">
        <f aca="false">Report!C233</f>
        <v>46212</v>
      </c>
      <c r="B163" s="1" t="str">
        <f aca="false">Report!E233</f>
        <v>DISTRIBUIDORA LOPES LTDA</v>
      </c>
      <c r="C163" s="17" t="n">
        <f aca="false">Report!U233</f>
        <v>478.8</v>
      </c>
      <c r="D163" s="1" t="str">
        <f aca="false">Report!X233</f>
        <v>NF 1671078 ELLEN</v>
      </c>
    </row>
    <row r="164" customFormat="false" ht="12.75" hidden="false" customHeight="true" outlineLevel="0" collapsed="false">
      <c r="A164" s="16" t="n">
        <f aca="false">Report!C234</f>
        <v>46212</v>
      </c>
      <c r="B164" s="1" t="str">
        <f aca="false">Report!E234</f>
        <v>DUNORTE DISTRIBUIDORA DE PRODUTOS DE CONSUMO LTDA</v>
      </c>
      <c r="C164" s="17" t="n">
        <f aca="false">Report!U234</f>
        <v>1105.95</v>
      </c>
      <c r="D164" s="1" t="str">
        <f aca="false">Report!X234</f>
        <v>NF 3201284 ELLEN</v>
      </c>
    </row>
    <row r="165" customFormat="false" ht="12.75" hidden="false" customHeight="true" outlineLevel="0" collapsed="false">
      <c r="A165" s="16" t="n">
        <f aca="false">Report!C235</f>
        <v>46212</v>
      </c>
      <c r="B165" s="1" t="str">
        <f aca="false">Report!E235</f>
        <v>DURAES DISTRIBUIDORA DE ESTIVAS LTDA</v>
      </c>
      <c r="C165" s="17" t="n">
        <f aca="false">Report!U235</f>
        <v>383.47</v>
      </c>
      <c r="D165" s="1" t="str">
        <f aca="false">Report!X235</f>
        <v>NF 645628 ELLEN</v>
      </c>
    </row>
    <row r="166" customFormat="false" ht="12.75" hidden="false" customHeight="true" outlineLevel="0" collapsed="false">
      <c r="A166" s="16" t="n">
        <f aca="false">Report!C236</f>
        <v>46212</v>
      </c>
      <c r="B166" s="1" t="str">
        <f aca="false">Report!E236</f>
        <v>FH DISTRIBUIDORA DE ALIM. E BEBIDAS LTDA</v>
      </c>
      <c r="C166" s="17" t="n">
        <f aca="false">Report!U236</f>
        <v>496.2</v>
      </c>
      <c r="D166" s="1" t="str">
        <f aca="false">Report!X236</f>
        <v>NF 326863 ELLEN</v>
      </c>
    </row>
    <row r="167" customFormat="false" ht="12.75" hidden="false" customHeight="true" outlineLevel="0" collapsed="false">
      <c r="A167" s="16" t="n">
        <f aca="false">Report!C237</f>
        <v>46212</v>
      </c>
      <c r="B167" s="1" t="str">
        <f aca="false">Report!E237</f>
        <v>J G COMERCIO DE PRODUTOS ALIMENTICIOS LTDA</v>
      </c>
      <c r="C167" s="17" t="n">
        <f aca="false">Report!U237</f>
        <v>2664.54</v>
      </c>
      <c r="D167" s="1" t="str">
        <f aca="false">Report!X237</f>
        <v>NF 387833 ELLEN</v>
      </c>
    </row>
    <row r="168" customFormat="false" ht="12.75" hidden="false" customHeight="true" outlineLevel="0" collapsed="false">
      <c r="A168" s="16" t="n">
        <f aca="false">Report!C238</f>
        <v>46212</v>
      </c>
      <c r="B168" s="1" t="str">
        <f aca="false">Report!E238</f>
        <v>J G COMERCIO DE PRODUTOS ALIMENTICIOS LTDA</v>
      </c>
      <c r="C168" s="17" t="n">
        <f aca="false">Report!U238</f>
        <v>2005.45</v>
      </c>
      <c r="D168" s="1" t="str">
        <f aca="false">Report!X238</f>
        <v>NF 390211 ELLEN</v>
      </c>
    </row>
    <row r="169" customFormat="false" ht="12.75" hidden="false" customHeight="true" outlineLevel="0" collapsed="false">
      <c r="A169" s="16" t="n">
        <f aca="false">Report!C239</f>
        <v>46212</v>
      </c>
      <c r="B169" s="1" t="str">
        <f aca="false">Report!E239</f>
        <v>MARTINS COM SERV DISTR SA</v>
      </c>
      <c r="C169" s="17" t="n">
        <f aca="false">Report!U239</f>
        <v>613.33</v>
      </c>
      <c r="D169" s="1" t="str">
        <f aca="false">Report!X239</f>
        <v>NF 1771887 ELLEN</v>
      </c>
    </row>
    <row r="170" customFormat="false" ht="12.75" hidden="false" customHeight="true" outlineLevel="0" collapsed="false">
      <c r="A170" s="16" t="n">
        <f aca="false">Report!C240</f>
        <v>46212</v>
      </c>
      <c r="B170" s="1" t="str">
        <f aca="false">Report!E240</f>
        <v>NEYLIANE S DE OLIVEIRA &amp; CIA LTDA</v>
      </c>
      <c r="C170" s="17" t="n">
        <f aca="false">Report!U240</f>
        <v>210</v>
      </c>
      <c r="D170" s="1" t="str">
        <f aca="false">Report!X240</f>
        <v>COMPRAS - 15L ACAI - PG NO P 9/7/26-ELLEN</v>
      </c>
    </row>
    <row r="171" customFormat="false" ht="12.75" hidden="false" customHeight="true" outlineLevel="0" collapsed="false">
      <c r="A171" s="16" t="n">
        <f aca="false">Report!C241</f>
        <v>46212</v>
      </c>
      <c r="B171" s="1" t="str">
        <f aca="false">Report!E241</f>
        <v>RISADINHA LTDA</v>
      </c>
      <c r="C171" s="17" t="n">
        <f aca="false">Report!U241</f>
        <v>550.4</v>
      </c>
      <c r="D171" s="1" t="str">
        <f aca="false">Report!X241</f>
        <v>NF 658429 ELLEN</v>
      </c>
    </row>
    <row r="172" customFormat="false" ht="12.75" hidden="false" customHeight="true" outlineLevel="0" collapsed="false">
      <c r="A172" s="16" t="n">
        <f aca="false">Report!C242</f>
        <v>46212</v>
      </c>
      <c r="B172" s="1" t="str">
        <f aca="false">Report!E242</f>
        <v>SB COMERCIO LTDA</v>
      </c>
      <c r="C172" s="17" t="n">
        <f aca="false">Report!U242</f>
        <v>653.65</v>
      </c>
      <c r="D172" s="1" t="str">
        <f aca="false">Report!X242</f>
        <v>NF 1959276 ELLEN</v>
      </c>
    </row>
    <row r="173" customFormat="false" ht="12.75" hidden="false" customHeight="true" outlineLevel="0" collapsed="false">
      <c r="A173" s="16" t="n">
        <f aca="false">Report!C243</f>
        <v>46212</v>
      </c>
      <c r="B173" s="1" t="str">
        <f aca="false">Report!E243</f>
        <v>SL DISTRIBUIDORA COM. DE PROD. ALIMENTIC</v>
      </c>
      <c r="C173" s="17" t="n">
        <f aca="false">Report!U243</f>
        <v>552.37</v>
      </c>
      <c r="D173" s="1" t="str">
        <f aca="false">Report!X243</f>
        <v>NF 10423 ELLEN</v>
      </c>
    </row>
    <row r="174" customFormat="false" ht="12.75" hidden="false" customHeight="true" outlineLevel="0" collapsed="false">
      <c r="A174" s="16" t="n">
        <f aca="false">Report!C244</f>
        <v>46212</v>
      </c>
      <c r="B174" s="1" t="str">
        <f aca="false">Report!E244</f>
        <v>VIA CERTA INDUSTRIA E COMERCIO DE SANEANTES LTDA</v>
      </c>
      <c r="C174" s="17" t="n">
        <f aca="false">Report!U244</f>
        <v>1222.04</v>
      </c>
      <c r="D174" s="1" t="str">
        <f aca="false">Report!X244</f>
        <v>NF 41243 ELLEN</v>
      </c>
    </row>
    <row r="175" customFormat="false" ht="12.75" hidden="false" customHeight="true" outlineLevel="0" collapsed="false">
      <c r="A175" s="16" t="n">
        <f aca="false">Report!C246</f>
        <v>46213</v>
      </c>
      <c r="B175" s="1" t="str">
        <f aca="false">Report!E246</f>
        <v>AGM COMERCIO E DISTRIBUIDORA DE MATERIAS DE PERFUMARIA E LIMPEZA LTDA</v>
      </c>
      <c r="C175" s="17" t="n">
        <f aca="false">Report!U246</f>
        <v>592.5</v>
      </c>
      <c r="D175" s="1" t="str">
        <f aca="false">Report!X246</f>
        <v>NF 161137 ELLEN</v>
      </c>
    </row>
    <row r="176" customFormat="false" ht="12.75" hidden="false" customHeight="true" outlineLevel="0" collapsed="false">
      <c r="A176" s="16" t="n">
        <f aca="false">Report!C247</f>
        <v>46213</v>
      </c>
      <c r="B176" s="1" t="str">
        <f aca="false">Report!E247</f>
        <v>AGM INDUSTRIA COMERCIO E REPRESENTACAO LTDA</v>
      </c>
      <c r="C176" s="17" t="n">
        <f aca="false">Report!U247</f>
        <v>603.5</v>
      </c>
      <c r="D176" s="1" t="str">
        <f aca="false">Report!X247</f>
        <v>NF 47502 ELLEN</v>
      </c>
    </row>
    <row r="177" customFormat="false" ht="12.75" hidden="false" customHeight="true" outlineLevel="0" collapsed="false">
      <c r="A177" s="16" t="n">
        <f aca="false">Report!C248</f>
        <v>46213</v>
      </c>
      <c r="B177" s="1" t="str">
        <f aca="false">Report!E248</f>
        <v>BRAGA TABACARIA EIRELI ME</v>
      </c>
      <c r="C177" s="17" t="n">
        <f aca="false">Report!U248</f>
        <v>1433.64</v>
      </c>
      <c r="D177" s="1" t="str">
        <f aca="false">Report!X248</f>
        <v>NF 18762 ELLEN</v>
      </c>
    </row>
    <row r="178" customFormat="false" ht="12.75" hidden="false" customHeight="true" outlineLevel="0" collapsed="false">
      <c r="A178" s="16" t="n">
        <f aca="false">Report!C249</f>
        <v>46213</v>
      </c>
      <c r="B178" s="1" t="str">
        <f aca="false">Report!E249</f>
        <v>BRAGA TABACARIA EIRELI ME</v>
      </c>
      <c r="C178" s="17" t="n">
        <f aca="false">Report!U249</f>
        <v>148.2</v>
      </c>
      <c r="D178" s="1" t="str">
        <f aca="false">Report!X249</f>
        <v>S/NF - COMPRAS-CACHACA/SKARLOFF - ELLEN</v>
      </c>
    </row>
    <row r="179" customFormat="false" ht="12.75" hidden="false" customHeight="true" outlineLevel="0" collapsed="false">
      <c r="A179" s="16" t="n">
        <f aca="false">Report!C250</f>
        <v>46213</v>
      </c>
      <c r="B179" s="1" t="str">
        <f aca="false">Report!E250</f>
        <v>BROTHERS  INDUSTRIA DE ALIMENTOS LTDA</v>
      </c>
      <c r="C179" s="17" t="n">
        <f aca="false">Report!U250</f>
        <v>279.82</v>
      </c>
      <c r="D179" s="1" t="str">
        <f aca="false">Report!X250</f>
        <v>NF 1030058 ELLEN</v>
      </c>
    </row>
    <row r="180" customFormat="false" ht="12.75" hidden="false" customHeight="true" outlineLevel="0" collapsed="false">
      <c r="A180" s="16" t="n">
        <f aca="false">Report!C254</f>
        <v>46213</v>
      </c>
      <c r="B180" s="1" t="str">
        <f aca="false">Report!E254</f>
        <v>CRBS S/A</v>
      </c>
      <c r="C180" s="17" t="n">
        <f aca="false">Report!U254</f>
        <v>2293.67</v>
      </c>
      <c r="D180" s="1" t="str">
        <f aca="false">Report!X254</f>
        <v>NF 888702 ELLEN</v>
      </c>
    </row>
    <row r="181" customFormat="false" ht="12.75" hidden="false" customHeight="true" outlineLevel="0" collapsed="false">
      <c r="A181" s="16" t="n">
        <f aca="false">Report!C255</f>
        <v>46213</v>
      </c>
      <c r="B181" s="1" t="str">
        <f aca="false">Report!E255</f>
        <v>CRBS S/A</v>
      </c>
      <c r="C181" s="17" t="n">
        <f aca="false">Report!U255</f>
        <v>1.55</v>
      </c>
      <c r="D181" s="1" t="str">
        <f aca="false">Report!X255</f>
        <v>NF 888702 REF TARIFA AMBEV - ELLEN</v>
      </c>
    </row>
    <row r="182" customFormat="false" ht="12.75" hidden="false" customHeight="true" outlineLevel="0" collapsed="false">
      <c r="A182" s="16" t="n">
        <f aca="false">Report!C256</f>
        <v>46213</v>
      </c>
      <c r="B182" s="1" t="str">
        <f aca="false">Report!E256</f>
        <v>DISTRIBUIDORA FARIAS LTDA.</v>
      </c>
      <c r="C182" s="17" t="n">
        <f aca="false">Report!U256</f>
        <v>1055.34</v>
      </c>
      <c r="D182" s="1" t="str">
        <f aca="false">Report!X256</f>
        <v>NF 674937 ELLEN</v>
      </c>
    </row>
    <row r="183" customFormat="false" ht="12.75" hidden="false" customHeight="true" outlineLevel="0" collapsed="false">
      <c r="A183" s="16" t="n">
        <f aca="false">Report!C257</f>
        <v>46213</v>
      </c>
      <c r="B183" s="1" t="str">
        <f aca="false">Report!E257</f>
        <v>DISTRIBUIDORA LOPES LTDA</v>
      </c>
      <c r="C183" s="17" t="n">
        <f aca="false">Report!U257</f>
        <v>1154.88</v>
      </c>
      <c r="D183" s="1" t="str">
        <f aca="false">Report!X257</f>
        <v>NF 1676804 ELLEN</v>
      </c>
    </row>
    <row r="184" customFormat="false" ht="12.75" hidden="false" customHeight="true" outlineLevel="0" collapsed="false">
      <c r="A184" s="16" t="n">
        <f aca="false">Report!C258</f>
        <v>46213</v>
      </c>
      <c r="B184" s="1" t="str">
        <f aca="false">Report!E258</f>
        <v>E. D. SENA &amp; CIA LTDA</v>
      </c>
      <c r="C184" s="17" t="n">
        <f aca="false">Report!U258</f>
        <v>531.2</v>
      </c>
      <c r="D184" s="1" t="str">
        <f aca="false">Report!X258</f>
        <v>NF 9495 ELLEN</v>
      </c>
    </row>
    <row r="185" customFormat="false" ht="12.75" hidden="false" customHeight="true" outlineLevel="0" collapsed="false">
      <c r="A185" s="16" t="n">
        <f aca="false">Report!C259</f>
        <v>46213</v>
      </c>
      <c r="B185" s="1" t="str">
        <f aca="false">Report!E259</f>
        <v>FRUTAL INDUSTRIA E COMERCIO LTDA</v>
      </c>
      <c r="C185" s="17" t="n">
        <f aca="false">Report!U259</f>
        <v>393.86</v>
      </c>
      <c r="D185" s="1" t="str">
        <f aca="false">Report!X259</f>
        <v>NF 225160 ELLEN</v>
      </c>
    </row>
    <row r="186" customFormat="false" ht="12.75" hidden="false" customHeight="true" outlineLevel="0" collapsed="false">
      <c r="A186" s="16" t="n">
        <f aca="false">Report!C260</f>
        <v>46213</v>
      </c>
      <c r="B186" s="1" t="str">
        <f aca="false">Report!E260</f>
        <v>G A COMERCIO DE PRODUTOS HOSPITALARES LTDA</v>
      </c>
      <c r="C186" s="17" t="n">
        <f aca="false">Report!U260</f>
        <v>368.4</v>
      </c>
      <c r="D186" s="1" t="str">
        <f aca="false">Report!X260</f>
        <v>NF 890 ELLEN</v>
      </c>
    </row>
    <row r="187" customFormat="false" ht="12.75" hidden="false" customHeight="true" outlineLevel="0" collapsed="false">
      <c r="A187" s="16" t="n">
        <f aca="false">Report!C262</f>
        <v>46213</v>
      </c>
      <c r="B187" s="1" t="str">
        <f aca="false">Report!E262</f>
        <v>H L M PADARIA E CONFEITARIA LTDA</v>
      </c>
      <c r="C187" s="17" t="n">
        <f aca="false">Report!U262</f>
        <v>200</v>
      </c>
      <c r="D187" s="1" t="str">
        <f aca="false">Report!X262</f>
        <v>NF 20 COMPRAS-BOLO PG NO P 10/7/26 ELLEN</v>
      </c>
    </row>
    <row r="188" customFormat="false" ht="12.75" hidden="false" customHeight="true" outlineLevel="0" collapsed="false">
      <c r="A188" s="16" t="n">
        <f aca="false">Report!C263</f>
        <v>46213</v>
      </c>
      <c r="B188" s="1" t="str">
        <f aca="false">Report!E263</f>
        <v>H. L. DO NASCIMENTO</v>
      </c>
      <c r="C188" s="17" t="n">
        <f aca="false">Report!U263</f>
        <v>430.3</v>
      </c>
      <c r="D188" s="1" t="str">
        <f aca="false">Report!X263</f>
        <v>NF 5765 ELLEN</v>
      </c>
    </row>
    <row r="189" customFormat="false" ht="12.75" hidden="false" customHeight="true" outlineLevel="0" collapsed="false">
      <c r="A189" s="16" t="n">
        <f aca="false">Report!C264</f>
        <v>46213</v>
      </c>
      <c r="B189" s="1" t="str">
        <f aca="false">Report!E264</f>
        <v>J G COMERCIO DE PRODUTOS ALIMENTICIOS LTDA</v>
      </c>
      <c r="C189" s="17" t="n">
        <f aca="false">Report!U264</f>
        <v>371.88</v>
      </c>
      <c r="D189" s="1" t="n">
        <f aca="false">Report!X264</f>
        <v>0</v>
      </c>
    </row>
    <row r="190" customFormat="false" ht="12.75" hidden="false" customHeight="true" outlineLevel="0" collapsed="false">
      <c r="A190" s="16" t="n">
        <f aca="false">Report!C265</f>
        <v>46213</v>
      </c>
      <c r="B190" s="1" t="str">
        <f aca="false">Report!E265</f>
        <v>L S M COMERCIO DE ALIMENTOS E NAVEGACAO</v>
      </c>
      <c r="C190" s="17" t="n">
        <f aca="false">Report!U265</f>
        <v>1184.07</v>
      </c>
      <c r="D190" s="1" t="str">
        <f aca="false">Report!X265</f>
        <v>NF 305929 ELLEN</v>
      </c>
    </row>
    <row r="191" customFormat="false" ht="12.75" hidden="false" customHeight="true" outlineLevel="0" collapsed="false">
      <c r="A191" s="16" t="n">
        <f aca="false">Report!C266</f>
        <v>46213</v>
      </c>
      <c r="B191" s="1" t="str">
        <f aca="false">Report!E266</f>
        <v>MAXFRI DISTRIUIDORA LTDA</v>
      </c>
      <c r="C191" s="17" t="n">
        <f aca="false">Report!U266</f>
        <v>5738.21</v>
      </c>
      <c r="D191" s="1" t="str">
        <f aca="false">Report!X266</f>
        <v>NF 14615 ELLEN</v>
      </c>
    </row>
    <row r="192" customFormat="false" ht="12.75" hidden="false" customHeight="true" outlineLevel="0" collapsed="false">
      <c r="A192" s="16" t="n">
        <f aca="false">Report!C268</f>
        <v>46213</v>
      </c>
      <c r="B192" s="1" t="str">
        <f aca="false">Report!E268</f>
        <v>NEYLIANE S DE OLIVEIRA &amp; CIA LTDA</v>
      </c>
      <c r="C192" s="17" t="n">
        <f aca="false">Report!U268</f>
        <v>1838.6</v>
      </c>
      <c r="D192" s="1" t="str">
        <f aca="false">Report!X268</f>
        <v>FEIRA SR RENATO - PG P LJ1 - ELLEN</v>
      </c>
    </row>
    <row r="193" customFormat="false" ht="12.75" hidden="false" customHeight="true" outlineLevel="0" collapsed="false">
      <c r="A193" s="16" t="n">
        <f aca="false">Report!C269</f>
        <v>46213</v>
      </c>
      <c r="B193" s="1" t="str">
        <f aca="false">Report!E269</f>
        <v>NORTELAC DISTRIBUIDORA DE FRIOS LTDA</v>
      </c>
      <c r="C193" s="17" t="n">
        <f aca="false">Report!U269</f>
        <v>460</v>
      </c>
      <c r="D193" s="1" t="str">
        <f aca="false">Report!X269</f>
        <v>NF 42910 ELLEN</v>
      </c>
    </row>
    <row r="194" customFormat="false" ht="12.75" hidden="false" customHeight="true" outlineLevel="0" collapsed="false">
      <c r="A194" s="16" t="n">
        <f aca="false">Report!C270</f>
        <v>46213</v>
      </c>
      <c r="B194" s="1" t="str">
        <f aca="false">Report!E270</f>
        <v>OESA COMERCIO E REPRESENTACOES S/A</v>
      </c>
      <c r="C194" s="17" t="n">
        <f aca="false">Report!U270</f>
        <v>620</v>
      </c>
      <c r="D194" s="1" t="str">
        <f aca="false">Report!X270</f>
        <v>NF 419092 ELLEN</v>
      </c>
    </row>
    <row r="195" customFormat="false" ht="12.75" hidden="false" customHeight="true" outlineLevel="0" collapsed="false">
      <c r="A195" s="16" t="n">
        <f aca="false">Report!C273</f>
        <v>46213</v>
      </c>
      <c r="B195" s="1" t="str">
        <f aca="false">Report!E273</f>
        <v>SOUZA CRUZ LTDA.</v>
      </c>
      <c r="C195" s="17" t="n">
        <f aca="false">Report!U273</f>
        <v>5621.36</v>
      </c>
      <c r="D195" s="1" t="str">
        <f aca="false">Report!X273</f>
        <v>NF 564993 ELLEN</v>
      </c>
    </row>
    <row r="196" customFormat="false" ht="12.75" hidden="false" customHeight="true" outlineLevel="0" collapsed="false">
      <c r="A196" s="16" t="n">
        <f aca="false">Report!C274</f>
        <v>46214</v>
      </c>
      <c r="B196" s="1" t="str">
        <f aca="false">Report!E274</f>
        <v>DISTRIBUIDORA LOPES LTDA</v>
      </c>
      <c r="C196" s="17" t="n">
        <f aca="false">Report!U274</f>
        <v>832.51</v>
      </c>
      <c r="D196" s="1" t="str">
        <f aca="false">Report!X274</f>
        <v>NF 1686081 ELLEN</v>
      </c>
    </row>
    <row r="197" customFormat="false" ht="12.75" hidden="false" customHeight="true" outlineLevel="0" collapsed="false">
      <c r="A197" s="16" t="n">
        <f aca="false">Report!C275</f>
        <v>46214</v>
      </c>
      <c r="B197" s="1" t="str">
        <f aca="false">Report!E275</f>
        <v>MARE DISTRIBUIDORA DE BEBIDAS E DE PRODUTOS ALIMENTICIOS LTDA</v>
      </c>
      <c r="C197" s="17" t="n">
        <f aca="false">Report!U275</f>
        <v>1831.6</v>
      </c>
      <c r="D197" s="1" t="str">
        <f aca="false">Report!X275</f>
        <v>NF 1378386 ELLEN</v>
      </c>
    </row>
    <row r="198" customFormat="false" ht="12.75" hidden="false" customHeight="true" outlineLevel="0" collapsed="false">
      <c r="A198" s="16" t="n">
        <f aca="false">Report!C276</f>
        <v>46215</v>
      </c>
      <c r="B198" s="1" t="str">
        <f aca="false">Report!E276</f>
        <v>PRIME PET DISTRIBUIDORA LTDA</v>
      </c>
      <c r="C198" s="17" t="n">
        <f aca="false">Report!U276</f>
        <v>1361.81</v>
      </c>
      <c r="D198" s="1" t="str">
        <f aca="false">Report!X276</f>
        <v>NF 10860 ELLEN</v>
      </c>
    </row>
    <row r="199" customFormat="false" ht="12.75" hidden="false" customHeight="true" outlineLevel="0" collapsed="false">
      <c r="A199" s="16" t="n">
        <f aca="false">Report!C277</f>
        <v>46216</v>
      </c>
      <c r="B199" s="1" t="str">
        <f aca="false">Report!E277</f>
        <v>ADRIANA DISTRIBUIDORA DE PRODUTOS ALIMEN</v>
      </c>
      <c r="C199" s="17" t="n">
        <f aca="false">Report!U277</f>
        <v>791.31</v>
      </c>
      <c r="D199" s="1" t="str">
        <f aca="false">Report!X277</f>
        <v>NF 878392 ELLEN</v>
      </c>
    </row>
    <row r="200" customFormat="false" ht="12.75" hidden="false" customHeight="true" outlineLevel="0" collapsed="false">
      <c r="A200" s="16" t="n">
        <f aca="false">Report!C278</f>
        <v>46216</v>
      </c>
      <c r="B200" s="1" t="str">
        <f aca="false">Report!E278</f>
        <v>ADRIANO FEITOSA OLIVEIRA LTDA</v>
      </c>
      <c r="C200" s="17" t="n">
        <f aca="false">Report!U278</f>
        <v>2388.97</v>
      </c>
      <c r="D200" s="1" t="str">
        <f aca="false">Report!X278</f>
        <v>NF 322 ELLEN</v>
      </c>
    </row>
    <row r="201" customFormat="false" ht="12.75" hidden="false" customHeight="true" outlineLevel="0" collapsed="false">
      <c r="A201" s="16" t="n">
        <f aca="false">Report!C279</f>
        <v>46216</v>
      </c>
      <c r="B201" s="1" t="str">
        <f aca="false">Report!E279</f>
        <v>ATACADAO S.A.</v>
      </c>
      <c r="C201" s="17" t="n">
        <f aca="false">Report!U279</f>
        <v>671.67</v>
      </c>
      <c r="D201" s="1" t="str">
        <f aca="false">Report!X279</f>
        <v>NF 1894392 ELLEN</v>
      </c>
    </row>
    <row r="202" customFormat="false" ht="12.75" hidden="false" customHeight="true" outlineLevel="0" collapsed="false">
      <c r="A202" s="16" t="n">
        <f aca="false">Report!C280</f>
        <v>46216</v>
      </c>
      <c r="B202" s="1" t="str">
        <f aca="false">Report!E280</f>
        <v>DUNORTE DISTRIBUIDORA DE PRODUTOS DE CONSUMO LTDA</v>
      </c>
      <c r="C202" s="17" t="n">
        <f aca="false">Report!U280</f>
        <v>643.05</v>
      </c>
      <c r="D202" s="1" t="str">
        <f aca="false">Report!X280</f>
        <v>NF 3202460 ELLEN</v>
      </c>
    </row>
    <row r="203" customFormat="false" ht="12.75" hidden="false" customHeight="true" outlineLevel="0" collapsed="false">
      <c r="A203" s="16" t="n">
        <f aca="false">Report!C281</f>
        <v>46216</v>
      </c>
      <c r="B203" s="1" t="str">
        <f aca="false">Report!E281</f>
        <v>DURAES DISTRIBUIDORA DE ESTIVAS LTDA</v>
      </c>
      <c r="C203" s="17" t="n">
        <f aca="false">Report!U281</f>
        <v>347.18</v>
      </c>
      <c r="D203" s="1" t="str">
        <f aca="false">Report!X281</f>
        <v>NF 646732 ELLEN</v>
      </c>
    </row>
    <row r="204" customFormat="false" ht="12.75" hidden="false" customHeight="true" outlineLevel="0" collapsed="false">
      <c r="A204" s="16" t="n">
        <f aca="false">Report!C283</f>
        <v>46216</v>
      </c>
      <c r="B204" s="1" t="str">
        <f aca="false">Report!E283</f>
        <v>FENNIX BRASIL DISTRIBUIDORA DE PRODUTOS</v>
      </c>
      <c r="C204" s="17" t="n">
        <f aca="false">Report!U283</f>
        <v>675.35</v>
      </c>
      <c r="D204" s="1" t="str">
        <f aca="false">Report!X283</f>
        <v>NF 310316 ELLEN</v>
      </c>
    </row>
    <row r="205" customFormat="false" ht="12.75" hidden="false" customHeight="true" outlineLevel="0" collapsed="false">
      <c r="A205" s="16" t="n">
        <f aca="false">Report!C284</f>
        <v>46216</v>
      </c>
      <c r="B205" s="1" t="str">
        <f aca="false">Report!E284</f>
        <v>H L M PADARIA E CONFEITARIA LTDA</v>
      </c>
      <c r="C205" s="17" t="n">
        <f aca="false">Report!U284</f>
        <v>120</v>
      </c>
      <c r="D205" s="1" t="str">
        <f aca="false">Report!X284</f>
        <v>NF 19 COMPRAS-BOLO PG NO P 13/7/26 ELLEN</v>
      </c>
    </row>
    <row r="206" customFormat="false" ht="12.75" hidden="false" customHeight="true" outlineLevel="0" collapsed="false">
      <c r="A206" s="16" t="n">
        <f aca="false">Report!C285</f>
        <v>46216</v>
      </c>
      <c r="B206" s="1" t="str">
        <f aca="false">Report!E285</f>
        <v>J W N DOS SANTOS</v>
      </c>
      <c r="C206" s="17" t="n">
        <f aca="false">Report!U285</f>
        <v>225</v>
      </c>
      <c r="D206" s="1" t="str">
        <f aca="false">Report!X285</f>
        <v>NF 351 ELLEN</v>
      </c>
    </row>
    <row r="207" customFormat="false" ht="12.75" hidden="false" customHeight="true" outlineLevel="0" collapsed="false">
      <c r="A207" s="16" t="n">
        <f aca="false">Report!C286</f>
        <v>46216</v>
      </c>
      <c r="B207" s="1" t="str">
        <f aca="false">Report!E286</f>
        <v>JAB COMERCIO DE PRODUTOS ALIMENTICIOS LT</v>
      </c>
      <c r="C207" s="17" t="n">
        <f aca="false">Report!U286</f>
        <v>142</v>
      </c>
      <c r="D207" s="1" t="str">
        <f aca="false">Report!X286</f>
        <v>NF 3500 ELLEN</v>
      </c>
    </row>
    <row r="208" customFormat="false" ht="12.75" hidden="false" customHeight="true" outlineLevel="0" collapsed="false">
      <c r="A208" s="16" t="n">
        <f aca="false">Report!C287</f>
        <v>46216</v>
      </c>
      <c r="B208" s="1" t="str">
        <f aca="false">Report!E287</f>
        <v>NEYLIANE S DE OLIVEIRA &amp; CIA LTDA</v>
      </c>
      <c r="C208" s="17" t="n">
        <f aca="false">Report!U287</f>
        <v>560</v>
      </c>
      <c r="D208" s="1" t="str">
        <f aca="false">Report!X287</f>
        <v>COMPRAS - FARINHA DAGUA DE FEIRA - ELLEN</v>
      </c>
    </row>
    <row r="209" customFormat="false" ht="12.75" hidden="false" customHeight="true" outlineLevel="0" collapsed="false">
      <c r="A209" s="16" t="n">
        <f aca="false">Report!C288</f>
        <v>46216</v>
      </c>
      <c r="B209" s="1" t="str">
        <f aca="false">Report!E288</f>
        <v>NEYLIANE S DE OLIVEIRA &amp; CIA LTDA</v>
      </c>
      <c r="C209" s="17" t="n">
        <f aca="false">Report!U288</f>
        <v>210</v>
      </c>
      <c r="D209" s="1" t="str">
        <f aca="false">Report!X288</f>
        <v>COMPRAS 15L DE AÇAI - PG NO P 11/7/26 ELLEN</v>
      </c>
    </row>
    <row r="210" customFormat="false" ht="12.75" hidden="false" customHeight="true" outlineLevel="0" collapsed="false">
      <c r="A210" s="16" t="n">
        <f aca="false">Report!C289</f>
        <v>46216</v>
      </c>
      <c r="B210" s="1" t="str">
        <f aca="false">Report!E289</f>
        <v>NOVA FRIOS COMERCIO ATACADISTA DE LATICINIOS LTDA</v>
      </c>
      <c r="C210" s="17" t="n">
        <f aca="false">Report!U289</f>
        <v>194.08</v>
      </c>
      <c r="D210" s="1" t="str">
        <f aca="false">Report!X289</f>
        <v>NF 3993 ELLEN</v>
      </c>
    </row>
    <row r="211" customFormat="false" ht="12.75" hidden="false" customHeight="true" outlineLevel="0" collapsed="false">
      <c r="A211" s="16" t="n">
        <f aca="false">Report!C290</f>
        <v>46216</v>
      </c>
      <c r="B211" s="1" t="str">
        <f aca="false">Report!E290</f>
        <v>PANIFICADORA E CONFEITARIA REAL MADRI LTDA</v>
      </c>
      <c r="C211" s="17" t="n">
        <f aca="false">Report!U290</f>
        <v>259.75</v>
      </c>
      <c r="D211" s="1" t="str">
        <f aca="false">Report!X290</f>
        <v>NF 704 ELLEN</v>
      </c>
    </row>
    <row r="212" customFormat="false" ht="12.75" hidden="false" customHeight="true" outlineLevel="0" collapsed="false">
      <c r="A212" s="16" t="n">
        <f aca="false">Report!C291</f>
        <v>46216</v>
      </c>
      <c r="B212" s="1" t="str">
        <f aca="false">Report!E291</f>
        <v>ROCHA E PAIVA LTDA</v>
      </c>
      <c r="C212" s="17" t="n">
        <f aca="false">Report!U291</f>
        <v>591.52</v>
      </c>
      <c r="D212" s="1" t="str">
        <f aca="false">Report!X291</f>
        <v>NF 207912 ELLEN</v>
      </c>
    </row>
    <row r="213" customFormat="false" ht="12.75" hidden="false" customHeight="true" outlineLevel="0" collapsed="false">
      <c r="A213" s="16" t="n">
        <f aca="false">Report!C292</f>
        <v>46217</v>
      </c>
      <c r="B213" s="1" t="str">
        <f aca="false">Report!E292</f>
        <v>ADICSO FABIAN GONZALEZ MONTILLA 70302186</v>
      </c>
      <c r="C213" s="17" t="n">
        <f aca="false">Report!U292</f>
        <v>180</v>
      </c>
      <c r="D213" s="1" t="str">
        <f aca="false">Report!X292</f>
        <v>NF 527 ELLEN</v>
      </c>
    </row>
    <row r="214" customFormat="false" ht="12.75" hidden="false" customHeight="true" outlineLevel="0" collapsed="false">
      <c r="A214" s="16" t="n">
        <f aca="false">Report!C294</f>
        <v>46217</v>
      </c>
      <c r="B214" s="1" t="str">
        <f aca="false">Report!E294</f>
        <v>BONNA VITTA INDUSTRIA E COMERCIO LTDA.</v>
      </c>
      <c r="C214" s="17" t="n">
        <f aca="false">Report!U294</f>
        <v>304.45</v>
      </c>
      <c r="D214" s="1" t="str">
        <f aca="false">Report!X294</f>
        <v>NF 519349 ELLEN</v>
      </c>
    </row>
    <row r="215" customFormat="false" ht="12.75" hidden="false" customHeight="true" outlineLevel="0" collapsed="false">
      <c r="A215" s="16" t="n">
        <f aca="false">Report!C295</f>
        <v>46217</v>
      </c>
      <c r="B215" s="1" t="str">
        <f aca="false">Report!E295</f>
        <v>BRASIL NORTE BEBIDAS S/A</v>
      </c>
      <c r="C215" s="17" t="n">
        <f aca="false">Report!U295</f>
        <v>29.3</v>
      </c>
      <c r="D215" s="1" t="str">
        <f aca="false">Report!X295</f>
        <v>NF 1180339 ELLEN</v>
      </c>
    </row>
    <row r="216" customFormat="false" ht="12.75" hidden="false" customHeight="true" outlineLevel="0" collapsed="false">
      <c r="A216" s="16" t="n">
        <f aca="false">Report!C296</f>
        <v>46217</v>
      </c>
      <c r="B216" s="1" t="str">
        <f aca="false">Report!E296</f>
        <v>BRASIL NORTE BEBIDAS S/A</v>
      </c>
      <c r="C216" s="17" t="n">
        <f aca="false">Report!U296</f>
        <v>156.29</v>
      </c>
      <c r="D216" s="1" t="str">
        <f aca="false">Report!X296</f>
        <v>NF 1906318 ELLEN</v>
      </c>
    </row>
    <row r="217" customFormat="false" ht="12.75" hidden="false" customHeight="true" outlineLevel="0" collapsed="false">
      <c r="A217" s="16" t="n">
        <f aca="false">Report!C297</f>
        <v>46217</v>
      </c>
      <c r="B217" s="1" t="str">
        <f aca="false">Report!E297</f>
        <v>BRASIL NORTE BEBIDAS S/A</v>
      </c>
      <c r="C217" s="17" t="n">
        <f aca="false">Report!U297</f>
        <v>974.53</v>
      </c>
      <c r="D217" s="1" t="str">
        <f aca="false">Report!X297</f>
        <v>NF 1906109 ELLEN</v>
      </c>
    </row>
    <row r="218" customFormat="false" ht="12.75" hidden="false" customHeight="true" outlineLevel="0" collapsed="false">
      <c r="A218" s="16" t="n">
        <f aca="false">Report!C298</f>
        <v>46217</v>
      </c>
      <c r="B218" s="1" t="str">
        <f aca="false">Report!E298</f>
        <v>BROTHERS  INDUSTRIA DE ALIMENTOS LTDA</v>
      </c>
      <c r="C218" s="17" t="n">
        <f aca="false">Report!U298</f>
        <v>248.78</v>
      </c>
      <c r="D218" s="1" t="str">
        <f aca="false">Report!X298</f>
        <v>NF 1030653 ELLEN</v>
      </c>
    </row>
    <row r="219" customFormat="false" ht="12.75" hidden="false" customHeight="true" outlineLevel="0" collapsed="false">
      <c r="A219" s="16" t="n">
        <f aca="false">Report!C299</f>
        <v>46217</v>
      </c>
      <c r="B219" s="1" t="str">
        <f aca="false">Report!E299</f>
        <v>COMERCIO DE FRIOS MANAUS LTDA</v>
      </c>
      <c r="C219" s="17" t="n">
        <f aca="false">Report!U299</f>
        <v>2243.2</v>
      </c>
      <c r="D219" s="1" t="str">
        <f aca="false">Report!X299</f>
        <v>NF 172659 ELLEN</v>
      </c>
    </row>
    <row r="220" customFormat="false" ht="12.75" hidden="false" customHeight="true" outlineLevel="0" collapsed="false">
      <c r="A220" s="16" t="n">
        <f aca="false">Report!C300</f>
        <v>46217</v>
      </c>
      <c r="B220" s="1" t="str">
        <f aca="false">Report!E300</f>
        <v>FEIRA</v>
      </c>
      <c r="C220" s="17" t="n">
        <f aca="false">Report!U300</f>
        <v>770</v>
      </c>
      <c r="D220" s="1" t="str">
        <f aca="false">Report!X300</f>
        <v>FEIRA SR RENATO-PG P LJ1-ALHO/MAÇA/UVA-SOMAR C NF2542-ELLEN</v>
      </c>
    </row>
    <row r="221" customFormat="false" ht="12.75" hidden="false" customHeight="true" outlineLevel="0" collapsed="false">
      <c r="A221" s="16" t="n">
        <f aca="false">Report!C302</f>
        <v>46217</v>
      </c>
      <c r="B221" s="1" t="str">
        <f aca="false">Report!E302</f>
        <v>MARTINS COM SERV DISTR SA</v>
      </c>
      <c r="C221" s="17" t="n">
        <f aca="false">Report!U302</f>
        <v>542.11</v>
      </c>
      <c r="D221" s="1" t="str">
        <f aca="false">Report!X302</f>
        <v>NF 1777487 ELLEN</v>
      </c>
    </row>
    <row r="222" customFormat="false" ht="12.75" hidden="false" customHeight="true" outlineLevel="0" collapsed="false">
      <c r="A222" s="16" t="n">
        <f aca="false">Report!C303</f>
        <v>46217</v>
      </c>
      <c r="B222" s="1" t="str">
        <f aca="false">Report!E303</f>
        <v>NEYLIANE S DE OLIVEIRA &amp; CIA LTDA</v>
      </c>
      <c r="C222" s="17" t="n">
        <f aca="false">Report!U303</f>
        <v>1046</v>
      </c>
      <c r="D222" s="1" t="str">
        <f aca="false">Report!X303</f>
        <v>COMPRAS - FARINHA CRUZEIRO - ELLEN</v>
      </c>
    </row>
    <row r="223" customFormat="false" ht="12.75" hidden="false" customHeight="true" outlineLevel="0" collapsed="false">
      <c r="A223" s="16" t="n">
        <f aca="false">Report!C304</f>
        <v>46217</v>
      </c>
      <c r="B223" s="1" t="str">
        <f aca="false">Report!E304</f>
        <v>NEYLIANE S DE OLIVEIRA &amp; CIA LTDA</v>
      </c>
      <c r="C223" s="17" t="n">
        <f aca="false">Report!U304</f>
        <v>290</v>
      </c>
      <c r="D223" s="1" t="str">
        <f aca="false">Report!X304</f>
        <v>COMPRAS - VISCERAS (BOLETO) ELLEN</v>
      </c>
    </row>
    <row r="224" customFormat="false" ht="12.75" hidden="false" customHeight="true" outlineLevel="0" collapsed="false">
      <c r="A224" s="16" t="n">
        <f aca="false">Report!C305</f>
        <v>46217</v>
      </c>
      <c r="B224" s="1" t="str">
        <f aca="false">Report!E305</f>
        <v>NEYLIANE S DE OLIVEIRA &amp; CIA LTDA</v>
      </c>
      <c r="C224" s="17" t="n">
        <f aca="false">Report!U305</f>
        <v>1946.36</v>
      </c>
      <c r="D224" s="1" t="str">
        <f aca="false">Report!X305</f>
        <v>FEIRA SR RENATO - PG P LJ1 - ELLEN</v>
      </c>
    </row>
    <row r="225" customFormat="false" ht="12.75" hidden="false" customHeight="true" outlineLevel="0" collapsed="false">
      <c r="A225" s="16" t="n">
        <f aca="false">Report!C306</f>
        <v>46217</v>
      </c>
      <c r="B225" s="1" t="str">
        <f aca="false">Report!E306</f>
        <v>NEYLIANE S DE OLIVEIRA &amp; CIA LTDA</v>
      </c>
      <c r="C225" s="17" t="n">
        <f aca="false">Report!U306</f>
        <v>182</v>
      </c>
      <c r="D225" s="1" t="str">
        <f aca="false">Report!X306</f>
        <v>COMPRAS - 13L DE AÇAI- PG NO P 14/7/26 ELLEN</v>
      </c>
    </row>
    <row r="226" customFormat="false" ht="12.75" hidden="false" customHeight="true" outlineLevel="0" collapsed="false">
      <c r="A226" s="16" t="n">
        <f aca="false">Report!C307</f>
        <v>46217</v>
      </c>
      <c r="B226" s="1" t="str">
        <f aca="false">Report!E307</f>
        <v>NSB COMERCIO ATACADISTA E VAREJISTA DE P</v>
      </c>
      <c r="C226" s="17" t="n">
        <f aca="false">Report!U307</f>
        <v>378.89</v>
      </c>
      <c r="D226" s="1" t="str">
        <f aca="false">Report!X307</f>
        <v>NF 7874 ELLEN</v>
      </c>
    </row>
    <row r="227" customFormat="false" ht="12.75" hidden="false" customHeight="true" outlineLevel="0" collapsed="false">
      <c r="A227" s="16" t="n">
        <f aca="false">Report!C309</f>
        <v>46217</v>
      </c>
      <c r="B227" s="1" t="str">
        <f aca="false">Report!E309</f>
        <v>PANIFICADORA E CONFEITARIA REAL MADRI LTDA</v>
      </c>
      <c r="C227" s="17" t="n">
        <f aca="false">Report!U309</f>
        <v>307.11</v>
      </c>
      <c r="D227" s="1" t="str">
        <f aca="false">Report!X309</f>
        <v>NF 708 ELLEN</v>
      </c>
    </row>
    <row r="228" customFormat="false" ht="12.75" hidden="false" customHeight="true" outlineLevel="0" collapsed="false">
      <c r="A228" s="16" t="n">
        <f aca="false">Report!C311</f>
        <v>46217</v>
      </c>
      <c r="B228" s="1" t="str">
        <f aca="false">Report!E311</f>
        <v>SILVA E SANTOS FRIGORIFICO LTDA</v>
      </c>
      <c r="C228" s="17" t="n">
        <f aca="false">Report!U311</f>
        <v>1411.05</v>
      </c>
      <c r="D228" s="1" t="str">
        <f aca="false">Report!X311</f>
        <v>NF 31674 ELLEN</v>
      </c>
    </row>
    <row r="229" customFormat="false" ht="12.75" hidden="false" customHeight="true" outlineLevel="0" collapsed="false">
      <c r="A229" s="16" t="n">
        <f aca="false">Report!C313</f>
        <v>46218</v>
      </c>
      <c r="B229" s="1" t="str">
        <f aca="false">Report!E313</f>
        <v>ADRIANA DISTRIBUIDORA DE PRODUTOS ALIMEN</v>
      </c>
      <c r="C229" s="17" t="n">
        <f aca="false">Report!U313</f>
        <v>589.08</v>
      </c>
      <c r="D229" s="1" t="str">
        <f aca="false">Report!X313</f>
        <v>NF 878758 ELLEN</v>
      </c>
    </row>
    <row r="230" customFormat="false" ht="12.75" hidden="false" customHeight="true" outlineLevel="0" collapsed="false">
      <c r="A230" s="16" t="n">
        <f aca="false">Report!C314</f>
        <v>46218</v>
      </c>
      <c r="B230" s="1" t="str">
        <f aca="false">Report!E314</f>
        <v>ADRIANO FEITOSA OLIVEIRA LTDA</v>
      </c>
      <c r="C230" s="17" t="n">
        <f aca="false">Report!U314</f>
        <v>915</v>
      </c>
      <c r="D230" s="1" t="str">
        <f aca="false">Report!X314</f>
        <v>NF 331 ELLEN</v>
      </c>
    </row>
    <row r="231" customFormat="false" ht="12.75" hidden="false" customHeight="true" outlineLevel="0" collapsed="false">
      <c r="A231" s="16" t="n">
        <f aca="false">Report!C315</f>
        <v>46218</v>
      </c>
      <c r="B231" s="1" t="str">
        <f aca="false">Report!E315</f>
        <v>BRF S A</v>
      </c>
      <c r="C231" s="17" t="n">
        <f aca="false">Report!U315</f>
        <v>1881.46</v>
      </c>
      <c r="D231" s="1" t="str">
        <f aca="false">Report!X315</f>
        <v>NF 1600681 ELLEN</v>
      </c>
    </row>
    <row r="232" customFormat="false" ht="12.75" hidden="false" customHeight="true" outlineLevel="0" collapsed="false">
      <c r="A232" s="16" t="n">
        <f aca="false">Report!C316</f>
        <v>46218</v>
      </c>
      <c r="B232" s="1" t="str">
        <f aca="false">Report!E316</f>
        <v>EDSON AGUIAR DE SOUZA</v>
      </c>
      <c r="C232" s="17" t="n">
        <f aca="false">Report!U316</f>
        <v>123</v>
      </c>
      <c r="D232" s="1" t="str">
        <f aca="false">Report!X316</f>
        <v>COMPRAS - CHEIRO-VERDE - ELLEN</v>
      </c>
    </row>
    <row r="233" customFormat="false" ht="12.75" hidden="false" customHeight="true" outlineLevel="0" collapsed="false">
      <c r="A233" s="16" t="n">
        <f aca="false">Report!C317</f>
        <v>46218</v>
      </c>
      <c r="B233" s="1" t="str">
        <f aca="false">Report!E317</f>
        <v>EDSON AGUIAR DE SOUZA</v>
      </c>
      <c r="C233" s="17" t="n">
        <f aca="false">Report!U317</f>
        <v>89.5</v>
      </c>
      <c r="D233" s="1" t="str">
        <f aca="false">Report!X317</f>
        <v>COMPRAS - CHEIRO-VERDE - ELLEN</v>
      </c>
    </row>
    <row r="234" customFormat="false" ht="12.75" hidden="false" customHeight="true" outlineLevel="0" collapsed="false">
      <c r="A234" s="16" t="n">
        <f aca="false">Report!C318</f>
        <v>46218</v>
      </c>
      <c r="B234" s="1" t="str">
        <f aca="false">Report!E318</f>
        <v>EDSON AGUIAR DE SOUZA</v>
      </c>
      <c r="C234" s="17" t="n">
        <f aca="false">Report!U318</f>
        <v>140</v>
      </c>
      <c r="D234" s="1" t="str">
        <f aca="false">Report!X318</f>
        <v>COMPRAS - CHEIRO-VERDE - ELLEN</v>
      </c>
    </row>
    <row r="235" customFormat="false" ht="12.75" hidden="false" customHeight="true" outlineLevel="0" collapsed="false">
      <c r="A235" s="16" t="n">
        <f aca="false">Report!C319</f>
        <v>46218</v>
      </c>
      <c r="B235" s="1" t="str">
        <f aca="false">Report!E319</f>
        <v>EDSON AGUIAR DE SOUZA</v>
      </c>
      <c r="C235" s="17" t="n">
        <f aca="false">Report!U319</f>
        <v>130</v>
      </c>
      <c r="D235" s="1" t="str">
        <f aca="false">Report!X319</f>
        <v>COMPRAS - CHEIRO-VERDE - ELLEN</v>
      </c>
    </row>
    <row r="236" customFormat="false" ht="12.75" hidden="false" customHeight="true" outlineLevel="0" collapsed="false">
      <c r="A236" s="16" t="n">
        <f aca="false">Report!C320</f>
        <v>46218</v>
      </c>
      <c r="B236" s="1" t="str">
        <f aca="false">Report!E320</f>
        <v>EDSON AGUIAR DE SOUZA</v>
      </c>
      <c r="C236" s="17" t="n">
        <f aca="false">Report!U320</f>
        <v>129.5</v>
      </c>
      <c r="D236" s="1" t="str">
        <f aca="false">Report!X320</f>
        <v>COMPRAS - CHEIRO-VERDE - ELLEN</v>
      </c>
    </row>
    <row r="237" customFormat="false" ht="12.75" hidden="false" customHeight="true" outlineLevel="0" collapsed="false">
      <c r="A237" s="16" t="n">
        <f aca="false">Report!C321</f>
        <v>46218</v>
      </c>
      <c r="B237" s="1" t="str">
        <f aca="false">Report!E321</f>
        <v>EDSON AGUIAR DE SOUZA</v>
      </c>
      <c r="C237" s="17" t="n">
        <f aca="false">Report!U321</f>
        <v>61.5</v>
      </c>
      <c r="D237" s="1" t="str">
        <f aca="false">Report!X321</f>
        <v>COMPRAS - CHEIRO-VERDE - ELLEN</v>
      </c>
    </row>
    <row r="238" customFormat="false" ht="12.75" hidden="false" customHeight="true" outlineLevel="0" collapsed="false">
      <c r="A238" s="16" t="n">
        <f aca="false">Report!C322</f>
        <v>46218</v>
      </c>
      <c r="B238" s="1" t="str">
        <f aca="false">Report!E322</f>
        <v>EDSON AGUIAR DE SOUZA</v>
      </c>
      <c r="C238" s="17" t="n">
        <f aca="false">Report!U322</f>
        <v>174</v>
      </c>
      <c r="D238" s="1" t="str">
        <f aca="false">Report!X322</f>
        <v>COMPRAS - CHEIRO-VERDE - ELLEN</v>
      </c>
    </row>
    <row r="239" customFormat="false" ht="12.75" hidden="false" customHeight="true" outlineLevel="0" collapsed="false">
      <c r="A239" s="16" t="n">
        <f aca="false">Report!C323</f>
        <v>46218</v>
      </c>
      <c r="B239" s="1" t="str">
        <f aca="false">Report!E323</f>
        <v>EDSON AGUIAR DE SOUZA</v>
      </c>
      <c r="C239" s="17" t="n">
        <f aca="false">Report!U323</f>
        <v>117</v>
      </c>
      <c r="D239" s="1" t="str">
        <f aca="false">Report!X323</f>
        <v>COMPRAS - CHEIRO-VERDE - ELLEN</v>
      </c>
    </row>
    <row r="240" customFormat="false" ht="12.75" hidden="false" customHeight="true" outlineLevel="0" collapsed="false">
      <c r="A240" s="16" t="n">
        <f aca="false">Report!C324</f>
        <v>46218</v>
      </c>
      <c r="B240" s="1" t="str">
        <f aca="false">Report!E324</f>
        <v>EDSON AGUIAR DE SOUZA</v>
      </c>
      <c r="C240" s="17" t="n">
        <f aca="false">Report!U324</f>
        <v>76.5</v>
      </c>
      <c r="D240" s="1" t="str">
        <f aca="false">Report!X324</f>
        <v>COMPRAS - CHEIRO-VERDE - ELLEN</v>
      </c>
    </row>
    <row r="241" customFormat="false" ht="12.75" hidden="false" customHeight="true" outlineLevel="0" collapsed="false">
      <c r="A241" s="16" t="n">
        <f aca="false">Report!C325</f>
        <v>46218</v>
      </c>
      <c r="B241" s="1" t="str">
        <f aca="false">Report!E325</f>
        <v>FEMAR IND E COM DE BEBIDAS LTDA</v>
      </c>
      <c r="C241" s="17" t="n">
        <f aca="false">Report!U325</f>
        <v>316.08</v>
      </c>
      <c r="D241" s="1" t="str">
        <f aca="false">Report!X325</f>
        <v>NF 53410 ELLEN</v>
      </c>
    </row>
    <row r="242" customFormat="false" ht="12.75" hidden="false" customHeight="true" outlineLevel="0" collapsed="false">
      <c r="A242" s="16" t="n">
        <f aca="false">Report!C326</f>
        <v>46218</v>
      </c>
      <c r="B242" s="1" t="str">
        <f aca="false">Report!E326</f>
        <v>H L M PADARIA E CONFEITARIA LTDA</v>
      </c>
      <c r="C242" s="17" t="n">
        <f aca="false">Report!U326</f>
        <v>140</v>
      </c>
      <c r="D242" s="1" t="str">
        <f aca="false">Report!X326</f>
        <v>NF 22 COMPRAS-BOLO PG NO P 15/7/26 ELLEN</v>
      </c>
    </row>
    <row r="243" customFormat="false" ht="12.75" hidden="false" customHeight="true" outlineLevel="0" collapsed="false">
      <c r="A243" s="16" t="n">
        <f aca="false">Report!C327</f>
        <v>46218</v>
      </c>
      <c r="B243" s="1" t="str">
        <f aca="false">Report!E327</f>
        <v>LIMA E BARANDA COMERCIO DE PRODUTOS REGI</v>
      </c>
      <c r="C243" s="17" t="n">
        <f aca="false">Report!U327</f>
        <v>329</v>
      </c>
      <c r="D243" s="1" t="str">
        <f aca="false">Report!X327</f>
        <v>NF 31344 ELLEN</v>
      </c>
    </row>
    <row r="244" customFormat="false" ht="12.75" hidden="false" customHeight="true" outlineLevel="0" collapsed="false">
      <c r="A244" s="16" t="n">
        <f aca="false">Report!C328</f>
        <v>46218</v>
      </c>
      <c r="B244" s="1" t="str">
        <f aca="false">Report!E328</f>
        <v>OESA COMERCIO E REPRESENTACOES S/A</v>
      </c>
      <c r="C244" s="17" t="n">
        <f aca="false">Report!U328</f>
        <v>61.58</v>
      </c>
      <c r="D244" s="1" t="str">
        <f aca="false">Report!X328</f>
        <v>NF 416678 ELLEN</v>
      </c>
    </row>
    <row r="245" customFormat="false" ht="12.75" hidden="false" customHeight="true" outlineLevel="0" collapsed="false">
      <c r="A245" s="16" t="n">
        <f aca="false">Report!C330</f>
        <v>46218</v>
      </c>
      <c r="B245" s="1" t="str">
        <f aca="false">Report!E330</f>
        <v>SAO JOSE COMERCIO DE LATICINIOS E FRIOS</v>
      </c>
      <c r="C245" s="17" t="n">
        <f aca="false">Report!U330</f>
        <v>505.5</v>
      </c>
      <c r="D245" s="1" t="str">
        <f aca="false">Report!X330</f>
        <v>NF 3570 ELLEN</v>
      </c>
    </row>
    <row r="246" customFormat="false" ht="12.75" hidden="false" customHeight="true" outlineLevel="0" collapsed="false">
      <c r="A246" s="16" t="n">
        <f aca="false">Report!C332</f>
        <v>46218</v>
      </c>
      <c r="B246" s="1" t="str">
        <f aca="false">Report!E332</f>
        <v>TAPAJOS COM DE PERFUMARIA COSMETICOS E G</v>
      </c>
      <c r="C246" s="17" t="n">
        <f aca="false">Report!U332</f>
        <v>296</v>
      </c>
      <c r="D246" s="1" t="str">
        <f aca="false">Report!X332</f>
        <v>NF 576435 ELLEN</v>
      </c>
    </row>
    <row r="247" customFormat="false" ht="12.75" hidden="false" customHeight="true" outlineLevel="0" collapsed="false">
      <c r="A247" s="16" t="n">
        <f aca="false">Report!C333</f>
        <v>46218</v>
      </c>
      <c r="B247" s="1" t="str">
        <f aca="false">Report!E333</f>
        <v>TOYA INDUSTRIA E COMERCIO LTDA.</v>
      </c>
      <c r="C247" s="17" t="n">
        <f aca="false">Report!U333</f>
        <v>868.37</v>
      </c>
      <c r="D247" s="1" t="str">
        <f aca="false">Report!X333</f>
        <v>NF 254582 ELLEN</v>
      </c>
    </row>
    <row r="248" customFormat="false" ht="12.75" hidden="false" customHeight="true" outlineLevel="0" collapsed="false">
      <c r="A248" s="16" t="n">
        <f aca="false">Report!C334</f>
        <v>46219</v>
      </c>
      <c r="B248" s="1" t="str">
        <f aca="false">Report!E334</f>
        <v>64.225.624 ROBERTO REIS AROUCHE</v>
      </c>
      <c r="C248" s="17" t="n">
        <f aca="false">Report!U334</f>
        <v>432</v>
      </c>
      <c r="D248" s="1" t="str">
        <f aca="false">Report!X334</f>
        <v>NF 66 ELLEN</v>
      </c>
    </row>
    <row r="249" customFormat="false" ht="12.75" hidden="false" customHeight="true" outlineLevel="0" collapsed="false">
      <c r="A249" s="16" t="n">
        <f aca="false">Report!C335</f>
        <v>46219</v>
      </c>
      <c r="B249" s="1" t="str">
        <f aca="false">Report!E335</f>
        <v>BRAGA TABACARIA EIRELI ME</v>
      </c>
      <c r="C249" s="17" t="n">
        <f aca="false">Report!U335</f>
        <v>1073.2</v>
      </c>
      <c r="D249" s="1" t="str">
        <f aca="false">Report!X335</f>
        <v>NF 18998 ELLEN</v>
      </c>
    </row>
    <row r="250" customFormat="false" ht="12.75" hidden="false" customHeight="true" outlineLevel="0" collapsed="false">
      <c r="A250" s="16" t="n">
        <f aca="false">Report!C336</f>
        <v>46219</v>
      </c>
      <c r="B250" s="1" t="str">
        <f aca="false">Report!E336</f>
        <v>CHERRYS SEMI JOIAS LTDA</v>
      </c>
      <c r="C250" s="17" t="n">
        <f aca="false">Report!U336</f>
        <v>435</v>
      </c>
      <c r="D250" s="1" t="str">
        <f aca="false">Report!X336</f>
        <v>NF 462 ELLEN</v>
      </c>
    </row>
    <row r="251" customFormat="false" ht="12.75" hidden="false" customHeight="true" outlineLevel="0" collapsed="false">
      <c r="A251" s="16" t="n">
        <f aca="false">Report!C337</f>
        <v>46219</v>
      </c>
      <c r="B251" s="1" t="str">
        <f aca="false">Report!E337</f>
        <v>DA FRUTA DISTRIBUIDORA LTDA</v>
      </c>
      <c r="C251" s="17" t="n">
        <f aca="false">Report!U337</f>
        <v>652.4</v>
      </c>
      <c r="D251" s="1" t="str">
        <f aca="false">Report!X337</f>
        <v>NF 196323 ELLEN</v>
      </c>
    </row>
    <row r="252" customFormat="false" ht="12.75" hidden="false" customHeight="true" outlineLevel="0" collapsed="false">
      <c r="A252" s="16" t="n">
        <f aca="false">Report!C338</f>
        <v>46219</v>
      </c>
      <c r="B252" s="1" t="str">
        <f aca="false">Report!E338</f>
        <v>DISTRIBUIDORA LOPES LTDA</v>
      </c>
      <c r="C252" s="17" t="n">
        <f aca="false">Report!U338</f>
        <v>197.37</v>
      </c>
      <c r="D252" s="1" t="str">
        <f aca="false">Report!X338</f>
        <v>NF 1688844 ELLEN</v>
      </c>
    </row>
    <row r="253" customFormat="false" ht="12.75" hidden="false" customHeight="true" outlineLevel="0" collapsed="false">
      <c r="A253" s="16" t="n">
        <f aca="false">Report!C339</f>
        <v>46219</v>
      </c>
      <c r="B253" s="1" t="str">
        <f aca="false">Report!E339</f>
        <v>FE COMERCIO DE MATERIAIS DE CONSTRUCAO</v>
      </c>
      <c r="C253" s="17" t="n">
        <f aca="false">Report!U339</f>
        <v>819.52</v>
      </c>
      <c r="D253" s="1" t="str">
        <f aca="false">Report!X339</f>
        <v>NF 4467 ELLEN</v>
      </c>
    </row>
    <row r="254" customFormat="false" ht="12.75" hidden="false" customHeight="true" outlineLevel="0" collapsed="false">
      <c r="A254" s="16" t="n">
        <f aca="false">Report!C340</f>
        <v>46219</v>
      </c>
      <c r="B254" s="1" t="str">
        <f aca="false">Report!E340</f>
        <v>J G COMERCIO DE PRODUTOS ALIMENTICIOS LTDA</v>
      </c>
      <c r="C254" s="17" t="n">
        <f aca="false">Report!U340</f>
        <v>2005.45</v>
      </c>
      <c r="D254" s="1" t="str">
        <f aca="false">Report!X340</f>
        <v>NF 390211 ELLEN</v>
      </c>
    </row>
    <row r="255" customFormat="false" ht="12.75" hidden="false" customHeight="true" outlineLevel="0" collapsed="false">
      <c r="A255" s="16" t="n">
        <f aca="false">Report!C341</f>
        <v>46219</v>
      </c>
      <c r="B255" s="1" t="str">
        <f aca="false">Report!E341</f>
        <v>REAL BEBIDAS DA AMAZONIA LTDA</v>
      </c>
      <c r="C255" s="17" t="n">
        <f aca="false">Report!U341</f>
        <v>280</v>
      </c>
      <c r="D255" s="1" t="str">
        <f aca="false">Report!X341</f>
        <v>NF 599833 ELLEN</v>
      </c>
    </row>
    <row r="256" customFormat="false" ht="12.75" hidden="false" customHeight="true" outlineLevel="0" collapsed="false">
      <c r="A256" s="16" t="n">
        <f aca="false">Report!C342</f>
        <v>46219</v>
      </c>
      <c r="B256" s="1" t="str">
        <f aca="false">Report!E342</f>
        <v>RISADINHA LTDA</v>
      </c>
      <c r="C256" s="17" t="n">
        <f aca="false">Report!U342</f>
        <v>550.4</v>
      </c>
      <c r="D256" s="1" t="str">
        <f aca="false">Report!X342</f>
        <v>NF 658429 ELLEN</v>
      </c>
    </row>
    <row r="257" customFormat="false" ht="12.75" hidden="false" customHeight="true" outlineLevel="0" collapsed="false">
      <c r="A257" s="16" t="n">
        <f aca="false">Report!C343</f>
        <v>46219</v>
      </c>
      <c r="B257" s="1" t="str">
        <f aca="false">Report!E343</f>
        <v>SB COMERCIO LTDA</v>
      </c>
      <c r="C257" s="17" t="n">
        <f aca="false">Report!U343</f>
        <v>653.65</v>
      </c>
      <c r="D257" s="1" t="str">
        <f aca="false">Report!X343</f>
        <v>NF 1959276 ELLEN</v>
      </c>
    </row>
    <row r="258" customFormat="false" ht="12.75" hidden="false" customHeight="true" outlineLevel="0" collapsed="false">
      <c r="A258" s="16" t="n">
        <f aca="false">Report!C344</f>
        <v>46219</v>
      </c>
      <c r="B258" s="1" t="str">
        <f aca="false">Report!E344</f>
        <v>SILVA E SANTOS FRIGORIFICO LTDA</v>
      </c>
      <c r="C258" s="17" t="n">
        <f aca="false">Report!U344</f>
        <v>3640</v>
      </c>
      <c r="D258" s="1" t="str">
        <f aca="false">Report!X344</f>
        <v>NF 31703 ELLEN</v>
      </c>
    </row>
    <row r="259" customFormat="false" ht="12.75" hidden="false" customHeight="true" outlineLevel="0" collapsed="false">
      <c r="A259" s="16" t="n">
        <f aca="false">Report!C345</f>
        <v>46220</v>
      </c>
      <c r="B259" s="1" t="str">
        <f aca="false">Report!E345</f>
        <v>ADRIANO FEITOSA OLIVEIRA LTDA</v>
      </c>
      <c r="C259" s="17" t="n">
        <f aca="false">Report!U345</f>
        <v>1171.37</v>
      </c>
      <c r="D259" s="1" t="str">
        <f aca="false">Report!X345</f>
        <v>NF 333 ELLEN</v>
      </c>
    </row>
    <row r="260" customFormat="false" ht="12.75" hidden="false" customHeight="true" outlineLevel="0" collapsed="false">
      <c r="A260" s="16" t="n">
        <f aca="false">Report!C346</f>
        <v>46220</v>
      </c>
      <c r="B260" s="1" t="str">
        <f aca="false">Report!E346</f>
        <v>BRF S A</v>
      </c>
      <c r="C260" s="17" t="n">
        <f aca="false">Report!U346</f>
        <v>1031.78</v>
      </c>
      <c r="D260" s="1" t="str">
        <f aca="false">Report!X346</f>
        <v>NF 1604119 ELLEN</v>
      </c>
    </row>
    <row r="261" customFormat="false" ht="12.75" hidden="false" customHeight="true" outlineLevel="0" collapsed="false">
      <c r="A261" s="16" t="n">
        <f aca="false">Report!C347</f>
        <v>46220</v>
      </c>
      <c r="B261" s="1" t="str">
        <f aca="false">Report!E347</f>
        <v>BROTHERS  INDUSTRIA DE ALIMENTOS LTDA</v>
      </c>
      <c r="C261" s="17" t="n">
        <f aca="false">Report!U347</f>
        <v>250.08</v>
      </c>
      <c r="D261" s="1" t="str">
        <f aca="false">Report!X347</f>
        <v>NF 1031214 ELLEN</v>
      </c>
    </row>
    <row r="262" customFormat="false" ht="12.75" hidden="false" customHeight="true" outlineLevel="0" collapsed="false">
      <c r="A262" s="16" t="n">
        <f aca="false">Report!C348</f>
        <v>46220</v>
      </c>
      <c r="B262" s="1" t="str">
        <f aca="false">Report!E348</f>
        <v>DISTRIBUIDORA FARIAS LTDA.</v>
      </c>
      <c r="C262" s="17" t="n">
        <f aca="false">Report!U348</f>
        <v>1055.33</v>
      </c>
      <c r="D262" s="1" t="str">
        <f aca="false">Report!X348</f>
        <v>NF 674937 ELLEN</v>
      </c>
    </row>
    <row r="263" customFormat="false" ht="12.75" hidden="false" customHeight="true" outlineLevel="0" collapsed="false">
      <c r="A263" s="16" t="n">
        <f aca="false">Report!C349</f>
        <v>46220</v>
      </c>
      <c r="B263" s="1" t="str">
        <f aca="false">Report!E349</f>
        <v>DISTRIBUIDORA LOPES LTDA</v>
      </c>
      <c r="C263" s="17" t="n">
        <f aca="false">Report!U349</f>
        <v>1154.88</v>
      </c>
      <c r="D263" s="1" t="str">
        <f aca="false">Report!X349</f>
        <v>NF 1676804 ELLEN</v>
      </c>
    </row>
    <row r="264" customFormat="false" ht="12.75" hidden="false" customHeight="true" outlineLevel="0" collapsed="false">
      <c r="A264" s="16" t="n">
        <f aca="false">Report!C351</f>
        <v>46220</v>
      </c>
      <c r="B264" s="1" t="str">
        <f aca="false">Report!E351</f>
        <v>G A COMERCIO DE PRODUTOS HOSPITALARES LTDA</v>
      </c>
      <c r="C264" s="17" t="n">
        <f aca="false">Report!U351</f>
        <v>368.4</v>
      </c>
      <c r="D264" s="1" t="str">
        <f aca="false">Report!X351</f>
        <v>NF 890 ELLEN</v>
      </c>
    </row>
    <row r="265" customFormat="false" ht="12.75" hidden="false" customHeight="true" outlineLevel="0" collapsed="false">
      <c r="A265" s="16" t="n">
        <f aca="false">Report!C352</f>
        <v>46220</v>
      </c>
      <c r="B265" s="1" t="str">
        <f aca="false">Report!E352</f>
        <v>H L M PADARIA E CONFEITARIA LTDA</v>
      </c>
      <c r="C265" s="17" t="n">
        <f aca="false">Report!U352</f>
        <v>140</v>
      </c>
      <c r="D265" s="1" t="str">
        <f aca="false">Report!X352</f>
        <v>NF 23 COMPRAS-BOLO PG NO P 17/7/26 ELLEN</v>
      </c>
    </row>
    <row r="266" customFormat="false" ht="12.75" hidden="false" customHeight="true" outlineLevel="0" collapsed="false">
      <c r="A266" s="16" t="n">
        <f aca="false">Report!C353</f>
        <v>46220</v>
      </c>
      <c r="B266" s="1" t="str">
        <f aca="false">Report!E353</f>
        <v>H. L. DO NASCIMENTO</v>
      </c>
      <c r="C266" s="17" t="n">
        <f aca="false">Report!U353</f>
        <v>519.65</v>
      </c>
      <c r="D266" s="1" t="str">
        <f aca="false">Report!X353</f>
        <v>NF 5786 ELLEN</v>
      </c>
    </row>
    <row r="267" customFormat="false" ht="12.75" hidden="false" customHeight="true" outlineLevel="0" collapsed="false">
      <c r="A267" s="16" t="n">
        <f aca="false">Report!C354</f>
        <v>46220</v>
      </c>
      <c r="B267" s="1" t="str">
        <f aca="false">Report!E354</f>
        <v>J. S. MOREIRA ALVES LTDA</v>
      </c>
      <c r="C267" s="17" t="n">
        <f aca="false">Report!U354</f>
        <v>150</v>
      </c>
      <c r="D267" s="1" t="str">
        <f aca="false">Report!X354</f>
        <v>NF 2635 ELLEN</v>
      </c>
    </row>
    <row r="268" customFormat="false" ht="12.75" hidden="false" customHeight="true" outlineLevel="0" collapsed="false">
      <c r="A268" s="16" t="n">
        <f aca="false">Report!C355</f>
        <v>46220</v>
      </c>
      <c r="B268" s="1" t="str">
        <f aca="false">Report!E355</f>
        <v>L S M COMERCIO DE ALIMENTOS E NAVEGACAO</v>
      </c>
      <c r="C268" s="17" t="n">
        <f aca="false">Report!U355</f>
        <v>1184.06</v>
      </c>
      <c r="D268" s="1" t="str">
        <f aca="false">Report!X355</f>
        <v>NF 305929 ELLEN</v>
      </c>
    </row>
    <row r="269" customFormat="false" ht="12.75" hidden="false" customHeight="true" outlineLevel="0" collapsed="false">
      <c r="A269" s="16" t="n">
        <f aca="false">Report!C356</f>
        <v>46220</v>
      </c>
      <c r="B269" s="1" t="str">
        <f aca="false">Report!E356</f>
        <v>NEYLIANE S DE OLIVEIRA &amp; CIA LTDA</v>
      </c>
      <c r="C269" s="17" t="n">
        <f aca="false">Report!U356</f>
        <v>280</v>
      </c>
      <c r="D269" s="1" t="str">
        <f aca="false">Report!X356</f>
        <v>COMPRAS - 20L DE AÇAI - PG NO P 17/7/26 - ELLEN</v>
      </c>
    </row>
    <row r="270" customFormat="false" ht="12.75" hidden="false" customHeight="true" outlineLevel="0" collapsed="false">
      <c r="A270" s="16" t="n">
        <f aca="false">Report!C357</f>
        <v>46220</v>
      </c>
      <c r="B270" s="1" t="str">
        <f aca="false">Report!E357</f>
        <v>NEYLIANE S DE OLIVEIRA &amp; CIA LTDA</v>
      </c>
      <c r="C270" s="17" t="n">
        <f aca="false">Report!U357</f>
        <v>1392.72</v>
      </c>
      <c r="D270" s="1" t="str">
        <f aca="false">Report!X357</f>
        <v>FEIRA SR RENATO - PG P LJ1 - ELLEN</v>
      </c>
    </row>
    <row r="271" customFormat="false" ht="12.75" hidden="false" customHeight="true" outlineLevel="0" collapsed="false">
      <c r="A271" s="16" t="n">
        <f aca="false">Report!C358</f>
        <v>46220</v>
      </c>
      <c r="B271" s="1" t="str">
        <f aca="false">Report!E358</f>
        <v>OESA COMERCIO E REPRESENTACOES S/A</v>
      </c>
      <c r="C271" s="17" t="n">
        <f aca="false">Report!U358</f>
        <v>620</v>
      </c>
      <c r="D271" s="1" t="str">
        <f aca="false">Report!X358</f>
        <v>NF 419092 ELLEN</v>
      </c>
    </row>
    <row r="272" customFormat="false" ht="12.75" hidden="false" customHeight="true" outlineLevel="0" collapsed="false">
      <c r="A272" s="16" t="n">
        <f aca="false">Report!C359</f>
        <v>46220</v>
      </c>
      <c r="B272" s="1" t="str">
        <f aca="false">Report!E359</f>
        <v>PANIFICADORA E CONFEITARIA REAL MADRI LTDA</v>
      </c>
      <c r="C272" s="17" t="n">
        <f aca="false">Report!U359</f>
        <v>135</v>
      </c>
      <c r="D272" s="1" t="str">
        <f aca="false">Report!X359</f>
        <v>NF 711 ELLEN</v>
      </c>
    </row>
    <row r="273" customFormat="false" ht="12.75" hidden="false" customHeight="true" outlineLevel="0" collapsed="false">
      <c r="A273" s="16" t="n">
        <f aca="false">Report!C360</f>
        <v>46220</v>
      </c>
      <c r="B273" s="1" t="str">
        <f aca="false">Report!E360</f>
        <v>SOUZA CRUZ LTDA.</v>
      </c>
      <c r="C273" s="17" t="n">
        <f aca="false">Report!U360</f>
        <v>5791.7</v>
      </c>
      <c r="D273" s="1" t="str">
        <f aca="false">Report!X360</f>
        <v>NF 564993 ELLEN</v>
      </c>
    </row>
    <row r="274" customFormat="false" ht="12.75" hidden="false" customHeight="true" outlineLevel="0" collapsed="false">
      <c r="A274" s="16" t="n">
        <f aca="false">Report!C361</f>
        <v>46220</v>
      </c>
      <c r="B274" s="1" t="str">
        <f aca="false">Report!E361</f>
        <v>SOUZA CRUZ LTDA.</v>
      </c>
      <c r="C274" s="17" t="n">
        <f aca="false">Report!U361</f>
        <v>4572.86</v>
      </c>
      <c r="D274" s="1" t="str">
        <f aca="false">Report!X361</f>
        <v>NF 566541 ELLEN</v>
      </c>
    </row>
    <row r="275" customFormat="false" ht="12.75" hidden="false" customHeight="true" outlineLevel="0" collapsed="false">
      <c r="A275" s="16" t="n">
        <f aca="false">Report!C362</f>
        <v>46221</v>
      </c>
      <c r="B275" s="1" t="str">
        <f aca="false">Report!E362</f>
        <v>FORTVET DISTRIBUIDORA LTDA</v>
      </c>
      <c r="C275" s="17" t="n">
        <f aca="false">Report!U362</f>
        <v>660</v>
      </c>
      <c r="D275" s="1" t="str">
        <f aca="false">Report!X362</f>
        <v>NF 2495 ELLEN</v>
      </c>
    </row>
    <row r="276" customFormat="false" ht="12.75" hidden="false" customHeight="true" outlineLevel="0" collapsed="false">
      <c r="A276" s="16" t="n">
        <f aca="false">Report!C363</f>
        <v>46221</v>
      </c>
      <c r="B276" s="1" t="str">
        <f aca="false">Report!E363</f>
        <v>FUNNY PET DISTRIBUIDORA DE ALIMENTOS PAR</v>
      </c>
      <c r="C276" s="17" t="n">
        <f aca="false">Report!U363</f>
        <v>1589.28</v>
      </c>
      <c r="D276" s="1" t="str">
        <f aca="false">Report!X363</f>
        <v>NF 20499 ELLEN</v>
      </c>
    </row>
    <row r="277" customFormat="false" ht="12.75" hidden="false" customHeight="true" outlineLevel="0" collapsed="false">
      <c r="A277" s="16" t="n">
        <f aca="false">Report!C364</f>
        <v>46221</v>
      </c>
      <c r="B277" s="1" t="str">
        <f aca="false">Report!E364</f>
        <v>H L M PADARIA E CONFEITARIA LTDA</v>
      </c>
      <c r="C277" s="17" t="n">
        <f aca="false">Report!U364</f>
        <v>120</v>
      </c>
      <c r="D277" s="1" t="str">
        <f aca="false">Report!X364</f>
        <v>NF 35 COMPRAS-BOLO PG NO P 18/7/26 ELLEN</v>
      </c>
    </row>
    <row r="278" customFormat="false" ht="12.75" hidden="false" customHeight="true" outlineLevel="0" collapsed="false">
      <c r="A278" s="16" t="n">
        <f aca="false">Report!C365</f>
        <v>46221</v>
      </c>
      <c r="B278" s="1" t="str">
        <f aca="false">Report!E365</f>
        <v>MAXFRI DISTRIUIDORA LTDA</v>
      </c>
      <c r="C278" s="17" t="n">
        <f aca="false">Report!U365</f>
        <v>4043.8</v>
      </c>
      <c r="D278" s="1" t="str">
        <f aca="false">Report!X365</f>
        <v>NF 14685 ELLEN</v>
      </c>
    </row>
    <row r="279" customFormat="false" ht="12.75" hidden="false" customHeight="true" outlineLevel="0" collapsed="false">
      <c r="A279" s="16" t="n">
        <f aca="false">Report!C367</f>
        <v>46222</v>
      </c>
      <c r="B279" s="1" t="str">
        <f aca="false">Report!E367</f>
        <v>ADF DISTRIBUIDORA DE BEBIDAS LTDA</v>
      </c>
      <c r="C279" s="17" t="n">
        <f aca="false">Report!U367</f>
        <v>277.6</v>
      </c>
      <c r="D279" s="1" t="str">
        <f aca="false">Report!X367</f>
        <v>NF 473151 ELLEN</v>
      </c>
    </row>
    <row r="280" customFormat="false" ht="12.75" hidden="false" customHeight="true" outlineLevel="0" collapsed="false">
      <c r="A280" s="16" t="n">
        <f aca="false">Report!C368</f>
        <v>46222</v>
      </c>
      <c r="B280" s="1" t="str">
        <f aca="false">Report!E368</f>
        <v>MAXPEL COMERCIAL LTDA</v>
      </c>
      <c r="C280" s="17" t="n">
        <f aca="false">Report!U368</f>
        <v>1996.2</v>
      </c>
      <c r="D280" s="1" t="str">
        <f aca="false">Report!X368</f>
        <v>NF 316130 ELLEN</v>
      </c>
    </row>
    <row r="281" customFormat="false" ht="12.75" hidden="false" customHeight="true" outlineLevel="0" collapsed="false">
      <c r="A281" s="16" t="n">
        <f aca="false">Report!C369</f>
        <v>46223</v>
      </c>
      <c r="B281" s="1" t="str">
        <f aca="false">Report!E369</f>
        <v>CRBS S/A</v>
      </c>
      <c r="C281" s="17" t="n">
        <f aca="false">Report!U369</f>
        <v>661.73</v>
      </c>
      <c r="D281" s="1" t="str">
        <f aca="false">Report!X369</f>
        <v>NF 899238 ELLEN</v>
      </c>
    </row>
    <row r="282" customFormat="false" ht="12.75" hidden="false" customHeight="true" outlineLevel="0" collapsed="false">
      <c r="A282" s="16" t="n">
        <f aca="false">Report!C373</f>
        <v>46223</v>
      </c>
      <c r="B282" s="1" t="str">
        <f aca="false">Report!E373</f>
        <v>E. D. SENA &amp; CIA LTDA</v>
      </c>
      <c r="C282" s="17" t="n">
        <f aca="false">Report!U373</f>
        <v>531.18</v>
      </c>
      <c r="D282" s="1" t="str">
        <f aca="false">Report!X373</f>
        <v>NF 9495 ELLEN</v>
      </c>
    </row>
    <row r="283" customFormat="false" ht="12.75" hidden="false" customHeight="true" outlineLevel="0" collapsed="false">
      <c r="A283" s="16" t="n">
        <f aca="false">Report!C376</f>
        <v>46223</v>
      </c>
      <c r="B283" s="1" t="str">
        <f aca="false">Report!E376</f>
        <v>FENNIX BRASIL DISTRIBUIDORA DE PRODUTOS</v>
      </c>
      <c r="C283" s="17" t="n">
        <f aca="false">Report!U376</f>
        <v>368.05</v>
      </c>
      <c r="D283" s="1" t="str">
        <f aca="false">Report!X376</f>
        <v>NF 312916 ELLEN</v>
      </c>
    </row>
    <row r="284" customFormat="false" ht="12.75" hidden="false" customHeight="true" outlineLevel="0" collapsed="false">
      <c r="A284" s="16" t="n">
        <f aca="false">Report!C377</f>
        <v>46223</v>
      </c>
      <c r="B284" s="1" t="str">
        <f aca="false">Report!E377</f>
        <v>J W N DOS SANTOS</v>
      </c>
      <c r="C284" s="17" t="n">
        <f aca="false">Report!U377</f>
        <v>228</v>
      </c>
      <c r="D284" s="1" t="str">
        <f aca="false">Report!X377</f>
        <v>NF 364 ELLEN</v>
      </c>
    </row>
    <row r="285" customFormat="false" ht="12.75" hidden="false" customHeight="true" outlineLevel="0" collapsed="false">
      <c r="A285" s="16" t="n">
        <f aca="false">Report!C378</f>
        <v>46223</v>
      </c>
      <c r="B285" s="1" t="str">
        <f aca="false">Report!E378</f>
        <v>KAROLINY RODRIGUES SOUZA VENANCIO 915783</v>
      </c>
      <c r="C285" s="17" t="n">
        <f aca="false">Report!U378</f>
        <v>250</v>
      </c>
      <c r="D285" s="1" t="str">
        <f aca="false">Report!X378</f>
        <v>NF 1791 ELLEN</v>
      </c>
    </row>
    <row r="286" customFormat="false" ht="12.75" hidden="false" customHeight="true" outlineLevel="0" collapsed="false">
      <c r="A286" s="16" t="n">
        <f aca="false">Report!C379</f>
        <v>46223</v>
      </c>
      <c r="B286" s="1" t="str">
        <f aca="false">Report!E379</f>
        <v>NEXUS DISTRIBUIDORA</v>
      </c>
      <c r="C286" s="17" t="n">
        <f aca="false">Report!U379</f>
        <v>374.1</v>
      </c>
      <c r="D286" s="1" t="str">
        <f aca="false">Report!X379</f>
        <v>NF 102073 ELLEN</v>
      </c>
    </row>
    <row r="287" customFormat="false" ht="12.75" hidden="false" customHeight="true" outlineLevel="0" collapsed="false">
      <c r="A287" s="16" t="n">
        <f aca="false">Report!C380</f>
        <v>46223</v>
      </c>
      <c r="B287" s="1" t="str">
        <f aca="false">Report!E380</f>
        <v>NEYLIANE S DE OLIVEIRA &amp; CIA LTDA</v>
      </c>
      <c r="C287" s="17" t="n">
        <f aca="false">Report!U380</f>
        <v>210</v>
      </c>
      <c r="D287" s="1" t="str">
        <f aca="false">Report!X380</f>
        <v>COMPRAS - 15L DE AÇAI - PG NO P 20/7/26 ELLEN</v>
      </c>
    </row>
    <row r="288" customFormat="false" ht="12.75" hidden="false" customHeight="true" outlineLevel="0" collapsed="false">
      <c r="A288" s="16" t="n">
        <f aca="false">Report!C382</f>
        <v>46223</v>
      </c>
      <c r="B288" s="1" t="str">
        <f aca="false">Report!E382</f>
        <v>NOVA FRIOS COMERCIO ATACADISTA DE LATICINIOS LTDA</v>
      </c>
      <c r="C288" s="17" t="n">
        <f aca="false">Report!U382</f>
        <v>216.75</v>
      </c>
      <c r="D288" s="1" t="str">
        <f aca="false">Report!X382</f>
        <v>NF 4058 ELLEN</v>
      </c>
    </row>
    <row r="289" customFormat="false" ht="12.75" hidden="false" customHeight="true" outlineLevel="0" collapsed="false">
      <c r="A289" s="16" t="n">
        <f aca="false">Report!C384</f>
        <v>46223</v>
      </c>
      <c r="B289" s="1" t="str">
        <f aca="false">Report!E384</f>
        <v>ROCHA E PAIVA LTDA</v>
      </c>
      <c r="C289" s="17" t="n">
        <f aca="false">Report!U384</f>
        <v>591.52</v>
      </c>
      <c r="D289" s="1" t="str">
        <f aca="false">Report!X384</f>
        <v>NF 207912 ELLEN</v>
      </c>
    </row>
    <row r="290" customFormat="false" ht="12.75" hidden="false" customHeight="true" outlineLevel="0" collapsed="false">
      <c r="A290" s="16" t="n">
        <f aca="false">Report!C386</f>
        <v>46223</v>
      </c>
      <c r="B290" s="1" t="str">
        <f aca="false">Report!E386</f>
        <v>T. M. L. DA SILVA LTDA</v>
      </c>
      <c r="C290" s="17" t="n">
        <f aca="false">Report!U386</f>
        <v>361.6</v>
      </c>
      <c r="D290" s="1" t="str">
        <f aca="false">Report!X386</f>
        <v>NF 15127 ELLEN</v>
      </c>
    </row>
    <row r="291" customFormat="false" ht="12.75" hidden="false" customHeight="true" outlineLevel="0" collapsed="false">
      <c r="A291" s="16" t="n">
        <f aca="false">Report!C387</f>
        <v>46224</v>
      </c>
      <c r="B291" s="1" t="str">
        <f aca="false">Report!E387</f>
        <v>ADICSO FABIAN GONZALEZ MONTILLA 70302186</v>
      </c>
      <c r="C291" s="17" t="n">
        <f aca="false">Report!U387</f>
        <v>180</v>
      </c>
      <c r="D291" s="1" t="str">
        <f aca="false">Report!X387</f>
        <v>NF 535 ELLEN</v>
      </c>
    </row>
    <row r="292" customFormat="false" ht="12.75" hidden="false" customHeight="true" outlineLevel="0" collapsed="false">
      <c r="A292" s="16" t="n">
        <f aca="false">Report!C388</f>
        <v>46224</v>
      </c>
      <c r="B292" s="1" t="str">
        <f aca="false">Report!E388</f>
        <v>BRASIL NORTE BEBIDAS S/A</v>
      </c>
      <c r="C292" s="17" t="n">
        <f aca="false">Report!U388</f>
        <v>205.13</v>
      </c>
      <c r="D292" s="1" t="str">
        <f aca="false">Report!X388</f>
        <v>NF 1917880 ELLEN</v>
      </c>
    </row>
    <row r="293" customFormat="false" ht="12.75" hidden="false" customHeight="true" outlineLevel="0" collapsed="false">
      <c r="A293" s="16" t="n">
        <f aca="false">Report!C389</f>
        <v>46224</v>
      </c>
      <c r="B293" s="1" t="str">
        <f aca="false">Report!E389</f>
        <v>BRASIL NORTE BEBIDAS S/A</v>
      </c>
      <c r="C293" s="17" t="n">
        <f aca="false">Report!U389</f>
        <v>63.37</v>
      </c>
      <c r="D293" s="1" t="str">
        <f aca="false">Report!X389</f>
        <v>NF 1187912 ELLEN</v>
      </c>
    </row>
    <row r="294" customFormat="false" ht="12.75" hidden="false" customHeight="true" outlineLevel="0" collapsed="false">
      <c r="A294" s="16" t="n">
        <f aca="false">Report!C390</f>
        <v>46224</v>
      </c>
      <c r="B294" s="1" t="str">
        <f aca="false">Report!E390</f>
        <v>BRASIL NORTE BEBIDAS S/A</v>
      </c>
      <c r="C294" s="17" t="n">
        <f aca="false">Report!U390</f>
        <v>767.32</v>
      </c>
      <c r="D294" s="1" t="str">
        <f aca="false">Report!X390</f>
        <v>NF 1187910 ELLEN</v>
      </c>
    </row>
    <row r="295" customFormat="false" ht="12.75" hidden="false" customHeight="true" outlineLevel="0" collapsed="false">
      <c r="A295" s="16" t="n">
        <f aca="false">Report!C391</f>
        <v>46224</v>
      </c>
      <c r="B295" s="1" t="str">
        <f aca="false">Report!E391</f>
        <v>BRASIL NORTE BEBIDAS S/A</v>
      </c>
      <c r="C295" s="17" t="n">
        <f aca="false">Report!U391</f>
        <v>3649.01</v>
      </c>
      <c r="D295" s="1" t="str">
        <f aca="false">Report!X391</f>
        <v>NF 1917854 ELLEN</v>
      </c>
    </row>
    <row r="296" customFormat="false" ht="12.75" hidden="false" customHeight="true" outlineLevel="0" collapsed="false">
      <c r="A296" s="16" t="n">
        <f aca="false">Report!C392</f>
        <v>46224</v>
      </c>
      <c r="B296" s="1" t="str">
        <f aca="false">Report!E392</f>
        <v>BROTHERS  INDUSTRIA DE ALIMENTOS LTDA</v>
      </c>
      <c r="C296" s="17" t="n">
        <f aca="false">Report!U392</f>
        <v>261.92</v>
      </c>
      <c r="D296" s="1" t="str">
        <f aca="false">Report!X392</f>
        <v>NF 1031749 ELLEN</v>
      </c>
    </row>
    <row r="297" customFormat="false" ht="12.75" hidden="false" customHeight="true" outlineLevel="0" collapsed="false">
      <c r="A297" s="16" t="n">
        <f aca="false">Report!C394</f>
        <v>46224</v>
      </c>
      <c r="B297" s="1" t="str">
        <f aca="false">Report!E394</f>
        <v>DISTRIBUIDORA LOPES LTDA</v>
      </c>
      <c r="C297" s="17" t="n">
        <f aca="false">Report!U394</f>
        <v>724</v>
      </c>
      <c r="D297" s="1" t="str">
        <f aca="false">Report!X394</f>
        <v>NF 1678138 ELLEN</v>
      </c>
    </row>
    <row r="298" customFormat="false" ht="12.75" hidden="false" customHeight="true" outlineLevel="0" collapsed="false">
      <c r="A298" s="16" t="n">
        <f aca="false">Report!C395</f>
        <v>46224</v>
      </c>
      <c r="B298" s="1" t="str">
        <f aca="false">Report!E395</f>
        <v>FEIRA</v>
      </c>
      <c r="C298" s="17" t="n">
        <f aca="false">Report!U395</f>
        <v>190</v>
      </c>
      <c r="D298" s="1" t="str">
        <f aca="false">Report!X395</f>
        <v>FEIRA SR RENATO - PG P LJ1 (MAÇA) SOMAR C NF2554-ELLEN</v>
      </c>
    </row>
    <row r="299" customFormat="false" ht="12.75" hidden="false" customHeight="true" outlineLevel="0" collapsed="false">
      <c r="A299" s="16" t="n">
        <f aca="false">Report!C397</f>
        <v>46224</v>
      </c>
      <c r="B299" s="1" t="str">
        <f aca="false">Report!E397</f>
        <v>MARE DISTRIBUIDORA DE BEBIDAS E DE PRODUTOS ALIMENTICIOS LTDA</v>
      </c>
      <c r="C299" s="17" t="n">
        <f aca="false">Report!U397</f>
        <v>1209.4</v>
      </c>
      <c r="D299" s="1" t="str">
        <f aca="false">Report!X397</f>
        <v>NF 1385251 ELLEN</v>
      </c>
    </row>
    <row r="300" customFormat="false" ht="12.75" hidden="false" customHeight="true" outlineLevel="0" collapsed="false">
      <c r="A300" s="16" t="n">
        <f aca="false">Report!C398</f>
        <v>46224</v>
      </c>
      <c r="B300" s="1" t="str">
        <f aca="false">Report!E398</f>
        <v>MARTINS COM SERV DISTR SA</v>
      </c>
      <c r="C300" s="17" t="n">
        <f aca="false">Report!U398</f>
        <v>542.11</v>
      </c>
      <c r="D300" s="1" t="str">
        <f aca="false">Report!X398</f>
        <v>NF 1777487 ELLEN</v>
      </c>
    </row>
    <row r="301" customFormat="false" ht="12.75" hidden="false" customHeight="true" outlineLevel="0" collapsed="false">
      <c r="A301" s="16" t="n">
        <f aca="false">Report!C399</f>
        <v>46224</v>
      </c>
      <c r="B301" s="1" t="str">
        <f aca="false">Report!E399</f>
        <v>NESTLÉ BRASIL LTDA.</v>
      </c>
      <c r="C301" s="17" t="n">
        <f aca="false">Report!U399</f>
        <v>712.57</v>
      </c>
      <c r="D301" s="1" t="str">
        <f aca="false">Report!X399</f>
        <v>NF 1427668 ELLEN</v>
      </c>
    </row>
    <row r="302" customFormat="false" ht="12.75" hidden="false" customHeight="true" outlineLevel="0" collapsed="false">
      <c r="A302" s="16" t="n">
        <f aca="false">Report!C400</f>
        <v>46224</v>
      </c>
      <c r="B302" s="1" t="str">
        <f aca="false">Report!E400</f>
        <v>NEYLIANE S DE OLIVEIRA &amp; CIA LTDA</v>
      </c>
      <c r="C302" s="17" t="n">
        <f aca="false">Report!U400</f>
        <v>1446.94</v>
      </c>
      <c r="D302" s="1" t="str">
        <f aca="false">Report!X400</f>
        <v>FEIRA SR RENATO - PG P LJ 1 - ELLEN</v>
      </c>
    </row>
    <row r="303" customFormat="false" ht="12.75" hidden="false" customHeight="true" outlineLevel="0" collapsed="false">
      <c r="A303" s="16" t="n">
        <f aca="false">Report!C401</f>
        <v>46224</v>
      </c>
      <c r="B303" s="1" t="str">
        <f aca="false">Report!E401</f>
        <v>NEYLIANE S DE OLIVEIRA &amp; CIA LTDA</v>
      </c>
      <c r="C303" s="17" t="n">
        <f aca="false">Report!U401</f>
        <v>55</v>
      </c>
      <c r="D303" s="1" t="str">
        <f aca="false">Report!X401</f>
        <v>FEIRA SR RENATO (1 SC LIMÃO) PG P LJ1 - ELLEN</v>
      </c>
    </row>
    <row r="304" customFormat="false" ht="12.75" hidden="false" customHeight="true" outlineLevel="0" collapsed="false">
      <c r="A304" s="16" t="n">
        <f aca="false">Report!C402</f>
        <v>46224</v>
      </c>
      <c r="B304" s="1" t="str">
        <f aca="false">Report!E402</f>
        <v>NEYLIANE S DE OLIVEIRA &amp; CIA LTDA</v>
      </c>
      <c r="C304" s="17" t="n">
        <f aca="false">Report!U402</f>
        <v>210</v>
      </c>
      <c r="D304" s="1" t="str">
        <f aca="false">Report!X402</f>
        <v>COMPRAS - 15L DE AÇAI - PG NO P 21/7/26 ELLEN</v>
      </c>
    </row>
    <row r="305" customFormat="false" ht="12.75" hidden="false" customHeight="true" outlineLevel="0" collapsed="false">
      <c r="A305" s="16" t="n">
        <f aca="false">Report!C403</f>
        <v>46224</v>
      </c>
      <c r="B305" s="1" t="str">
        <f aca="false">Report!E403</f>
        <v>NSB COMERCIO ATACADISTA E VAREJISTA DE P</v>
      </c>
      <c r="C305" s="17" t="n">
        <f aca="false">Report!U403</f>
        <v>378.88</v>
      </c>
      <c r="D305" s="1" t="str">
        <f aca="false">Report!X403</f>
        <v>NF 7874 ELLEN</v>
      </c>
    </row>
    <row r="306" customFormat="false" ht="12.75" hidden="false" customHeight="true" outlineLevel="0" collapsed="false">
      <c r="A306" s="16" t="n">
        <f aca="false">Report!C404</f>
        <v>46224</v>
      </c>
      <c r="B306" s="1" t="str">
        <f aca="false">Report!E404</f>
        <v>PANIFICADORA E CONFEITARIA REAL MADRI LTDA</v>
      </c>
      <c r="C306" s="17" t="n">
        <f aca="false">Report!U404</f>
        <v>184.9</v>
      </c>
      <c r="D306" s="1" t="str">
        <f aca="false">Report!X404</f>
        <v>NF 719 ELLEN</v>
      </c>
    </row>
    <row r="307" customFormat="false" ht="12.75" hidden="false" customHeight="true" outlineLevel="0" collapsed="false">
      <c r="A307" s="16" t="n">
        <f aca="false">Report!C405</f>
        <v>46225</v>
      </c>
      <c r="B307" s="1" t="str">
        <f aca="false">Report!E405</f>
        <v>BRF S A</v>
      </c>
      <c r="C307" s="17" t="n">
        <f aca="false">Report!U405</f>
        <v>1025.07</v>
      </c>
      <c r="D307" s="1" t="str">
        <f aca="false">Report!X405</f>
        <v>NF 1605936 ELLEN</v>
      </c>
    </row>
    <row r="308" customFormat="false" ht="12.75" hidden="false" customHeight="true" outlineLevel="0" collapsed="false">
      <c r="A308" s="16" t="n">
        <f aca="false">Report!C406</f>
        <v>46225</v>
      </c>
      <c r="B308" s="1" t="str">
        <f aca="false">Report!E406</f>
        <v>H L M PADARIA E CONFEITARIA LTDA</v>
      </c>
      <c r="C308" s="17" t="n">
        <f aca="false">Report!U406</f>
        <v>120</v>
      </c>
      <c r="D308" s="1" t="str">
        <f aca="false">Report!X406</f>
        <v>NF 21 COMPRAS-BOLO PG NO P 22/7 ELLEN</v>
      </c>
    </row>
    <row r="309" customFormat="false" ht="12.75" hidden="false" customHeight="true" outlineLevel="0" collapsed="false">
      <c r="A309" s="16" t="n">
        <f aca="false">Report!C407</f>
        <v>46225</v>
      </c>
      <c r="B309" s="1" t="str">
        <f aca="false">Report!E407</f>
        <v>J G COMERCIO DE PRODUTOS ALIMENTICIOS LTDA</v>
      </c>
      <c r="C309" s="17" t="n">
        <f aca="false">Report!U407</f>
        <v>2806.49</v>
      </c>
      <c r="D309" s="1" t="str">
        <f aca="false">Report!X407</f>
        <v>NF 392537 ELLEN</v>
      </c>
    </row>
    <row r="310" customFormat="false" ht="12.75" hidden="false" customHeight="true" outlineLevel="0" collapsed="false">
      <c r="A310" s="16" t="n">
        <f aca="false">Report!C408</f>
        <v>46225</v>
      </c>
      <c r="B310" s="1" t="str">
        <f aca="false">Report!E408</f>
        <v>L S M COMERCIO DE ALIMENTOS E NAVEGACAO</v>
      </c>
      <c r="C310" s="17" t="n">
        <f aca="false">Report!U408</f>
        <v>1021.83</v>
      </c>
      <c r="D310" s="1" t="str">
        <f aca="false">Report!X408</f>
        <v>NF 307804 ELLEN</v>
      </c>
    </row>
    <row r="311" customFormat="false" ht="12.75" hidden="false" customHeight="true" outlineLevel="0" collapsed="false">
      <c r="A311" s="16" t="n">
        <f aca="false">Report!C409</f>
        <v>46225</v>
      </c>
      <c r="B311" s="1" t="str">
        <f aca="false">Report!E409</f>
        <v>LELE FABRICACAO DE MASSAS LTDA</v>
      </c>
      <c r="C311" s="17" t="n">
        <f aca="false">Report!U409</f>
        <v>200</v>
      </c>
      <c r="D311" s="1" t="str">
        <f aca="false">Report!X409</f>
        <v>NF 16645 ELLEN</v>
      </c>
    </row>
    <row r="312" customFormat="false" ht="12.75" hidden="false" customHeight="true" outlineLevel="0" collapsed="false">
      <c r="A312" s="16" t="n">
        <f aca="false">Report!C410</f>
        <v>46225</v>
      </c>
      <c r="B312" s="1" t="str">
        <f aca="false">Report!E410</f>
        <v>MAXFRI DISTRIUIDORA LTDA</v>
      </c>
      <c r="C312" s="17" t="n">
        <f aca="false">Report!U410</f>
        <v>4093.4</v>
      </c>
      <c r="D312" s="1" t="str">
        <f aca="false">Report!X410</f>
        <v>NF 14718 ELLEN</v>
      </c>
    </row>
    <row r="313" customFormat="false" ht="12.75" hidden="false" customHeight="true" outlineLevel="0" collapsed="false">
      <c r="A313" s="16" t="n">
        <f aca="false">Report!C411</f>
        <v>46225</v>
      </c>
      <c r="B313" s="1" t="str">
        <f aca="false">Report!E411</f>
        <v>NEYLIANE S DE OLIVEIRA &amp; CIA LTDA</v>
      </c>
      <c r="C313" s="17" t="n">
        <f aca="false">Report!U411</f>
        <v>210</v>
      </c>
      <c r="D313" s="1" t="str">
        <f aca="false">Report!X411</f>
        <v>COMPRAS - 15L DE AÇAI - PG NO P 22/7/26 ELLEN</v>
      </c>
    </row>
    <row r="314" customFormat="false" ht="12.75" hidden="false" customHeight="true" outlineLevel="0" collapsed="false">
      <c r="A314" s="16" t="n">
        <f aca="false">Report!C412</f>
        <v>46225</v>
      </c>
      <c r="B314" s="1" t="str">
        <f aca="false">Report!E412</f>
        <v>OPPORTUNITY ALIMENTOS PARA ANIMAIS LTDA</v>
      </c>
      <c r="C314" s="17" t="n">
        <f aca="false">Report!U412</f>
        <v>1185.3</v>
      </c>
      <c r="D314" s="1" t="str">
        <f aca="false">Report!X412</f>
        <v>NF 34213 ELLEN</v>
      </c>
    </row>
    <row r="315" customFormat="false" ht="12.75" hidden="false" customHeight="true" outlineLevel="0" collapsed="false">
      <c r="A315" s="16" t="n">
        <f aca="false">Report!C413</f>
        <v>46225</v>
      </c>
      <c r="B315" s="1" t="str">
        <f aca="false">Report!E413</f>
        <v>PRIME PET DISTRIBUIDORA LTDA</v>
      </c>
      <c r="C315" s="17" t="n">
        <f aca="false">Report!U413</f>
        <v>1361.81</v>
      </c>
      <c r="D315" s="1" t="str">
        <f aca="false">Report!X413</f>
        <v>NF 10860 ELLEN</v>
      </c>
    </row>
    <row r="316" customFormat="false" ht="12.75" hidden="false" customHeight="true" outlineLevel="0" collapsed="false">
      <c r="A316" s="16" t="n">
        <f aca="false">Report!C414</f>
        <v>46226</v>
      </c>
      <c r="B316" s="1" t="str">
        <f aca="false">Report!E414</f>
        <v>ADRIANO FEITOSA OLIVEIRA LTDA</v>
      </c>
      <c r="C316" s="17" t="n">
        <f aca="false">Report!U414</f>
        <v>925</v>
      </c>
      <c r="D316" s="1" t="str">
        <f aca="false">Report!X414</f>
        <v>NF 337 ELLEN</v>
      </c>
    </row>
    <row r="317" customFormat="false" ht="12.75" hidden="false" customHeight="true" outlineLevel="0" collapsed="false">
      <c r="A317" s="16" t="n">
        <f aca="false">Report!C416</f>
        <v>46226</v>
      </c>
      <c r="B317" s="1" t="str">
        <f aca="false">Report!E416</f>
        <v>BRASIL NORTE BEBIDAS S/A</v>
      </c>
      <c r="C317" s="17" t="n">
        <f aca="false">Report!U416</f>
        <v>636.39</v>
      </c>
      <c r="D317" s="1" t="str">
        <f aca="false">Report!X416</f>
        <v>NF 1193391 ELLEN</v>
      </c>
    </row>
    <row r="318" customFormat="false" ht="12.75" hidden="false" customHeight="true" outlineLevel="0" collapsed="false">
      <c r="A318" s="16" t="n">
        <f aca="false">Report!C417</f>
        <v>46226</v>
      </c>
      <c r="B318" s="1" t="str">
        <f aca="false">Report!E417</f>
        <v>BRASIL NORTE BEBIDAS S/A</v>
      </c>
      <c r="C318" s="17" t="n">
        <f aca="false">Report!U417</f>
        <v>636.39</v>
      </c>
      <c r="D318" s="1" t="str">
        <f aca="false">Report!X417</f>
        <v>NF 1193333 ELLEN</v>
      </c>
    </row>
    <row r="319" customFormat="false" ht="12.75" hidden="false" customHeight="true" outlineLevel="0" collapsed="false">
      <c r="A319" s="16" t="n">
        <f aca="false">Report!C418</f>
        <v>46226</v>
      </c>
      <c r="B319" s="1" t="str">
        <f aca="false">Report!E418</f>
        <v>BRASIL NORTE BEBIDAS S/A</v>
      </c>
      <c r="C319" s="17" t="n">
        <f aca="false">Report!U418</f>
        <v>76.19</v>
      </c>
      <c r="D319" s="1" t="str">
        <f aca="false">Report!X418</f>
        <v>NF 1923967 ELLEN</v>
      </c>
    </row>
    <row r="320" customFormat="false" ht="12.75" hidden="false" customHeight="true" outlineLevel="0" collapsed="false">
      <c r="A320" s="16" t="n">
        <f aca="false">Report!C419</f>
        <v>46226</v>
      </c>
      <c r="B320" s="1" t="str">
        <f aca="false">Report!E419</f>
        <v>BRASIL NORTE BEBIDAS S/A</v>
      </c>
      <c r="C320" s="17" t="n">
        <f aca="false">Report!U419</f>
        <v>225.5</v>
      </c>
      <c r="D320" s="1" t="str">
        <f aca="false">Report!X419</f>
        <v>NF 1923963 ELLEN</v>
      </c>
    </row>
    <row r="321" customFormat="false" ht="12.75" hidden="false" customHeight="true" outlineLevel="0" collapsed="false">
      <c r="A321" s="16" t="n">
        <f aca="false">Report!C420</f>
        <v>46226</v>
      </c>
      <c r="B321" s="1" t="str">
        <f aca="false">Report!E420</f>
        <v>BRASIL NORTE BEBIDAS S/A</v>
      </c>
      <c r="C321" s="17" t="n">
        <f aca="false">Report!U420</f>
        <v>221</v>
      </c>
      <c r="D321" s="1" t="str">
        <f aca="false">Report!X420</f>
        <v>NF 1923964 ELLEN</v>
      </c>
    </row>
    <row r="322" customFormat="false" ht="12.75" hidden="false" customHeight="true" outlineLevel="0" collapsed="false">
      <c r="A322" s="16" t="n">
        <f aca="false">Report!C421</f>
        <v>46226</v>
      </c>
      <c r="B322" s="1" t="str">
        <f aca="false">Report!E421</f>
        <v>BRASIL NORTE BEBIDAS S/A</v>
      </c>
      <c r="C322" s="17" t="n">
        <f aca="false">Report!U421</f>
        <v>104.51</v>
      </c>
      <c r="D322" s="1" t="str">
        <f aca="false">Report!X421</f>
        <v>NF 1193336 ELLEN</v>
      </c>
    </row>
    <row r="323" customFormat="false" ht="12.75" hidden="false" customHeight="true" outlineLevel="0" collapsed="false">
      <c r="A323" s="16" t="n">
        <f aca="false">Report!C422</f>
        <v>46226</v>
      </c>
      <c r="B323" s="1" t="str">
        <f aca="false">Report!E422</f>
        <v>CB COMERCIO E DISTRIBUIDORA DE ALIMENTOS</v>
      </c>
      <c r="C323" s="17" t="n">
        <f aca="false">Report!U422</f>
        <v>426.95</v>
      </c>
      <c r="D323" s="1" t="str">
        <f aca="false">Report!X422</f>
        <v>NF 851821 ELLEN</v>
      </c>
    </row>
    <row r="324" customFormat="false" ht="12.75" hidden="false" customHeight="true" outlineLevel="0" collapsed="false">
      <c r="A324" s="16" t="n">
        <f aca="false">Report!C423</f>
        <v>46226</v>
      </c>
      <c r="B324" s="1" t="str">
        <f aca="false">Report!E423</f>
        <v>DISTRIBUIDORA LOPES LTDA</v>
      </c>
      <c r="C324" s="17" t="n">
        <f aca="false">Report!U423</f>
        <v>1383</v>
      </c>
      <c r="D324" s="1" t="str">
        <f aca="false">Report!X423</f>
        <v>NF 1680694 ELLEN</v>
      </c>
    </row>
    <row r="325" customFormat="false" ht="12.75" hidden="false" customHeight="true" outlineLevel="0" collapsed="false">
      <c r="A325" s="16" t="n">
        <f aca="false">Report!C424</f>
        <v>46226</v>
      </c>
      <c r="B325" s="1" t="str">
        <f aca="false">Report!E424</f>
        <v>DISTRIBUIDORA LOPES LTDA</v>
      </c>
      <c r="C325" s="17" t="n">
        <f aca="false">Report!U424</f>
        <v>281.82</v>
      </c>
      <c r="D325" s="1" t="str">
        <f aca="false">Report!X424</f>
        <v>NF 1693414 ELLEN</v>
      </c>
    </row>
    <row r="326" customFormat="false" ht="12.75" hidden="false" customHeight="true" outlineLevel="0" collapsed="false">
      <c r="A326" s="16" t="n">
        <f aca="false">Report!C426</f>
        <v>46226</v>
      </c>
      <c r="B326" s="1" t="str">
        <f aca="false">Report!E426</f>
        <v>EMPRESA BRASILEIRA DE DISTRIBUICAO LTDA</v>
      </c>
      <c r="C326" s="17" t="n">
        <f aca="false">Report!U426</f>
        <v>658.61</v>
      </c>
      <c r="D326" s="1" t="str">
        <f aca="false">Report!X426</f>
        <v>NF 2299705 ELLEN</v>
      </c>
    </row>
    <row r="327" customFormat="false" ht="12.75" hidden="false" customHeight="true" outlineLevel="0" collapsed="false">
      <c r="A327" s="16" t="n">
        <f aca="false">Report!C427</f>
        <v>46226</v>
      </c>
      <c r="B327" s="1" t="str">
        <f aca="false">Report!E427</f>
        <v>EMPRESA BRASILEIRA DE DISTRIBUICAO LTDA</v>
      </c>
      <c r="C327" s="17" t="n">
        <f aca="false">Report!U427</f>
        <v>377.45</v>
      </c>
      <c r="D327" s="1" t="str">
        <f aca="false">Report!X427</f>
        <v>NF 2299703 ELLEN</v>
      </c>
    </row>
    <row r="328" customFormat="false" ht="12.75" hidden="false" customHeight="true" outlineLevel="0" collapsed="false">
      <c r="A328" s="16" t="n">
        <f aca="false">Report!C428</f>
        <v>46226</v>
      </c>
      <c r="B328" s="1" t="str">
        <f aca="false">Report!E428</f>
        <v>FENNIX BRASIL DISTRIBUIDORA DE PRODUTOS</v>
      </c>
      <c r="C328" s="17" t="n">
        <f aca="false">Report!U428</f>
        <v>321.76</v>
      </c>
      <c r="D328" s="1" t="str">
        <f aca="false">Report!X428</f>
        <v>NF 396261 ELLEN</v>
      </c>
    </row>
    <row r="329" customFormat="false" ht="12.75" hidden="false" customHeight="true" outlineLevel="0" collapsed="false">
      <c r="A329" s="16" t="n">
        <f aca="false">Report!C429</f>
        <v>46226</v>
      </c>
      <c r="B329" s="1" t="str">
        <f aca="false">Report!E429</f>
        <v>J G COMERCIO DE PRODUTOS ALIMENTICIOS LTDA</v>
      </c>
      <c r="C329" s="17" t="n">
        <f aca="false">Report!U429</f>
        <v>2005.44</v>
      </c>
      <c r="D329" s="1" t="str">
        <f aca="false">Report!X429</f>
        <v>NF 390211 ELLEN</v>
      </c>
    </row>
    <row r="330" customFormat="false" ht="12.75" hidden="false" customHeight="true" outlineLevel="0" collapsed="false">
      <c r="A330" s="16" t="n">
        <f aca="false">Report!C430</f>
        <v>46226</v>
      </c>
      <c r="B330" s="1" t="str">
        <f aca="false">Report!E430</f>
        <v>JAB COMERCIO DE PRODUTOS ALIMENTICIOS LT</v>
      </c>
      <c r="C330" s="17" t="n">
        <f aca="false">Report!U430</f>
        <v>125</v>
      </c>
      <c r="D330" s="1" t="str">
        <f aca="false">Report!X430</f>
        <v>NF 3554 ELLEN</v>
      </c>
    </row>
    <row r="331" customFormat="false" ht="12.75" hidden="false" customHeight="true" outlineLevel="0" collapsed="false">
      <c r="A331" s="16" t="n">
        <f aca="false">Report!C431</f>
        <v>46226</v>
      </c>
      <c r="B331" s="1" t="str">
        <f aca="false">Report!E431</f>
        <v>MAXFRI DISTRIUIDORA LTDA</v>
      </c>
      <c r="C331" s="17" t="n">
        <f aca="false">Report!U431</f>
        <v>1269.94</v>
      </c>
      <c r="D331" s="1" t="str">
        <f aca="false">Report!X431</f>
        <v>NF 14728 ELLEN</v>
      </c>
    </row>
    <row r="332" customFormat="false" ht="12.75" hidden="false" customHeight="true" outlineLevel="0" collapsed="false">
      <c r="A332" s="16" t="n">
        <f aca="false">Report!C432</f>
        <v>46226</v>
      </c>
      <c r="B332" s="1" t="str">
        <f aca="false">Report!E432</f>
        <v>OCIDENTAL COMERCIO DE FRIOS LTDA</v>
      </c>
      <c r="C332" s="17" t="n">
        <f aca="false">Report!U432</f>
        <v>335.35</v>
      </c>
      <c r="D332" s="1" t="str">
        <f aca="false">Report!X432</f>
        <v>NF 1245696 ELLEN</v>
      </c>
    </row>
    <row r="333" customFormat="false" ht="12.75" hidden="false" customHeight="true" outlineLevel="0" collapsed="false">
      <c r="A333" s="16" t="n">
        <f aca="false">Report!C433</f>
        <v>46226</v>
      </c>
      <c r="B333" s="1" t="str">
        <f aca="false">Report!E433</f>
        <v>OCIDENTAL COMERCIO DE FRIOS LTDA</v>
      </c>
      <c r="C333" s="17" t="n">
        <f aca="false">Report!U433</f>
        <v>593.78</v>
      </c>
      <c r="D333" s="1" t="str">
        <f aca="false">Report!X433</f>
        <v>NF 1248471 ELLEN</v>
      </c>
    </row>
    <row r="334" customFormat="false" ht="12.75" hidden="false" customHeight="true" outlineLevel="0" collapsed="false">
      <c r="A334" s="16" t="n">
        <f aca="false">Report!C434</f>
        <v>46226</v>
      </c>
      <c r="B334" s="1" t="str">
        <f aca="false">Report!E434</f>
        <v>OESA COMERCIO E REPRESENTACOES S/A</v>
      </c>
      <c r="C334" s="17" t="n">
        <f aca="false">Report!U434</f>
        <v>682.64</v>
      </c>
      <c r="D334" s="1" t="str">
        <f aca="false">Report!X434</f>
        <v>NF 426652 ELLEN</v>
      </c>
    </row>
    <row r="335" customFormat="false" ht="12.75" hidden="false" customHeight="true" outlineLevel="0" collapsed="false">
      <c r="A335" s="16" t="n">
        <f aca="false">Report!C435</f>
        <v>46226</v>
      </c>
      <c r="B335" s="1" t="str">
        <f aca="false">Report!E435</f>
        <v>RISADINHA LTDA</v>
      </c>
      <c r="C335" s="17" t="n">
        <f aca="false">Report!U435</f>
        <v>550.4</v>
      </c>
      <c r="D335" s="1" t="str">
        <f aca="false">Report!X435</f>
        <v>NF 658429 ELLEN</v>
      </c>
    </row>
    <row r="336" customFormat="false" ht="12.75" hidden="false" customHeight="true" outlineLevel="0" collapsed="false">
      <c r="A336" s="16" t="n">
        <f aca="false">Report!C436</f>
        <v>46226</v>
      </c>
      <c r="B336" s="1" t="str">
        <f aca="false">Report!E436</f>
        <v>SAO JOSE COMERCIO DE LATICINIOS E FRIOS</v>
      </c>
      <c r="C336" s="17" t="n">
        <f aca="false">Report!U436</f>
        <v>533.5</v>
      </c>
      <c r="D336" s="1" t="str">
        <f aca="false">Report!X436</f>
        <v>NF 3627 ELLEN</v>
      </c>
    </row>
    <row r="337" customFormat="false" ht="12.75" hidden="false" customHeight="true" outlineLevel="0" collapsed="false">
      <c r="A337" s="16" t="n">
        <f aca="false">Report!C437</f>
        <v>46226</v>
      </c>
      <c r="B337" s="1" t="str">
        <f aca="false">Report!E437</f>
        <v>SB COMERCIO LTDA</v>
      </c>
      <c r="C337" s="17" t="n">
        <f aca="false">Report!U437</f>
        <v>653.86</v>
      </c>
      <c r="D337" s="1" t="str">
        <f aca="false">Report!X437</f>
        <v>NF 1959276 ELLEN</v>
      </c>
    </row>
    <row r="338" customFormat="false" ht="12.75" hidden="false" customHeight="true" outlineLevel="0" collapsed="false">
      <c r="A338" s="16" t="n">
        <f aca="false">Report!C438</f>
        <v>46226</v>
      </c>
      <c r="B338" s="1" t="str">
        <f aca="false">Report!E438</f>
        <v>TOYA INDUSTRIA E COMERCIO LTDA.</v>
      </c>
      <c r="C338" s="17" t="n">
        <f aca="false">Report!U438</f>
        <v>771.01</v>
      </c>
      <c r="D338" s="1" t="str">
        <f aca="false">Report!X438</f>
        <v>NF 255191 ELLEN</v>
      </c>
    </row>
    <row r="339" customFormat="false" ht="12.75" hidden="false" customHeight="true" outlineLevel="0" collapsed="false">
      <c r="A339" s="16" t="n">
        <f aca="false">Report!C439</f>
        <v>46227</v>
      </c>
      <c r="B339" s="1" t="str">
        <f aca="false">Report!E439</f>
        <v>BRASIL NORTE BEBIDAS S/A</v>
      </c>
      <c r="C339" s="17" t="n">
        <f aca="false">Report!U439</f>
        <v>659.34</v>
      </c>
      <c r="D339" s="1" t="str">
        <f aca="false">Report!X439</f>
        <v>NF 1194626 ELLEN</v>
      </c>
    </row>
    <row r="340" customFormat="false" ht="12.75" hidden="false" customHeight="true" outlineLevel="0" collapsed="false">
      <c r="A340" s="16" t="n">
        <f aca="false">Report!C440</f>
        <v>46227</v>
      </c>
      <c r="B340" s="1" t="str">
        <f aca="false">Report!E440</f>
        <v>BRASIL NORTE BEBIDAS S/A</v>
      </c>
      <c r="C340" s="17" t="n">
        <f aca="false">Report!U440</f>
        <v>190.48</v>
      </c>
      <c r="D340" s="1" t="str">
        <f aca="false">Report!X440</f>
        <v>NF 1926959 ELLEN</v>
      </c>
    </row>
    <row r="341" customFormat="false" ht="12.75" hidden="false" customHeight="true" outlineLevel="0" collapsed="false">
      <c r="A341" s="16" t="n">
        <f aca="false">Report!C441</f>
        <v>46227</v>
      </c>
      <c r="B341" s="1" t="str">
        <f aca="false">Report!E441</f>
        <v>BRASIL NORTE BEBIDAS S/A</v>
      </c>
      <c r="C341" s="17" t="n">
        <f aca="false">Report!U441</f>
        <v>156.88</v>
      </c>
      <c r="D341" s="1" t="str">
        <f aca="false">Report!X441</f>
        <v>NF 1194625 ELLEN</v>
      </c>
    </row>
    <row r="342" customFormat="false" ht="12.75" hidden="false" customHeight="true" outlineLevel="0" collapsed="false">
      <c r="A342" s="16" t="n">
        <f aca="false">Report!C442</f>
        <v>46227</v>
      </c>
      <c r="B342" s="1" t="str">
        <f aca="false">Report!E442</f>
        <v>BRF S A</v>
      </c>
      <c r="C342" s="17" t="n">
        <f aca="false">Report!U442</f>
        <v>1031.77</v>
      </c>
      <c r="D342" s="1" t="str">
        <f aca="false">Report!X442</f>
        <v>NF 1604119 ELLEN</v>
      </c>
    </row>
    <row r="343" customFormat="false" ht="12.75" hidden="false" customHeight="true" outlineLevel="0" collapsed="false">
      <c r="A343" s="16" t="n">
        <f aca="false">Report!C443</f>
        <v>46227</v>
      </c>
      <c r="B343" s="1" t="str">
        <f aca="false">Report!E443</f>
        <v>BROTHERS  INDUSTRIA DE ALIMENTOS LTDA</v>
      </c>
      <c r="C343" s="17" t="n">
        <f aca="false">Report!U443</f>
        <v>254.6</v>
      </c>
      <c r="D343" s="1" t="str">
        <f aca="false">Report!X443</f>
        <v>NF 1032250 ELLEN</v>
      </c>
    </row>
    <row r="344" customFormat="false" ht="12.75" hidden="false" customHeight="true" outlineLevel="0" collapsed="false">
      <c r="A344" s="16" t="n">
        <f aca="false">Report!C444</f>
        <v>46227</v>
      </c>
      <c r="B344" s="1" t="str">
        <f aca="false">Report!E444</f>
        <v>DISTRIBUIDORA FARIAS LTDA.</v>
      </c>
      <c r="C344" s="17" t="n">
        <f aca="false">Report!U444</f>
        <v>509.25</v>
      </c>
      <c r="D344" s="1" t="str">
        <f aca="false">Report!X444</f>
        <v>NF 681127 ELLEN</v>
      </c>
    </row>
    <row r="345" customFormat="false" ht="12.75" hidden="false" customHeight="true" outlineLevel="0" collapsed="false">
      <c r="A345" s="16" t="n">
        <f aca="false">Report!C445</f>
        <v>46227</v>
      </c>
      <c r="B345" s="1" t="str">
        <f aca="false">Report!E445</f>
        <v>FEIRA</v>
      </c>
      <c r="C345" s="17" t="n">
        <f aca="false">Report!U445</f>
        <v>325</v>
      </c>
      <c r="D345" s="1" t="str">
        <f aca="false">Report!X445</f>
        <v>FEIRA SR RENATO-PG P LJ1 (ALHO/PERA) SOMAR C NF2560-ELLEN</v>
      </c>
    </row>
    <row r="346" customFormat="false" ht="12.75" hidden="false" customHeight="true" outlineLevel="0" collapsed="false">
      <c r="A346" s="16" t="n">
        <f aca="false">Report!C447</f>
        <v>46227</v>
      </c>
      <c r="B346" s="1" t="str">
        <f aca="false">Report!E447</f>
        <v>MARQUES &amp; MELO LTDA - FILIAL</v>
      </c>
      <c r="C346" s="17" t="n">
        <f aca="false">Report!U447</f>
        <v>2113</v>
      </c>
      <c r="D346" s="1" t="str">
        <f aca="false">Report!X447</f>
        <v>NF 501201 ELLEN</v>
      </c>
    </row>
    <row r="347" customFormat="false" ht="12.75" hidden="false" customHeight="true" outlineLevel="0" collapsed="false">
      <c r="A347" s="16" t="n">
        <f aca="false">Report!C448</f>
        <v>46227</v>
      </c>
      <c r="B347" s="1" t="str">
        <f aca="false">Report!E448</f>
        <v>MARTINS COM SERV DISTR SA</v>
      </c>
      <c r="C347" s="17" t="n">
        <f aca="false">Report!U448</f>
        <v>278.28</v>
      </c>
      <c r="D347" s="1" t="str">
        <f aca="false">Report!X448</f>
        <v>NF'S 1781169/1781170 - ELLEN</v>
      </c>
    </row>
    <row r="348" customFormat="false" ht="12.75" hidden="false" customHeight="true" outlineLevel="0" collapsed="false">
      <c r="A348" s="16" t="n">
        <f aca="false">Report!C449</f>
        <v>46227</v>
      </c>
      <c r="B348" s="1" t="str">
        <f aca="false">Report!E449</f>
        <v>NEYLIANE S DE OLIVEIRA &amp; CIA LTDA</v>
      </c>
      <c r="C348" s="17" t="n">
        <f aca="false">Report!U449</f>
        <v>1919.18</v>
      </c>
      <c r="D348" s="1" t="str">
        <f aca="false">Report!X449</f>
        <v>FEIRA SR RENATO - PG P LJ1 - ELLEN</v>
      </c>
    </row>
    <row r="349" customFormat="false" ht="12.75" hidden="false" customHeight="true" outlineLevel="0" collapsed="false">
      <c r="A349" s="16" t="n">
        <f aca="false">Report!C450</f>
        <v>46227</v>
      </c>
      <c r="B349" s="1" t="str">
        <f aca="false">Report!E450</f>
        <v>NEYLIANE S DE OLIVEIRA &amp; CIA LTDA</v>
      </c>
      <c r="C349" s="17" t="n">
        <f aca="false">Report!U450</f>
        <v>280</v>
      </c>
      <c r="D349" s="1" t="str">
        <f aca="false">Report!X450</f>
        <v>COMPRAS-20L DE AÇAI-PG NO P 24/7 ELLEN</v>
      </c>
    </row>
    <row r="350" customFormat="false" ht="12.75" hidden="false" customHeight="true" outlineLevel="0" collapsed="false">
      <c r="A350" s="16" t="n">
        <f aca="false">Report!C451</f>
        <v>46227</v>
      </c>
      <c r="B350" s="1" t="str">
        <f aca="false">Report!E451</f>
        <v>PANIFICADORA E CONFEITARIA REAL MADRI LTDA</v>
      </c>
      <c r="C350" s="17" t="n">
        <f aca="false">Report!U451</f>
        <v>182.36</v>
      </c>
      <c r="D350" s="1" t="str">
        <f aca="false">Report!X451</f>
        <v>NF 724 ELLEN</v>
      </c>
    </row>
    <row r="351" customFormat="false" ht="12.75" hidden="false" customHeight="true" outlineLevel="0" collapsed="false">
      <c r="A351" s="16" t="n">
        <f aca="false">Report!C452</f>
        <v>46227</v>
      </c>
      <c r="B351" s="1" t="str">
        <f aca="false">Report!E452</f>
        <v>REAL BEBIDAS DA AMAZONIA LTDA</v>
      </c>
      <c r="C351" s="17" t="n">
        <f aca="false">Report!U452</f>
        <v>189</v>
      </c>
      <c r="D351" s="1" t="str">
        <f aca="false">Report!X452</f>
        <v>NF 605020 ELLEN</v>
      </c>
    </row>
    <row r="352" customFormat="false" ht="12.75" hidden="false" customHeight="true" outlineLevel="0" collapsed="false">
      <c r="A352" s="16" t="n">
        <f aca="false">Report!C453</f>
        <v>46227</v>
      </c>
      <c r="B352" s="1" t="str">
        <f aca="false">Report!E453</f>
        <v>SOUZA CRUZ LTDA.</v>
      </c>
      <c r="C352" s="17" t="n">
        <f aca="false">Report!U453</f>
        <v>4572.86</v>
      </c>
      <c r="D352" s="1" t="str">
        <f aca="false">Report!X453</f>
        <v>NF 566541 ELLEN</v>
      </c>
    </row>
    <row r="353" customFormat="false" ht="12.75" hidden="false" customHeight="true" outlineLevel="0" collapsed="false">
      <c r="A353" s="16" t="n">
        <f aca="false">Report!C454</f>
        <v>46228</v>
      </c>
      <c r="B353" s="1" t="str">
        <f aca="false">Report!E454</f>
        <v>H L M PADARIA E CONFEITARIA LTDA</v>
      </c>
      <c r="C353" s="17" t="n">
        <f aca="false">Report!U454</f>
        <v>140</v>
      </c>
      <c r="D353" s="1" t="str">
        <f aca="false">Report!X454</f>
        <v>NF 81 COMPRAS-BOLO PG NO P 25/7 ELLEN</v>
      </c>
    </row>
    <row r="354" customFormat="false" ht="12.75" hidden="false" customHeight="true" outlineLevel="0" collapsed="false">
      <c r="A354" s="16" t="n">
        <f aca="false">Report!C455</f>
        <v>46228</v>
      </c>
      <c r="B354" s="1" t="str">
        <f aca="false">Report!E455</f>
        <v>MAXFRI DISTRIUIDORA LTDA</v>
      </c>
      <c r="C354" s="17" t="n">
        <f aca="false">Report!U455</f>
        <v>3804</v>
      </c>
      <c r="D354" s="1" t="str">
        <f aca="false">Report!X455</f>
        <v>NF 14751 ELLEN</v>
      </c>
    </row>
    <row r="355" customFormat="false" ht="12.75" hidden="false" customHeight="true" outlineLevel="0" collapsed="false">
      <c r="A355" s="16" t="n">
        <f aca="false">Report!C456</f>
        <v>46228</v>
      </c>
      <c r="B355" s="1" t="str">
        <f aca="false">Report!E456</f>
        <v>NEYLIANE S DE OLIVEIRA &amp; CIA LTDA</v>
      </c>
      <c r="C355" s="17" t="n">
        <f aca="false">Report!U456</f>
        <v>200</v>
      </c>
      <c r="D355" s="1" t="str">
        <f aca="false">Report!X456</f>
        <v>COMPRAS-10KG PITAYA -PG NO P 25/7 - ELLEN</v>
      </c>
    </row>
    <row r="356" customFormat="false" ht="12.75" hidden="false" customHeight="true" outlineLevel="0" collapsed="false">
      <c r="A356" s="16" t="n">
        <f aca="false">Report!C460</f>
        <v>46229</v>
      </c>
      <c r="B356" s="1" t="str">
        <f aca="false">Report!E460</f>
        <v>FE COMERCIO DE MATERIAIS DE CONSTRUCAO</v>
      </c>
      <c r="C356" s="17" t="n">
        <f aca="false">Report!U460</f>
        <v>819.53</v>
      </c>
      <c r="D356" s="1" t="str">
        <f aca="false">Report!X460</f>
        <v>NF 4467 ELLEN</v>
      </c>
    </row>
    <row r="357" customFormat="false" ht="12.75" hidden="false" customHeight="true" outlineLevel="0" collapsed="false">
      <c r="A357" s="16" t="n">
        <f aca="false">Report!C461</f>
        <v>46230</v>
      </c>
      <c r="B357" s="1" t="str">
        <f aca="false">Report!E461</f>
        <v>DUNORTE DISTRIBUIDORA DE PRODUTOS DE CONSUMO LTDA</v>
      </c>
      <c r="C357" s="17" t="n">
        <f aca="false">Report!U461</f>
        <v>1313.59</v>
      </c>
      <c r="D357" s="1" t="n">
        <f aca="false">Report!X461</f>
        <v>0</v>
      </c>
    </row>
    <row r="358" customFormat="false" ht="12.75" hidden="false" customHeight="true" outlineLevel="0" collapsed="false">
      <c r="A358" s="16" t="n">
        <f aca="false">Report!C462</f>
        <v>46230</v>
      </c>
      <c r="B358" s="1" t="str">
        <f aca="false">Report!E462</f>
        <v>DUNORTE DISTRIBUIDORA DE PRODUTOS DE CONSUMO LTDA</v>
      </c>
      <c r="C358" s="17" t="n">
        <f aca="false">Report!U462</f>
        <v>1385.14</v>
      </c>
      <c r="D358" s="1" t="str">
        <f aca="false">Report!X462</f>
        <v>NF 3218198 ELLEN</v>
      </c>
    </row>
    <row r="359" customFormat="false" ht="12.75" hidden="false" customHeight="true" outlineLevel="0" collapsed="false">
      <c r="A359" s="16" t="n">
        <f aca="false">Report!C463</f>
        <v>46230</v>
      </c>
      <c r="B359" s="1" t="str">
        <f aca="false">Report!E463</f>
        <v>DUNORTE DISTRIBUIDORA DE PRODUTOS DE CONSUMO LTDA</v>
      </c>
      <c r="C359" s="17" t="n">
        <f aca="false">Report!U463</f>
        <v>918.23</v>
      </c>
      <c r="D359" s="1" t="str">
        <f aca="false">Report!X463</f>
        <v>NF 3218197 ELLEN</v>
      </c>
    </row>
    <row r="360" customFormat="false" ht="12.75" hidden="false" customHeight="true" outlineLevel="0" collapsed="false">
      <c r="A360" s="16" t="n">
        <f aca="false">Report!C464</f>
        <v>46230</v>
      </c>
      <c r="B360" s="1" t="str">
        <f aca="false">Report!E464</f>
        <v>FENNIX BRASIL DISTRIBUIDORA DE PRODUTOS</v>
      </c>
      <c r="C360" s="17" t="n">
        <f aca="false">Report!U464</f>
        <v>368.06</v>
      </c>
      <c r="D360" s="1" t="str">
        <f aca="false">Report!X464</f>
        <v>NF 312916 ELLEN</v>
      </c>
    </row>
    <row r="361" customFormat="false" ht="12.75" hidden="false" customHeight="true" outlineLevel="0" collapsed="false">
      <c r="A361" s="16" t="n">
        <f aca="false">Report!C469</f>
        <v>46230</v>
      </c>
      <c r="B361" s="1" t="str">
        <f aca="false">Report!E469</f>
        <v>J W N DOS SANTOS</v>
      </c>
      <c r="C361" s="17" t="n">
        <f aca="false">Report!U469</f>
        <v>270</v>
      </c>
      <c r="D361" s="1" t="str">
        <f aca="false">Report!X469</f>
        <v>NF 375 COMPRAS-CARVAO - ELLEN</v>
      </c>
    </row>
    <row r="362" customFormat="false" ht="12.75" hidden="false" customHeight="true" outlineLevel="0" collapsed="false">
      <c r="A362" s="16" t="n">
        <f aca="false">Report!C470</f>
        <v>46230</v>
      </c>
      <c r="B362" s="1" t="str">
        <f aca="false">Report!E470</f>
        <v>JAB COMERCIO DE PRODUTOS ALIMENTICIOS LT</v>
      </c>
      <c r="C362" s="17" t="n">
        <f aca="false">Report!U470</f>
        <v>179</v>
      </c>
      <c r="D362" s="1" t="str">
        <f aca="false">Report!X470</f>
        <v>NF 3579 ELLEN</v>
      </c>
    </row>
    <row r="363" customFormat="false" ht="12.75" hidden="false" customHeight="true" outlineLevel="0" collapsed="false">
      <c r="A363" s="16" t="n">
        <f aca="false">Report!C471</f>
        <v>46230</v>
      </c>
      <c r="B363" s="1" t="str">
        <f aca="false">Report!E471</f>
        <v>LIMA E BARANDA COMERCIO DE PRODUTOS REGI</v>
      </c>
      <c r="C363" s="17" t="n">
        <f aca="false">Report!U471</f>
        <v>199</v>
      </c>
      <c r="D363" s="1" t="str">
        <f aca="false">Report!X471</f>
        <v>NF 31515 ELLEN</v>
      </c>
    </row>
    <row r="364" customFormat="false" ht="12.75" hidden="false" customHeight="true" outlineLevel="0" collapsed="false">
      <c r="A364" s="16" t="n">
        <f aca="false">Report!C472</f>
        <v>46230</v>
      </c>
      <c r="B364" s="1" t="str">
        <f aca="false">Report!E472</f>
        <v>NEYLIANE S DE OLIVEIRA &amp; CIA LTDA</v>
      </c>
      <c r="C364" s="17" t="n">
        <f aca="false">Report!U472</f>
        <v>210</v>
      </c>
      <c r="D364" s="1" t="str">
        <f aca="false">Report!X472</f>
        <v>COMPRAS - 15L DE AÇAI - PG NO P 27/7/26-ELLEN</v>
      </c>
    </row>
    <row r="365" customFormat="false" ht="12.75" hidden="false" customHeight="true" outlineLevel="0" collapsed="false">
      <c r="A365" s="16" t="n">
        <f aca="false">Report!C473</f>
        <v>46230</v>
      </c>
      <c r="B365" s="1" t="str">
        <f aca="false">Report!E473</f>
        <v>NEYLIANE S DE OLIVEIRA &amp; CIA LTDA</v>
      </c>
      <c r="C365" s="17" t="n">
        <f aca="false">Report!U473</f>
        <v>949</v>
      </c>
      <c r="D365" s="1" t="str">
        <f aca="false">Report!X473</f>
        <v>COMPRAS - FARINHA CRUZEIRO - ELLEN</v>
      </c>
    </row>
    <row r="366" customFormat="false" ht="12.75" hidden="false" customHeight="true" outlineLevel="0" collapsed="false">
      <c r="A366" s="16" t="n">
        <f aca="false">Report!C475</f>
        <v>46230</v>
      </c>
      <c r="B366" s="1" t="str">
        <f aca="false">Report!E475</f>
        <v>NOVA FRIOS COMERCIO ATACADISTA DE LATICINIOS LTDA</v>
      </c>
      <c r="C366" s="17" t="n">
        <f aca="false">Report!U475</f>
        <v>232.05</v>
      </c>
      <c r="D366" s="1" t="str">
        <f aca="false">Report!X475</f>
        <v>NF 4132 ELLEN</v>
      </c>
    </row>
    <row r="367" customFormat="false" ht="12.75" hidden="false" customHeight="true" outlineLevel="0" collapsed="false">
      <c r="A367" s="16" t="n">
        <f aca="false">Report!C476</f>
        <v>46230</v>
      </c>
      <c r="B367" s="1" t="str">
        <f aca="false">Report!E476</f>
        <v>PANIFICADORA E CONFEITARIA REAL MADRI LTDA</v>
      </c>
      <c r="C367" s="17" t="n">
        <f aca="false">Report!U476</f>
        <v>247.23</v>
      </c>
      <c r="D367" s="1" t="str">
        <f aca="false">Report!X476</f>
        <v>NF 728 ELLEN</v>
      </c>
    </row>
    <row r="368" customFormat="false" ht="12.75" hidden="false" customHeight="true" outlineLevel="0" collapsed="false">
      <c r="A368" s="16" t="n">
        <f aca="false">Report!C477</f>
        <v>46231</v>
      </c>
      <c r="B368" s="1" t="str">
        <f aca="false">Report!E477</f>
        <v>ADICSO FABIAN GONZALEZ MONTILLA 70302186</v>
      </c>
      <c r="C368" s="17" t="n">
        <f aca="false">Report!U477</f>
        <v>168</v>
      </c>
      <c r="D368" s="1" t="str">
        <f aca="false">Report!X477</f>
        <v>NF 544 ELLEN</v>
      </c>
    </row>
    <row r="369" customFormat="false" ht="12.75" hidden="false" customHeight="true" outlineLevel="0" collapsed="false">
      <c r="A369" s="16" t="n">
        <f aca="false">Report!C478</f>
        <v>46231</v>
      </c>
      <c r="B369" s="1" t="str">
        <f aca="false">Report!E478</f>
        <v>BRASIL NORTE BEBIDAS S/A</v>
      </c>
      <c r="C369" s="17" t="n">
        <f aca="false">Report!U478</f>
        <v>419.67</v>
      </c>
      <c r="D369" s="1" t="str">
        <f aca="false">Report!X478</f>
        <v>NF 1931230 ELLEN</v>
      </c>
    </row>
    <row r="370" customFormat="false" ht="12.75" hidden="false" customHeight="true" outlineLevel="0" collapsed="false">
      <c r="A370" s="16" t="n">
        <f aca="false">Report!C479</f>
        <v>46231</v>
      </c>
      <c r="B370" s="1" t="str">
        <f aca="false">Report!E479</f>
        <v>BRASIL NORTE BEBIDAS S/A</v>
      </c>
      <c r="C370" s="17" t="n">
        <f aca="false">Report!U479</f>
        <v>203.41</v>
      </c>
      <c r="D370" s="1" t="str">
        <f aca="false">Report!X479</f>
        <v>NF 1199257 ELLEN</v>
      </c>
    </row>
    <row r="371" customFormat="false" ht="12.75" hidden="false" customHeight="true" outlineLevel="0" collapsed="false">
      <c r="A371" s="16" t="n">
        <f aca="false">Report!C480</f>
        <v>46231</v>
      </c>
      <c r="B371" s="1" t="str">
        <f aca="false">Report!E480</f>
        <v>BRASIL NORTE BEBIDAS S/A</v>
      </c>
      <c r="C371" s="17" t="n">
        <f aca="false">Report!U480</f>
        <v>106.21</v>
      </c>
      <c r="D371" s="1" t="str">
        <f aca="false">Report!X480</f>
        <v>NF 1199243 ELLEN</v>
      </c>
    </row>
    <row r="372" customFormat="false" ht="12.75" hidden="false" customHeight="true" outlineLevel="0" collapsed="false">
      <c r="A372" s="16" t="n">
        <f aca="false">Report!C482</f>
        <v>46231</v>
      </c>
      <c r="B372" s="1" t="str">
        <f aca="false">Report!E482</f>
        <v>FEIRA</v>
      </c>
      <c r="C372" s="17" t="n">
        <f aca="false">Report!U482</f>
        <v>140</v>
      </c>
      <c r="D372" s="1" t="str">
        <f aca="false">Report!X482</f>
        <v>FEIRA SR RENATO - PG P LJ1 (MACA) SOMAR C NF 2568-ELLEN</v>
      </c>
    </row>
    <row r="373" customFormat="false" ht="12.75" hidden="false" customHeight="true" outlineLevel="0" collapsed="false">
      <c r="A373" s="16" t="n">
        <f aca="false">Report!C483</f>
        <v>46231</v>
      </c>
      <c r="B373" s="1" t="str">
        <f aca="false">Report!E483</f>
        <v>FUNNY PET DISTRIBUIDORA DE ALIMENTOS PAR</v>
      </c>
      <c r="C373" s="17" t="n">
        <f aca="false">Report!U483</f>
        <v>1589.28</v>
      </c>
      <c r="D373" s="1" t="str">
        <f aca="false">Report!X483</f>
        <v>NF 20499 ELLEN</v>
      </c>
    </row>
    <row r="374" customFormat="false" ht="12.75" hidden="false" customHeight="true" outlineLevel="0" collapsed="false">
      <c r="A374" s="16" t="n">
        <f aca="false">Report!C484</f>
        <v>46231</v>
      </c>
      <c r="B374" s="1" t="str">
        <f aca="false">Report!E484</f>
        <v>MARTINS COM SERV DISTR SA</v>
      </c>
      <c r="C374" s="17" t="n">
        <f aca="false">Report!U484</f>
        <v>542.11</v>
      </c>
      <c r="D374" s="1" t="str">
        <f aca="false">Report!X484</f>
        <v>NF 1777487 ELLEN</v>
      </c>
    </row>
    <row r="375" customFormat="false" ht="12.75" hidden="false" customHeight="true" outlineLevel="0" collapsed="false">
      <c r="A375" s="16" t="n">
        <f aca="false">Report!C485</f>
        <v>46231</v>
      </c>
      <c r="B375" s="1" t="str">
        <f aca="false">Report!E485</f>
        <v>NESTLÉ BRASIL LTDA.</v>
      </c>
      <c r="C375" s="17" t="n">
        <f aca="false">Report!U485</f>
        <v>691.61</v>
      </c>
      <c r="D375" s="1" t="str">
        <f aca="false">Report!X485</f>
        <v>NF 1427668 ELLEN</v>
      </c>
    </row>
    <row r="376" customFormat="false" ht="12.75" hidden="false" customHeight="true" outlineLevel="0" collapsed="false">
      <c r="A376" s="16" t="n">
        <f aca="false">Report!C486</f>
        <v>46231</v>
      </c>
      <c r="B376" s="1" t="str">
        <f aca="false">Report!E486</f>
        <v>NEYLIANE S DE OLIVEIRA &amp; CIA LTDA</v>
      </c>
      <c r="C376" s="17" t="n">
        <f aca="false">Report!U486</f>
        <v>1389.41</v>
      </c>
      <c r="D376" s="1" t="str">
        <f aca="false">Report!X486</f>
        <v>FEIRA SR RENATO - PG P LJ1 - ELLEN</v>
      </c>
    </row>
    <row r="377" customFormat="false" ht="12.75" hidden="false" customHeight="true" outlineLevel="0" collapsed="false">
      <c r="A377" s="16" t="n">
        <f aca="false">Report!C487</f>
        <v>46231</v>
      </c>
      <c r="B377" s="1" t="str">
        <f aca="false">Report!E487</f>
        <v>NSB COMERCIO ATACADISTA E VAREJISTA DE P</v>
      </c>
      <c r="C377" s="17" t="n">
        <f aca="false">Report!U487</f>
        <v>378.88</v>
      </c>
      <c r="D377" s="1" t="str">
        <f aca="false">Report!X487</f>
        <v>NF 7874 ELLEN</v>
      </c>
    </row>
    <row r="378" customFormat="false" ht="12.75" hidden="false" customHeight="true" outlineLevel="0" collapsed="false">
      <c r="A378" s="16" t="n">
        <f aca="false">Report!C488</f>
        <v>46231</v>
      </c>
      <c r="B378" s="1" t="str">
        <f aca="false">Report!E488</f>
        <v>ORIENTE COM. ATACADISTA E REPRES. LTDA</v>
      </c>
      <c r="C378" s="17" t="n">
        <f aca="false">Report!U488</f>
        <v>1501.2</v>
      </c>
      <c r="D378" s="1" t="str">
        <f aca="false">Report!X488</f>
        <v>NF 2624 ELLEN</v>
      </c>
    </row>
    <row r="379" customFormat="false" ht="12.75" hidden="false" customHeight="true" outlineLevel="0" collapsed="false">
      <c r="A379" s="16" t="n">
        <f aca="false">Report!C489</f>
        <v>46231</v>
      </c>
      <c r="B379" s="1" t="str">
        <f aca="false">Report!E489</f>
        <v>PANIFICADORA E CONFEITARIA REAL MADRI LTDA</v>
      </c>
      <c r="C379" s="17" t="n">
        <f aca="false">Report!U489</f>
        <v>239.7</v>
      </c>
      <c r="D379" s="1" t="str">
        <f aca="false">Report!X489</f>
        <v>NF 731 ELLEN</v>
      </c>
    </row>
    <row r="380" customFormat="false" ht="12.75" hidden="false" customHeight="true" outlineLevel="0" collapsed="false">
      <c r="A380" s="16" t="n">
        <f aca="false">Report!C492</f>
        <v>46231</v>
      </c>
      <c r="B380" s="1" t="str">
        <f aca="false">Report!E492</f>
        <v>SL DISTRIBUIDORA COM. DE PROD. ALIMENTIC</v>
      </c>
      <c r="C380" s="17" t="n">
        <f aca="false">Report!U492</f>
        <v>505.57</v>
      </c>
      <c r="D380" s="1" t="str">
        <f aca="false">Report!X492</f>
        <v>NF 10807 ELLEN</v>
      </c>
    </row>
    <row r="381" customFormat="false" ht="12.75" hidden="false" customHeight="true" outlineLevel="0" collapsed="false">
      <c r="A381" s="16" t="n">
        <f aca="false">Report!C493</f>
        <v>46231</v>
      </c>
      <c r="B381" s="1" t="str">
        <f aca="false">Report!E493</f>
        <v>TALIAN COMERCIO DE COSMETICOS LTDA</v>
      </c>
      <c r="C381" s="17" t="n">
        <f aca="false">Report!U493</f>
        <v>406.11</v>
      </c>
      <c r="D381" s="1" t="str">
        <f aca="false">Report!X493</f>
        <v>NF 30429 ELLEN</v>
      </c>
    </row>
    <row r="382" customFormat="false" ht="12.75" hidden="false" customHeight="true" outlineLevel="0" collapsed="false">
      <c r="A382" s="16" t="n">
        <f aca="false">Report!C494</f>
        <v>46232</v>
      </c>
      <c r="B382" s="1" t="str">
        <f aca="false">Report!E494</f>
        <v>BF COMERCIO DE ALIMENTOS REPRESENTACAO L</v>
      </c>
      <c r="C382" s="17" t="n">
        <f aca="false">Report!U494</f>
        <v>1213.69</v>
      </c>
      <c r="D382" s="1" t="str">
        <f aca="false">Report!X494</f>
        <v>NF 21032 ELLEN</v>
      </c>
    </row>
    <row r="383" customFormat="false" ht="12.75" hidden="false" customHeight="true" outlineLevel="0" collapsed="false">
      <c r="A383" s="16" t="n">
        <f aca="false">Report!C495</f>
        <v>46232</v>
      </c>
      <c r="B383" s="1" t="str">
        <f aca="false">Report!E495</f>
        <v>BRF S A</v>
      </c>
      <c r="C383" s="17" t="n">
        <f aca="false">Report!U495</f>
        <v>1025.06</v>
      </c>
      <c r="D383" s="1" t="str">
        <f aca="false">Report!X495</f>
        <v>NF 1605936 ELLEN</v>
      </c>
    </row>
    <row r="384" customFormat="false" ht="12.75" hidden="false" customHeight="true" outlineLevel="0" collapsed="false">
      <c r="A384" s="16" t="n">
        <f aca="false">Report!C496</f>
        <v>46232</v>
      </c>
      <c r="B384" s="1" t="str">
        <f aca="false">Report!E496</f>
        <v>BRF S A</v>
      </c>
      <c r="C384" s="17" t="n">
        <f aca="false">Report!U496</f>
        <v>512.49</v>
      </c>
      <c r="D384" s="1" t="str">
        <f aca="false">Report!X496</f>
        <v>NF 1608670 ELLEN</v>
      </c>
    </row>
    <row r="385" customFormat="false" ht="12.75" hidden="false" customHeight="true" outlineLevel="0" collapsed="false">
      <c r="A385" s="16" t="n">
        <f aca="false">Report!C497</f>
        <v>46232</v>
      </c>
      <c r="B385" s="1" t="str">
        <f aca="false">Report!E497</f>
        <v>DISTRIBUIDORA LOPES LTDA</v>
      </c>
      <c r="C385" s="17" t="n">
        <f aca="false">Report!U497</f>
        <v>1207.29</v>
      </c>
      <c r="D385" s="1" t="str">
        <f aca="false">Report!X497</f>
        <v>NF 1692730 ELLEN</v>
      </c>
    </row>
    <row r="386" customFormat="false" ht="12.75" hidden="false" customHeight="true" outlineLevel="0" collapsed="false">
      <c r="A386" s="16" t="n">
        <f aca="false">Report!C498</f>
        <v>46232</v>
      </c>
      <c r="B386" s="1" t="str">
        <f aca="false">Report!E498</f>
        <v>DURAES DISTRIBUIDORA DE ESTIVAS LTDA</v>
      </c>
      <c r="C386" s="17" t="n">
        <f aca="false">Report!U498</f>
        <v>607.57</v>
      </c>
      <c r="D386" s="1" t="str">
        <f aca="false">Report!X498</f>
        <v>NF 650221 ELLEN</v>
      </c>
    </row>
    <row r="387" customFormat="false" ht="12.75" hidden="false" customHeight="true" outlineLevel="0" collapsed="false">
      <c r="A387" s="16" t="n">
        <f aca="false">Report!C499</f>
        <v>46232</v>
      </c>
      <c r="B387" s="1" t="str">
        <f aca="false">Report!E499</f>
        <v>FENNIX BRASIL DISTRIBUIDORA DE PRODUTOS</v>
      </c>
      <c r="C387" s="17" t="n">
        <f aca="false">Report!U499</f>
        <v>560.56</v>
      </c>
      <c r="D387" s="1" t="str">
        <f aca="false">Report!X499</f>
        <v>NF 396500 ELLEN</v>
      </c>
    </row>
    <row r="388" customFormat="false" ht="12.75" hidden="false" customHeight="true" outlineLevel="0" collapsed="false">
      <c r="A388" s="16" t="n">
        <f aca="false">Report!C500</f>
        <v>46232</v>
      </c>
      <c r="B388" s="1" t="str">
        <f aca="false">Report!E500</f>
        <v>H. L. DO NASCIMENTO</v>
      </c>
      <c r="C388" s="17" t="n">
        <f aca="false">Report!U500</f>
        <v>409.65</v>
      </c>
      <c r="D388" s="1" t="str">
        <f aca="false">Report!X500</f>
        <v>NF 5844 ELLEN</v>
      </c>
    </row>
    <row r="389" customFormat="false" ht="12.75" hidden="false" customHeight="true" outlineLevel="0" collapsed="false">
      <c r="A389" s="16" t="n">
        <f aca="false">Report!C501</f>
        <v>46232</v>
      </c>
      <c r="B389" s="1" t="str">
        <f aca="false">Report!E501</f>
        <v>J G COMERCIO DE PRODUTOS ALIMENTICIOS LTDA</v>
      </c>
      <c r="C389" s="17" t="n">
        <f aca="false">Report!U501</f>
        <v>2806.49</v>
      </c>
      <c r="D389" s="1" t="str">
        <f aca="false">Report!X501</f>
        <v>NF 392537 ELLEN</v>
      </c>
    </row>
    <row r="390" customFormat="false" ht="12.75" hidden="false" customHeight="true" outlineLevel="0" collapsed="false">
      <c r="A390" s="16" t="n">
        <f aca="false">Report!C502</f>
        <v>46232</v>
      </c>
      <c r="B390" s="1" t="str">
        <f aca="false">Report!E502</f>
        <v>J G COMERCIO DE PRODUTOS ALIMENTICIOS LTDA</v>
      </c>
      <c r="C390" s="17" t="n">
        <f aca="false">Report!U502</f>
        <v>1164.4</v>
      </c>
      <c r="D390" s="1" t="str">
        <f aca="false">Report!X502</f>
        <v>NF 393890 ELLEN</v>
      </c>
    </row>
    <row r="391" customFormat="false" ht="12.75" hidden="false" customHeight="true" outlineLevel="0" collapsed="false">
      <c r="A391" s="16" t="n">
        <f aca="false">Report!C503</f>
        <v>46232</v>
      </c>
      <c r="B391" s="1" t="str">
        <f aca="false">Report!E503</f>
        <v>L S M COMERCIO DE ALIMENTOS E NAVEGACAO</v>
      </c>
      <c r="C391" s="17" t="n">
        <f aca="false">Report!U503</f>
        <v>1021.83</v>
      </c>
      <c r="D391" s="1" t="str">
        <f aca="false">Report!X503</f>
        <v>NF 307804 ELLEN</v>
      </c>
    </row>
    <row r="392" customFormat="false" ht="12.75" hidden="false" customHeight="true" outlineLevel="0" collapsed="false">
      <c r="A392" s="16" t="n">
        <f aca="false">Report!C504</f>
        <v>46232</v>
      </c>
      <c r="B392" s="1" t="str">
        <f aca="false">Report!E504</f>
        <v>LAYS MORETTI DA SILVA 01310766207</v>
      </c>
      <c r="C392" s="17" t="n">
        <f aca="false">Report!U504</f>
        <v>139</v>
      </c>
      <c r="D392" s="1" t="str">
        <f aca="false">Report!X504</f>
        <v>NF 1295 - CARVAO BRIQUETE - ELLEN</v>
      </c>
    </row>
    <row r="393" customFormat="false" ht="12.75" hidden="false" customHeight="true" outlineLevel="0" collapsed="false">
      <c r="A393" s="16" t="n">
        <f aca="false">Report!C506</f>
        <v>46232</v>
      </c>
      <c r="B393" s="1" t="str">
        <f aca="false">Report!E506</f>
        <v>SB COMERCIO LTDA</v>
      </c>
      <c r="C393" s="17" t="n">
        <f aca="false">Report!U506</f>
        <v>1504.05</v>
      </c>
      <c r="D393" s="1" t="str">
        <f aca="false">Report!X506</f>
        <v>NF 1962669 ELLEN</v>
      </c>
    </row>
    <row r="394" customFormat="false" ht="12.75" hidden="false" customHeight="true" outlineLevel="0" collapsed="false">
      <c r="A394" s="16" t="n">
        <f aca="false">Report!C507</f>
        <v>46233</v>
      </c>
      <c r="B394" s="1" t="str">
        <f aca="false">Report!E507</f>
        <v>BRASIL NORTE BEBIDAS S/A</v>
      </c>
      <c r="C394" s="17" t="n">
        <f aca="false">Report!U507</f>
        <v>2028.67</v>
      </c>
      <c r="D394" s="1" t="str">
        <f aca="false">Report!X507</f>
        <v>NF 1936058 ELLEN</v>
      </c>
    </row>
    <row r="395" customFormat="false" ht="12.75" hidden="false" customHeight="true" outlineLevel="0" collapsed="false">
      <c r="A395" s="16" t="n">
        <f aca="false">Report!C508</f>
        <v>46233</v>
      </c>
      <c r="B395" s="1" t="str">
        <f aca="false">Report!E508</f>
        <v>BRASIL NORTE BEBIDAS S/A</v>
      </c>
      <c r="C395" s="17" t="n">
        <f aca="false">Report!U508</f>
        <v>1194.17</v>
      </c>
      <c r="D395" s="1" t="str">
        <f aca="false">Report!X508</f>
        <v>NF 1936058 ELLEN</v>
      </c>
    </row>
    <row r="396" customFormat="false" ht="12.75" hidden="false" customHeight="true" outlineLevel="0" collapsed="false">
      <c r="A396" s="16" t="n">
        <f aca="false">Report!C509</f>
        <v>46233</v>
      </c>
      <c r="B396" s="1" t="str">
        <f aca="false">Report!E509</f>
        <v>DISTRIBUIDORA FARIAS LTDA.</v>
      </c>
      <c r="C396" s="17" t="n">
        <f aca="false">Report!U509</f>
        <v>580.89</v>
      </c>
      <c r="D396" s="1" t="str">
        <f aca="false">Report!X509</f>
        <v>NF 682520 ELLEN</v>
      </c>
    </row>
    <row r="397" customFormat="false" ht="12.75" hidden="false" customHeight="true" outlineLevel="0" collapsed="false">
      <c r="A397" s="16" t="n">
        <f aca="false">Report!C510</f>
        <v>46233</v>
      </c>
      <c r="B397" s="1" t="str">
        <f aca="false">Report!E510</f>
        <v>E. D. SENA &amp; CIA LTDA</v>
      </c>
      <c r="C397" s="17" t="n">
        <f aca="false">Report!U510</f>
        <v>531.18</v>
      </c>
      <c r="D397" s="1" t="str">
        <f aca="false">Report!X510</f>
        <v>NF 9495 ELLEN</v>
      </c>
    </row>
    <row r="398" customFormat="false" ht="12.75" hidden="false" customHeight="true" outlineLevel="0" collapsed="false">
      <c r="A398" s="16" t="n">
        <f aca="false">Report!C511</f>
        <v>46233</v>
      </c>
      <c r="B398" s="1" t="str">
        <f aca="false">Report!E511</f>
        <v>EMPRESA BRASILEIRA DE DISTRIBUICAO LTDA</v>
      </c>
      <c r="C398" s="17" t="n">
        <f aca="false">Report!U511</f>
        <v>658.6</v>
      </c>
      <c r="D398" s="1" t="str">
        <f aca="false">Report!X511</f>
        <v>NF 2299705 ELLEN</v>
      </c>
    </row>
    <row r="399" customFormat="false" ht="12.75" hidden="false" customHeight="true" outlineLevel="0" collapsed="false">
      <c r="A399" s="16" t="n">
        <f aca="false">Report!C512</f>
        <v>46233</v>
      </c>
      <c r="B399" s="1" t="str">
        <f aca="false">Report!E512</f>
        <v>EMPRESA BRASILEIRA DE DISTRIBUICAO LTDA</v>
      </c>
      <c r="C399" s="17" t="n">
        <f aca="false">Report!U512</f>
        <v>377.46</v>
      </c>
      <c r="D399" s="1" t="str">
        <f aca="false">Report!X512</f>
        <v>NF 2299703 ELLEN</v>
      </c>
    </row>
    <row r="400" customFormat="false" ht="12.75" hidden="false" customHeight="true" outlineLevel="0" collapsed="false">
      <c r="A400" s="16" t="n">
        <f aca="false">Report!C513</f>
        <v>46233</v>
      </c>
      <c r="B400" s="1" t="str">
        <f aca="false">Report!E513</f>
        <v>FENNIX BRASIL DISTRIBUIDORA DE PRODUTOS</v>
      </c>
      <c r="C400" s="17" t="n">
        <f aca="false">Report!U513</f>
        <v>321.77</v>
      </c>
      <c r="D400" s="1" t="str">
        <f aca="false">Report!X513</f>
        <v>NF 396261 ELLEN</v>
      </c>
    </row>
    <row r="401" customFormat="false" ht="12.75" hidden="false" customHeight="true" outlineLevel="0" collapsed="false">
      <c r="A401" s="16" t="n">
        <f aca="false">Report!C515</f>
        <v>46233</v>
      </c>
      <c r="B401" s="1" t="str">
        <f aca="false">Report!E515</f>
        <v>LOURIVAL ALMEIDA DA SILVA 17128784845</v>
      </c>
      <c r="C401" s="17" t="n">
        <f aca="false">Report!U515</f>
        <v>160.32</v>
      </c>
      <c r="D401" s="1" t="str">
        <f aca="false">Report!X515</f>
        <v>NF 523 COMPRAS-MARSHMALOW - ELLEN</v>
      </c>
    </row>
    <row r="402" customFormat="false" ht="12.75" hidden="false" customHeight="true" outlineLevel="0" collapsed="false">
      <c r="A402" s="16" t="n">
        <f aca="false">Report!C516</f>
        <v>46233</v>
      </c>
      <c r="B402" s="1" t="str">
        <f aca="false">Report!E516</f>
        <v>NEYLIANE S DE OLIVEIRA &amp; CIA LTDA</v>
      </c>
      <c r="C402" s="17" t="n">
        <f aca="false">Report!U516</f>
        <v>196</v>
      </c>
      <c r="D402" s="1" t="str">
        <f aca="false">Report!X516</f>
        <v>COMPRAS - 14L AÇAI - PG NO P 29/7/26 - ELLEN</v>
      </c>
    </row>
    <row r="403" customFormat="false" ht="12.75" hidden="false" customHeight="true" outlineLevel="0" collapsed="false">
      <c r="A403" s="16" t="n">
        <f aca="false">Report!C517</f>
        <v>46233</v>
      </c>
      <c r="B403" s="1" t="str">
        <f aca="false">Report!E517</f>
        <v>NEYLIANE S DE OLIVEIRA &amp; CIA LTDA</v>
      </c>
      <c r="C403" s="17" t="n">
        <f aca="false">Report!U517</f>
        <v>210</v>
      </c>
      <c r="D403" s="1" t="str">
        <f aca="false">Report!X517</f>
        <v>COMPRAS - 15L DE AÇAI - PG NO P 30/7/26-ELLEN</v>
      </c>
    </row>
    <row r="404" customFormat="false" ht="12.75" hidden="false" customHeight="true" outlineLevel="0" collapsed="false">
      <c r="A404" s="16" t="n">
        <f aca="false">Report!C518</f>
        <v>46233</v>
      </c>
      <c r="B404" s="1" t="str">
        <f aca="false">Report!E518</f>
        <v>OESA COMERCIO E REPRESENTACOES S/A</v>
      </c>
      <c r="C404" s="17" t="n">
        <f aca="false">Report!U518</f>
        <v>682.63</v>
      </c>
      <c r="D404" s="1" t="str">
        <f aca="false">Report!X518</f>
        <v>NF 426652 ELLEN</v>
      </c>
    </row>
    <row r="405" customFormat="false" ht="12.75" hidden="false" customHeight="true" outlineLevel="0" collapsed="false">
      <c r="A405" s="16" t="n">
        <f aca="false">Report!C519</f>
        <v>46233</v>
      </c>
      <c r="B405" s="1" t="str">
        <f aca="false">Report!E519</f>
        <v>REAL BEBIDAS DA AMAZONIA LTDA</v>
      </c>
      <c r="C405" s="17" t="n">
        <f aca="false">Report!U519</f>
        <v>305</v>
      </c>
      <c r="D405" s="1" t="str">
        <f aca="false">Report!X519</f>
        <v>NF 608657 ELLEN</v>
      </c>
    </row>
    <row r="406" customFormat="false" ht="12.75" hidden="false" customHeight="true" outlineLevel="0" collapsed="false">
      <c r="A406" s="16" t="n">
        <f aca="false">Report!C523</f>
        <v>46234</v>
      </c>
      <c r="B406" s="1" t="str">
        <f aca="false">Report!E523</f>
        <v>ADRIANO FEITOSA OLIVEIRA LTDA</v>
      </c>
      <c r="C406" s="17" t="n">
        <f aca="false">Report!U523</f>
        <v>950</v>
      </c>
      <c r="D406" s="1" t="str">
        <f aca="false">Report!X523</f>
        <v>NF 345 ELLEN</v>
      </c>
    </row>
    <row r="407" customFormat="false" ht="12.75" hidden="false" customHeight="true" outlineLevel="0" collapsed="false">
      <c r="A407" s="16" t="n">
        <f aca="false">Report!C524</f>
        <v>46234</v>
      </c>
      <c r="B407" s="1" t="str">
        <f aca="false">Report!E524</f>
        <v>BROTHERS  INDUSTRIA DE ALIMENTOS LTDA</v>
      </c>
      <c r="C407" s="17" t="n">
        <f aca="false">Report!U524</f>
        <v>254</v>
      </c>
      <c r="D407" s="1" t="str">
        <f aca="false">Report!X524</f>
        <v>NF 1033458 ELLEN</v>
      </c>
    </row>
    <row r="408" customFormat="false" ht="12.75" hidden="false" customHeight="true" outlineLevel="0" collapsed="false">
      <c r="A408" s="16" t="n">
        <f aca="false">Report!C525</f>
        <v>46234</v>
      </c>
      <c r="B408" s="1" t="str">
        <f aca="false">Report!E525</f>
        <v>BROTHERS  INDUSTRIA DE ALIMENTOS LTDA</v>
      </c>
      <c r="C408" s="17" t="n">
        <f aca="false">Report!U525</f>
        <v>296.49</v>
      </c>
      <c r="D408" s="1" t="str">
        <f aca="false">Report!X525</f>
        <v>NF 1032720 - BOLETO PAGO FORA DA DATA DE VENCIMENTO - ELLEN</v>
      </c>
    </row>
    <row r="409" customFormat="false" ht="12.75" hidden="false" customHeight="true" outlineLevel="0" collapsed="false">
      <c r="A409" s="16" t="n">
        <f aca="false">Report!C526</f>
        <v>46234</v>
      </c>
      <c r="B409" s="1" t="str">
        <f aca="false">Report!E526</f>
        <v>DISTRIBUIDORA FARIAS LTDA.</v>
      </c>
      <c r="C409" s="17" t="n">
        <f aca="false">Report!U526</f>
        <v>509.25</v>
      </c>
      <c r="D409" s="1" t="str">
        <f aca="false">Report!X526</f>
        <v>NF 681127 ELLEN</v>
      </c>
    </row>
    <row r="410" customFormat="false" ht="12.75" hidden="false" customHeight="true" outlineLevel="0" collapsed="false">
      <c r="A410" s="16" t="n">
        <f aca="false">Report!C527</f>
        <v>46234</v>
      </c>
      <c r="B410" s="1" t="str">
        <f aca="false">Report!E527</f>
        <v>DISTRIBUIDORA LOPES LTDA</v>
      </c>
      <c r="C410" s="17" t="n">
        <f aca="false">Report!U527</f>
        <v>590.09</v>
      </c>
      <c r="D410" s="1" t="str">
        <f aca="false">Report!X527</f>
        <v>NF 1698937 ELLEN</v>
      </c>
    </row>
    <row r="411" customFormat="false" ht="12.75" hidden="false" customHeight="true" outlineLevel="0" collapsed="false">
      <c r="A411" s="16" t="n">
        <f aca="false">Report!C528</f>
        <v>46234</v>
      </c>
      <c r="B411" s="1" t="str">
        <f aca="false">Report!E528</f>
        <v>DUNORTE DISTRIBUIDORA DE PRODUTOS DE CONSUMO LTDA</v>
      </c>
      <c r="C411" s="17" t="n">
        <f aca="false">Report!U528</f>
        <v>159.4</v>
      </c>
      <c r="D411" s="1" t="str">
        <f aca="false">Report!X528</f>
        <v>NF 3221212 ELLEN</v>
      </c>
    </row>
    <row r="412" customFormat="false" ht="12.75" hidden="false" customHeight="true" outlineLevel="0" collapsed="false">
      <c r="A412" s="16" t="n">
        <f aca="false">Report!C529</f>
        <v>46234</v>
      </c>
      <c r="B412" s="1" t="str">
        <f aca="false">Report!E529</f>
        <v>EDSON AGUIAR DE SOUZA</v>
      </c>
      <c r="C412" s="17" t="n">
        <f aca="false">Report!U529</f>
        <v>137</v>
      </c>
      <c r="D412" s="1" t="str">
        <f aca="false">Report!X529</f>
        <v>NF 1649501 COMPRAS-CHEIRO-VERDE - ELLEN</v>
      </c>
    </row>
    <row r="413" customFormat="false" ht="12.75" hidden="false" customHeight="true" outlineLevel="0" collapsed="false">
      <c r="A413" s="16" t="n">
        <f aca="false">Report!C530</f>
        <v>46234</v>
      </c>
      <c r="B413" s="1" t="str">
        <f aca="false">Report!E530</f>
        <v>EDSON AGUIAR DE SOUZA</v>
      </c>
      <c r="C413" s="17" t="n">
        <f aca="false">Report!U530</f>
        <v>97.5</v>
      </c>
      <c r="D413" s="1" t="str">
        <f aca="false">Report!X530</f>
        <v>NF 1649285 COMPRAS-CHEIRO-VERDE - ELLEN</v>
      </c>
    </row>
    <row r="414" customFormat="false" ht="12.75" hidden="false" customHeight="true" outlineLevel="0" collapsed="false">
      <c r="A414" s="16" t="n">
        <f aca="false">Report!C531</f>
        <v>46234</v>
      </c>
      <c r="B414" s="1" t="str">
        <f aca="false">Report!E531</f>
        <v>EDSON AGUIAR DE SOUZA</v>
      </c>
      <c r="C414" s="17" t="n">
        <f aca="false">Report!U531</f>
        <v>151</v>
      </c>
      <c r="D414" s="1" t="str">
        <f aca="false">Report!X531</f>
        <v>NF 1649880 CHEIRO-VERDE - ELLEN</v>
      </c>
    </row>
    <row r="415" customFormat="false" ht="12.75" hidden="false" customHeight="true" outlineLevel="0" collapsed="false">
      <c r="A415" s="16" t="n">
        <f aca="false">Report!C532</f>
        <v>46234</v>
      </c>
      <c r="B415" s="1" t="str">
        <f aca="false">Report!E532</f>
        <v>EDSON AGUIAR DE SOUZA</v>
      </c>
      <c r="C415" s="17" t="n">
        <f aca="false">Report!U532</f>
        <v>130.5</v>
      </c>
      <c r="D415" s="1" t="str">
        <f aca="false">Report!X532</f>
        <v>COMPRAS - CHEIRO-VERDE - ELLEN</v>
      </c>
    </row>
    <row r="416" customFormat="false" ht="12.75" hidden="false" customHeight="true" outlineLevel="0" collapsed="false">
      <c r="A416" s="16" t="n">
        <f aca="false">Report!C533</f>
        <v>46234</v>
      </c>
      <c r="B416" s="1" t="str">
        <f aca="false">Report!E533</f>
        <v>EDSON AGUIAR DE SOUZA</v>
      </c>
      <c r="C416" s="17" t="n">
        <f aca="false">Report!U533</f>
        <v>71.5</v>
      </c>
      <c r="D416" s="1" t="str">
        <f aca="false">Report!X533</f>
        <v>COMPRAS - CHEIRO-VERDE - ELLEN</v>
      </c>
    </row>
    <row r="417" customFormat="false" ht="12.75" hidden="false" customHeight="true" outlineLevel="0" collapsed="false">
      <c r="A417" s="16" t="n">
        <f aca="false">Report!C534</f>
        <v>46234</v>
      </c>
      <c r="B417" s="1" t="str">
        <f aca="false">Report!E534</f>
        <v>EDSON AGUIAR DE SOUZA</v>
      </c>
      <c r="C417" s="17" t="n">
        <f aca="false">Report!U534</f>
        <v>158</v>
      </c>
      <c r="D417" s="1" t="str">
        <f aca="false">Report!X534</f>
        <v>COMPRAS - CHEIRO-VERDE - ELLEN</v>
      </c>
    </row>
    <row r="418" customFormat="false" ht="12.75" hidden="false" customHeight="true" outlineLevel="0" collapsed="false">
      <c r="A418" s="16" t="n">
        <f aca="false">Report!C535</f>
        <v>46234</v>
      </c>
      <c r="B418" s="1" t="str">
        <f aca="false">Report!E535</f>
        <v>EDSON AGUIAR DE SOUZA</v>
      </c>
      <c r="C418" s="17" t="n">
        <f aca="false">Report!U535</f>
        <v>54</v>
      </c>
      <c r="D418" s="1" t="str">
        <f aca="false">Report!X535</f>
        <v>COMPRAS - CHEIRO-VERDE - ELLEN</v>
      </c>
    </row>
    <row r="419" customFormat="false" ht="12.75" hidden="false" customHeight="true" outlineLevel="0" collapsed="false">
      <c r="A419" s="16" t="n">
        <f aca="false">Report!C536</f>
        <v>46234</v>
      </c>
      <c r="B419" s="1" t="str">
        <f aca="false">Report!E536</f>
        <v>EDSON AGUIAR DE SOUZA</v>
      </c>
      <c r="C419" s="17" t="n">
        <f aca="false">Report!U536</f>
        <v>129.5</v>
      </c>
      <c r="D419" s="1" t="str">
        <f aca="false">Report!X536</f>
        <v>COMPRAS - CHEIRO-VERDE - ELLEN</v>
      </c>
    </row>
    <row r="420" customFormat="false" ht="12.75" hidden="false" customHeight="true" outlineLevel="0" collapsed="false">
      <c r="A420" s="16" t="n">
        <f aca="false">Report!C537</f>
        <v>46234</v>
      </c>
      <c r="B420" s="1" t="str">
        <f aca="false">Report!E537</f>
        <v>EDSON AGUIAR DE SOUZA</v>
      </c>
      <c r="C420" s="17" t="n">
        <f aca="false">Report!U537</f>
        <v>125</v>
      </c>
      <c r="D420" s="1" t="str">
        <f aca="false">Report!X537</f>
        <v>COMPRAS - CHEIRO-VERDE - ELLEN</v>
      </c>
    </row>
    <row r="421" customFormat="false" ht="12.75" hidden="false" customHeight="true" outlineLevel="0" collapsed="false">
      <c r="A421" s="16" t="n">
        <f aca="false">Report!C538</f>
        <v>46234</v>
      </c>
      <c r="B421" s="1" t="str">
        <f aca="false">Report!E538</f>
        <v>FEIRA</v>
      </c>
      <c r="C421" s="17" t="n">
        <f aca="false">Report!U538</f>
        <v>370</v>
      </c>
      <c r="D421" s="1" t="str">
        <f aca="false">Report!X538</f>
        <v>FEIRA SR RENATO - PG P LJ1 (UVA) SOMAR C NF2578 -ELLEN</v>
      </c>
    </row>
    <row r="422" customFormat="false" ht="12.75" hidden="false" customHeight="true" outlineLevel="0" collapsed="false">
      <c r="A422" s="16" t="n">
        <f aca="false">Report!C540</f>
        <v>46234</v>
      </c>
      <c r="B422" s="1" t="str">
        <f aca="false">Report!E540</f>
        <v>H L M PADARIA E CONFEITARIA LTDA</v>
      </c>
      <c r="C422" s="17" t="n">
        <f aca="false">Report!U540</f>
        <v>140</v>
      </c>
      <c r="D422" s="1" t="str">
        <f aca="false">Report!X540</f>
        <v>NF 102 COMPRAS-BOLO PG NO P 31/7 ELLEN</v>
      </c>
    </row>
    <row r="423" customFormat="false" ht="12.75" hidden="false" customHeight="true" outlineLevel="0" collapsed="false">
      <c r="A423" s="16" t="n">
        <f aca="false">Report!C542</f>
        <v>46234</v>
      </c>
      <c r="B423" s="1" t="str">
        <f aca="false">Report!E542</f>
        <v>JUROS A FORNECEDOR</v>
      </c>
      <c r="C423" s="17" t="n">
        <f aca="false">Report!U542</f>
        <v>2.94</v>
      </c>
      <c r="D423" s="1" t="str">
        <f aca="false">Report!X542</f>
        <v>PAG JUROS NF 103272-1 BOLETO BROTHERS - KEILA</v>
      </c>
    </row>
    <row r="424" customFormat="false" ht="12.75" hidden="false" customHeight="true" outlineLevel="0" collapsed="false">
      <c r="A424" s="16" t="n">
        <f aca="false">Report!C543</f>
        <v>46234</v>
      </c>
      <c r="B424" s="1" t="str">
        <f aca="false">Report!E543</f>
        <v>MARQUES &amp; MELO LTDA - FILIAL</v>
      </c>
      <c r="C424" s="17" t="n">
        <f aca="false">Report!U543</f>
        <v>2112.99</v>
      </c>
      <c r="D424" s="1" t="str">
        <f aca="false">Report!X543</f>
        <v>NF 501201 ELLEN</v>
      </c>
    </row>
    <row r="425" customFormat="false" ht="12.75" hidden="false" customHeight="true" outlineLevel="0" collapsed="false">
      <c r="A425" s="16" t="n">
        <f aca="false">Report!C544</f>
        <v>46234</v>
      </c>
      <c r="B425" s="1" t="str">
        <f aca="false">Report!E544</f>
        <v>MARQUES &amp; MELO LTDA - FILIAL</v>
      </c>
      <c r="C425" s="17" t="n">
        <f aca="false">Report!U544</f>
        <v>308.88</v>
      </c>
      <c r="D425" s="1" t="str">
        <f aca="false">Report!X544</f>
        <v>NF 502367 ELLEN</v>
      </c>
    </row>
    <row r="426" customFormat="false" ht="12.75" hidden="false" customHeight="true" outlineLevel="0" collapsed="false">
      <c r="A426" s="16" t="n">
        <f aca="false">Report!C545</f>
        <v>46234</v>
      </c>
      <c r="B426" s="1" t="str">
        <f aca="false">Report!E545</f>
        <v>MARTINS COM SERV DISTR SA</v>
      </c>
      <c r="C426" s="17" t="n">
        <f aca="false">Report!U545</f>
        <v>278.28</v>
      </c>
      <c r="D426" s="1" t="str">
        <f aca="false">Report!X545</f>
        <v>NF'S 1781169/1781170 ELLEN</v>
      </c>
    </row>
    <row r="427" customFormat="false" ht="12.75" hidden="false" customHeight="true" outlineLevel="0" collapsed="false">
      <c r="A427" s="16" t="n">
        <f aca="false">Report!C546</f>
        <v>46234</v>
      </c>
      <c r="B427" s="1" t="str">
        <f aca="false">Report!E546</f>
        <v>NEYLIANE S DE OLIVEIRA &amp; CIA LTDA</v>
      </c>
      <c r="C427" s="17" t="n">
        <f aca="false">Report!U546</f>
        <v>1612.25</v>
      </c>
      <c r="D427" s="1" t="str">
        <f aca="false">Report!X546</f>
        <v>FEIRA SR RENATO - PG P LJ1 - ELLEN</v>
      </c>
    </row>
    <row r="428" customFormat="false" ht="12.75" hidden="false" customHeight="true" outlineLevel="0" collapsed="false">
      <c r="A428" s="16" t="n">
        <f aca="false">Report!C547</f>
        <v>46234</v>
      </c>
      <c r="B428" s="1" t="str">
        <f aca="false">Report!E547</f>
        <v>SOUZA CRUZ LTDA.</v>
      </c>
      <c r="C428" s="17" t="n">
        <f aca="false">Report!U547</f>
        <v>6361.07</v>
      </c>
      <c r="D428" s="1" t="str">
        <f aca="false">Report!X547</f>
        <v>NF 568309 ELLEN</v>
      </c>
    </row>
    <row r="429" customFormat="false" ht="12.75" hidden="false" customHeight="true" outlineLevel="0" collapsed="false">
      <c r="A429" s="16" t="n">
        <f aca="false">Report!C548</f>
        <v>46234</v>
      </c>
      <c r="B429" s="1" t="str">
        <f aca="false">Report!E548</f>
        <v>SUPER CANCUN COMERCIO DE PRODUTOS ALIMEN</v>
      </c>
      <c r="C429" s="17" t="n">
        <f aca="false">Report!U548</f>
        <v>1123.86</v>
      </c>
      <c r="D429" s="1" t="str">
        <f aca="false">Report!X548</f>
        <v>NF 262932 ELLEN</v>
      </c>
    </row>
    <row r="430" customFormat="false" ht="12.75" hidden="false" customHeight="true" outlineLevel="0" collapsed="false">
      <c r="A430" s="16" t="n">
        <f aca="false">Report!C549</f>
        <v>46235</v>
      </c>
      <c r="B430" s="1" t="str">
        <f aca="false">Report!E549</f>
        <v>A. CORREA JUNIOR</v>
      </c>
      <c r="C430" s="17" t="n">
        <f aca="false">Report!U549</f>
        <v>1290.17</v>
      </c>
      <c r="D430" s="1" t="str">
        <f aca="false">Report!X549</f>
        <v>NF 1829 CARTÃO DIA 1 PARC 2/3 - ELLEN</v>
      </c>
    </row>
    <row r="431" customFormat="false" ht="12.75" hidden="false" customHeight="true" outlineLevel="0" collapsed="false">
      <c r="A431" s="16" t="n">
        <f aca="false">Report!C550</f>
        <v>46235</v>
      </c>
      <c r="B431" s="1" t="str">
        <f aca="false">Report!E550</f>
        <v>COMERCIO DE FRIOS MANAUS LTDA</v>
      </c>
      <c r="C431" s="17" t="n">
        <f aca="false">Report!U550</f>
        <v>3811.4</v>
      </c>
      <c r="D431" s="1" t="str">
        <f aca="false">Report!X550</f>
        <v>NF 173594 ELLEN</v>
      </c>
    </row>
    <row r="432" customFormat="false" ht="12.75" hidden="false" customHeight="true" outlineLevel="0" collapsed="false">
      <c r="A432" s="16" t="n">
        <f aca="false">Report!C553</f>
        <v>46235</v>
      </c>
      <c r="B432" s="1" t="str">
        <f aca="false">Report!E553</f>
        <v>LUIS HENRIQUE FROTA MAGALHAES</v>
      </c>
      <c r="C432" s="17" t="n">
        <f aca="false">Report!U553</f>
        <v>351.53</v>
      </c>
      <c r="D432" s="1" t="str">
        <f aca="false">Report!X553</f>
        <v>NF 1948 CARTÃO DIA 1 - PARC 2/2 - ELLEN</v>
      </c>
    </row>
    <row r="433" customFormat="false" ht="12.75" hidden="false" customHeight="true" outlineLevel="0" collapsed="false">
      <c r="A433" s="16" t="n">
        <f aca="false">Report!C554</f>
        <v>46235</v>
      </c>
      <c r="B433" s="1" t="str">
        <f aca="false">Report!E554</f>
        <v>MAXFRI DISTRIUIDORA LTDA</v>
      </c>
      <c r="C433" s="17" t="n">
        <f aca="false">Report!U554</f>
        <v>4958.1</v>
      </c>
      <c r="D433" s="1" t="str">
        <f aca="false">Report!X554</f>
        <v>NF 14816 ELLEN</v>
      </c>
    </row>
    <row r="434" customFormat="false" ht="12.75" hidden="false" customHeight="true" outlineLevel="0" collapsed="false">
      <c r="A434" s="16" t="n">
        <f aca="false">Report!C556</f>
        <v>46235</v>
      </c>
      <c r="B434" s="1" t="str">
        <f aca="false">Report!E556</f>
        <v>PRIME PET DISTRIBUIDORA LTDA</v>
      </c>
      <c r="C434" s="17" t="n">
        <f aca="false">Report!U556</f>
        <v>1361.81</v>
      </c>
      <c r="D434" s="1" t="str">
        <f aca="false">Report!X556</f>
        <v>NF 10860 ELLEN</v>
      </c>
    </row>
    <row r="435" customFormat="false" ht="12.75" hidden="false" customHeight="true" outlineLevel="0" collapsed="false">
      <c r="A435" s="16" t="n">
        <f aca="false">Report!C558</f>
        <v>46235</v>
      </c>
      <c r="B435" s="1" t="str">
        <f aca="false">Report!E558</f>
        <v>SILVA E SANTOS FRIGORIFICO LTDA</v>
      </c>
      <c r="C435" s="17" t="n">
        <f aca="false">Report!U558</f>
        <v>528</v>
      </c>
      <c r="D435" s="1" t="str">
        <f aca="false">Report!X558</f>
        <v>NF 32052 ELLEN</v>
      </c>
    </row>
    <row r="436" customFormat="false" ht="12.75" hidden="false" customHeight="true" outlineLevel="0" collapsed="false">
      <c r="A436" s="16" t="n">
        <f aca="false">Report!C560</f>
        <v>46235</v>
      </c>
      <c r="B436" s="1" t="str">
        <f aca="false">Report!E560</f>
        <v>XF 10 LOJA DE VARIEDADES LTDA</v>
      </c>
      <c r="C436" s="17" t="n">
        <f aca="false">Report!U560</f>
        <v>683.06</v>
      </c>
      <c r="D436" s="1" t="str">
        <f aca="false">Report!X560</f>
        <v>NF 1006 CARTÃO DIA 1 PARC 2/2 - ELLEN</v>
      </c>
    </row>
    <row r="437" customFormat="false" ht="12.75" hidden="false" customHeight="true" outlineLevel="0" collapsed="false">
      <c r="A437" s="16" t="n">
        <f aca="false">Report!C561</f>
        <v>46237</v>
      </c>
      <c r="B437" s="1" t="str">
        <f aca="false">Report!E561</f>
        <v>ADICSO FABIAN GONZALEZ MONTILLA 70302186</v>
      </c>
      <c r="C437" s="17" t="n">
        <f aca="false">Report!U561</f>
        <v>180</v>
      </c>
      <c r="D437" s="1" t="str">
        <f aca="false">Report!X561</f>
        <v>NF 562 ELLEN</v>
      </c>
    </row>
    <row r="438" customFormat="false" ht="12.75" hidden="false" customHeight="true" outlineLevel="0" collapsed="false">
      <c r="A438" s="16" t="n">
        <f aca="false">Report!C562</f>
        <v>46237</v>
      </c>
      <c r="B438" s="1" t="str">
        <f aca="false">Report!E562</f>
        <v>CB COMERCIO E DISTRIBUIDORA DE ALIMENTOS</v>
      </c>
      <c r="C438" s="17" t="n">
        <f aca="false">Report!U562</f>
        <v>676.97</v>
      </c>
      <c r="D438" s="1" t="str">
        <f aca="false">Report!X562</f>
        <v>NF 854967 ELLEN</v>
      </c>
    </row>
    <row r="439" customFormat="false" ht="12.75" hidden="false" customHeight="true" outlineLevel="0" collapsed="false">
      <c r="A439" s="16" t="n">
        <f aca="false">Report!C563</f>
        <v>46237</v>
      </c>
      <c r="B439" s="1" t="str">
        <f aca="false">Report!E563</f>
        <v>DINÂMICA SOLUÇÕES EM SUPRIMENTOS E GESTÃ</v>
      </c>
      <c r="C439" s="17" t="n">
        <f aca="false">Report!U563</f>
        <v>778</v>
      </c>
      <c r="D439" s="1" t="str">
        <f aca="false">Report!X563</f>
        <v>NF 749 ELLEN</v>
      </c>
    </row>
    <row r="440" customFormat="false" ht="12.75" hidden="false" customHeight="true" outlineLevel="0" collapsed="false">
      <c r="A440" s="16" t="n">
        <f aca="false">Report!C564</f>
        <v>46237</v>
      </c>
      <c r="B440" s="1" t="str">
        <f aca="false">Report!E564</f>
        <v>DUNORTE DISTRIBUIDORA DE PRODUTOS DE CONSUMO LTDA</v>
      </c>
      <c r="C440" s="17" t="n">
        <f aca="false">Report!U564</f>
        <v>920.12</v>
      </c>
      <c r="D440" s="1" t="str">
        <f aca="false">Report!X564</f>
        <v>NF 3218197 ELLEN</v>
      </c>
    </row>
    <row r="441" customFormat="false" ht="12.75" hidden="false" customHeight="true" outlineLevel="0" collapsed="false">
      <c r="A441" s="16" t="n">
        <f aca="false">Report!C565</f>
        <v>46237</v>
      </c>
      <c r="B441" s="1" t="str">
        <f aca="false">Report!E565</f>
        <v>DUNORTE DISTRIBUIDORA DE PRODUTOS DE CONSUMO LTDA</v>
      </c>
      <c r="C441" s="17" t="n">
        <f aca="false">Report!U565</f>
        <v>1387.05</v>
      </c>
      <c r="D441" s="1" t="str">
        <f aca="false">Report!X565</f>
        <v>NF 3218198 ELLEN</v>
      </c>
    </row>
    <row r="442" customFormat="false" ht="12.75" hidden="false" customHeight="true" outlineLevel="0" collapsed="false">
      <c r="A442" s="16" t="n">
        <f aca="false">Report!C566</f>
        <v>46237</v>
      </c>
      <c r="B442" s="1" t="str">
        <f aca="false">Report!E566</f>
        <v>DUNORTE DISTRIBUIDORA DE PRODUTOS DE CONSUMO LTDA</v>
      </c>
      <c r="C442" s="17" t="n">
        <f aca="false">Report!U566</f>
        <v>1315.48</v>
      </c>
      <c r="D442" s="1" t="str">
        <f aca="false">Report!X566</f>
        <v>NF 3218196 ELLEN</v>
      </c>
    </row>
    <row r="443" customFormat="false" ht="12.75" hidden="false" customHeight="true" outlineLevel="0" collapsed="false">
      <c r="A443" s="16" t="n">
        <f aca="false">Report!C567</f>
        <v>46237</v>
      </c>
      <c r="B443" s="1" t="str">
        <f aca="false">Report!E567</f>
        <v>EMPRESA BRASILEIRA DE DISTRIBUICAO LTDA</v>
      </c>
      <c r="C443" s="17" t="n">
        <f aca="false">Report!U567</f>
        <v>550.37</v>
      </c>
      <c r="D443" s="1" t="str">
        <f aca="false">Report!X567</f>
        <v>NF 2300746 ELLEN</v>
      </c>
    </row>
    <row r="444" customFormat="false" ht="12.75" hidden="false" customHeight="true" outlineLevel="0" collapsed="false">
      <c r="A444" s="16" t="n">
        <f aca="false">Report!C568</f>
        <v>46237</v>
      </c>
      <c r="B444" s="1" t="str">
        <f aca="false">Report!E568</f>
        <v>FENNIX BRASIL DISTRIBUIDORA DE PRODUTOS</v>
      </c>
      <c r="C444" s="17" t="n">
        <f aca="false">Report!U568</f>
        <v>368.06</v>
      </c>
      <c r="D444" s="1" t="str">
        <f aca="false">Report!X568</f>
        <v>NF 312916 ELLEN</v>
      </c>
    </row>
    <row r="445" customFormat="false" ht="12.75" hidden="false" customHeight="true" outlineLevel="0" collapsed="false">
      <c r="A445" s="16" t="n">
        <f aca="false">Report!C569</f>
        <v>46237</v>
      </c>
      <c r="B445" s="1" t="str">
        <f aca="false">Report!E569</f>
        <v>J W N DOS SANTOS</v>
      </c>
      <c r="C445" s="17" t="n">
        <f aca="false">Report!U569</f>
        <v>228</v>
      </c>
      <c r="D445" s="1" t="str">
        <f aca="false">Report!X569</f>
        <v>NF 389 COMPRAS-CARVÃO - ELLEN</v>
      </c>
    </row>
    <row r="446" customFormat="false" ht="12.75" hidden="false" customHeight="true" outlineLevel="0" collapsed="false">
      <c r="A446" s="16" t="n">
        <f aca="false">Report!C570</f>
        <v>46237</v>
      </c>
      <c r="B446" s="1" t="str">
        <f aca="false">Report!E570</f>
        <v>JAB COMERCIO DE PRODUTOS ALIMENTICIOS LT</v>
      </c>
      <c r="C446" s="17" t="n">
        <f aca="false">Report!U570</f>
        <v>125</v>
      </c>
      <c r="D446" s="1" t="str">
        <f aca="false">Report!X570</f>
        <v>NF 3618 ELLEN</v>
      </c>
    </row>
    <row r="447" customFormat="false" ht="12.75" hidden="false" customHeight="true" outlineLevel="0" collapsed="false">
      <c r="A447" s="16" t="n">
        <f aca="false">Report!C571</f>
        <v>46237</v>
      </c>
      <c r="B447" s="1" t="str">
        <f aca="false">Report!E571</f>
        <v>NEYLIANE S DE OLIVEIRA &amp; CIA LTDA</v>
      </c>
      <c r="C447" s="17" t="n">
        <f aca="false">Report!U571</f>
        <v>280</v>
      </c>
      <c r="D447" s="1" t="str">
        <f aca="false">Report!X571</f>
        <v>COMPRAS - 20L DE AÇAI - PG NO P 1/8/26-ELLEN</v>
      </c>
    </row>
    <row r="448" customFormat="false" ht="12.75" hidden="false" customHeight="true" outlineLevel="0" collapsed="false">
      <c r="A448" s="16" t="n">
        <f aca="false">Report!C572</f>
        <v>46237</v>
      </c>
      <c r="B448" s="1" t="str">
        <f aca="false">Report!E572</f>
        <v>NEYLIANE S DE OLIVEIRA &amp; CIA LTDA</v>
      </c>
      <c r="C448" s="17" t="n">
        <f aca="false">Report!U572</f>
        <v>210</v>
      </c>
      <c r="D448" s="1" t="str">
        <f aca="false">Report!X572</f>
        <v>COMPRAS-15L DE AÇAI-PG NO P 3/8/26-ELLEN</v>
      </c>
    </row>
    <row r="449" customFormat="false" ht="12.75" hidden="false" customHeight="true" outlineLevel="0" collapsed="false">
      <c r="A449" s="16" t="n">
        <f aca="false">Report!C573</f>
        <v>46237</v>
      </c>
      <c r="B449" s="1" t="str">
        <f aca="false">Report!E573</f>
        <v>NOVA FRIOS COMERCIO ATACADISTA DE LATICINIOS LTDA</v>
      </c>
      <c r="C449" s="17" t="n">
        <f aca="false">Report!U573</f>
        <v>244</v>
      </c>
      <c r="D449" s="1" t="str">
        <f aca="false">Report!X573</f>
        <v>NF 4207 ELLEN</v>
      </c>
    </row>
    <row r="450" customFormat="false" ht="12.75" hidden="false" customHeight="true" outlineLevel="0" collapsed="false">
      <c r="A450" s="16" t="n">
        <f aca="false">Report!C574</f>
        <v>46237</v>
      </c>
      <c r="B450" s="1" t="str">
        <f aca="false">Report!E574</f>
        <v>PANIFICADORA E CONFEITARIA REAL MADRI LTDA</v>
      </c>
      <c r="C450" s="17" t="n">
        <f aca="false">Report!U574</f>
        <v>284.7</v>
      </c>
      <c r="D450" s="1" t="str">
        <f aca="false">Report!X574</f>
        <v>NF 737 ELLEN</v>
      </c>
    </row>
    <row r="451" customFormat="false" ht="12.75" hidden="false" customHeight="true" outlineLevel="0" collapsed="false">
      <c r="A451" s="16" t="n">
        <f aca="false">Report!C575</f>
        <v>46237</v>
      </c>
      <c r="B451" s="1" t="str">
        <f aca="false">Report!E575</f>
        <v>SAO JOSE COMERCIO DE LATICINIOS E FRIOS</v>
      </c>
      <c r="C451" s="17" t="n">
        <f aca="false">Report!U575</f>
        <v>505.5</v>
      </c>
      <c r="D451" s="1" t="str">
        <f aca="false">Report!X575</f>
        <v>NF 3718 ELLEN</v>
      </c>
    </row>
    <row r="452" customFormat="false" ht="12.75" hidden="false" customHeight="true" outlineLevel="0" collapsed="false">
      <c r="A452" s="16" t="n">
        <f aca="false">Report!C576</f>
        <v>46237</v>
      </c>
      <c r="B452" s="1" t="str">
        <f aca="false">Report!E576</f>
        <v>T. M. L. DA SILVA LTDA</v>
      </c>
      <c r="C452" s="17" t="n">
        <f aca="false">Report!U576</f>
        <v>272.52</v>
      </c>
      <c r="D452" s="1" t="str">
        <f aca="false">Report!X576</f>
        <v>NF 15180 ELLEN</v>
      </c>
    </row>
    <row r="453" customFormat="false" ht="12.75" hidden="false" customHeight="true" outlineLevel="0" collapsed="false">
      <c r="A453" s="16" t="n">
        <f aca="false">Report!C578</f>
        <v>46238</v>
      </c>
      <c r="B453" s="1" t="str">
        <f aca="false">Report!E578</f>
        <v>ADICSO FABIAN GONZALEZ MONTILLA 70302186</v>
      </c>
      <c r="C453" s="17" t="n">
        <f aca="false">Report!U578</f>
        <v>180</v>
      </c>
      <c r="D453" s="1" t="str">
        <f aca="false">Report!X578</f>
        <v>NF 569 ELLEN</v>
      </c>
    </row>
    <row r="454" customFormat="false" ht="12.75" hidden="false" customHeight="true" outlineLevel="0" collapsed="false">
      <c r="A454" s="16" t="n">
        <f aca="false">Report!C580</f>
        <v>46238</v>
      </c>
      <c r="B454" s="1" t="str">
        <f aca="false">Report!E580</f>
        <v>ATACADAO S.A.</v>
      </c>
      <c r="C454" s="17" t="n">
        <f aca="false">Report!U580</f>
        <v>479.64</v>
      </c>
      <c r="D454" s="1" t="str">
        <f aca="false">Report!X580</f>
        <v>NF 1905831 ELLEN</v>
      </c>
    </row>
    <row r="455" customFormat="false" ht="12.75" hidden="false" customHeight="true" outlineLevel="0" collapsed="false">
      <c r="A455" s="16" t="n">
        <f aca="false">Report!C581</f>
        <v>46238</v>
      </c>
      <c r="B455" s="1" t="str">
        <f aca="false">Report!E581</f>
        <v>BRASIL NORTE BEBIDAS S/A</v>
      </c>
      <c r="C455" s="17" t="n">
        <f aca="false">Report!U581</f>
        <v>637.11</v>
      </c>
      <c r="D455" s="1" t="str">
        <f aca="false">Report!X581</f>
        <v>NF 1943423 ELLEN</v>
      </c>
    </row>
    <row r="456" customFormat="false" ht="12.75" hidden="false" customHeight="true" outlineLevel="0" collapsed="false">
      <c r="A456" s="16" t="n">
        <f aca="false">Report!C582</f>
        <v>46238</v>
      </c>
      <c r="B456" s="1" t="str">
        <f aca="false">Report!E582</f>
        <v>BRASIL NORTE BEBIDAS S/A</v>
      </c>
      <c r="C456" s="17" t="n">
        <f aca="false">Report!U582</f>
        <v>53.95</v>
      </c>
      <c r="D456" s="1" t="str">
        <f aca="false">Report!X582</f>
        <v>NF 1210020 ELLEN</v>
      </c>
    </row>
    <row r="457" customFormat="false" ht="12.75" hidden="false" customHeight="true" outlineLevel="0" collapsed="false">
      <c r="A457" s="16" t="n">
        <f aca="false">Report!C583</f>
        <v>46238</v>
      </c>
      <c r="B457" s="1" t="str">
        <f aca="false">Report!E583</f>
        <v>BROTHERS  INDUSTRIA DE ALIMENTOS LTDA</v>
      </c>
      <c r="C457" s="17" t="n">
        <f aca="false">Report!U583</f>
        <v>355.62</v>
      </c>
      <c r="D457" s="1" t="str">
        <f aca="false">Report!X583</f>
        <v>NF 1033945 ELLEN</v>
      </c>
    </row>
    <row r="458" customFormat="false" ht="12.75" hidden="false" customHeight="true" outlineLevel="0" collapsed="false">
      <c r="A458" s="16" t="n">
        <f aca="false">Report!C584</f>
        <v>46238</v>
      </c>
      <c r="B458" s="1" t="str">
        <f aca="false">Report!E584</f>
        <v>DISTRIBUIDORA LOPES LTDA</v>
      </c>
      <c r="C458" s="17" t="n">
        <f aca="false">Report!U584</f>
        <v>554.4</v>
      </c>
      <c r="D458" s="1" t="str">
        <f aca="false">Report!X584</f>
        <v>NF 1695862 ELLEN</v>
      </c>
    </row>
    <row r="459" customFormat="false" ht="12.75" hidden="false" customHeight="true" outlineLevel="0" collapsed="false">
      <c r="A459" s="16" t="n">
        <f aca="false">Report!C585</f>
        <v>46238</v>
      </c>
      <c r="B459" s="1" t="str">
        <f aca="false">Report!E585</f>
        <v>FEIRA</v>
      </c>
      <c r="C459" s="17" t="n">
        <f aca="false">Report!U585</f>
        <v>380</v>
      </c>
      <c r="D459" s="1" t="str">
        <f aca="false">Report!X585</f>
        <v>FEIRA -TRANS C6BANK-RENATO(ALHO/MACA) SOMAR C NF 2585-ELLEN</v>
      </c>
    </row>
    <row r="460" customFormat="false" ht="12.75" hidden="false" customHeight="true" outlineLevel="0" collapsed="false">
      <c r="A460" s="16" t="n">
        <f aca="false">Report!C586</f>
        <v>46238</v>
      </c>
      <c r="B460" s="1" t="str">
        <f aca="false">Report!E586</f>
        <v>NESTLÉ BRASIL LTDA.</v>
      </c>
      <c r="C460" s="17" t="n">
        <f aca="false">Report!U586</f>
        <v>691.62</v>
      </c>
      <c r="D460" s="1" t="str">
        <f aca="false">Report!X586</f>
        <v>NF 1427668 ELLEN</v>
      </c>
    </row>
    <row r="461" customFormat="false" ht="12.75" hidden="false" customHeight="true" outlineLevel="0" collapsed="false">
      <c r="A461" s="16" t="n">
        <f aca="false">Report!C587</f>
        <v>46238</v>
      </c>
      <c r="B461" s="1" t="str">
        <f aca="false">Report!E587</f>
        <v>NEYLIANE S DE OLIVEIRA &amp; CIA LTDA</v>
      </c>
      <c r="C461" s="17" t="n">
        <f aca="false">Report!U587</f>
        <v>1910</v>
      </c>
      <c r="D461" s="1" t="str">
        <f aca="false">Report!X587</f>
        <v>FEIRA - TRANSF P/ C6BANK-RENATO-ELLEN</v>
      </c>
    </row>
    <row r="462" customFormat="false" ht="12.75" hidden="false" customHeight="true" outlineLevel="0" collapsed="false">
      <c r="A462" s="16" t="n">
        <f aca="false">Report!C588</f>
        <v>46238</v>
      </c>
      <c r="B462" s="1" t="str">
        <f aca="false">Report!E588</f>
        <v>NSB COMERCIO ATACADISTA E VAREJISTA DE P</v>
      </c>
      <c r="C462" s="17" t="n">
        <f aca="false">Report!U588</f>
        <v>378.88</v>
      </c>
      <c r="D462" s="1" t="str">
        <f aca="false">Report!X588</f>
        <v>NF 7874 ELLEN</v>
      </c>
    </row>
    <row r="463" customFormat="false" ht="12.75" hidden="false" customHeight="true" outlineLevel="0" collapsed="false">
      <c r="A463" s="16" t="n">
        <f aca="false">Report!C589</f>
        <v>46238</v>
      </c>
      <c r="B463" s="1" t="str">
        <f aca="false">Report!E589</f>
        <v>SL DISTRIBUIDORA COM. DE PROD. ALIMENTIC</v>
      </c>
      <c r="C463" s="17" t="n">
        <f aca="false">Report!U589</f>
        <v>505.58</v>
      </c>
      <c r="D463" s="1" t="str">
        <f aca="false">Report!X589</f>
        <v>NF 10807 ELLEN</v>
      </c>
    </row>
    <row r="464" customFormat="false" ht="12.75" hidden="false" customHeight="true" outlineLevel="0" collapsed="false">
      <c r="A464" s="16" t="n">
        <f aca="false">Report!C590</f>
        <v>46239</v>
      </c>
      <c r="B464" s="1" t="str">
        <f aca="false">Report!E590</f>
        <v>BONNA VITTA INDUSTRIA E COMERCIO LTDA.</v>
      </c>
      <c r="C464" s="17" t="n">
        <f aca="false">Report!U590</f>
        <v>109.52</v>
      </c>
      <c r="D464" s="1" t="str">
        <f aca="false">Report!X590</f>
        <v>NF 1625 ELLEN</v>
      </c>
    </row>
    <row r="465" customFormat="false" ht="12.75" hidden="false" customHeight="true" outlineLevel="0" collapsed="false">
      <c r="A465" s="16" t="n">
        <f aca="false">Report!C591</f>
        <v>46239</v>
      </c>
      <c r="B465" s="1" t="str">
        <f aca="false">Report!E591</f>
        <v>BRF S A</v>
      </c>
      <c r="C465" s="17" t="n">
        <f aca="false">Report!U591</f>
        <v>512.49</v>
      </c>
      <c r="D465" s="1" t="str">
        <f aca="false">Report!X591</f>
        <v>NF 1608670 ELLEN</v>
      </c>
    </row>
    <row r="466" customFormat="false" ht="12.75" hidden="false" customHeight="true" outlineLevel="0" collapsed="false">
      <c r="A466" s="16" t="n">
        <f aca="false">Report!C592</f>
        <v>46239</v>
      </c>
      <c r="B466" s="1" t="str">
        <f aca="false">Report!E592</f>
        <v>BRF S A</v>
      </c>
      <c r="C466" s="17" t="n">
        <f aca="false">Report!U592</f>
        <v>395.62</v>
      </c>
      <c r="D466" s="1" t="str">
        <f aca="false">Report!X592</f>
        <v>NF 1611346 ELLEN</v>
      </c>
    </row>
    <row r="467" customFormat="false" ht="12.75" hidden="false" customHeight="true" outlineLevel="0" collapsed="false">
      <c r="A467" s="16" t="n">
        <f aca="false">Report!C593</f>
        <v>46239</v>
      </c>
      <c r="B467" s="1" t="str">
        <f aca="false">Report!E593</f>
        <v>DISTRIBUIDORA LOPES LTDA</v>
      </c>
      <c r="C467" s="17" t="n">
        <f aca="false">Report!U593</f>
        <v>1207.28</v>
      </c>
      <c r="D467" s="1" t="str">
        <f aca="false">Report!X593</f>
        <v>NF 1692730 ELLEN</v>
      </c>
    </row>
    <row r="468" customFormat="false" ht="12.75" hidden="false" customHeight="true" outlineLevel="0" collapsed="false">
      <c r="A468" s="16" t="n">
        <f aca="false">Report!C594</f>
        <v>46239</v>
      </c>
      <c r="B468" s="1" t="str">
        <f aca="false">Report!E594</f>
        <v>DURAES DISTRIBUIDORA DE ESTIVAS LTDA</v>
      </c>
      <c r="C468" s="17" t="n">
        <f aca="false">Report!U594</f>
        <v>607.58</v>
      </c>
      <c r="D468" s="1" t="str">
        <f aca="false">Report!X594</f>
        <v>NF 650221 ELLEN</v>
      </c>
    </row>
    <row r="469" customFormat="false" ht="12.75" hidden="false" customHeight="true" outlineLevel="0" collapsed="false">
      <c r="A469" s="16" t="n">
        <f aca="false">Report!C595</f>
        <v>46239</v>
      </c>
      <c r="B469" s="1" t="str">
        <f aca="false">Report!E595</f>
        <v>FE COMERCIO DE MATERIAIS DE CONSTRUCAO</v>
      </c>
      <c r="C469" s="17" t="n">
        <f aca="false">Report!U595</f>
        <v>819.53</v>
      </c>
      <c r="D469" s="1" t="str">
        <f aca="false">Report!X595</f>
        <v>NF 4467 ELLEN</v>
      </c>
    </row>
    <row r="470" customFormat="false" ht="12.75" hidden="false" customHeight="true" outlineLevel="0" collapsed="false">
      <c r="A470" s="16" t="n">
        <f aca="false">Report!C597</f>
        <v>46239</v>
      </c>
      <c r="B470" s="1" t="str">
        <f aca="false">Report!E597</f>
        <v>J G COMERCIO DE PRODUTOS ALIMENTICIOS LTDA</v>
      </c>
      <c r="C470" s="17" t="n">
        <f aca="false">Report!U597</f>
        <v>2806.5</v>
      </c>
      <c r="D470" s="1" t="str">
        <f aca="false">Report!X597</f>
        <v>NF 392537 ELLEN</v>
      </c>
    </row>
    <row r="471" customFormat="false" ht="12.75" hidden="false" customHeight="true" outlineLevel="0" collapsed="false">
      <c r="A471" s="16" t="n">
        <f aca="false">Report!C598</f>
        <v>46239</v>
      </c>
      <c r="B471" s="1" t="str">
        <f aca="false">Report!E598</f>
        <v>J G COMERCIO DE PRODUTOS ALIMENTICIOS LTDA</v>
      </c>
      <c r="C471" s="17" t="n">
        <f aca="false">Report!U598</f>
        <v>1164.4</v>
      </c>
      <c r="D471" s="1" t="str">
        <f aca="false">Report!X598</f>
        <v>NF 393890 ELLEN</v>
      </c>
    </row>
    <row r="472" customFormat="false" ht="12.75" hidden="false" customHeight="true" outlineLevel="0" collapsed="false">
      <c r="A472" s="16" t="n">
        <f aca="false">Report!C599</f>
        <v>46239</v>
      </c>
      <c r="B472" s="1" t="str">
        <f aca="false">Report!E599</f>
        <v>L S M COMERCIO DE ALIMENTOS E NAVEGACAO</v>
      </c>
      <c r="C472" s="17" t="n">
        <f aca="false">Report!U599</f>
        <v>1021.84</v>
      </c>
      <c r="D472" s="1" t="str">
        <f aca="false">Report!X599</f>
        <v>NF 307804 ELLEN</v>
      </c>
    </row>
    <row r="473" customFormat="false" ht="12.75" hidden="false" customHeight="true" outlineLevel="0" collapsed="false">
      <c r="A473" s="16" t="n">
        <f aca="false">Report!C600</f>
        <v>46239</v>
      </c>
      <c r="B473" s="1" t="str">
        <f aca="false">Report!E600</f>
        <v>LIMA E BARANDA COMERCIO DE PRODUTOS REGI</v>
      </c>
      <c r="C473" s="17" t="n">
        <f aca="false">Report!U600</f>
        <v>266</v>
      </c>
      <c r="D473" s="1" t="str">
        <f aca="false">Report!X600</f>
        <v>NF 31668 ELLEN</v>
      </c>
    </row>
    <row r="474" customFormat="false" ht="12.75" hidden="false" customHeight="true" outlineLevel="0" collapsed="false">
      <c r="A474" s="16" t="n">
        <f aca="false">Report!C602</f>
        <v>46239</v>
      </c>
      <c r="B474" s="1" t="str">
        <f aca="false">Report!E602</f>
        <v>MAXFRI DISTRIUIDORA LTDA</v>
      </c>
      <c r="C474" s="17" t="n">
        <f aca="false">Report!U602</f>
        <v>3840</v>
      </c>
      <c r="D474" s="1" t="str">
        <f aca="false">Report!X602</f>
        <v>NF 14864 ELLEN</v>
      </c>
    </row>
    <row r="475" customFormat="false" ht="12.75" hidden="false" customHeight="true" outlineLevel="0" collapsed="false">
      <c r="A475" s="16" t="n">
        <f aca="false">Report!C604</f>
        <v>46239</v>
      </c>
      <c r="B475" s="1" t="str">
        <f aca="false">Report!E604</f>
        <v>SB COMERCIO LTDA</v>
      </c>
      <c r="C475" s="17" t="n">
        <f aca="false">Report!U604</f>
        <v>1504.05</v>
      </c>
      <c r="D475" s="1" t="str">
        <f aca="false">Report!X604</f>
        <v>NF 1962669 ELLEN</v>
      </c>
    </row>
    <row r="476" customFormat="false" ht="12.75" hidden="false" customHeight="true" outlineLevel="0" collapsed="false">
      <c r="A476" s="16" t="n">
        <f aca="false">Report!C605</f>
        <v>46239</v>
      </c>
      <c r="B476" s="1" t="str">
        <f aca="false">Report!E605</f>
        <v>VIA CERTA IMPORTACAO E DISTRIBUICAO DE A</v>
      </c>
      <c r="C476" s="17" t="n">
        <f aca="false">Report!U605</f>
        <v>665.28</v>
      </c>
      <c r="D476" s="1" t="str">
        <f aca="false">Report!X605</f>
        <v>NF 51899 ELLEN</v>
      </c>
    </row>
    <row r="477" customFormat="false" ht="12.75" hidden="false" customHeight="true" outlineLevel="0" collapsed="false">
      <c r="A477" s="16" t="n">
        <f aca="false">Report!C606</f>
        <v>46239</v>
      </c>
      <c r="B477" s="1" t="str">
        <f aca="false">Report!E606</f>
        <v>VIA CERTA INDUSTRIA E COMERCIO DE SANEANTES LTDA</v>
      </c>
      <c r="C477" s="17" t="n">
        <f aca="false">Report!U606</f>
        <v>306.48</v>
      </c>
      <c r="D477" s="1" t="str">
        <f aca="false">Report!X606</f>
        <v>NF 42898 ELLEN</v>
      </c>
    </row>
    <row r="478" customFormat="false" ht="12.75" hidden="false" customHeight="true" outlineLevel="0" collapsed="false">
      <c r="A478" s="16" t="n">
        <f aca="false">Report!C607</f>
        <v>46240</v>
      </c>
      <c r="B478" s="1" t="str">
        <f aca="false">Report!E607</f>
        <v>ADICSO FABIAN GONZALEZ MONTILLA 70302186</v>
      </c>
      <c r="C478" s="17" t="n">
        <f aca="false">Report!U607</f>
        <v>180</v>
      </c>
      <c r="D478" s="1" t="str">
        <f aca="false">Report!X607</f>
        <v>NF 577 ELLEN</v>
      </c>
    </row>
    <row r="479" customFormat="false" ht="12.75" hidden="false" customHeight="true" outlineLevel="0" collapsed="false">
      <c r="A479" s="16" t="n">
        <f aca="false">Report!C608</f>
        <v>46240</v>
      </c>
      <c r="B479" s="1" t="str">
        <f aca="false">Report!E608</f>
        <v>ADRIANO FEITOSA OLIVEIRA LTDA</v>
      </c>
      <c r="C479" s="17" t="n">
        <f aca="false">Report!U608</f>
        <v>733.78</v>
      </c>
      <c r="D479" s="1" t="str">
        <f aca="false">Report!X608</f>
        <v>NF 351 ELLEN</v>
      </c>
    </row>
    <row r="480" customFormat="false" ht="12.75" hidden="false" customHeight="true" outlineLevel="0" collapsed="false">
      <c r="A480" s="16" t="n">
        <f aca="false">Report!C609</f>
        <v>46240</v>
      </c>
      <c r="B480" s="1" t="str">
        <f aca="false">Report!E609</f>
        <v>BRASIL NORTE BEBIDAS S/A</v>
      </c>
      <c r="C480" s="17" t="n">
        <f aca="false">Report!U609</f>
        <v>203.42</v>
      </c>
      <c r="D480" s="1" t="str">
        <f aca="false">Report!X609</f>
        <v>NF 1215300 ELLEN</v>
      </c>
    </row>
    <row r="481" customFormat="false" ht="12.75" hidden="false" customHeight="true" outlineLevel="0" collapsed="false">
      <c r="A481" s="16" t="n">
        <f aca="false">Report!C610</f>
        <v>46240</v>
      </c>
      <c r="B481" s="1" t="str">
        <f aca="false">Report!E610</f>
        <v>BRASIL NORTE BEBIDAS S/A</v>
      </c>
      <c r="C481" s="17" t="n">
        <f aca="false">Report!U610</f>
        <v>1717.19</v>
      </c>
      <c r="D481" s="1" t="str">
        <f aca="false">Report!X610</f>
        <v>NF 1949480 ELLEN</v>
      </c>
    </row>
    <row r="482" customFormat="false" ht="12.75" hidden="false" customHeight="true" outlineLevel="0" collapsed="false">
      <c r="A482" s="16" t="n">
        <f aca="false">Report!C611</f>
        <v>46240</v>
      </c>
      <c r="B482" s="1" t="str">
        <f aca="false">Report!E611</f>
        <v>CRBS S/A</v>
      </c>
      <c r="C482" s="17" t="n">
        <f aca="false">Report!U611</f>
        <v>305.98</v>
      </c>
      <c r="D482" s="1" t="str">
        <f aca="false">Report!X611</f>
        <v>NF 924535 ELLEN</v>
      </c>
    </row>
    <row r="483" customFormat="false" ht="12.75" hidden="false" customHeight="true" outlineLevel="0" collapsed="false">
      <c r="A483" s="16" t="n">
        <f aca="false">Report!C612</f>
        <v>46240</v>
      </c>
      <c r="B483" s="1" t="str">
        <f aca="false">Report!E612</f>
        <v>D DE J SANTOS LTDA</v>
      </c>
      <c r="C483" s="17" t="n">
        <f aca="false">Report!U612</f>
        <v>1040</v>
      </c>
      <c r="D483" s="1" t="str">
        <f aca="false">Report!X612</f>
        <v>NF 261 ELLEN</v>
      </c>
    </row>
    <row r="484" customFormat="false" ht="12.75" hidden="false" customHeight="true" outlineLevel="0" collapsed="false">
      <c r="A484" s="16" t="n">
        <f aca="false">Report!C613</f>
        <v>46240</v>
      </c>
      <c r="B484" s="1" t="str">
        <f aca="false">Report!E613</f>
        <v>DISTRIBUIDORA FARIAS LTDA.</v>
      </c>
      <c r="C484" s="17" t="n">
        <f aca="false">Report!U613</f>
        <v>580.89</v>
      </c>
      <c r="D484" s="1" t="str">
        <f aca="false">Report!X613</f>
        <v>NF 682520 ELLEN</v>
      </c>
    </row>
    <row r="485" customFormat="false" ht="12.75" hidden="false" customHeight="true" outlineLevel="0" collapsed="false">
      <c r="A485" s="16" t="n">
        <f aca="false">Report!C614</f>
        <v>46240</v>
      </c>
      <c r="B485" s="1" t="str">
        <f aca="false">Report!E614</f>
        <v>EMPRESA BRASILEIRA DE DISTRIBUICAO LTDA</v>
      </c>
      <c r="C485" s="17" t="n">
        <f aca="false">Report!U614</f>
        <v>658.6</v>
      </c>
      <c r="D485" s="1" t="str">
        <f aca="false">Report!X614</f>
        <v>NF 2299705 ELLEN</v>
      </c>
    </row>
    <row r="486" customFormat="false" ht="12.75" hidden="false" customHeight="true" outlineLevel="0" collapsed="false">
      <c r="A486" s="16" t="n">
        <f aca="false">Report!C615</f>
        <v>46240</v>
      </c>
      <c r="B486" s="1" t="str">
        <f aca="false">Report!E615</f>
        <v>EMPRESA BRASILEIRA DE DISTRIBUICAO LTDA</v>
      </c>
      <c r="C486" s="17" t="n">
        <f aca="false">Report!U615</f>
        <v>377.46</v>
      </c>
      <c r="D486" s="1" t="str">
        <f aca="false">Report!X615</f>
        <v>NF 2299703 ELLEN</v>
      </c>
    </row>
    <row r="487" customFormat="false" ht="12.75" hidden="false" customHeight="true" outlineLevel="0" collapsed="false">
      <c r="A487" s="16" t="n">
        <f aca="false">Report!C616</f>
        <v>46240</v>
      </c>
      <c r="B487" s="1" t="str">
        <f aca="false">Report!E616</f>
        <v>H. L. DO NASCIMENTO</v>
      </c>
      <c r="C487" s="17" t="n">
        <f aca="false">Report!U616</f>
        <v>524.65</v>
      </c>
      <c r="D487" s="1" t="str">
        <f aca="false">Report!X616</f>
        <v>NF 5889 ELLEN</v>
      </c>
    </row>
    <row r="488" customFormat="false" ht="12.75" hidden="false" customHeight="true" outlineLevel="0" collapsed="false">
      <c r="A488" s="16" t="n">
        <f aca="false">Report!C617</f>
        <v>46240</v>
      </c>
      <c r="B488" s="1" t="str">
        <f aca="false">Report!E617</f>
        <v>OESA COMERCIO E REPRESENTACOES S/A</v>
      </c>
      <c r="C488" s="17" t="n">
        <f aca="false">Report!U617</f>
        <v>682.63</v>
      </c>
      <c r="D488" s="1" t="str">
        <f aca="false">Report!X617</f>
        <v>NF 426652 ELLEN</v>
      </c>
    </row>
    <row r="489" customFormat="false" ht="12.75" hidden="false" customHeight="true" outlineLevel="0" collapsed="false">
      <c r="A489" s="16" t="n">
        <f aca="false">Report!C618</f>
        <v>46240</v>
      </c>
      <c r="B489" s="1" t="str">
        <f aca="false">Report!E618</f>
        <v>PANIFICADORA E CONFEITARIA REAL MADRI LTDA</v>
      </c>
      <c r="C489" s="17" t="n">
        <f aca="false">Report!U618</f>
        <v>357.1</v>
      </c>
      <c r="D489" s="1" t="str">
        <f aca="false">Report!X618</f>
        <v>NF 740 ELLEN</v>
      </c>
    </row>
    <row r="490" customFormat="false" ht="12.75" hidden="false" customHeight="true" outlineLevel="0" collapsed="false">
      <c r="A490" s="16" t="n">
        <f aca="false">Report!C619</f>
        <v>46240</v>
      </c>
      <c r="B490" s="1" t="str">
        <f aca="false">Report!E619</f>
        <v>RISADINHA LTDA</v>
      </c>
      <c r="C490" s="17" t="n">
        <f aca="false">Report!U619</f>
        <v>381</v>
      </c>
      <c r="D490" s="1" t="str">
        <f aca="false">Report!X619</f>
        <v>NF 664184 ELLEN</v>
      </c>
    </row>
    <row r="491" customFormat="false" ht="12.75" hidden="false" customHeight="true" outlineLevel="0" collapsed="false">
      <c r="A491" s="16" t="n">
        <f aca="false">Report!C620</f>
        <v>46240</v>
      </c>
      <c r="B491" s="1" t="str">
        <f aca="false">Report!E620</f>
        <v>SABIA COMERCIO DE COSMETICOS LTDA</v>
      </c>
      <c r="C491" s="17" t="n">
        <f aca="false">Report!U620</f>
        <v>306.18</v>
      </c>
      <c r="D491" s="1" t="str">
        <f aca="false">Report!X620</f>
        <v>NF 253576 ELLEN</v>
      </c>
    </row>
    <row r="492" customFormat="false" ht="12.75" hidden="false" customHeight="true" outlineLevel="0" collapsed="false">
      <c r="A492" s="16" t="n">
        <f aca="false">Report!C621</f>
        <v>46241</v>
      </c>
      <c r="B492" s="1" t="str">
        <f aca="false">Report!E621</f>
        <v>BONNA VITTA INDUSTRIA E COMERCIO LTDA.</v>
      </c>
      <c r="C492" s="17" t="n">
        <f aca="false">Report!U621</f>
        <v>740.52</v>
      </c>
      <c r="D492" s="1" t="str">
        <f aca="false">Report!X621</f>
        <v>NF 1842 ELLEN</v>
      </c>
    </row>
    <row r="493" customFormat="false" ht="12.75" hidden="false" customHeight="true" outlineLevel="0" collapsed="false">
      <c r="A493" s="16" t="n">
        <f aca="false">Report!C622</f>
        <v>46241</v>
      </c>
      <c r="B493" s="1" t="str">
        <f aca="false">Report!E622</f>
        <v>COMERCIO DE FRIOS MANAUS LTDA</v>
      </c>
      <c r="C493" s="17" t="n">
        <f aca="false">Report!U622</f>
        <v>1262.8</v>
      </c>
      <c r="D493" s="1" t="str">
        <f aca="false">Report!X622</f>
        <v>NF 173885 ELLEN</v>
      </c>
    </row>
    <row r="494" customFormat="false" ht="12.75" hidden="false" customHeight="true" outlineLevel="0" collapsed="false">
      <c r="A494" s="16" t="n">
        <f aca="false">Report!C623</f>
        <v>46241</v>
      </c>
      <c r="B494" s="1" t="str">
        <f aca="false">Report!E623</f>
        <v>DISTRIBUIDORA FARIAS LTDA.</v>
      </c>
      <c r="C494" s="17" t="n">
        <f aca="false">Report!U623</f>
        <v>509.25</v>
      </c>
      <c r="D494" s="1" t="str">
        <f aca="false">Report!X623</f>
        <v>NF 681127 ELLEN</v>
      </c>
    </row>
    <row r="495" customFormat="false" ht="12.75" hidden="false" customHeight="true" outlineLevel="0" collapsed="false">
      <c r="A495" s="16" t="n">
        <f aca="false">Report!C624</f>
        <v>46241</v>
      </c>
      <c r="B495" s="1" t="str">
        <f aca="false">Report!E624</f>
        <v>DISTRIBUIDORA LOPES LTDA</v>
      </c>
      <c r="C495" s="17" t="n">
        <f aca="false">Report!U624</f>
        <v>328.14</v>
      </c>
      <c r="D495" s="1" t="str">
        <f aca="false">Report!X624</f>
        <v>NF 1702357 ELLEN</v>
      </c>
    </row>
    <row r="496" customFormat="false" ht="12.75" hidden="false" customHeight="true" outlineLevel="0" collapsed="false">
      <c r="A496" s="16" t="n">
        <f aca="false">Report!C625</f>
        <v>46241</v>
      </c>
      <c r="B496" s="1" t="str">
        <f aca="false">Report!E625</f>
        <v>MARTINS COM SERV DISTR SA</v>
      </c>
      <c r="C496" s="17" t="n">
        <f aca="false">Report!U625</f>
        <v>278.28</v>
      </c>
      <c r="D496" s="1" t="str">
        <f aca="false">Report!X625</f>
        <v>NF'S 1781169/1781170 ELLEN</v>
      </c>
    </row>
    <row r="497" customFormat="false" ht="12.75" hidden="false" customHeight="true" outlineLevel="0" collapsed="false">
      <c r="A497" s="16" t="n">
        <f aca="false">Report!C626</f>
        <v>46241</v>
      </c>
      <c r="B497" s="1" t="str">
        <f aca="false">Report!E626</f>
        <v>MIKITOS IND.COM.DE GEN. ALIM. DO AM. LTD</v>
      </c>
      <c r="C497" s="17" t="n">
        <f aca="false">Report!U626</f>
        <v>690</v>
      </c>
      <c r="D497" s="1" t="str">
        <f aca="false">Report!X626</f>
        <v>NF 294640 ELLEN</v>
      </c>
    </row>
    <row r="498" customFormat="false" ht="12.75" hidden="false" customHeight="true" outlineLevel="0" collapsed="false">
      <c r="A498" s="16" t="n">
        <f aca="false">Report!C628</f>
        <v>46241</v>
      </c>
      <c r="B498" s="1" t="str">
        <f aca="false">Report!E628</f>
        <v>SOUZA CRUZ LTDA.</v>
      </c>
      <c r="C498" s="17" t="n">
        <f aca="false">Report!U628</f>
        <v>6221.08</v>
      </c>
      <c r="D498" s="1" t="str">
        <f aca="false">Report!X628</f>
        <v>NF 568309 ELLEN</v>
      </c>
    </row>
    <row r="499" customFormat="false" ht="12.75" hidden="false" customHeight="true" outlineLevel="0" collapsed="false">
      <c r="A499" s="16" t="n">
        <f aca="false">Report!C629</f>
        <v>46241</v>
      </c>
      <c r="B499" s="1" t="str">
        <f aca="false">Report!E629</f>
        <v>T A DE MATTOS COMIM EIRELI</v>
      </c>
      <c r="C499" s="17" t="n">
        <f aca="false">Report!U629</f>
        <v>228</v>
      </c>
      <c r="D499" s="1" t="str">
        <f aca="false">Report!X629</f>
        <v>NF 10760 ELLEN</v>
      </c>
    </row>
    <row r="500" customFormat="false" ht="12.75" hidden="false" customHeight="true" outlineLevel="0" collapsed="false">
      <c r="A500" s="16" t="n">
        <f aca="false">Report!C631</f>
        <v>46242</v>
      </c>
      <c r="B500" s="1" t="str">
        <f aca="false">Report!E631</f>
        <v>ADRIANA DISTRIBUIDORA DE PRODUTOS ALIMEN</v>
      </c>
      <c r="C500" s="17" t="n">
        <f aca="false">Report!U631</f>
        <v>1006.04</v>
      </c>
      <c r="D500" s="1" t="str">
        <f aca="false">Report!X631</f>
        <v>NF 886799 ELLEN</v>
      </c>
    </row>
    <row r="501" customFormat="false" ht="12.75" hidden="false" customHeight="true" outlineLevel="0" collapsed="false">
      <c r="A501" s="16" t="n">
        <f aca="false">Report!C632</f>
        <v>46242</v>
      </c>
      <c r="B501" s="1" t="str">
        <f aca="false">Report!E632</f>
        <v>BRAGA TABACARIA EIRELI ME</v>
      </c>
      <c r="C501" s="17" t="n">
        <f aca="false">Report!U632</f>
        <v>1563.41</v>
      </c>
      <c r="D501" s="1" t="str">
        <f aca="false">Report!X632</f>
        <v>NF 19579 ELLEN</v>
      </c>
    </row>
    <row r="502" customFormat="false" ht="12.75" hidden="false" customHeight="true" outlineLevel="0" collapsed="false">
      <c r="A502" s="16" t="n">
        <f aca="false">Report!C633</f>
        <v>46242</v>
      </c>
      <c r="B502" s="1" t="str">
        <f aca="false">Report!E633</f>
        <v>J G COMERCIO DE PRODUTOS ALIMENTICIOS LTDA</v>
      </c>
      <c r="C502" s="17" t="n">
        <f aca="false">Report!U633</f>
        <v>439.5</v>
      </c>
      <c r="D502" s="1" t="str">
        <f aca="false">Report!X633</f>
        <v>NF 395656 ELLEN</v>
      </c>
    </row>
    <row r="503" customFormat="false" ht="12.75" hidden="false" customHeight="true" outlineLevel="0" collapsed="false">
      <c r="A503" s="16" t="n">
        <f aca="false">Report!C634</f>
        <v>46242</v>
      </c>
      <c r="B503" s="1" t="str">
        <f aca="false">Report!E634</f>
        <v>MARE DISTRIBUIDORA DE BEBIDAS E DE PRODUTOS ALIMENTICIOS LTDA</v>
      </c>
      <c r="C503" s="17" t="n">
        <f aca="false">Report!U634</f>
        <v>1821.1</v>
      </c>
      <c r="D503" s="1" t="str">
        <f aca="false">Report!X634</f>
        <v>NF 1401844 ELLEN</v>
      </c>
    </row>
    <row r="504" customFormat="false" ht="12.75" hidden="false" customHeight="true" outlineLevel="0" collapsed="false">
      <c r="A504" s="16" t="n">
        <f aca="false">Report!C635</f>
        <v>46242</v>
      </c>
      <c r="B504" s="1" t="str">
        <f aca="false">Report!E635</f>
        <v>SILVA E SANTOS FRIGORIFICO LTDA</v>
      </c>
      <c r="C504" s="17" t="n">
        <f aca="false">Report!U635</f>
        <v>3277.5</v>
      </c>
      <c r="D504" s="1" t="str">
        <f aca="false">Report!X635</f>
        <v>NF 32186 ELLEN</v>
      </c>
    </row>
    <row r="505" customFormat="false" ht="12.75" hidden="false" customHeight="true" outlineLevel="0" collapsed="false">
      <c r="A505" s="16" t="n">
        <f aca="false">Report!C641</f>
        <v>46244</v>
      </c>
      <c r="B505" s="1" t="str">
        <f aca="false">Report!E641</f>
        <v>CB COMERCIO E DISTRIBUIDORA DE ALIMENTOS</v>
      </c>
      <c r="C505" s="17" t="n">
        <f aca="false">Report!U641</f>
        <v>676.97</v>
      </c>
      <c r="D505" s="1" t="str">
        <f aca="false">Report!X641</f>
        <v>NF 854967 ELLEN</v>
      </c>
    </row>
    <row r="506" customFormat="false" ht="12.75" hidden="false" customHeight="true" outlineLevel="0" collapsed="false">
      <c r="A506" s="16" t="n">
        <f aca="false">Report!C643</f>
        <v>46244</v>
      </c>
      <c r="B506" s="1" t="str">
        <f aca="false">Report!E643</f>
        <v>COMERCIO DE FRIOS MANAUS LTDA</v>
      </c>
      <c r="C506" s="17" t="n">
        <f aca="false">Report!U643</f>
        <v>1349.7</v>
      </c>
      <c r="D506" s="1" t="str">
        <f aca="false">Report!X643</f>
        <v>NF 174094 ELLEN</v>
      </c>
    </row>
    <row r="507" customFormat="false" ht="12.75" hidden="false" customHeight="true" outlineLevel="0" collapsed="false">
      <c r="A507" s="16" t="n">
        <f aca="false">Report!C644</f>
        <v>46244</v>
      </c>
      <c r="B507" s="1" t="str">
        <f aca="false">Report!E644</f>
        <v>CRBS S/A</v>
      </c>
      <c r="C507" s="17" t="n">
        <f aca="false">Report!U644</f>
        <v>315.97</v>
      </c>
      <c r="D507" s="1" t="str">
        <f aca="false">Report!X644</f>
        <v>NF 932576 ELLEN</v>
      </c>
    </row>
    <row r="508" customFormat="false" ht="12.75" hidden="false" customHeight="true" outlineLevel="0" collapsed="false">
      <c r="A508" s="16" t="n">
        <f aca="false">Report!C645</f>
        <v>46244</v>
      </c>
      <c r="B508" s="1" t="str">
        <f aca="false">Report!E645</f>
        <v>DUNORTE DISTRIBUIDORA DE PRODUTOS DE CONSUMO LTDA</v>
      </c>
      <c r="C508" s="17" t="n">
        <f aca="false">Report!U645</f>
        <v>920.12</v>
      </c>
      <c r="D508" s="1" t="str">
        <f aca="false">Report!X645</f>
        <v>NF 3218197 ELLEN</v>
      </c>
    </row>
    <row r="509" customFormat="false" ht="12.75" hidden="false" customHeight="true" outlineLevel="0" collapsed="false">
      <c r="A509" s="16" t="n">
        <f aca="false">Report!C646</f>
        <v>46244</v>
      </c>
      <c r="B509" s="1" t="str">
        <f aca="false">Report!E646</f>
        <v>DUNORTE DISTRIBUIDORA DE PRODUTOS DE CONSUMO LTDA</v>
      </c>
      <c r="C509" s="17" t="n">
        <f aca="false">Report!U646</f>
        <v>1387.05</v>
      </c>
      <c r="D509" s="1" t="str">
        <f aca="false">Report!X646</f>
        <v>NF 3218198 ELLEN</v>
      </c>
    </row>
    <row r="510" customFormat="false" ht="12.75" hidden="false" customHeight="true" outlineLevel="0" collapsed="false">
      <c r="A510" s="16" t="n">
        <f aca="false">Report!C647</f>
        <v>46244</v>
      </c>
      <c r="B510" s="1" t="str">
        <f aca="false">Report!E647</f>
        <v>DUNORTE DISTRIBUIDORA DE PRODUTOS DE CONSUMO LTDA</v>
      </c>
      <c r="C510" s="17" t="n">
        <f aca="false">Report!U647</f>
        <v>1315.48</v>
      </c>
      <c r="D510" s="1" t="str">
        <f aca="false">Report!X647</f>
        <v>NF 3218196 ELLEN</v>
      </c>
    </row>
    <row r="511" customFormat="false" ht="12.75" hidden="false" customHeight="true" outlineLevel="0" collapsed="false">
      <c r="A511" s="16" t="n">
        <f aca="false">Report!C648</f>
        <v>46244</v>
      </c>
      <c r="B511" s="1" t="str">
        <f aca="false">Report!E648</f>
        <v>E. D. SENA &amp; CIA LTDA</v>
      </c>
      <c r="C511" s="17" t="n">
        <f aca="false">Report!U648</f>
        <v>531.18</v>
      </c>
      <c r="D511" s="1" t="str">
        <f aca="false">Report!X648</f>
        <v>NF 9495 ELLEN</v>
      </c>
    </row>
    <row r="512" customFormat="false" ht="12.75" hidden="false" customHeight="true" outlineLevel="0" collapsed="false">
      <c r="A512" s="16" t="n">
        <f aca="false">Report!C649</f>
        <v>46244</v>
      </c>
      <c r="B512" s="1" t="str">
        <f aca="false">Report!E649</f>
        <v>FENNIX BRASIL DISTRIBUIDORA DE PRODUTOS</v>
      </c>
      <c r="C512" s="17" t="n">
        <f aca="false">Report!U649</f>
        <v>416.64</v>
      </c>
      <c r="D512" s="1" t="str">
        <f aca="false">Report!X649</f>
        <v>NF 315892 ELLEN</v>
      </c>
    </row>
    <row r="513" customFormat="false" ht="12.75" hidden="false" customHeight="true" outlineLevel="0" collapsed="false">
      <c r="A513" s="16" t="n">
        <f aca="false">Report!C651</f>
        <v>46244</v>
      </c>
      <c r="B513" s="1" t="str">
        <f aca="false">Report!E651</f>
        <v>NOVA FRIOS COMERCIO ATACADISTA DE LATICINIOS LTDA</v>
      </c>
      <c r="C513" s="17" t="n">
        <f aca="false">Report!U651</f>
        <v>219.3</v>
      </c>
      <c r="D513" s="1" t="str">
        <f aca="false">Report!X651</f>
        <v>NF 4280 ELLEN</v>
      </c>
    </row>
    <row r="514" customFormat="false" ht="12.75" hidden="false" customHeight="true" outlineLevel="0" collapsed="false">
      <c r="A514" s="16" t="n">
        <f aca="false">Report!C652</f>
        <v>46244</v>
      </c>
      <c r="B514" s="1" t="str">
        <f aca="false">Report!E652</f>
        <v>PRIME PET DISTRIBUIDORA LTDA</v>
      </c>
      <c r="C514" s="17" t="n">
        <f aca="false">Report!U652</f>
        <v>446.28</v>
      </c>
      <c r="D514" s="1" t="str">
        <f aca="false">Report!X652</f>
        <v>NF 11173 ELLEN</v>
      </c>
    </row>
    <row r="515" customFormat="false" ht="12.75" hidden="false" customHeight="true" outlineLevel="0" collapsed="false">
      <c r="A515" s="16" t="n">
        <f aca="false">Report!C655</f>
        <v>46244</v>
      </c>
      <c r="B515" s="1" t="str">
        <f aca="false">Report!E655</f>
        <v>TAPAJOS COM DE PERFUMARIA COSMETICOS E G</v>
      </c>
      <c r="C515" s="17" t="n">
        <f aca="false">Report!U655</f>
        <v>823.61</v>
      </c>
      <c r="D515" s="1" t="str">
        <f aca="false">Report!X655</f>
        <v>NF 580865 ELLEN</v>
      </c>
    </row>
    <row r="516" customFormat="false" ht="12.75" hidden="false" customHeight="true" outlineLevel="0" collapsed="false">
      <c r="A516" s="16" t="n">
        <f aca="false">Report!C656</f>
        <v>46244</v>
      </c>
      <c r="B516" s="1" t="str">
        <f aca="false">Report!E656</f>
        <v>TAPAJOS COM DE PERFUMARIA COSMETICOS E G</v>
      </c>
      <c r="C516" s="17" t="n">
        <f aca="false">Report!U656</f>
        <v>1142.36</v>
      </c>
      <c r="D516" s="1" t="str">
        <f aca="false">Report!X656</f>
        <v>NF 580861 ELLEN</v>
      </c>
    </row>
    <row r="517" customFormat="false" ht="12.75" hidden="false" customHeight="true" outlineLevel="0" collapsed="false">
      <c r="A517" s="16" t="n">
        <f aca="false">Report!C657</f>
        <v>46244</v>
      </c>
      <c r="B517" s="1" t="str">
        <f aca="false">Report!E657</f>
        <v>TAPAJOS COM DE PERFUMARIA COSMETICOS E G</v>
      </c>
      <c r="C517" s="17" t="n">
        <f aca="false">Report!U657</f>
        <v>1413.72</v>
      </c>
      <c r="D517" s="1" t="str">
        <f aca="false">Report!X657</f>
        <v>NF 580863 ELLEN</v>
      </c>
    </row>
    <row r="518" customFormat="false" ht="12.75" hidden="false" customHeight="true" outlineLevel="0" collapsed="false">
      <c r="A518" s="16" t="n">
        <f aca="false">Report!C658</f>
        <v>46244</v>
      </c>
      <c r="B518" s="1" t="str">
        <f aca="false">Report!E658</f>
        <v>TAPAJOS COM DE PERFUMARIA COSMETICOS E G</v>
      </c>
      <c r="C518" s="17" t="n">
        <f aca="false">Report!U658</f>
        <v>1472.09</v>
      </c>
      <c r="D518" s="1" t="str">
        <f aca="false">Report!X658</f>
        <v>NF 580864 ELLEN</v>
      </c>
    </row>
    <row r="519" customFormat="false" ht="12.75" hidden="false" customHeight="true" outlineLevel="0" collapsed="false">
      <c r="A519" s="16" t="n">
        <f aca="false">Report!C659</f>
        <v>46245</v>
      </c>
      <c r="B519" s="1" t="str">
        <f aca="false">Report!E659</f>
        <v>ATACADAO S.A.</v>
      </c>
      <c r="C519" s="17" t="n">
        <f aca="false">Report!U659</f>
        <v>639.52</v>
      </c>
      <c r="D519" s="1" t="str">
        <f aca="false">Report!X659</f>
        <v>NF 1905832 ELLEN</v>
      </c>
    </row>
    <row r="520" customFormat="false" ht="12.75" hidden="false" customHeight="true" outlineLevel="0" collapsed="false">
      <c r="A520" s="16" t="n">
        <f aca="false">Report!C660</f>
        <v>46245</v>
      </c>
      <c r="B520" s="1" t="str">
        <f aca="false">Report!E660</f>
        <v>BONNA VITTA INDUSTRIA E COMERCIO LTDA.</v>
      </c>
      <c r="C520" s="17" t="n">
        <f aca="false">Report!U660</f>
        <v>926.71</v>
      </c>
      <c r="D520" s="1" t="str">
        <f aca="false">Report!X660</f>
        <v>NF 2078 ELLEN</v>
      </c>
    </row>
    <row r="521" customFormat="false" ht="12.75" hidden="false" customHeight="true" outlineLevel="0" collapsed="false">
      <c r="A521" s="16" t="n">
        <f aca="false">Report!C661</f>
        <v>46245</v>
      </c>
      <c r="B521" s="1" t="str">
        <f aca="false">Report!E661</f>
        <v>BRASIL NORTE BEBIDAS S/A</v>
      </c>
      <c r="C521" s="17" t="n">
        <f aca="false">Report!U661</f>
        <v>868.27</v>
      </c>
      <c r="D521" s="1" t="str">
        <f aca="false">Report!X661</f>
        <v>NF 1955856 ELLEN</v>
      </c>
    </row>
    <row r="522" customFormat="false" ht="12.75" hidden="false" customHeight="true" outlineLevel="0" collapsed="false">
      <c r="A522" s="16" t="n">
        <f aca="false">Report!C662</f>
        <v>46245</v>
      </c>
      <c r="B522" s="1" t="str">
        <f aca="false">Report!E662</f>
        <v>BRASIL NORTE BEBIDAS S/A</v>
      </c>
      <c r="C522" s="17" t="n">
        <f aca="false">Report!U662</f>
        <v>659.74</v>
      </c>
      <c r="D522" s="1" t="str">
        <f aca="false">Report!X662</f>
        <v>NF 1221623 ELLEN</v>
      </c>
    </row>
    <row r="523" customFormat="false" ht="12.75" hidden="false" customHeight="true" outlineLevel="0" collapsed="false">
      <c r="A523" s="16" t="n">
        <f aca="false">Report!C663</f>
        <v>46245</v>
      </c>
      <c r="B523" s="1" t="str">
        <f aca="false">Report!E663</f>
        <v>MARCLEY MACHADO CHAVES</v>
      </c>
      <c r="C523" s="17" t="n">
        <f aca="false">Report!U663</f>
        <v>1009.92</v>
      </c>
      <c r="D523" s="1" t="str">
        <f aca="false">Report!X663</f>
        <v>NF 3551 ELLEN</v>
      </c>
    </row>
    <row r="524" customFormat="false" ht="12.75" hidden="false" customHeight="true" outlineLevel="0" collapsed="false">
      <c r="A524" s="16" t="n">
        <f aca="false">Report!C665</f>
        <v>46245</v>
      </c>
      <c r="B524" s="1" t="str">
        <f aca="false">Report!E665</f>
        <v>PRIME PET DISTRIBUIDORA LTDA</v>
      </c>
      <c r="C524" s="17" t="n">
        <f aca="false">Report!U665</f>
        <v>1361.81</v>
      </c>
      <c r="D524" s="1" t="str">
        <f aca="false">Report!X665</f>
        <v>NF 10860 ELLEN</v>
      </c>
    </row>
    <row r="525" customFormat="false" ht="12.75" hidden="false" customHeight="true" outlineLevel="0" collapsed="false">
      <c r="A525" s="16" t="n">
        <f aca="false">Report!C666</f>
        <v>46246</v>
      </c>
      <c r="B525" s="1" t="str">
        <f aca="false">Report!E666</f>
        <v>BONNA VITTA INDUSTRIA E COMERCIO LTDA.</v>
      </c>
      <c r="C525" s="17" t="n">
        <f aca="false">Report!U666</f>
        <v>109.51</v>
      </c>
      <c r="D525" s="1" t="str">
        <f aca="false">Report!X666</f>
        <v>NF 1625 ELLEN</v>
      </c>
    </row>
    <row r="526" customFormat="false" ht="12.75" hidden="false" customHeight="true" outlineLevel="0" collapsed="false">
      <c r="A526" s="16" t="n">
        <f aca="false">Report!C667</f>
        <v>46246</v>
      </c>
      <c r="B526" s="1" t="str">
        <f aca="false">Report!E667</f>
        <v>BRF S A</v>
      </c>
      <c r="C526" s="17" t="n">
        <f aca="false">Report!U667</f>
        <v>1190.19</v>
      </c>
      <c r="D526" s="1" t="str">
        <f aca="false">Report!X667</f>
        <v>NF 1614426 ELLEN</v>
      </c>
    </row>
    <row r="527" customFormat="false" ht="12.75" hidden="false" customHeight="true" outlineLevel="0" collapsed="false">
      <c r="A527" s="16" t="n">
        <f aca="false">Report!C668</f>
        <v>46246</v>
      </c>
      <c r="B527" s="1" t="str">
        <f aca="false">Report!E668</f>
        <v>BRF S A</v>
      </c>
      <c r="C527" s="17" t="n">
        <f aca="false">Report!U668</f>
        <v>395.62</v>
      </c>
      <c r="D527" s="1" t="str">
        <f aca="false">Report!X668</f>
        <v>NF 1611346 ELLEN</v>
      </c>
    </row>
    <row r="528" customFormat="false" ht="12.75" hidden="false" customHeight="true" outlineLevel="0" collapsed="false">
      <c r="A528" s="16" t="n">
        <f aca="false">Report!C669</f>
        <v>46246</v>
      </c>
      <c r="B528" s="1" t="str">
        <f aca="false">Report!E669</f>
        <v>DISTRIBUIDORA LOPES LTDA</v>
      </c>
      <c r="C528" s="17" t="n">
        <f aca="false">Report!U669</f>
        <v>1188</v>
      </c>
      <c r="D528" s="1" t="str">
        <f aca="false">Report!X669</f>
        <v>NF 1697796 ELLEN</v>
      </c>
    </row>
    <row r="529" customFormat="false" ht="12.75" hidden="false" customHeight="true" outlineLevel="0" collapsed="false">
      <c r="A529" s="16" t="n">
        <f aca="false">Report!C670</f>
        <v>46246</v>
      </c>
      <c r="B529" s="1" t="str">
        <f aca="false">Report!E670</f>
        <v>DISTRIBUIDORA LOPES LTDA</v>
      </c>
      <c r="C529" s="17" t="n">
        <f aca="false">Report!U670</f>
        <v>1207.28</v>
      </c>
      <c r="D529" s="1" t="str">
        <f aca="false">Report!X670</f>
        <v>NF 1692730 ELLEN</v>
      </c>
    </row>
    <row r="530" customFormat="false" ht="12.75" hidden="false" customHeight="true" outlineLevel="0" collapsed="false">
      <c r="A530" s="16" t="n">
        <f aca="false">Report!C671</f>
        <v>46246</v>
      </c>
      <c r="B530" s="1" t="str">
        <f aca="false">Report!E671</f>
        <v>DURAES DISTRIBUIDORA DE ESTIVAS LTDA</v>
      </c>
      <c r="C530" s="17" t="n">
        <f aca="false">Report!U671</f>
        <v>607.58</v>
      </c>
      <c r="D530" s="1" t="str">
        <f aca="false">Report!X671</f>
        <v>NF 650221 ELLEN</v>
      </c>
    </row>
    <row r="531" customFormat="false" ht="12.75" hidden="false" customHeight="true" outlineLevel="0" collapsed="false">
      <c r="A531" s="16" t="n">
        <f aca="false">Report!C672</f>
        <v>46246</v>
      </c>
      <c r="B531" s="1" t="str">
        <f aca="false">Report!E672</f>
        <v>FUNNY PET DISTRIBUIDORA DE ALIMENTOS PAR</v>
      </c>
      <c r="C531" s="17" t="n">
        <f aca="false">Report!U672</f>
        <v>1501.36</v>
      </c>
      <c r="D531" s="1" t="str">
        <f aca="false">Report!X672</f>
        <v>NF 21189 ELLEN</v>
      </c>
    </row>
    <row r="532" customFormat="false" ht="12.75" hidden="false" customHeight="true" outlineLevel="0" collapsed="false">
      <c r="A532" s="16" t="n">
        <f aca="false">Report!C674</f>
        <v>46246</v>
      </c>
      <c r="B532" s="1" t="str">
        <f aca="false">Report!E674</f>
        <v>J G COMERCIO DE PRODUTOS ALIMENTICIOS LTDA</v>
      </c>
      <c r="C532" s="17" t="n">
        <f aca="false">Report!U674</f>
        <v>1164.4</v>
      </c>
      <c r="D532" s="1" t="str">
        <f aca="false">Report!X674</f>
        <v>NF 393890 ELLEN</v>
      </c>
    </row>
    <row r="533" customFormat="false" ht="12.75" hidden="false" customHeight="true" outlineLevel="0" collapsed="false">
      <c r="A533" s="16" t="n">
        <f aca="false">Report!C675</f>
        <v>46246</v>
      </c>
      <c r="B533" s="1" t="str">
        <f aca="false">Report!E675</f>
        <v>OPPORTUNITY ALIMENTOS PARA ANIMAIS LTDA</v>
      </c>
      <c r="C533" s="17" t="n">
        <f aca="false">Report!U675</f>
        <v>591.06</v>
      </c>
      <c r="D533" s="1" t="str">
        <f aca="false">Report!X675</f>
        <v>NF 34738 ELLEN</v>
      </c>
    </row>
    <row r="534" customFormat="false" ht="12.75" hidden="false" customHeight="true" outlineLevel="0" collapsed="false">
      <c r="A534" s="16" t="n">
        <f aca="false">Report!C676</f>
        <v>46246</v>
      </c>
      <c r="B534" s="1" t="str">
        <f aca="false">Report!E676</f>
        <v>SB COMERCIO LTDA</v>
      </c>
      <c r="C534" s="17" t="n">
        <f aca="false">Report!U676</f>
        <v>1504.05</v>
      </c>
      <c r="D534" s="1" t="str">
        <f aca="false">Report!X676</f>
        <v>NF 1962669 ELLEN</v>
      </c>
    </row>
    <row r="535" customFormat="false" ht="12.75" hidden="false" customHeight="true" outlineLevel="0" collapsed="false">
      <c r="A535" s="16" t="n">
        <f aca="false">Report!C677</f>
        <v>46246</v>
      </c>
      <c r="B535" s="1" t="str">
        <f aca="false">Report!E677</f>
        <v>TOYA INDUSTRIA E COMERCIO LTDA.</v>
      </c>
      <c r="C535" s="17" t="n">
        <f aca="false">Report!U677</f>
        <v>894.16</v>
      </c>
      <c r="D535" s="1" t="str">
        <f aca="false">Report!X677</f>
        <v>NF 256582 ELLEN</v>
      </c>
    </row>
    <row r="536" customFormat="false" ht="12.75" hidden="false" customHeight="true" outlineLevel="0" collapsed="false">
      <c r="A536" s="16" t="n">
        <f aca="false">Report!C678</f>
        <v>46247</v>
      </c>
      <c r="B536" s="1" t="str">
        <f aca="false">Report!E678</f>
        <v>DA FRUTA DISTRIBUIDORA LTDA</v>
      </c>
      <c r="C536" s="17" t="n">
        <f aca="false">Report!U678</f>
        <v>830.88</v>
      </c>
      <c r="D536" s="1" t="str">
        <f aca="false">Report!X678</f>
        <v>NF 197070 ELLEN</v>
      </c>
    </row>
    <row r="537" customFormat="false" ht="12.75" hidden="false" customHeight="true" outlineLevel="0" collapsed="false">
      <c r="A537" s="16" t="n">
        <f aca="false">Report!C679</f>
        <v>46247</v>
      </c>
      <c r="B537" s="1" t="str">
        <f aca="false">Report!E679</f>
        <v>DISTRIBUIDORA FARIAS LTDA.</v>
      </c>
      <c r="C537" s="17" t="n">
        <f aca="false">Report!U679</f>
        <v>580.9</v>
      </c>
      <c r="D537" s="1" t="str">
        <f aca="false">Report!X679</f>
        <v>NF 682520 ELLEN</v>
      </c>
    </row>
    <row r="538" customFormat="false" ht="12.75" hidden="false" customHeight="true" outlineLevel="0" collapsed="false">
      <c r="A538" s="16" t="n">
        <f aca="false">Report!C680</f>
        <v>46247</v>
      </c>
      <c r="B538" s="1" t="str">
        <f aca="false">Report!E680</f>
        <v>DURAES DISTRIBUIDORA DE ESTIVAS LTDA</v>
      </c>
      <c r="C538" s="17" t="n">
        <f aca="false">Report!U680</f>
        <v>727.23</v>
      </c>
      <c r="D538" s="1" t="str">
        <f aca="false">Report!X680</f>
        <v>NF 651350 ELLEN</v>
      </c>
    </row>
    <row r="539" customFormat="false" ht="12.75" hidden="false" customHeight="true" outlineLevel="0" collapsed="false">
      <c r="A539" s="16" t="n">
        <f aca="false">Report!C681</f>
        <v>46247</v>
      </c>
      <c r="B539" s="1" t="str">
        <f aca="false">Report!E681</f>
        <v>OCIDENTAL COMERCIO DE FRIOS LTDA</v>
      </c>
      <c r="C539" s="17" t="n">
        <f aca="false">Report!U681</f>
        <v>459.25</v>
      </c>
      <c r="D539" s="1" t="str">
        <f aca="false">Report!X681</f>
        <v>NF 1253268 ELLEN</v>
      </c>
    </row>
    <row r="540" customFormat="false" ht="12.75" hidden="false" customHeight="true" outlineLevel="0" collapsed="false">
      <c r="A540" s="16" t="n">
        <f aca="false">Report!C682</f>
        <v>46247</v>
      </c>
      <c r="B540" s="1" t="str">
        <f aca="false">Report!E682</f>
        <v>RISADINHA LTDA</v>
      </c>
      <c r="C540" s="17" t="n">
        <f aca="false">Report!U682</f>
        <v>381</v>
      </c>
      <c r="D540" s="1" t="str">
        <f aca="false">Report!X682</f>
        <v>NF 664184 ELLEN</v>
      </c>
    </row>
    <row r="541" customFormat="false" ht="12.75" hidden="false" customHeight="true" outlineLevel="0" collapsed="false">
      <c r="A541" s="16" t="n">
        <f aca="false">Report!C683</f>
        <v>46248</v>
      </c>
      <c r="B541" s="1" t="str">
        <f aca="false">Report!E683</f>
        <v>BF COMERCIO DE ALIMENTOS REPRESENTACAO L</v>
      </c>
      <c r="C541" s="17" t="n">
        <f aca="false">Report!U683</f>
        <v>581.65</v>
      </c>
      <c r="D541" s="1" t="str">
        <f aca="false">Report!X683</f>
        <v>NF 21130 ELLEN</v>
      </c>
    </row>
    <row r="542" customFormat="false" ht="12.75" hidden="false" customHeight="true" outlineLevel="0" collapsed="false">
      <c r="A542" s="16" t="n">
        <f aca="false">Report!C684</f>
        <v>46248</v>
      </c>
      <c r="B542" s="1" t="str">
        <f aca="false">Report!E684</f>
        <v>BONNA VITTA INDUSTRIA E COMERCIO LTDA.</v>
      </c>
      <c r="C542" s="17" t="n">
        <f aca="false">Report!U684</f>
        <v>740.52</v>
      </c>
      <c r="D542" s="1" t="str">
        <f aca="false">Report!X684</f>
        <v>NF 1842 ELLEN</v>
      </c>
    </row>
    <row r="543" customFormat="false" ht="12.75" hidden="false" customHeight="true" outlineLevel="0" collapsed="false">
      <c r="A543" s="16" t="n">
        <f aca="false">Report!C685</f>
        <v>46248</v>
      </c>
      <c r="B543" s="1" t="str">
        <f aca="false">Report!E685</f>
        <v>DISTRIBUIDORA LOPES LTDA</v>
      </c>
      <c r="C543" s="17" t="n">
        <f aca="false">Report!U685</f>
        <v>1111.12</v>
      </c>
      <c r="D543" s="1" t="str">
        <f aca="false">Report!X685</f>
        <v>NF 1698151 ELLEN</v>
      </c>
    </row>
    <row r="544" customFormat="false" ht="12.75" hidden="false" customHeight="true" outlineLevel="0" collapsed="false">
      <c r="A544" s="16" t="n">
        <f aca="false">Report!C686</f>
        <v>46248</v>
      </c>
      <c r="B544" s="1" t="str">
        <f aca="false">Report!E686</f>
        <v>EDSON AGUIAR DE SOUZA</v>
      </c>
      <c r="C544" s="17" t="n">
        <f aca="false">Report!U686</f>
        <v>120</v>
      </c>
      <c r="D544" s="1" t="str">
        <f aca="false">Report!X686</f>
        <v>COMPRAS - CHEIRO-VERDE - ELLEN</v>
      </c>
    </row>
    <row r="545" customFormat="false" ht="12.75" hidden="false" customHeight="true" outlineLevel="0" collapsed="false">
      <c r="A545" s="16" t="n">
        <f aca="false">Report!C687</f>
        <v>46248</v>
      </c>
      <c r="B545" s="1" t="str">
        <f aca="false">Report!E687</f>
        <v>EDSON AGUIAR DE SOUZA</v>
      </c>
      <c r="C545" s="17" t="n">
        <f aca="false">Report!U687</f>
        <v>144.5</v>
      </c>
      <c r="D545" s="1" t="str">
        <f aca="false">Report!X687</f>
        <v>COMPRAS - CHEIRO-VERDE - ELLEN</v>
      </c>
    </row>
    <row r="546" customFormat="false" ht="12.75" hidden="false" customHeight="true" outlineLevel="0" collapsed="false">
      <c r="A546" s="16" t="n">
        <f aca="false">Report!C688</f>
        <v>46248</v>
      </c>
      <c r="B546" s="1" t="str">
        <f aca="false">Report!E688</f>
        <v>MIKITOS IND.COM.DE GEN. ALIM. DO AM. LTD</v>
      </c>
      <c r="C546" s="17" t="n">
        <f aca="false">Report!U688</f>
        <v>690</v>
      </c>
      <c r="D546" s="1" t="str">
        <f aca="false">Report!X688</f>
        <v>NF 294640 ELLEN</v>
      </c>
    </row>
    <row r="547" customFormat="false" ht="12.75" hidden="false" customHeight="true" outlineLevel="0" collapsed="false">
      <c r="A547" s="16" t="n">
        <f aca="false">Report!C690</f>
        <v>46248</v>
      </c>
      <c r="B547" s="1" t="str">
        <f aca="false">Report!E690</f>
        <v>ORIENTE COM. ATACADISTA E REPRES. LTDA</v>
      </c>
      <c r="C547" s="17" t="n">
        <f aca="false">Report!U690</f>
        <v>2975.9</v>
      </c>
      <c r="D547" s="1" t="str">
        <f aca="false">Report!X690</f>
        <v>NF 3040 ELLEN</v>
      </c>
    </row>
    <row r="548" customFormat="false" ht="12.75" hidden="false" customHeight="true" outlineLevel="0" collapsed="false">
      <c r="A548" s="16" t="n">
        <f aca="false">Report!C691</f>
        <v>46248</v>
      </c>
      <c r="B548" s="1" t="str">
        <f aca="false">Report!E691</f>
        <v>SB COMERCIO LTDA</v>
      </c>
      <c r="C548" s="17" t="n">
        <f aca="false">Report!U691</f>
        <v>945.12</v>
      </c>
      <c r="D548" s="1" t="str">
        <f aca="false">Report!X691</f>
        <v>NF 1964289 ELLEN</v>
      </c>
    </row>
    <row r="549" customFormat="false" ht="12.75" hidden="false" customHeight="true" outlineLevel="0" collapsed="false">
      <c r="A549" s="16" t="n">
        <f aca="false">Report!C692</f>
        <v>46248</v>
      </c>
      <c r="B549" s="1" t="str">
        <f aca="false">Report!E692</f>
        <v>SOUZA CRUZ LTDA.</v>
      </c>
      <c r="C549" s="17" t="n">
        <f aca="false">Report!U692</f>
        <v>6409.6</v>
      </c>
      <c r="D549" s="1" t="str">
        <f aca="false">Report!X692</f>
        <v>NF 568309 ELLEN</v>
      </c>
    </row>
    <row r="550" customFormat="false" ht="12.75" hidden="false" customHeight="true" outlineLevel="0" collapsed="false">
      <c r="A550" s="16" t="n">
        <f aca="false">Report!C693</f>
        <v>46249</v>
      </c>
      <c r="B550" s="1" t="str">
        <f aca="false">Report!E693</f>
        <v>ADRIANA DISTRIBUIDORA DE PRODUTOS ALIMEN</v>
      </c>
      <c r="C550" s="17" t="n">
        <f aca="false">Report!U693</f>
        <v>1006.03</v>
      </c>
      <c r="D550" s="1" t="str">
        <f aca="false">Report!X693</f>
        <v>NF 886799 ELLEN</v>
      </c>
    </row>
    <row r="551" customFormat="false" ht="12.75" hidden="false" customHeight="true" outlineLevel="0" collapsed="false">
      <c r="A551" s="16" t="n">
        <f aca="false">Report!C694</f>
        <v>46249</v>
      </c>
      <c r="B551" s="1" t="str">
        <f aca="false">Report!E694</f>
        <v>BRAGA TABACARIA EIRELI ME</v>
      </c>
      <c r="C551" s="17" t="n">
        <f aca="false">Report!U694</f>
        <v>1563.41</v>
      </c>
      <c r="D551" s="1" t="str">
        <f aca="false">Report!X694</f>
        <v>NF 19579 ELLEN</v>
      </c>
    </row>
    <row r="552" customFormat="false" ht="12.75" hidden="false" customHeight="true" outlineLevel="0" collapsed="false">
      <c r="A552" s="16" t="n">
        <f aca="false">Report!C695</f>
        <v>46249</v>
      </c>
      <c r="B552" s="1" t="str">
        <f aca="false">Report!E695</f>
        <v>BRASIL NORTE BEBIDAS S/A</v>
      </c>
      <c r="C552" s="17" t="n">
        <f aca="false">Report!U695</f>
        <v>2636.73</v>
      </c>
      <c r="D552" s="1" t="str">
        <f aca="false">Report!X695</f>
        <v>NF 1964129 ELLEN</v>
      </c>
    </row>
    <row r="553" customFormat="false" ht="12.75" hidden="false" customHeight="true" outlineLevel="0" collapsed="false">
      <c r="A553" s="16" t="n">
        <f aca="false">Report!C696</f>
        <v>46249</v>
      </c>
      <c r="B553" s="1" t="str">
        <f aca="false">Report!E696</f>
        <v>BRASIL NORTE BEBIDAS S/A</v>
      </c>
      <c r="C553" s="17" t="n">
        <f aca="false">Report!U696</f>
        <v>538.46</v>
      </c>
      <c r="D553" s="1" t="str">
        <f aca="false">Report!X696</f>
        <v>NF 1964124 NOTA C/ BONIFICAÇÃO/DESCONTO - ELLEN</v>
      </c>
    </row>
    <row r="554" customFormat="false" ht="12.75" hidden="false" customHeight="true" outlineLevel="0" collapsed="false">
      <c r="A554" s="16" t="n">
        <f aca="false">Report!C697</f>
        <v>46249</v>
      </c>
      <c r="B554" s="1" t="str">
        <f aca="false">Report!E697</f>
        <v>BRASIL NORTE BEBIDAS S/A</v>
      </c>
      <c r="C554" s="17" t="n">
        <f aca="false">Report!U697</f>
        <v>190.71</v>
      </c>
      <c r="D554" s="1" t="str">
        <f aca="false">Report!X697</f>
        <v>NF 1228757 ELLEN</v>
      </c>
    </row>
    <row r="555" customFormat="false" ht="12.75" hidden="false" customHeight="true" outlineLevel="0" collapsed="false">
      <c r="A555" s="16" t="n">
        <f aca="false">Report!C698</f>
        <v>46249</v>
      </c>
      <c r="B555" s="1" t="str">
        <f aca="false">Report!E698</f>
        <v>BRASIL NORTE BEBIDAS S/A</v>
      </c>
      <c r="C555" s="17" t="n">
        <f aca="false">Report!U698</f>
        <v>327.46</v>
      </c>
      <c r="D555" s="1" t="str">
        <f aca="false">Report!X698</f>
        <v>NF 1228756 ELLEN</v>
      </c>
    </row>
    <row r="556" customFormat="false" ht="12.75" hidden="false" customHeight="true" outlineLevel="0" collapsed="false">
      <c r="A556" s="16" t="n">
        <f aca="false">Report!C699</f>
        <v>46249</v>
      </c>
      <c r="B556" s="1" t="str">
        <f aca="false">Report!E699</f>
        <v>BRASIL NORTE BEBIDAS S/A</v>
      </c>
      <c r="C556" s="17" t="n">
        <f aca="false">Report!U699</f>
        <v>45.18</v>
      </c>
      <c r="D556" s="1" t="str">
        <f aca="false">Report!X699</f>
        <v>NF 1964130 ELLEN</v>
      </c>
    </row>
    <row r="557" customFormat="false" ht="12.75" hidden="false" customHeight="true" outlineLevel="0" collapsed="false">
      <c r="A557" s="16" t="n">
        <f aca="false">Report!C700</f>
        <v>46249</v>
      </c>
      <c r="B557" s="1" t="str">
        <f aca="false">Report!E700</f>
        <v>FE COMERCIO DE MATERIAIS DE CONSTRUCAO</v>
      </c>
      <c r="C557" s="17" t="n">
        <f aca="false">Report!U700</f>
        <v>819.53</v>
      </c>
      <c r="D557" s="1" t="str">
        <f aca="false">Report!X700</f>
        <v>NF 4467 ELLEN</v>
      </c>
    </row>
    <row r="558" customFormat="false" ht="12.75" hidden="false" customHeight="true" outlineLevel="0" collapsed="false">
      <c r="A558" s="16" t="n">
        <f aca="false">Report!C703</f>
        <v>46251</v>
      </c>
      <c r="B558" s="1" t="str">
        <f aca="false">Report!E703</f>
        <v>BRASIL NORTE BEBIDAS S/A</v>
      </c>
      <c r="C558" s="17" t="n">
        <f aca="false">Report!U703</f>
        <v>114.61</v>
      </c>
      <c r="D558" s="1" t="str">
        <f aca="false">Report!X703</f>
        <v>NF 1210021 ELLEN</v>
      </c>
    </row>
    <row r="559" customFormat="false" ht="12.75" hidden="false" customHeight="true" outlineLevel="0" collapsed="false">
      <c r="A559" s="16" t="n">
        <f aca="false">Report!C704</f>
        <v>46251</v>
      </c>
      <c r="B559" s="1" t="str">
        <f aca="false">Report!E704</f>
        <v>CB COMERCIO E DISTRIBUIDORA DE ALIMENTOS</v>
      </c>
      <c r="C559" s="17" t="n">
        <f aca="false">Report!U704</f>
        <v>676.98</v>
      </c>
      <c r="D559" s="1" t="str">
        <f aca="false">Report!X704</f>
        <v>NF 854967 ELLEN</v>
      </c>
    </row>
    <row r="560" customFormat="false" ht="12.75" hidden="false" customHeight="true" outlineLevel="0" collapsed="false">
      <c r="A560" s="16" t="n">
        <f aca="false">Report!C705</f>
        <v>46251</v>
      </c>
      <c r="B560" s="1" t="str">
        <f aca="false">Report!E705</f>
        <v>FENNIX BRASIL DISTRIBUIDORA DE PRODUTOS</v>
      </c>
      <c r="C560" s="17" t="n">
        <f aca="false">Report!U705</f>
        <v>416.64</v>
      </c>
      <c r="D560" s="1" t="str">
        <f aca="false">Report!X705</f>
        <v>NF 315892 ELLEN</v>
      </c>
    </row>
    <row r="561" customFormat="false" ht="12.75" hidden="false" customHeight="true" outlineLevel="0" collapsed="false">
      <c r="A561" s="16" t="n">
        <f aca="false">Report!C706</f>
        <v>46251</v>
      </c>
      <c r="B561" s="1" t="str">
        <f aca="false">Report!E706</f>
        <v>TAPAJOS COM DE PERFUMARIA COSMETICOS E G</v>
      </c>
      <c r="C561" s="17" t="n">
        <f aca="false">Report!U706</f>
        <v>1142.36</v>
      </c>
      <c r="D561" s="1" t="str">
        <f aca="false">Report!X706</f>
        <v>NF 580861 ELLEN</v>
      </c>
    </row>
    <row r="562" customFormat="false" ht="12.75" hidden="false" customHeight="true" outlineLevel="0" collapsed="false">
      <c r="A562" s="16" t="n">
        <f aca="false">Report!C707</f>
        <v>46251</v>
      </c>
      <c r="B562" s="1" t="str">
        <f aca="false">Report!E707</f>
        <v>TAPAJOS COM DE PERFUMARIA COSMETICOS E G</v>
      </c>
      <c r="C562" s="17" t="n">
        <f aca="false">Report!U707</f>
        <v>1413.72</v>
      </c>
      <c r="D562" s="1" t="str">
        <f aca="false">Report!X707</f>
        <v>NF 580863 ELLEN</v>
      </c>
    </row>
    <row r="563" customFormat="false" ht="12.75" hidden="false" customHeight="true" outlineLevel="0" collapsed="false">
      <c r="A563" s="16" t="n">
        <f aca="false">Report!C708</f>
        <v>46252</v>
      </c>
      <c r="B563" s="1" t="str">
        <f aca="false">Report!E708</f>
        <v>ATACADAO S.A.</v>
      </c>
      <c r="C563" s="17" t="n">
        <f aca="false">Report!U708</f>
        <v>479.64</v>
      </c>
      <c r="D563" s="1" t="str">
        <f aca="false">Report!X708</f>
        <v>NF 1905833 ELLEN</v>
      </c>
    </row>
    <row r="564" customFormat="false" ht="12.75" hidden="false" customHeight="true" outlineLevel="0" collapsed="false">
      <c r="A564" s="16" t="n">
        <f aca="false">Report!C710</f>
        <v>46253</v>
      </c>
      <c r="B564" s="1" t="str">
        <f aca="false">Report!E710</f>
        <v>BONNA VITTA INDUSTRIA E COMERCIO LTDA.</v>
      </c>
      <c r="C564" s="17" t="n">
        <f aca="false">Report!U710</f>
        <v>109.51</v>
      </c>
      <c r="D564" s="1" t="str">
        <f aca="false">Report!X710</f>
        <v>NF 1625 ELLEN</v>
      </c>
    </row>
    <row r="565" customFormat="false" ht="12.75" hidden="false" customHeight="true" outlineLevel="0" collapsed="false">
      <c r="A565" s="16" t="n">
        <f aca="false">Report!C711</f>
        <v>46253</v>
      </c>
      <c r="B565" s="1" t="str">
        <f aca="false">Report!E711</f>
        <v>BRF S A</v>
      </c>
      <c r="C565" s="17" t="n">
        <f aca="false">Report!U711</f>
        <v>1190.19</v>
      </c>
      <c r="D565" s="1" t="str">
        <f aca="false">Report!X711</f>
        <v>NF 1614426 ELLEN</v>
      </c>
    </row>
    <row r="566" customFormat="false" ht="12.75" hidden="false" customHeight="true" outlineLevel="0" collapsed="false">
      <c r="A566" s="16" t="n">
        <f aca="false">Report!C712</f>
        <v>46253</v>
      </c>
      <c r="B566" s="1" t="str">
        <f aca="false">Report!E712</f>
        <v>SB COMERCIO LTDA</v>
      </c>
      <c r="C566" s="17" t="n">
        <f aca="false">Report!U712</f>
        <v>1504.06</v>
      </c>
      <c r="D566" s="1" t="str">
        <f aca="false">Report!X712</f>
        <v>NF 1962669 ELLEN</v>
      </c>
    </row>
    <row r="567" customFormat="false" ht="12.75" hidden="false" customHeight="true" outlineLevel="0" collapsed="false">
      <c r="A567" s="16" t="n">
        <f aca="false">Report!C713</f>
        <v>46254</v>
      </c>
      <c r="B567" s="1" t="str">
        <f aca="false">Report!E713</f>
        <v>PRIME PET DISTRIBUIDORA LTDA</v>
      </c>
      <c r="C567" s="17" t="n">
        <f aca="false">Report!U713</f>
        <v>446.28</v>
      </c>
      <c r="D567" s="1" t="str">
        <f aca="false">Report!X713</f>
        <v>NF 11173 ELLEN</v>
      </c>
    </row>
    <row r="568" customFormat="false" ht="12.75" hidden="false" customHeight="true" outlineLevel="0" collapsed="false">
      <c r="A568" s="16" t="n">
        <f aca="false">Report!C715</f>
        <v>46254</v>
      </c>
      <c r="B568" s="1" t="str">
        <f aca="false">Report!E715</f>
        <v>RISADINHA LTDA</v>
      </c>
      <c r="C568" s="17" t="n">
        <f aca="false">Report!U715</f>
        <v>381</v>
      </c>
      <c r="D568" s="1" t="str">
        <f aca="false">Report!X715</f>
        <v>NF 664184 ELLEN</v>
      </c>
    </row>
    <row r="569" customFormat="false" ht="12.75" hidden="false" customHeight="true" outlineLevel="0" collapsed="false">
      <c r="A569" s="16" t="n">
        <f aca="false">Report!C716</f>
        <v>46255</v>
      </c>
      <c r="B569" s="1" t="str">
        <f aca="false">Report!E716</f>
        <v>MIKITOS IND.COM.DE GEN. ALIM. DO AM. LTD</v>
      </c>
      <c r="C569" s="17" t="n">
        <f aca="false">Report!U716</f>
        <v>690</v>
      </c>
      <c r="D569" s="1" t="str">
        <f aca="false">Report!X716</f>
        <v>NF 294640 ELLEN</v>
      </c>
    </row>
    <row r="570" customFormat="false" ht="12.75" hidden="false" customHeight="true" outlineLevel="0" collapsed="false">
      <c r="A570" s="16" t="n">
        <f aca="false">Report!C717</f>
        <v>46255</v>
      </c>
      <c r="B570" s="1" t="str">
        <f aca="false">Report!E717</f>
        <v>PRIME PET DISTRIBUIDORA LTDA</v>
      </c>
      <c r="C570" s="17" t="n">
        <f aca="false">Report!U717</f>
        <v>1361.81</v>
      </c>
      <c r="D570" s="1" t="str">
        <f aca="false">Report!X717</f>
        <v>NF 10860 ELLEN</v>
      </c>
    </row>
    <row r="571" customFormat="false" ht="12.75" hidden="false" customHeight="true" outlineLevel="0" collapsed="false">
      <c r="A571" s="16" t="n">
        <f aca="false">Report!C718</f>
        <v>46256</v>
      </c>
      <c r="B571" s="1" t="str">
        <f aca="false">Report!E718</f>
        <v>ADRIANA DISTRIBUIDORA DE PRODUTOS ALIMEN</v>
      </c>
      <c r="C571" s="17" t="n">
        <f aca="false">Report!U718</f>
        <v>1006.03</v>
      </c>
      <c r="D571" s="1" t="str">
        <f aca="false">Report!X718</f>
        <v>NF 886799 ELLEN</v>
      </c>
    </row>
    <row r="572" customFormat="false" ht="12.75" hidden="false" customHeight="true" outlineLevel="0" collapsed="false">
      <c r="A572" s="16" t="n">
        <f aca="false">Report!C719</f>
        <v>46256</v>
      </c>
      <c r="B572" s="1" t="str">
        <f aca="false">Report!E719</f>
        <v>BRAGA TABACARIA EIRELI ME</v>
      </c>
      <c r="C572" s="17" t="n">
        <f aca="false">Report!U719</f>
        <v>1563.4</v>
      </c>
      <c r="D572" s="1" t="str">
        <f aca="false">Report!X719</f>
        <v>NF 19579 ELLEN</v>
      </c>
    </row>
    <row r="573" customFormat="false" ht="12.75" hidden="false" customHeight="true" outlineLevel="0" collapsed="false">
      <c r="A573" s="16" t="n">
        <f aca="false">Report!C721</f>
        <v>46256</v>
      </c>
      <c r="B573" s="1" t="str">
        <f aca="false">Report!E721</f>
        <v>FUNNY PET DISTRIBUIDORA DE ALIMENTOS PAR</v>
      </c>
      <c r="C573" s="17" t="n">
        <f aca="false">Report!U721</f>
        <v>1501.38</v>
      </c>
      <c r="D573" s="1" t="str">
        <f aca="false">Report!X721</f>
        <v>NF 21189 ELLEN</v>
      </c>
    </row>
    <row r="574" customFormat="false" ht="12.75" hidden="false" customHeight="true" outlineLevel="0" collapsed="false">
      <c r="A574" s="16" t="n">
        <f aca="false">Report!C722</f>
        <v>46256</v>
      </c>
      <c r="B574" s="1" t="str">
        <f aca="false">Report!E722</f>
        <v>OPPORTUNITY ALIMENTOS PARA ANIMAIS LTDA</v>
      </c>
      <c r="C574" s="17" t="n">
        <f aca="false">Report!U722</f>
        <v>591.07</v>
      </c>
      <c r="D574" s="1" t="str">
        <f aca="false">Report!X722</f>
        <v>NF 34738 ELLEN</v>
      </c>
    </row>
    <row r="575" customFormat="false" ht="12.75" hidden="false" customHeight="true" outlineLevel="0" collapsed="false">
      <c r="A575" s="16" t="n">
        <f aca="false">Report!C723</f>
        <v>46258</v>
      </c>
      <c r="B575" s="1" t="str">
        <f aca="false">Report!E723</f>
        <v>FENNIX BRASIL DISTRIBUIDORA DE PRODUTOS</v>
      </c>
      <c r="C575" s="17" t="n">
        <f aca="false">Report!U723</f>
        <v>416.64</v>
      </c>
      <c r="D575" s="1" t="str">
        <f aca="false">Report!X723</f>
        <v>NF 315892 ELLEN</v>
      </c>
    </row>
    <row r="576" customFormat="false" ht="12.75" hidden="false" customHeight="true" outlineLevel="0" collapsed="false">
      <c r="A576" s="16" t="n">
        <f aca="false">Report!C724</f>
        <v>46259</v>
      </c>
      <c r="B576" s="1" t="str">
        <f aca="false">Report!E724</f>
        <v>FE COMERCIO DE MATERIAIS DE CONSTRUCAO</v>
      </c>
      <c r="C576" s="17" t="n">
        <f aca="false">Report!U724</f>
        <v>818.55</v>
      </c>
      <c r="D576" s="1" t="str">
        <f aca="false">Report!X724</f>
        <v>NF 4467 ELLEN</v>
      </c>
    </row>
    <row r="577" customFormat="false" ht="12.75" hidden="false" customHeight="true" outlineLevel="0" collapsed="false">
      <c r="A577" s="16" t="n">
        <f aca="false">Report!C728</f>
        <v>46264</v>
      </c>
      <c r="B577" s="1" t="str">
        <f aca="false">Report!E728</f>
        <v>PRIME PET DISTRIBUIDORA LTDA</v>
      </c>
      <c r="C577" s="17" t="n">
        <f aca="false">Report!U728</f>
        <v>446.28</v>
      </c>
      <c r="D577" s="1" t="str">
        <f aca="false">Report!X728</f>
        <v>NF 11173 ELLEN</v>
      </c>
    </row>
    <row r="578" customFormat="false" ht="12.75" hidden="false" customHeight="true" outlineLevel="0" collapsed="false">
      <c r="A578" s="16" t="n">
        <f aca="false">Report!C729</f>
        <v>46266</v>
      </c>
      <c r="B578" s="1" t="str">
        <f aca="false">Report!E729</f>
        <v>A. CORREA JUNIOR</v>
      </c>
      <c r="C578" s="17" t="n">
        <f aca="false">Report!U729</f>
        <v>1290.16</v>
      </c>
      <c r="D578" s="1" t="str">
        <f aca="false">Report!X729</f>
        <v>NF 1829 CARTÃO DIA 1 PARC 3/3 - ELLEN</v>
      </c>
    </row>
    <row r="579" customFormat="false" ht="12.75" hidden="false" customHeight="true" outlineLevel="0" collapsed="false">
      <c r="A579" s="16" t="n">
        <f aca="false">Report!C730</f>
        <v>46266</v>
      </c>
      <c r="B579" s="1" t="str">
        <f aca="false">Report!E730</f>
        <v>FUNNY PET DISTRIBUIDORA DE ALIMENTOS PAR</v>
      </c>
      <c r="C579" s="17" t="n">
        <f aca="false">Report!U730</f>
        <v>1501.38</v>
      </c>
      <c r="D579" s="1" t="str">
        <f aca="false">Report!X730</f>
        <v>NF 21189 ELLEN</v>
      </c>
    </row>
    <row r="580" customFormat="false" ht="12.75" hidden="false" customHeight="true" outlineLevel="0" collapsed="false">
      <c r="A580" s="16" t="n">
        <f aca="false">Report!C732</f>
        <v>46266</v>
      </c>
      <c r="B580" s="1" t="str">
        <f aca="false">Report!E732</f>
        <v>OPPORTUNITY ALIMENTOS PARA ANIMAIS LTDA</v>
      </c>
      <c r="C580" s="17" t="n">
        <f aca="false">Report!U732</f>
        <v>591.07</v>
      </c>
      <c r="D580" s="1" t="str">
        <f aca="false">Report!X732</f>
        <v>NF 34738 ELLEN</v>
      </c>
    </row>
    <row r="581" customFormat="false" ht="12.75" hidden="false" customHeight="true" outlineLevel="0" collapsed="false">
      <c r="A581" s="16" t="n">
        <f aca="false">Report!C738</f>
        <v>46275</v>
      </c>
      <c r="B581" s="1" t="str">
        <f aca="false">Report!E738</f>
        <v>FUNNY PET DISTRIBUIDORA DE ALIMENTOS PAR</v>
      </c>
      <c r="C581" s="17" t="n">
        <f aca="false">Report!U738</f>
        <v>128.85</v>
      </c>
      <c r="D581" s="1" t="str">
        <f aca="false">Report!X738</f>
        <v>NF 20440 ELLEN</v>
      </c>
    </row>
    <row r="582" customFormat="false" ht="12.75" hidden="false" customHeight="true" outlineLevel="0" collapsed="false">
      <c r="A582" s="16" t="n">
        <f aca="false">Report!C743</f>
        <v>46281</v>
      </c>
      <c r="B582" s="1" t="str">
        <f aca="false">Report!E743</f>
        <v>FUNNY PET DISTRIBUIDORA DE ALIMENTOS PAR</v>
      </c>
      <c r="C582" s="17" t="n">
        <f aca="false">Report!U743</f>
        <v>1501.38</v>
      </c>
      <c r="D582" s="1" t="str">
        <f aca="false">Report!X743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785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786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787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788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789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790</v>
      </c>
      <c r="B7" s="17" t="n">
        <f aca="false">SUMIFS(Report!$U:$U,Report!$T:$T,"&lt;&gt;"&amp;"MERCADORIAS P/REVENDA",Report!$C:$C,"&gt;="&amp;DATE(2026,6,1),Report!$C:$C,"&lt;="&amp;DATE(2026,6,30))</f>
        <v>5775.5</v>
      </c>
      <c r="C7" s="17" t="n">
        <f aca="false">SUMIFS(Report!$U:$U,Report!$T:$T,"MERCADORIAS P/REVENDA",Report!$C:$C,"&gt;="&amp;DATE(2026,6,1),Report!$C:$C,"&lt;="&amp;DATE(2026,6,30))</f>
        <v>36907.56</v>
      </c>
      <c r="D7" s="17" t="n">
        <f aca="false">B7+C7</f>
        <v>42683.06</v>
      </c>
    </row>
    <row r="8" customFormat="false" ht="12.75" hidden="false" customHeight="true" outlineLevel="0" collapsed="false">
      <c r="A8" s="25" t="s">
        <v>791</v>
      </c>
      <c r="B8" s="17" t="n">
        <f aca="false">SUMIFS(Report!$U:$U,Report!$T:$T,"&lt;&gt;"&amp;"MERCADORIAS P/REVENDA",Report!$C:$C,"&gt;="&amp;DATE(2026,7,1),Report!$C:$C,"&lt;="&amp;DATE(2026,7,31))</f>
        <v>89952.87</v>
      </c>
      <c r="C8" s="17" t="n">
        <f aca="false">SUMIFS(Report!$U:$U,Report!$T:$T,"MERCADORIAS P/REVENDA",Report!$C:$C,"&gt;="&amp;DATE(2026,7,1),Report!$C:$C,"&lt;="&amp;DATE(2026,7,31))</f>
        <v>300056.13</v>
      </c>
      <c r="D8" s="17" t="n">
        <f aca="false">B8+C8</f>
        <v>390009</v>
      </c>
    </row>
    <row r="9" customFormat="false" ht="12.75" hidden="false" customHeight="true" outlineLevel="0" collapsed="false">
      <c r="A9" s="25" t="s">
        <v>792</v>
      </c>
      <c r="B9" s="17" t="n">
        <f aca="false">SUMIFS(Report!$U:$U,Report!$T:$T,"&lt;&gt;"&amp;"MERCADORIAS P/REVENDA",Report!$C:$C,"&gt;="&amp;DATE(2026,8,1),Report!$C:$C,"&lt;="&amp;DATE(2026,8,31))</f>
        <v>25476.75</v>
      </c>
      <c r="C9" s="17" t="n">
        <f aca="false">SUMIFS(Report!$U:$U,Report!$T:$T,"MERCADORIAS P/REVENDA",Report!$C:$C,"&gt;="&amp;DATE(2026,8,1),Report!$C:$C,"&lt;="&amp;DATE(2026,8,31))</f>
        <v>137422.69</v>
      </c>
      <c r="D9" s="17" t="n">
        <f aca="false">B9+C9</f>
        <v>162899.44</v>
      </c>
    </row>
    <row r="10" customFormat="false" ht="12.75" hidden="false" customHeight="true" outlineLevel="0" collapsed="false">
      <c r="A10" s="25" t="s">
        <v>793</v>
      </c>
      <c r="B10" s="17" t="n">
        <f aca="false">SUMIFS(Report!$U:$U,Report!$T:$T,"&lt;&gt;"&amp;"MERCADORIAS P/REVENDA",Report!$C:$C,"&gt;="&amp;DATE(2026,9,1),Report!$C:$C,"&lt;="&amp;DATE(2026,9,30))</f>
        <v>17254.89</v>
      </c>
      <c r="C10" s="17" t="n">
        <f aca="false">SUMIFS(Report!$U:$U,Report!$T:$T,"MERCADORIAS P/REVENDA",Report!$C:$C,"&gt;="&amp;DATE(2026,9,1),Report!$C:$C,"&lt;="&amp;DATE(2026,9,30))</f>
        <v>5012.84</v>
      </c>
      <c r="D10" s="17" t="n">
        <f aca="false">B10+C10</f>
        <v>22267.73</v>
      </c>
    </row>
    <row r="11" customFormat="false" ht="12.75" hidden="false" customHeight="true" outlineLevel="0" collapsed="false">
      <c r="A11" s="25" t="s">
        <v>794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795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796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797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798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799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800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801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802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803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804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805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806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807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808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809</v>
      </c>
      <c r="B26" s="24" t="n">
        <f aca="false">SUM(B2:B25)</f>
        <v>138460.01</v>
      </c>
      <c r="C26" s="24" t="n">
        <f aca="false">SUM(C2:C25)</f>
        <v>479399.22</v>
      </c>
      <c r="D26" s="24" t="n">
        <f aca="false">SUM(D2:D25)</f>
        <v>617859.23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810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4" t="s">
        <v>811</v>
      </c>
      <c r="AA2" s="23"/>
      <c r="AB2" s="23" t="s">
        <v>812</v>
      </c>
      <c r="AC2" s="23" t="s">
        <v>813</v>
      </c>
      <c r="AE2" s="1" t="s">
        <v>814</v>
      </c>
    </row>
    <row r="3" customFormat="false" ht="12.75" hidden="false" customHeight="true" outlineLevel="0" collapsed="false">
      <c r="A3" s="23" t="s">
        <v>815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42683.06</v>
      </c>
      <c r="H3" s="24" t="n">
        <f aca="false">SUMIFS(Report!$U:$U,Report!$C:$C,"&gt;="&amp;DATE(2026,7,1),Report!$C:$C,"&lt;="&amp;DATE(2026,7,31))</f>
        <v>390009</v>
      </c>
      <c r="I3" s="24" t="n">
        <f aca="false">SUMIFS(Report!$U:$U,Report!$C:$C,"&gt;="&amp;DATE(2026,8,1),Report!$C:$C,"&lt;="&amp;DATE(2026,8,31))</f>
        <v>162899.44</v>
      </c>
      <c r="J3" s="24" t="n">
        <f aca="false">SUMIFS(Report!$U:$U,Report!$C:$C,"&gt;="&amp;DATE(2026,9,1),Report!$C:$C,"&lt;="&amp;DATE(2026,9,30))</f>
        <v>22267.73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617859.23</v>
      </c>
      <c r="AB3" s="1" t="s">
        <v>697</v>
      </c>
      <c r="AC3" s="1" t="s">
        <v>816</v>
      </c>
      <c r="AE3" s="1" t="s">
        <v>817</v>
      </c>
    </row>
    <row r="4" customFormat="false" ht="12.75" hidden="false" customHeight="true" outlineLevel="0" collapsed="false">
      <c r="A4" s="1" t="s">
        <v>816</v>
      </c>
      <c r="B4" s="17" t="n">
        <f aca="false">SUMIFS(Report!$U:$U,Report!$Z:$Z,"Despesa",Report!$C:$C,"&gt;="&amp;DATE(2026,1,1),Report!$C:$C,"&lt;="&amp;DATE(2026,1,31))</f>
        <v>0</v>
      </c>
      <c r="C4" s="17" t="n">
        <f aca="false">SUMIFS(Report!$U:$U,Report!$Z:$Z,"Despesa",Report!$C:$C,"&gt;="&amp;DATE(2026,2,1),Report!$C:$C,"&lt;="&amp;DATE(2026,2,28))</f>
        <v>0</v>
      </c>
      <c r="D4" s="17" t="n">
        <f aca="false">SUMIFS(Report!$U:$U,Report!$Z:$Z,"Despesa",Report!$C:$C,"&gt;="&amp;DATE(2026,3,1),Report!$C:$C,"&lt;="&amp;DATE(2026,3,31))</f>
        <v>0</v>
      </c>
      <c r="E4" s="17" t="n">
        <f aca="false">SUMIFS(Report!$U:$U,Report!$Z:$Z,"Despesa",Report!$C:$C,"&gt;="&amp;DATE(2026,4,1),Report!$C:$C,"&lt;="&amp;DATE(2026,4,30))</f>
        <v>0</v>
      </c>
      <c r="F4" s="17" t="n">
        <f aca="false">SUMIFS(Report!$U:$U,Report!$Z:$Z,"Despesa",Report!$C:$C,"&gt;="&amp;DATE(2026,5,1),Report!$C:$C,"&lt;="&amp;DATE(2026,5,31))</f>
        <v>0</v>
      </c>
      <c r="G4" s="17" t="n">
        <f aca="false">SUMIFS(Report!$U:$U,Report!$Z:$Z,"Despesa",Report!$C:$C,"&gt;="&amp;DATE(2026,6,1),Report!$C:$C,"&lt;="&amp;DATE(2026,6,30))</f>
        <v>2385.5</v>
      </c>
      <c r="H4" s="17" t="n">
        <f aca="false">SUMIFS(Report!$U:$U,Report!$Z:$Z,"Despesa",Report!$C:$C,"&gt;="&amp;DATE(2026,7,1),Report!$C:$C,"&lt;="&amp;DATE(2026,7,31))</f>
        <v>39972.66</v>
      </c>
      <c r="I4" s="17" t="n">
        <f aca="false">SUMIFS(Report!$U:$U,Report!$Z:$Z,"Despesa",Report!$C:$C,"&gt;="&amp;DATE(2026,8,1),Report!$C:$C,"&lt;="&amp;DATE(2026,8,31))</f>
        <v>17239.02</v>
      </c>
      <c r="J4" s="17" t="n">
        <f aca="false">SUMIFS(Report!$U:$U,Report!$Z:$Z,"Despesa",Report!$C:$C,"&gt;="&amp;DATE(2026,9,1),Report!$C:$C,"&lt;="&amp;DATE(2026,9,30))</f>
        <v>12411.43</v>
      </c>
      <c r="K4" s="17" t="n">
        <f aca="false">SUMIFS(Report!$U:$U,Report!$Z:$Z,"Despesa",Report!$C:$C,"&gt;="&amp;DATE(2026,10,1),Report!$C:$C,"&lt;="&amp;DATE(2026,10,31))</f>
        <v>0</v>
      </c>
      <c r="L4" s="17" t="n">
        <f aca="false">SUMIFS(Report!$U:$U,Report!$Z:$Z,"Despesa",Report!$C:$C,"&gt;="&amp;DATE(2026,11,1),Report!$C:$C,"&lt;="&amp;DATE(2026,11,30))</f>
        <v>0</v>
      </c>
      <c r="M4" s="17" t="n">
        <f aca="false">SUMIFS(Report!$U:$U,Report!$Z:$Z,"Despesa",Report!$C:$C,"&gt;="&amp;DATE(2026,12,1),Report!$C:$C,"&lt;="&amp;DATE(2026,12,31))</f>
        <v>0</v>
      </c>
      <c r="N4" s="17" t="n">
        <f aca="false">SUMIFS(Report!$U:$U,Report!$Z:$Z,"Despesa",Report!$C:$C,"&gt;="&amp;DATE(2027,1,1),Report!$C:$C,"&lt;="&amp;DATE(2027,1,31))</f>
        <v>0</v>
      </c>
      <c r="O4" s="17" t="n">
        <f aca="false">SUMIFS(Report!$U:$U,Report!$Z:$Z,"Despesa",Report!$C:$C,"&gt;="&amp;DATE(2027,2,1),Report!$C:$C,"&lt;="&amp;DATE(2027,2,28))</f>
        <v>0</v>
      </c>
      <c r="P4" s="17" t="n">
        <f aca="false">SUMIFS(Report!$U:$U,Report!$Z:$Z,"Despesa",Report!$C:$C,"&gt;="&amp;DATE(2027,3,1),Report!$C:$C,"&lt;="&amp;DATE(2027,3,31))</f>
        <v>0</v>
      </c>
      <c r="Q4" s="17" t="n">
        <f aca="false">SUMIFS(Report!$U:$U,Report!$Z:$Z,"Despesa",Report!$C:$C,"&gt;="&amp;DATE(2027,4,1),Report!$C:$C,"&lt;="&amp;DATE(2027,4,30))</f>
        <v>0</v>
      </c>
      <c r="R4" s="17" t="n">
        <f aca="false">SUMIFS(Report!$U:$U,Report!$Z:$Z,"Despesa",Report!$C:$C,"&gt;="&amp;DATE(2027,5,1),Report!$C:$C,"&lt;="&amp;DATE(2027,5,31))</f>
        <v>0</v>
      </c>
      <c r="S4" s="17" t="n">
        <f aca="false">SUMIFS(Report!$U:$U,Report!$Z:$Z,"Despesa",Report!$C:$C,"&gt;="&amp;DATE(2027,6,1),Report!$C:$C,"&lt;="&amp;DATE(2027,6,30))</f>
        <v>0</v>
      </c>
      <c r="T4" s="17" t="n">
        <f aca="false">SUMIFS(Report!$U:$U,Report!$Z:$Z,"Despesa",Report!$C:$C,"&gt;="&amp;DATE(2027,7,1),Report!$C:$C,"&lt;="&amp;DATE(2027,7,31))</f>
        <v>0</v>
      </c>
      <c r="U4" s="17" t="n">
        <f aca="false">SUMIFS(Report!$U:$U,Report!$Z:$Z,"Despesa",Report!$C:$C,"&gt;="&amp;DATE(2027,8,1),Report!$C:$C,"&lt;="&amp;DATE(2027,8,31))</f>
        <v>0</v>
      </c>
      <c r="V4" s="17" t="n">
        <f aca="false">SUMIFS(Report!$U:$U,Report!$Z:$Z,"Despesa",Report!$C:$C,"&gt;="&amp;DATE(2027,9,1),Report!$C:$C,"&lt;="&amp;DATE(2027,9,30))</f>
        <v>0</v>
      </c>
      <c r="W4" s="17" t="n">
        <f aca="false">SUMIFS(Report!$U:$U,Report!$Z:$Z,"Despesa",Report!$C:$C,"&gt;="&amp;DATE(2027,10,1),Report!$C:$C,"&lt;="&amp;DATE(2027,10,31))</f>
        <v>0</v>
      </c>
      <c r="X4" s="17" t="n">
        <f aca="false">SUMIFS(Report!$U:$U,Report!$Z:$Z,"Despesa",Report!$C:$C,"&gt;="&amp;DATE(2027,11,1),Report!$C:$C,"&lt;="&amp;DATE(2027,11,30))</f>
        <v>0</v>
      </c>
      <c r="Y4" s="17" t="n">
        <f aca="false">SUMIFS(Report!$U:$U,Report!$Z:$Z,"Despesa",Report!$C:$C,"&gt;="&amp;DATE(2027,12,1),Report!$C:$C,"&lt;="&amp;DATE(2027,12,31))</f>
        <v>0</v>
      </c>
      <c r="Z4" s="17" t="n">
        <f aca="false">SUM(B4:Y4)</f>
        <v>72008.61</v>
      </c>
      <c r="AB4" s="1" t="s">
        <v>103</v>
      </c>
      <c r="AC4" s="1" t="s">
        <v>816</v>
      </c>
    </row>
    <row r="5" customFormat="false" ht="12.75" hidden="false" customHeight="true" outlineLevel="0" collapsed="false">
      <c r="A5" s="1" t="s">
        <v>818</v>
      </c>
      <c r="B5" s="17" t="n">
        <f aca="false">SUMIFS(Report!$U:$U,Report!$Z:$Z,"Empréstimo",Report!$C:$C,"&gt;="&amp;DATE(2026,1,1),Report!$C:$C,"&lt;="&amp;DATE(2026,1,31))</f>
        <v>0</v>
      </c>
      <c r="C5" s="17" t="n">
        <f aca="false">SUMIFS(Report!$U:$U,Report!$Z:$Z,"Empréstimo",Report!$C:$C,"&gt;="&amp;DATE(2026,2,1),Report!$C:$C,"&lt;="&amp;DATE(2026,2,28))</f>
        <v>0</v>
      </c>
      <c r="D5" s="17" t="n">
        <f aca="false">SUMIFS(Report!$U:$U,Report!$Z:$Z,"Empréstimo",Report!$C:$C,"&gt;="&amp;DATE(2026,3,1),Report!$C:$C,"&lt;="&amp;DATE(2026,3,31))</f>
        <v>0</v>
      </c>
      <c r="E5" s="17" t="n">
        <f aca="false">SUMIFS(Report!$U:$U,Report!$Z:$Z,"Empréstimo",Report!$C:$C,"&gt;="&amp;DATE(2026,4,1),Report!$C:$C,"&lt;="&amp;DATE(2026,4,30))</f>
        <v>0</v>
      </c>
      <c r="F5" s="17" t="n">
        <f aca="false">SUMIFS(Report!$U:$U,Report!$Z:$Z,"Empréstimo",Report!$C:$C,"&gt;="&amp;DATE(2026,5,1),Report!$C:$C,"&lt;="&amp;DATE(2026,5,31))</f>
        <v>0</v>
      </c>
      <c r="G5" s="17" t="n">
        <f aca="false">SUMIFS(Report!$U:$U,Report!$Z:$Z,"Empréstimo",Report!$C:$C,"&gt;="&amp;DATE(2026,6,1),Report!$C:$C,"&lt;="&amp;DATE(2026,6,30))</f>
        <v>0</v>
      </c>
      <c r="H5" s="17" t="n">
        <f aca="false">SUMIFS(Report!$U:$U,Report!$Z:$Z,"Empréstimo",Report!$C:$C,"&gt;="&amp;DATE(2026,7,1),Report!$C:$C,"&lt;="&amp;DATE(2026,7,31))</f>
        <v>13451.65</v>
      </c>
      <c r="I5" s="17" t="n">
        <f aca="false">SUMIFS(Report!$U:$U,Report!$Z:$Z,"Empréstimo",Report!$C:$C,"&gt;="&amp;DATE(2026,8,1),Report!$C:$C,"&lt;="&amp;DATE(2026,8,31))</f>
        <v>6504.77</v>
      </c>
      <c r="J5" s="17" t="n">
        <f aca="false">SUMIFS(Report!$U:$U,Report!$Z:$Z,"Empréstimo",Report!$C:$C,"&gt;="&amp;DATE(2026,9,1),Report!$C:$C,"&lt;="&amp;DATE(2026,9,30))</f>
        <v>4168.41</v>
      </c>
      <c r="K5" s="17" t="n">
        <f aca="false">SUMIFS(Report!$U:$U,Report!$Z:$Z,"Empréstimo",Report!$C:$C,"&gt;="&amp;DATE(2026,10,1),Report!$C:$C,"&lt;="&amp;DATE(2026,10,31))</f>
        <v>0</v>
      </c>
      <c r="L5" s="17" t="n">
        <f aca="false">SUMIFS(Report!$U:$U,Report!$Z:$Z,"Empréstimo",Report!$C:$C,"&gt;="&amp;DATE(2026,11,1),Report!$C:$C,"&lt;="&amp;DATE(2026,11,30))</f>
        <v>0</v>
      </c>
      <c r="M5" s="17" t="n">
        <f aca="false">SUMIFS(Report!$U:$U,Report!$Z:$Z,"Empréstimo",Report!$C:$C,"&gt;="&amp;DATE(2026,12,1),Report!$C:$C,"&lt;="&amp;DATE(2026,12,31))</f>
        <v>0</v>
      </c>
      <c r="N5" s="17" t="n">
        <f aca="false">SUMIFS(Report!$U:$U,Report!$Z:$Z,"Empréstimo",Report!$C:$C,"&gt;="&amp;DATE(2027,1,1),Report!$C:$C,"&lt;="&amp;DATE(2027,1,31))</f>
        <v>0</v>
      </c>
      <c r="O5" s="17" t="n">
        <f aca="false">SUMIFS(Report!$U:$U,Report!$Z:$Z,"Empréstimo",Report!$C:$C,"&gt;="&amp;DATE(2027,2,1),Report!$C:$C,"&lt;="&amp;DATE(2027,2,28))</f>
        <v>0</v>
      </c>
      <c r="P5" s="17" t="n">
        <f aca="false">SUMIFS(Report!$U:$U,Report!$Z:$Z,"Empréstimo",Report!$C:$C,"&gt;="&amp;DATE(2027,3,1),Report!$C:$C,"&lt;="&amp;DATE(2027,3,31))</f>
        <v>0</v>
      </c>
      <c r="Q5" s="17" t="n">
        <f aca="false">SUMIFS(Report!$U:$U,Report!$Z:$Z,"Empréstimo",Report!$C:$C,"&gt;="&amp;DATE(2027,4,1),Report!$C:$C,"&lt;="&amp;DATE(2027,4,30))</f>
        <v>0</v>
      </c>
      <c r="R5" s="17" t="n">
        <f aca="false">SUMIFS(Report!$U:$U,Report!$Z:$Z,"Empréstimo",Report!$C:$C,"&gt;="&amp;DATE(2027,5,1),Report!$C:$C,"&lt;="&amp;DATE(2027,5,31))</f>
        <v>0</v>
      </c>
      <c r="S5" s="17" t="n">
        <f aca="false">SUMIFS(Report!$U:$U,Report!$Z:$Z,"Empréstimo",Report!$C:$C,"&gt;="&amp;DATE(2027,6,1),Report!$C:$C,"&lt;="&amp;DATE(2027,6,30))</f>
        <v>0</v>
      </c>
      <c r="T5" s="17" t="n">
        <f aca="false">SUMIFS(Report!$U:$U,Report!$Z:$Z,"Empréstimo",Report!$C:$C,"&gt;="&amp;DATE(2027,7,1),Report!$C:$C,"&lt;="&amp;DATE(2027,7,31))</f>
        <v>0</v>
      </c>
      <c r="U5" s="17" t="n">
        <f aca="false">SUMIFS(Report!$U:$U,Report!$Z:$Z,"Empréstimo",Report!$C:$C,"&gt;="&amp;DATE(2027,8,1),Report!$C:$C,"&lt;="&amp;DATE(2027,8,31))</f>
        <v>0</v>
      </c>
      <c r="V5" s="17" t="n">
        <f aca="false">SUMIFS(Report!$U:$U,Report!$Z:$Z,"Empréstimo",Report!$C:$C,"&gt;="&amp;DATE(2027,9,1),Report!$C:$C,"&lt;="&amp;DATE(2027,9,30))</f>
        <v>0</v>
      </c>
      <c r="W5" s="17" t="n">
        <f aca="false">SUMIFS(Report!$U:$U,Report!$Z:$Z,"Empréstimo",Report!$C:$C,"&gt;="&amp;DATE(2027,10,1),Report!$C:$C,"&lt;="&amp;DATE(2027,10,31))</f>
        <v>0</v>
      </c>
      <c r="X5" s="17" t="n">
        <f aca="false">SUMIFS(Report!$U:$U,Report!$Z:$Z,"Empréstimo",Report!$C:$C,"&gt;="&amp;DATE(2027,11,1),Report!$C:$C,"&lt;="&amp;DATE(2027,11,30))</f>
        <v>0</v>
      </c>
      <c r="Y5" s="17" t="n">
        <f aca="false">SUMIFS(Report!$U:$U,Report!$Z:$Z,"Empréstimo",Report!$C:$C,"&gt;="&amp;DATE(2027,12,1),Report!$C:$C,"&lt;="&amp;DATE(2027,12,31))</f>
        <v>0</v>
      </c>
      <c r="Z5" s="17" t="n">
        <f aca="false">SUM(B5:Y5)</f>
        <v>24124.83</v>
      </c>
      <c r="AB5" s="1" t="s">
        <v>455</v>
      </c>
      <c r="AC5" s="1" t="s">
        <v>816</v>
      </c>
    </row>
    <row r="6" customFormat="false" ht="12.75" hidden="false" customHeight="true" outlineLevel="0" collapsed="false">
      <c r="A6" s="1" t="s">
        <v>819</v>
      </c>
      <c r="B6" s="17" t="n">
        <f aca="false">SUMIFS(Report!$U:$U,Report!$Z:$Z,"Impostos",Report!$C:$C,"&gt;="&amp;DATE(2026,1,1),Report!$C:$C,"&lt;="&amp;DATE(2026,1,31))</f>
        <v>0</v>
      </c>
      <c r="C6" s="17" t="n">
        <f aca="false">SUMIFS(Report!$U:$U,Report!$Z:$Z,"Impostos",Report!$C:$C,"&gt;="&amp;DATE(2026,2,1),Report!$C:$C,"&lt;="&amp;DATE(2026,2,28))</f>
        <v>0</v>
      </c>
      <c r="D6" s="17" t="n">
        <f aca="false">SUMIFS(Report!$U:$U,Report!$Z:$Z,"Impostos",Report!$C:$C,"&gt;="&amp;DATE(2026,3,1),Report!$C:$C,"&lt;="&amp;DATE(2026,3,31))</f>
        <v>0</v>
      </c>
      <c r="E6" s="17" t="n">
        <f aca="false">SUMIFS(Report!$U:$U,Report!$Z:$Z,"Impostos",Report!$C:$C,"&gt;="&amp;DATE(2026,4,1),Report!$C:$C,"&lt;="&amp;DATE(2026,4,30))</f>
        <v>0</v>
      </c>
      <c r="F6" s="17" t="n">
        <f aca="false">SUMIFS(Report!$U:$U,Report!$Z:$Z,"Impostos",Report!$C:$C,"&gt;="&amp;DATE(2026,5,1),Report!$C:$C,"&lt;="&amp;DATE(2026,5,31))</f>
        <v>0</v>
      </c>
      <c r="G6" s="17" t="n">
        <f aca="false">SUMIFS(Report!$U:$U,Report!$Z:$Z,"Impostos",Report!$C:$C,"&gt;="&amp;DATE(2026,6,1),Report!$C:$C,"&lt;="&amp;DATE(2026,6,30))</f>
        <v>0</v>
      </c>
      <c r="H6" s="17" t="n">
        <f aca="false">SUMIFS(Report!$U:$U,Report!$Z:$Z,"Impostos",Report!$C:$C,"&gt;="&amp;DATE(2026,7,1),Report!$C:$C,"&lt;="&amp;DATE(2026,7,31))</f>
        <v>5741.39</v>
      </c>
      <c r="I6" s="17" t="n">
        <f aca="false">SUMIFS(Report!$U:$U,Report!$Z:$Z,"Impostos",Report!$C:$C,"&gt;="&amp;DATE(2026,8,1),Report!$C:$C,"&lt;="&amp;DATE(2026,8,31))</f>
        <v>228.88</v>
      </c>
      <c r="J6" s="17" t="n">
        <f aca="false">SUMIFS(Report!$U:$U,Report!$Z:$Z,"Impostos",Report!$C:$C,"&gt;="&amp;DATE(2026,9,1),Report!$C:$C,"&lt;="&amp;DATE(2026,9,30))</f>
        <v>228.88</v>
      </c>
      <c r="K6" s="17" t="n">
        <f aca="false">SUMIFS(Report!$U:$U,Report!$Z:$Z,"Impostos",Report!$C:$C,"&gt;="&amp;DATE(2026,10,1),Report!$C:$C,"&lt;="&amp;DATE(2026,10,31))</f>
        <v>0</v>
      </c>
      <c r="L6" s="17" t="n">
        <f aca="false">SUMIFS(Report!$U:$U,Report!$Z:$Z,"Impostos",Report!$C:$C,"&gt;="&amp;DATE(2026,11,1),Report!$C:$C,"&lt;="&amp;DATE(2026,11,30))</f>
        <v>0</v>
      </c>
      <c r="M6" s="17" t="n">
        <f aca="false">SUMIFS(Report!$U:$U,Report!$Z:$Z,"Impostos",Report!$C:$C,"&gt;="&amp;DATE(2026,12,1),Report!$C:$C,"&lt;="&amp;DATE(2026,12,31))</f>
        <v>0</v>
      </c>
      <c r="N6" s="17" t="n">
        <f aca="false">SUMIFS(Report!$U:$U,Report!$Z:$Z,"Impostos",Report!$C:$C,"&gt;="&amp;DATE(2027,1,1),Report!$C:$C,"&lt;="&amp;DATE(2027,1,31))</f>
        <v>0</v>
      </c>
      <c r="O6" s="17" t="n">
        <f aca="false">SUMIFS(Report!$U:$U,Report!$Z:$Z,"Impostos",Report!$C:$C,"&gt;="&amp;DATE(2027,2,1),Report!$C:$C,"&lt;="&amp;DATE(2027,2,28))</f>
        <v>0</v>
      </c>
      <c r="P6" s="17" t="n">
        <f aca="false">SUMIFS(Report!$U:$U,Report!$Z:$Z,"Impostos",Report!$C:$C,"&gt;="&amp;DATE(2027,3,1),Report!$C:$C,"&lt;="&amp;DATE(2027,3,31))</f>
        <v>0</v>
      </c>
      <c r="Q6" s="17" t="n">
        <f aca="false">SUMIFS(Report!$U:$U,Report!$Z:$Z,"Impostos",Report!$C:$C,"&gt;="&amp;DATE(2027,4,1),Report!$C:$C,"&lt;="&amp;DATE(2027,4,30))</f>
        <v>0</v>
      </c>
      <c r="R6" s="17" t="n">
        <f aca="false">SUMIFS(Report!$U:$U,Report!$Z:$Z,"Impostos",Report!$C:$C,"&gt;="&amp;DATE(2027,5,1),Report!$C:$C,"&lt;="&amp;DATE(2027,5,31))</f>
        <v>0</v>
      </c>
      <c r="S6" s="17" t="n">
        <f aca="false">SUMIFS(Report!$U:$U,Report!$Z:$Z,"Impostos",Report!$C:$C,"&gt;="&amp;DATE(2027,6,1),Report!$C:$C,"&lt;="&amp;DATE(2027,6,30))</f>
        <v>0</v>
      </c>
      <c r="T6" s="17" t="n">
        <f aca="false">SUMIFS(Report!$U:$U,Report!$Z:$Z,"Impostos",Report!$C:$C,"&gt;="&amp;DATE(2027,7,1),Report!$C:$C,"&lt;="&amp;DATE(2027,7,31))</f>
        <v>0</v>
      </c>
      <c r="U6" s="17" t="n">
        <f aca="false">SUMIFS(Report!$U:$U,Report!$Z:$Z,"Impostos",Report!$C:$C,"&gt;="&amp;DATE(2027,8,1),Report!$C:$C,"&lt;="&amp;DATE(2027,8,31))</f>
        <v>0</v>
      </c>
      <c r="V6" s="17" t="n">
        <f aca="false">SUMIFS(Report!$U:$U,Report!$Z:$Z,"Impostos",Report!$C:$C,"&gt;="&amp;DATE(2027,9,1),Report!$C:$C,"&lt;="&amp;DATE(2027,9,30))</f>
        <v>0</v>
      </c>
      <c r="W6" s="17" t="n">
        <f aca="false">SUMIFS(Report!$U:$U,Report!$Z:$Z,"Impostos",Report!$C:$C,"&gt;="&amp;DATE(2027,10,1),Report!$C:$C,"&lt;="&amp;DATE(2027,10,31))</f>
        <v>0</v>
      </c>
      <c r="X6" s="17" t="n">
        <f aca="false">SUMIFS(Report!$U:$U,Report!$Z:$Z,"Impostos",Report!$C:$C,"&gt;="&amp;DATE(2027,11,1),Report!$C:$C,"&lt;="&amp;DATE(2027,11,30))</f>
        <v>0</v>
      </c>
      <c r="Y6" s="17" t="n">
        <f aca="false">SUMIFS(Report!$U:$U,Report!$Z:$Z,"Impostos",Report!$C:$C,"&gt;="&amp;DATE(2027,12,1),Report!$C:$C,"&lt;="&amp;DATE(2027,12,31))</f>
        <v>0</v>
      </c>
      <c r="Z6" s="17" t="n">
        <f aca="false">SUM(B6:Y6)</f>
        <v>6199.15</v>
      </c>
      <c r="AB6" s="1" t="s">
        <v>70</v>
      </c>
      <c r="AC6" s="1" t="s">
        <v>816</v>
      </c>
    </row>
    <row r="7" customFormat="false" ht="12.75" hidden="false" customHeight="true" outlineLevel="0" collapsed="false">
      <c r="A7" s="1" t="s">
        <v>820</v>
      </c>
      <c r="B7" s="17" t="n">
        <f aca="false">SUMIFS(Report!$U:$U,Report!$Z:$Z,"Mercadoria",Report!$C:$C,"&gt;="&amp;DATE(2026,1,1),Report!$C:$C,"&lt;="&amp;DATE(2026,1,31))</f>
        <v>0</v>
      </c>
      <c r="C7" s="17" t="n">
        <f aca="false">SUMIFS(Report!$U:$U,Report!$Z:$Z,"Mercadoria",Report!$C:$C,"&gt;="&amp;DATE(2026,2,1),Report!$C:$C,"&lt;="&amp;DATE(2026,2,28))</f>
        <v>0</v>
      </c>
      <c r="D7" s="17" t="n">
        <f aca="false">SUMIFS(Report!$U:$U,Report!$Z:$Z,"Mercadoria",Report!$C:$C,"&gt;="&amp;DATE(2026,3,1),Report!$C:$C,"&lt;="&amp;DATE(2026,3,31))</f>
        <v>0</v>
      </c>
      <c r="E7" s="17" t="n">
        <f aca="false">SUMIFS(Report!$U:$U,Report!$Z:$Z,"Mercadoria",Report!$C:$C,"&gt;="&amp;DATE(2026,4,1),Report!$C:$C,"&lt;="&amp;DATE(2026,4,30))</f>
        <v>0</v>
      </c>
      <c r="F7" s="17" t="n">
        <f aca="false">SUMIFS(Report!$U:$U,Report!$Z:$Z,"Mercadoria",Report!$C:$C,"&gt;="&amp;DATE(2026,5,1),Report!$C:$C,"&lt;="&amp;DATE(2026,5,31))</f>
        <v>0</v>
      </c>
      <c r="G7" s="17" t="n">
        <f aca="false">SUMIFS(Report!$U:$U,Report!$Z:$Z,"Mercadoria",Report!$C:$C,"&gt;="&amp;DATE(2026,6,1),Report!$C:$C,"&lt;="&amp;DATE(2026,6,30))</f>
        <v>36907.56</v>
      </c>
      <c r="H7" s="17" t="n">
        <f aca="false">SUMIFS(Report!$U:$U,Report!$Z:$Z,"Mercadoria",Report!$C:$C,"&gt;="&amp;DATE(2026,7,1),Report!$C:$C,"&lt;="&amp;DATE(2026,7,31))</f>
        <v>300056.13</v>
      </c>
      <c r="I7" s="17" t="n">
        <f aca="false">SUMIFS(Report!$U:$U,Report!$Z:$Z,"Mercadoria",Report!$C:$C,"&gt;="&amp;DATE(2026,8,1),Report!$C:$C,"&lt;="&amp;DATE(2026,8,31))</f>
        <v>137422.69</v>
      </c>
      <c r="J7" s="17" t="n">
        <f aca="false">SUMIFS(Report!$U:$U,Report!$Z:$Z,"Mercadoria",Report!$C:$C,"&gt;="&amp;DATE(2026,9,1),Report!$C:$C,"&lt;="&amp;DATE(2026,9,30))</f>
        <v>5012.84</v>
      </c>
      <c r="K7" s="17" t="n">
        <f aca="false">SUMIFS(Report!$U:$U,Report!$Z:$Z,"Mercadoria",Report!$C:$C,"&gt;="&amp;DATE(2026,10,1),Report!$C:$C,"&lt;="&amp;DATE(2026,10,31))</f>
        <v>0</v>
      </c>
      <c r="L7" s="17" t="n">
        <f aca="false">SUMIFS(Report!$U:$U,Report!$Z:$Z,"Mercadoria",Report!$C:$C,"&gt;="&amp;DATE(2026,11,1),Report!$C:$C,"&lt;="&amp;DATE(2026,11,30))</f>
        <v>0</v>
      </c>
      <c r="M7" s="17" t="n">
        <f aca="false">SUMIFS(Report!$U:$U,Report!$Z:$Z,"Mercadoria",Report!$C:$C,"&gt;="&amp;DATE(2026,12,1),Report!$C:$C,"&lt;="&amp;DATE(2026,12,31))</f>
        <v>0</v>
      </c>
      <c r="N7" s="17" t="n">
        <f aca="false">SUMIFS(Report!$U:$U,Report!$Z:$Z,"Mercadoria",Report!$C:$C,"&gt;="&amp;DATE(2027,1,1),Report!$C:$C,"&lt;="&amp;DATE(2027,1,31))</f>
        <v>0</v>
      </c>
      <c r="O7" s="17" t="n">
        <f aca="false">SUMIFS(Report!$U:$U,Report!$Z:$Z,"Mercadoria",Report!$C:$C,"&gt;="&amp;DATE(2027,2,1),Report!$C:$C,"&lt;="&amp;DATE(2027,2,28))</f>
        <v>0</v>
      </c>
      <c r="P7" s="17" t="n">
        <f aca="false">SUMIFS(Report!$U:$U,Report!$Z:$Z,"Mercadoria",Report!$C:$C,"&gt;="&amp;DATE(2027,3,1),Report!$C:$C,"&lt;="&amp;DATE(2027,3,31))</f>
        <v>0</v>
      </c>
      <c r="Q7" s="17" t="n">
        <f aca="false">SUMIFS(Report!$U:$U,Report!$Z:$Z,"Mercadoria",Report!$C:$C,"&gt;="&amp;DATE(2027,4,1),Report!$C:$C,"&lt;="&amp;DATE(2027,4,30))</f>
        <v>0</v>
      </c>
      <c r="R7" s="17" t="n">
        <f aca="false">SUMIFS(Report!$U:$U,Report!$Z:$Z,"Mercadoria",Report!$C:$C,"&gt;="&amp;DATE(2027,5,1),Report!$C:$C,"&lt;="&amp;DATE(2027,5,31))</f>
        <v>0</v>
      </c>
      <c r="S7" s="17" t="n">
        <f aca="false">SUMIFS(Report!$U:$U,Report!$Z:$Z,"Mercadoria",Report!$C:$C,"&gt;="&amp;DATE(2027,6,1),Report!$C:$C,"&lt;="&amp;DATE(2027,6,30))</f>
        <v>0</v>
      </c>
      <c r="T7" s="17" t="n">
        <f aca="false">SUMIFS(Report!$U:$U,Report!$Z:$Z,"Mercadoria",Report!$C:$C,"&gt;="&amp;DATE(2027,7,1),Report!$C:$C,"&lt;="&amp;DATE(2027,7,31))</f>
        <v>0</v>
      </c>
      <c r="U7" s="17" t="n">
        <f aca="false">SUMIFS(Report!$U:$U,Report!$Z:$Z,"Mercadoria",Report!$C:$C,"&gt;="&amp;DATE(2027,8,1),Report!$C:$C,"&lt;="&amp;DATE(2027,8,31))</f>
        <v>0</v>
      </c>
      <c r="V7" s="17" t="n">
        <f aca="false">SUMIFS(Report!$U:$U,Report!$Z:$Z,"Mercadoria",Report!$C:$C,"&gt;="&amp;DATE(2027,9,1),Report!$C:$C,"&lt;="&amp;DATE(2027,9,30))</f>
        <v>0</v>
      </c>
      <c r="W7" s="17" t="n">
        <f aca="false">SUMIFS(Report!$U:$U,Report!$Z:$Z,"Mercadoria",Report!$C:$C,"&gt;="&amp;DATE(2027,10,1),Report!$C:$C,"&lt;="&amp;DATE(2027,10,31))</f>
        <v>0</v>
      </c>
      <c r="X7" s="17" t="n">
        <f aca="false">SUMIFS(Report!$U:$U,Report!$Z:$Z,"Mercadoria",Report!$C:$C,"&gt;="&amp;DATE(2027,11,1),Report!$C:$C,"&lt;="&amp;DATE(2027,11,30))</f>
        <v>0</v>
      </c>
      <c r="Y7" s="17" t="n">
        <f aca="false">SUMIFS(Report!$U:$U,Report!$Z:$Z,"Mercadoria",Report!$C:$C,"&gt;="&amp;DATE(2027,12,1),Report!$C:$C,"&lt;="&amp;DATE(2027,12,31))</f>
        <v>0</v>
      </c>
      <c r="Z7" s="17" t="n">
        <f aca="false">SUM(B7:Y7)</f>
        <v>479399.22</v>
      </c>
      <c r="AB7" s="1" t="s">
        <v>763</v>
      </c>
      <c r="AC7" s="1" t="s">
        <v>821</v>
      </c>
    </row>
    <row r="8" customFormat="false" ht="12.75" hidden="false" customHeight="true" outlineLevel="0" collapsed="false">
      <c r="A8" s="1" t="s">
        <v>822</v>
      </c>
      <c r="B8" s="17" t="n">
        <f aca="false">SUMIFS(Report!$U:$U,Report!$Z:$Z,"Pagamentos outros não operacionais",Report!$C:$C,"&gt;="&amp;DATE(2026,1,1),Report!$C:$C,"&lt;="&amp;DATE(2026,1,31))</f>
        <v>0</v>
      </c>
      <c r="C8" s="17" t="n">
        <f aca="false">SUMIFS(Report!$U:$U,Report!$Z:$Z,"Pagamentos outros não operacionais",Report!$C:$C,"&gt;="&amp;DATE(2026,2,1),Report!$C:$C,"&lt;="&amp;DATE(2026,2,28))</f>
        <v>0</v>
      </c>
      <c r="D8" s="17" t="n">
        <f aca="false">SUMIFS(Report!$U:$U,Report!$Z:$Z,"Pagamentos outros não operacionais",Report!$C:$C,"&gt;="&amp;DATE(2026,3,1),Report!$C:$C,"&lt;="&amp;DATE(2026,3,31))</f>
        <v>0</v>
      </c>
      <c r="E8" s="17" t="n">
        <f aca="false">SUMIFS(Report!$U:$U,Report!$Z:$Z,"Pagamentos outros não operacionais",Report!$C:$C,"&gt;="&amp;DATE(2026,4,1),Report!$C:$C,"&lt;="&amp;DATE(2026,4,30))</f>
        <v>0</v>
      </c>
      <c r="F8" s="17" t="n">
        <f aca="false">SUMIFS(Report!$U:$U,Report!$Z:$Z,"Pagamentos outros não operacionais",Report!$C:$C,"&gt;="&amp;DATE(2026,5,1),Report!$C:$C,"&lt;="&amp;DATE(2026,5,31))</f>
        <v>0</v>
      </c>
      <c r="G8" s="17" t="n">
        <f aca="false">SUMIFS(Report!$U:$U,Report!$Z:$Z,"Pagamentos outros não operacionais",Report!$C:$C,"&gt;="&amp;DATE(2026,6,1),Report!$C:$C,"&lt;="&amp;DATE(2026,6,30))</f>
        <v>0</v>
      </c>
      <c r="H8" s="17" t="n">
        <f aca="false">SUMIFS(Report!$U:$U,Report!$Z:$Z,"Pagamentos outros não operacionais",Report!$C:$C,"&gt;="&amp;DATE(2026,7,1),Report!$C:$C,"&lt;="&amp;DATE(2026,7,31))</f>
        <v>9541.27</v>
      </c>
      <c r="I8" s="17" t="n">
        <f aca="false">SUMIFS(Report!$U:$U,Report!$Z:$Z,"Pagamentos outros não operacionais",Report!$C:$C,"&gt;="&amp;DATE(2026,8,1),Report!$C:$C,"&lt;="&amp;DATE(2026,8,31))</f>
        <v>446.17</v>
      </c>
      <c r="J8" s="17" t="n">
        <f aca="false">SUMIFS(Report!$U:$U,Report!$Z:$Z,"Pagamentos outros não operacionais",Report!$C:$C,"&gt;="&amp;DATE(2026,9,1),Report!$C:$C,"&lt;="&amp;DATE(2026,9,30))</f>
        <v>446.17</v>
      </c>
      <c r="K8" s="17" t="n">
        <f aca="false">SUMIFS(Report!$U:$U,Report!$Z:$Z,"Pagamentos outros não operacionais",Report!$C:$C,"&gt;="&amp;DATE(2026,10,1),Report!$C:$C,"&lt;="&amp;DATE(2026,10,31))</f>
        <v>0</v>
      </c>
      <c r="L8" s="17" t="n">
        <f aca="false">SUMIFS(Report!$U:$U,Report!$Z:$Z,"Pagamentos outros não operacionais",Report!$C:$C,"&gt;="&amp;DATE(2026,11,1),Report!$C:$C,"&lt;="&amp;DATE(2026,11,30))</f>
        <v>0</v>
      </c>
      <c r="M8" s="17" t="n">
        <f aca="false">SUMIFS(Report!$U:$U,Report!$Z:$Z,"Pagamentos outros não operacionais",Report!$C:$C,"&gt;="&amp;DATE(2026,12,1),Report!$C:$C,"&lt;="&amp;DATE(2026,12,31))</f>
        <v>0</v>
      </c>
      <c r="N8" s="17" t="n">
        <f aca="false">SUMIFS(Report!$U:$U,Report!$Z:$Z,"Pagamentos outros não operacionais",Report!$C:$C,"&gt;="&amp;DATE(2027,1,1),Report!$C:$C,"&lt;="&amp;DATE(2027,1,31))</f>
        <v>0</v>
      </c>
      <c r="O8" s="17" t="n">
        <f aca="false">SUMIFS(Report!$U:$U,Report!$Z:$Z,"Pagamentos outros não operacionais",Report!$C:$C,"&gt;="&amp;DATE(2027,2,1),Report!$C:$C,"&lt;="&amp;DATE(2027,2,28))</f>
        <v>0</v>
      </c>
      <c r="P8" s="17" t="n">
        <f aca="false">SUMIFS(Report!$U:$U,Report!$Z:$Z,"Pagamentos outros não operacionais",Report!$C:$C,"&gt;="&amp;DATE(2027,3,1),Report!$C:$C,"&lt;="&amp;DATE(2027,3,31))</f>
        <v>0</v>
      </c>
      <c r="Q8" s="17" t="n">
        <f aca="false">SUMIFS(Report!$U:$U,Report!$Z:$Z,"Pagamentos outros não operacionais",Report!$C:$C,"&gt;="&amp;DATE(2027,4,1),Report!$C:$C,"&lt;="&amp;DATE(2027,4,30))</f>
        <v>0</v>
      </c>
      <c r="R8" s="17" t="n">
        <f aca="false">SUMIFS(Report!$U:$U,Report!$Z:$Z,"Pagamentos outros não operacionais",Report!$C:$C,"&gt;="&amp;DATE(2027,5,1),Report!$C:$C,"&lt;="&amp;DATE(2027,5,31))</f>
        <v>0</v>
      </c>
      <c r="S8" s="17" t="n">
        <f aca="false">SUMIFS(Report!$U:$U,Report!$Z:$Z,"Pagamentos outros não operacionais",Report!$C:$C,"&gt;="&amp;DATE(2027,6,1),Report!$C:$C,"&lt;="&amp;DATE(2027,6,30))</f>
        <v>0</v>
      </c>
      <c r="T8" s="17" t="n">
        <f aca="false">SUMIFS(Report!$U:$U,Report!$Z:$Z,"Pagamentos outros não operacionais",Report!$C:$C,"&gt;="&amp;DATE(2027,7,1),Report!$C:$C,"&lt;="&amp;DATE(2027,7,31))</f>
        <v>0</v>
      </c>
      <c r="U8" s="17" t="n">
        <f aca="false">SUMIFS(Report!$U:$U,Report!$Z:$Z,"Pagamentos outros não operacionais",Report!$C:$C,"&gt;="&amp;DATE(2027,8,1),Report!$C:$C,"&lt;="&amp;DATE(2027,8,31))</f>
        <v>0</v>
      </c>
      <c r="V8" s="17" t="n">
        <f aca="false">SUMIFS(Report!$U:$U,Report!$Z:$Z,"Pagamentos outros não operacionais",Report!$C:$C,"&gt;="&amp;DATE(2027,9,1),Report!$C:$C,"&lt;="&amp;DATE(2027,9,30))</f>
        <v>0</v>
      </c>
      <c r="W8" s="17" t="n">
        <f aca="false">SUMIFS(Report!$U:$U,Report!$Z:$Z,"Pagamentos outros não operacionais",Report!$C:$C,"&gt;="&amp;DATE(2027,10,1),Report!$C:$C,"&lt;="&amp;DATE(2027,10,31))</f>
        <v>0</v>
      </c>
      <c r="X8" s="17" t="n">
        <f aca="false">SUMIFS(Report!$U:$U,Report!$Z:$Z,"Pagamentos outros não operacionais",Report!$C:$C,"&gt;="&amp;DATE(2027,11,1),Report!$C:$C,"&lt;="&amp;DATE(2027,11,30))</f>
        <v>0</v>
      </c>
      <c r="Y8" s="17" t="n">
        <f aca="false">SUMIFS(Report!$U:$U,Report!$Z:$Z,"Pagamentos outros não operacionais",Report!$C:$C,"&gt;="&amp;DATE(2027,12,1),Report!$C:$C,"&lt;="&amp;DATE(2027,12,31))</f>
        <v>0</v>
      </c>
      <c r="Z8" s="17" t="n">
        <f aca="false">SUM(B8:Y8)</f>
        <v>10433.61</v>
      </c>
      <c r="AB8" s="1" t="s">
        <v>519</v>
      </c>
      <c r="AC8" s="1" t="s">
        <v>816</v>
      </c>
    </row>
    <row r="9" customFormat="false" ht="12.75" hidden="false" customHeight="true" outlineLevel="0" collapsed="false">
      <c r="A9" s="1" t="s">
        <v>821</v>
      </c>
      <c r="B9" s="17" t="n">
        <f aca="false">SUMIFS(Report!$U:$U,Report!$Z:$Z,"Salários",Report!$C:$C,"&gt;="&amp;DATE(2026,1,1),Report!$C:$C,"&lt;="&amp;DATE(2026,1,31))</f>
        <v>0</v>
      </c>
      <c r="C9" s="17" t="n">
        <f aca="false">SUMIFS(Report!$U:$U,Report!$Z:$Z,"Salários",Report!$C:$C,"&gt;="&amp;DATE(2026,2,1),Report!$C:$C,"&lt;="&amp;DATE(2026,2,28))</f>
        <v>0</v>
      </c>
      <c r="D9" s="17" t="n">
        <f aca="false">SUMIFS(Report!$U:$U,Report!$Z:$Z,"Salários",Report!$C:$C,"&gt;="&amp;DATE(2026,3,1),Report!$C:$C,"&lt;="&amp;DATE(2026,3,31))</f>
        <v>0</v>
      </c>
      <c r="E9" s="17" t="n">
        <f aca="false">SUMIFS(Report!$U:$U,Report!$Z:$Z,"Salários",Report!$C:$C,"&gt;="&amp;DATE(2026,4,1),Report!$C:$C,"&lt;="&amp;DATE(2026,4,30))</f>
        <v>0</v>
      </c>
      <c r="F9" s="17" t="n">
        <f aca="false">SUMIFS(Report!$U:$U,Report!$Z:$Z,"Salários",Report!$C:$C,"&gt;="&amp;DATE(2026,5,1),Report!$C:$C,"&lt;="&amp;DATE(2026,5,31))</f>
        <v>0</v>
      </c>
      <c r="G9" s="17" t="n">
        <f aca="false">SUMIFS(Report!$U:$U,Report!$Z:$Z,"Salários",Report!$C:$C,"&gt;="&amp;DATE(2026,6,1),Report!$C:$C,"&lt;="&amp;DATE(2026,6,30))</f>
        <v>3390</v>
      </c>
      <c r="H9" s="17" t="n">
        <f aca="false">SUMIFS(Report!$U:$U,Report!$Z:$Z,"Salários",Report!$C:$C,"&gt;="&amp;DATE(2026,7,1),Report!$C:$C,"&lt;="&amp;DATE(2026,7,31))</f>
        <v>21245.9</v>
      </c>
      <c r="I9" s="17" t="n">
        <f aca="false">SUMIFS(Report!$U:$U,Report!$Z:$Z,"Salários",Report!$C:$C,"&gt;="&amp;DATE(2026,8,1),Report!$C:$C,"&lt;="&amp;DATE(2026,8,31))</f>
        <v>1057.91</v>
      </c>
      <c r="J9" s="17" t="n">
        <f aca="false">SUMIFS(Report!$U:$U,Report!$Z:$Z,"Salários",Report!$C:$C,"&gt;="&amp;DATE(2026,9,1),Report!$C:$C,"&lt;="&amp;DATE(2026,9,30))</f>
        <v>0</v>
      </c>
      <c r="K9" s="17" t="n">
        <f aca="false">SUMIFS(Report!$U:$U,Report!$Z:$Z,"Salários",Report!$C:$C,"&gt;="&amp;DATE(2026,10,1),Report!$C:$C,"&lt;="&amp;DATE(2026,10,31))</f>
        <v>0</v>
      </c>
      <c r="L9" s="17" t="n">
        <f aca="false">SUMIFS(Report!$U:$U,Report!$Z:$Z,"Salários",Report!$C:$C,"&gt;="&amp;DATE(2026,11,1),Report!$C:$C,"&lt;="&amp;DATE(2026,11,30))</f>
        <v>0</v>
      </c>
      <c r="M9" s="17" t="n">
        <f aca="false">SUMIFS(Report!$U:$U,Report!$Z:$Z,"Salários",Report!$C:$C,"&gt;="&amp;DATE(2026,12,1),Report!$C:$C,"&lt;="&amp;DATE(2026,12,31))</f>
        <v>0</v>
      </c>
      <c r="N9" s="17" t="n">
        <f aca="false">SUMIFS(Report!$U:$U,Report!$Z:$Z,"Salários",Report!$C:$C,"&gt;="&amp;DATE(2027,1,1),Report!$C:$C,"&lt;="&amp;DATE(2027,1,31))</f>
        <v>0</v>
      </c>
      <c r="O9" s="17" t="n">
        <f aca="false">SUMIFS(Report!$U:$U,Report!$Z:$Z,"Salários",Report!$C:$C,"&gt;="&amp;DATE(2027,2,1),Report!$C:$C,"&lt;="&amp;DATE(2027,2,28))</f>
        <v>0</v>
      </c>
      <c r="P9" s="17" t="n">
        <f aca="false">SUMIFS(Report!$U:$U,Report!$Z:$Z,"Salários",Report!$C:$C,"&gt;="&amp;DATE(2027,3,1),Report!$C:$C,"&lt;="&amp;DATE(2027,3,31))</f>
        <v>0</v>
      </c>
      <c r="Q9" s="17" t="n">
        <f aca="false">SUMIFS(Report!$U:$U,Report!$Z:$Z,"Salários",Report!$C:$C,"&gt;="&amp;DATE(2027,4,1),Report!$C:$C,"&lt;="&amp;DATE(2027,4,30))</f>
        <v>0</v>
      </c>
      <c r="R9" s="17" t="n">
        <f aca="false">SUMIFS(Report!$U:$U,Report!$Z:$Z,"Salários",Report!$C:$C,"&gt;="&amp;DATE(2027,5,1),Report!$C:$C,"&lt;="&amp;DATE(2027,5,31))</f>
        <v>0</v>
      </c>
      <c r="S9" s="17" t="n">
        <f aca="false">SUMIFS(Report!$U:$U,Report!$Z:$Z,"Salários",Report!$C:$C,"&gt;="&amp;DATE(2027,6,1),Report!$C:$C,"&lt;="&amp;DATE(2027,6,30))</f>
        <v>0</v>
      </c>
      <c r="T9" s="17" t="n">
        <f aca="false">SUMIFS(Report!$U:$U,Report!$Z:$Z,"Salários",Report!$C:$C,"&gt;="&amp;DATE(2027,7,1),Report!$C:$C,"&lt;="&amp;DATE(2027,7,31))</f>
        <v>0</v>
      </c>
      <c r="U9" s="17" t="n">
        <f aca="false">SUMIFS(Report!$U:$U,Report!$Z:$Z,"Salários",Report!$C:$C,"&gt;="&amp;DATE(2027,8,1),Report!$C:$C,"&lt;="&amp;DATE(2027,8,31))</f>
        <v>0</v>
      </c>
      <c r="V9" s="17" t="n">
        <f aca="false">SUMIFS(Report!$U:$U,Report!$Z:$Z,"Salários",Report!$C:$C,"&gt;="&amp;DATE(2027,9,1),Report!$C:$C,"&lt;="&amp;DATE(2027,9,30))</f>
        <v>0</v>
      </c>
      <c r="W9" s="17" t="n">
        <f aca="false">SUMIFS(Report!$U:$U,Report!$Z:$Z,"Salários",Report!$C:$C,"&gt;="&amp;DATE(2027,10,1),Report!$C:$C,"&lt;="&amp;DATE(2027,10,31))</f>
        <v>0</v>
      </c>
      <c r="X9" s="17" t="n">
        <f aca="false">SUMIFS(Report!$U:$U,Report!$Z:$Z,"Salários",Report!$C:$C,"&gt;="&amp;DATE(2027,11,1),Report!$C:$C,"&lt;="&amp;DATE(2027,11,30))</f>
        <v>0</v>
      </c>
      <c r="Y9" s="17" t="n">
        <f aca="false">SUMIFS(Report!$U:$U,Report!$Z:$Z,"Salários",Report!$C:$C,"&gt;="&amp;DATE(2027,12,1),Report!$C:$C,"&lt;="&amp;DATE(2027,12,31))</f>
        <v>0</v>
      </c>
      <c r="Z9" s="17" t="n">
        <f aca="false">SUM(B9:Y9)</f>
        <v>25693.81</v>
      </c>
      <c r="AB9" s="1" t="s">
        <v>157</v>
      </c>
      <c r="AC9" s="1" t="s">
        <v>816</v>
      </c>
    </row>
    <row r="10" customFormat="false" ht="12.75" hidden="false" customHeight="true" outlineLevel="0" collapsed="false">
      <c r="A10" s="1" t="s">
        <v>823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552</v>
      </c>
      <c r="AC10" s="1" t="s">
        <v>816</v>
      </c>
    </row>
    <row r="11" customFormat="false" ht="12.75" hidden="false" customHeight="true" outlineLevel="0" collapsed="false">
      <c r="AB11" s="1" t="s">
        <v>312</v>
      </c>
      <c r="AC11" s="1" t="s">
        <v>816</v>
      </c>
    </row>
    <row r="12" customFormat="false" ht="12.75" hidden="false" customHeight="true" outlineLevel="0" collapsed="false">
      <c r="AB12" s="1" t="s">
        <v>627</v>
      </c>
      <c r="AC12" s="1" t="s">
        <v>816</v>
      </c>
    </row>
    <row r="13" customFormat="false" ht="12.75" hidden="false" customHeight="true" outlineLevel="0" collapsed="false">
      <c r="AB13" s="1" t="s">
        <v>224</v>
      </c>
      <c r="AC13" s="1" t="s">
        <v>816</v>
      </c>
    </row>
    <row r="14" customFormat="false" ht="12.75" hidden="false" customHeight="true" outlineLevel="0" collapsed="false">
      <c r="AB14" s="1" t="s">
        <v>119</v>
      </c>
      <c r="AC14" s="1" t="s">
        <v>816</v>
      </c>
    </row>
    <row r="15" customFormat="false" ht="12.75" hidden="false" customHeight="true" outlineLevel="0" collapsed="false">
      <c r="AB15" s="1" t="s">
        <v>128</v>
      </c>
      <c r="AC15" s="1" t="s">
        <v>821</v>
      </c>
    </row>
    <row r="16" customFormat="false" ht="12.75" hidden="false" customHeight="true" outlineLevel="0" collapsed="false">
      <c r="AB16" s="1" t="s">
        <v>379</v>
      </c>
      <c r="AC16" s="1" t="s">
        <v>818</v>
      </c>
    </row>
    <row r="17" customFormat="false" ht="12.75" hidden="false" customHeight="true" outlineLevel="0" collapsed="false">
      <c r="AB17" s="1" t="s">
        <v>540</v>
      </c>
      <c r="AC17" s="1" t="s">
        <v>816</v>
      </c>
    </row>
    <row r="18" customFormat="false" ht="12.75" hidden="false" customHeight="true" outlineLevel="0" collapsed="false">
      <c r="AB18" s="1" t="s">
        <v>402</v>
      </c>
      <c r="AC18" s="1" t="s">
        <v>821</v>
      </c>
    </row>
    <row r="19" customFormat="false" ht="12.75" hidden="false" customHeight="true" outlineLevel="0" collapsed="false">
      <c r="AB19" s="1" t="s">
        <v>650</v>
      </c>
      <c r="AC19" s="1" t="s">
        <v>821</v>
      </c>
    </row>
    <row r="20" customFormat="false" ht="12.75" hidden="false" customHeight="true" outlineLevel="0" collapsed="false">
      <c r="AB20" s="1" t="s">
        <v>495</v>
      </c>
      <c r="AC20" s="1" t="s">
        <v>819</v>
      </c>
    </row>
    <row r="21" customFormat="false" ht="12.75" hidden="false" customHeight="true" outlineLevel="0" collapsed="false">
      <c r="AB21" s="1" t="s">
        <v>32</v>
      </c>
      <c r="AC21" s="1" t="s">
        <v>816</v>
      </c>
    </row>
    <row r="22" customFormat="false" ht="12.75" hidden="false" customHeight="true" outlineLevel="0" collapsed="false">
      <c r="AB22" s="1" t="s">
        <v>319</v>
      </c>
      <c r="AC22" s="1" t="s">
        <v>816</v>
      </c>
    </row>
    <row r="23" customFormat="false" ht="12.75" hidden="false" customHeight="true" outlineLevel="0" collapsed="false">
      <c r="AB23" s="1" t="s">
        <v>290</v>
      </c>
      <c r="AC23" s="1" t="s">
        <v>816</v>
      </c>
    </row>
    <row r="24" customFormat="false" ht="12.75" hidden="false" customHeight="true" outlineLevel="0" collapsed="false">
      <c r="AB24" s="1" t="s">
        <v>308</v>
      </c>
      <c r="AC24" s="1" t="s">
        <v>816</v>
      </c>
    </row>
    <row r="25" customFormat="false" ht="12.75" hidden="false" customHeight="true" outlineLevel="0" collapsed="false">
      <c r="AB25" s="1" t="s">
        <v>493</v>
      </c>
      <c r="AC25" s="1" t="s">
        <v>819</v>
      </c>
    </row>
    <row r="26" customFormat="false" ht="12.75" hidden="false" customHeight="true" outlineLevel="0" collapsed="false">
      <c r="AB26" s="1" t="s">
        <v>346</v>
      </c>
      <c r="AC26" s="1" t="s">
        <v>816</v>
      </c>
    </row>
    <row r="27" customFormat="false" ht="12.75" hidden="false" customHeight="true" outlineLevel="0" collapsed="false">
      <c r="AB27" s="1" t="s">
        <v>226</v>
      </c>
      <c r="AC27" s="1" t="s">
        <v>816</v>
      </c>
    </row>
    <row r="28" customFormat="false" ht="12.75" hidden="false" customHeight="true" outlineLevel="0" collapsed="false">
      <c r="AB28" s="1" t="s">
        <v>450</v>
      </c>
      <c r="AC28" s="1" t="s">
        <v>819</v>
      </c>
    </row>
    <row r="29" customFormat="false" ht="12.75" hidden="false" customHeight="true" outlineLevel="0" collapsed="false">
      <c r="AB29" s="1" t="s">
        <v>635</v>
      </c>
      <c r="AC29" s="1" t="s">
        <v>816</v>
      </c>
    </row>
    <row r="30" customFormat="false" ht="12.75" hidden="false" customHeight="true" outlineLevel="0" collapsed="false">
      <c r="AB30" s="1" t="s">
        <v>572</v>
      </c>
      <c r="AC30" s="1" t="s">
        <v>818</v>
      </c>
    </row>
    <row r="31" customFormat="false" ht="12.75" hidden="false" customHeight="true" outlineLevel="0" collapsed="false">
      <c r="AB31" s="1" t="s">
        <v>258</v>
      </c>
      <c r="AC31" s="1" t="s">
        <v>816</v>
      </c>
    </row>
    <row r="32" customFormat="false" ht="12.75" hidden="false" customHeight="true" outlineLevel="0" collapsed="false">
      <c r="AB32" s="1" t="s">
        <v>89</v>
      </c>
      <c r="AC32" s="1" t="s">
        <v>816</v>
      </c>
    </row>
    <row r="33" customFormat="false" ht="12.75" hidden="false" customHeight="true" outlineLevel="0" collapsed="false">
      <c r="AB33" s="1" t="s">
        <v>199</v>
      </c>
      <c r="AC33" s="1" t="s">
        <v>816</v>
      </c>
    </row>
    <row r="34" customFormat="false" ht="12.75" hidden="false" customHeight="true" outlineLevel="0" collapsed="false">
      <c r="AB34" s="1" t="s">
        <v>149</v>
      </c>
      <c r="AC34" s="1" t="s">
        <v>816</v>
      </c>
    </row>
    <row r="35" customFormat="false" ht="12.75" hidden="false" customHeight="true" outlineLevel="0" collapsed="false">
      <c r="AB35" s="1" t="s">
        <v>304</v>
      </c>
      <c r="AC35" s="1" t="s">
        <v>816</v>
      </c>
    </row>
    <row r="36" customFormat="false" ht="12.75" hidden="false" customHeight="true" outlineLevel="0" collapsed="false">
      <c r="AB36" s="1" t="s">
        <v>37</v>
      </c>
      <c r="AC36" s="1" t="s">
        <v>820</v>
      </c>
    </row>
    <row r="37" customFormat="false" ht="12.75" hidden="false" customHeight="true" outlineLevel="0" collapsed="false">
      <c r="AB37" s="1" t="s">
        <v>272</v>
      </c>
      <c r="AC37" s="1" t="s">
        <v>822</v>
      </c>
    </row>
    <row r="38" customFormat="false" ht="12.75" hidden="false" customHeight="true" outlineLevel="0" collapsed="false">
      <c r="AB38" s="1" t="s">
        <v>637</v>
      </c>
      <c r="AC38" s="1" t="s">
        <v>816</v>
      </c>
    </row>
    <row r="39" customFormat="false" ht="12.75" hidden="false" customHeight="true" outlineLevel="0" collapsed="false">
      <c r="AB39" s="1" t="s">
        <v>509</v>
      </c>
      <c r="AC39" s="1" t="s">
        <v>816</v>
      </c>
    </row>
    <row r="40" customFormat="false" ht="12.75" hidden="false" customHeight="true" outlineLevel="0" collapsed="false">
      <c r="AB40" s="1" t="s">
        <v>131</v>
      </c>
      <c r="AC40" s="1" t="s">
        <v>821</v>
      </c>
    </row>
    <row r="41" customFormat="false" ht="12.75" hidden="false" customHeight="true" outlineLevel="0" collapsed="false">
      <c r="AB41" s="1" t="s">
        <v>491</v>
      </c>
      <c r="AC41" s="1" t="s">
        <v>819</v>
      </c>
    </row>
    <row r="42" customFormat="false" ht="12.75" hidden="false" customHeight="true" outlineLevel="0" collapsed="false">
      <c r="AB42" s="1" t="s">
        <v>164</v>
      </c>
      <c r="AC42" s="1" t="s">
        <v>816</v>
      </c>
    </row>
    <row r="43" customFormat="false" ht="12.75" hidden="false" customHeight="true" outlineLevel="0" collapsed="false">
      <c r="AB43" s="1" t="s">
        <v>738</v>
      </c>
      <c r="AC43" s="1" t="s">
        <v>816</v>
      </c>
    </row>
    <row r="44" customFormat="false" ht="12.75" hidden="false" customHeight="true" outlineLevel="0" collapsed="false">
      <c r="AB44" s="1" t="s">
        <v>167</v>
      </c>
      <c r="AC44" s="1" t="s">
        <v>821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824</v>
      </c>
      <c r="B1" s="23" t="s">
        <v>810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4" t="s">
        <v>811</v>
      </c>
    </row>
    <row r="2" customFormat="false" ht="12.75" hidden="false" customHeight="true" outlineLevel="0" collapsed="false">
      <c r="A2" s="1" t="s">
        <v>697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620.88</v>
      </c>
    </row>
    <row r="3" customFormat="false" ht="12.75" hidden="false" customHeight="true" outlineLevel="0" collapsed="false">
      <c r="A3" s="1" t="s">
        <v>103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531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631</v>
      </c>
    </row>
    <row r="4" customFormat="false" ht="12.75" hidden="false" customHeight="true" outlineLevel="0" collapsed="false">
      <c r="A4" s="1" t="s">
        <v>455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17100</v>
      </c>
    </row>
    <row r="5" customFormat="false" ht="12.75" hidden="false" customHeight="true" outlineLevel="0" collapsed="false">
      <c r="A5" s="1" t="s">
        <v>70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165</v>
      </c>
    </row>
    <row r="6" customFormat="false" ht="12.75" hidden="false" customHeight="true" outlineLevel="0" collapsed="false">
      <c r="A6" s="1" t="s">
        <v>763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157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727.8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727.8</v>
      </c>
    </row>
    <row r="9" customFormat="false" ht="12.75" hidden="false" customHeight="true" outlineLevel="0" collapsed="false">
      <c r="A9" s="1" t="s">
        <v>552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396.64</v>
      </c>
      <c r="J9" s="17" t="n">
        <f aca="false">SUMIFS(Report!$U:$U,Report!$T:$T,$A9,Report!$C:$C,"&gt;="&amp;DATE(2026,8,1),Report!$C:$C,"&lt;="&amp;DATE(2026,8,31))</f>
        <v>396.67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793.31</v>
      </c>
    </row>
    <row r="10" customFormat="false" ht="12.75" hidden="false" customHeight="true" outlineLevel="0" collapsed="false">
      <c r="A10" s="1" t="s">
        <v>312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2212.3</v>
      </c>
      <c r="J10" s="17" t="n">
        <f aca="false">SUMIFS(Report!$U:$U,Report!$T:$T,$A10,Report!$C:$C,"&gt;="&amp;DATE(2026,8,1),Report!$C:$C,"&lt;="&amp;DATE(2026,8,31))</f>
        <v>1500.41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3712.71</v>
      </c>
    </row>
    <row r="11" customFormat="false" ht="12.75" hidden="false" customHeight="true" outlineLevel="0" collapsed="false">
      <c r="A11" s="1" t="s">
        <v>627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215</v>
      </c>
      <c r="J11" s="17" t="n">
        <f aca="false">SUMIFS(Report!$U:$U,Report!$T:$T,$A11,Report!$C:$C,"&gt;="&amp;DATE(2026,8,1),Report!$C:$C,"&lt;="&amp;DATE(2026,8,31))</f>
        <v>325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540</v>
      </c>
    </row>
    <row r="12" customFormat="false" ht="12.75" hidden="false" customHeight="true" outlineLevel="0" collapsed="false">
      <c r="A12" s="1" t="s">
        <v>224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2184.91</v>
      </c>
      <c r="J12" s="17" t="n">
        <f aca="false">SUMIFS(Report!$U:$U,Report!$T:$T,$A12,Report!$C:$C,"&gt;="&amp;DATE(2026,8,1),Report!$C:$C,"&lt;="&amp;DATE(2026,8,31))</f>
        <v>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2184.91</v>
      </c>
    </row>
    <row r="13" customFormat="false" ht="12.75" hidden="false" customHeight="true" outlineLevel="0" collapsed="false">
      <c r="A13" s="1" t="s">
        <v>119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549.5</v>
      </c>
      <c r="I13" s="17" t="n">
        <f aca="false">SUMIFS(Report!$U:$U,Report!$T:$T,$A13,Report!$C:$C,"&gt;="&amp;DATE(2026,7,1),Report!$C:$C,"&lt;="&amp;DATE(2026,7,31))</f>
        <v>5507</v>
      </c>
      <c r="J13" s="17" t="n">
        <f aca="false">SUMIFS(Report!$U:$U,Report!$T:$T,$A13,Report!$C:$C,"&gt;="&amp;DATE(2026,8,1),Report!$C:$C,"&lt;="&amp;DATE(2026,8,31))</f>
        <v>1354.87</v>
      </c>
      <c r="K13" s="17" t="n">
        <f aca="false">SUMIFS(Report!$U:$U,Report!$T:$T,$A13,Report!$C:$C,"&gt;="&amp;DATE(2026,9,1),Report!$C:$C,"&lt;="&amp;DATE(2026,9,30))</f>
        <v>778.82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8190.19</v>
      </c>
    </row>
    <row r="14" customFormat="false" ht="12.75" hidden="false" customHeight="true" outlineLevel="0" collapsed="false">
      <c r="A14" s="1" t="s">
        <v>128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2790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2790</v>
      </c>
    </row>
    <row r="15" customFormat="false" ht="12.75" hidden="false" customHeight="true" outlineLevel="0" collapsed="false">
      <c r="A15" s="1" t="s">
        <v>379</v>
      </c>
      <c r="B15" s="1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6504.77</v>
      </c>
      <c r="J15" s="17" t="n">
        <f aca="false">SUMIFS(Report!$U:$U,Report!$T:$T,$A15,Report!$C:$C,"&gt;="&amp;DATE(2026,8,1),Report!$C:$C,"&lt;="&amp;DATE(2026,8,31))</f>
        <v>6504.77</v>
      </c>
      <c r="K15" s="17" t="n">
        <f aca="false">SUMIFS(Report!$U:$U,Report!$T:$T,$A15,Report!$C:$C,"&gt;="&amp;DATE(2026,9,1),Report!$C:$C,"&lt;="&amp;DATE(2026,9,30))</f>
        <v>4168.41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17177.95</v>
      </c>
    </row>
    <row r="16" customFormat="false" ht="12.75" hidden="false" customHeight="true" outlineLevel="0" collapsed="false">
      <c r="A16" s="1" t="s">
        <v>540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8621.9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8621.9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160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160</v>
      </c>
    </row>
    <row r="18" customFormat="false" ht="12.75" hidden="false" customHeight="true" outlineLevel="0" collapsed="false">
      <c r="A18" s="1" t="s">
        <v>650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2355.82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2355.82</v>
      </c>
    </row>
    <row r="19" customFormat="false" ht="12.75" hidden="false" customHeight="true" outlineLevel="0" collapsed="false">
      <c r="A19" s="1" t="s">
        <v>495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2788.06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2788.06</v>
      </c>
    </row>
    <row r="20" customFormat="false" ht="12.75" hidden="false" customHeight="true" outlineLevel="0" collapsed="false">
      <c r="A20" s="1" t="s">
        <v>32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226.67</v>
      </c>
      <c r="J20" s="17" t="n">
        <f aca="false">SUMIFS(Report!$U:$U,Report!$T:$T,$A20,Report!$C:$C,"&gt;="&amp;DATE(2026,8,1),Report!$C:$C,"&lt;="&amp;DATE(2026,8,31))</f>
        <v>226.66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453.33</v>
      </c>
    </row>
    <row r="21" customFormat="false" ht="12.75" hidden="false" customHeight="true" outlineLevel="0" collapsed="false">
      <c r="A21" s="1" t="s">
        <v>319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2431.5</v>
      </c>
      <c r="J21" s="17" t="n">
        <f aca="false">SUMIFS(Report!$U:$U,Report!$T:$T,$A21,Report!$C:$C,"&gt;="&amp;DATE(2026,8,1),Report!$C:$C,"&lt;="&amp;DATE(2026,8,31))</f>
        <v>2431.5</v>
      </c>
      <c r="K21" s="17" t="n">
        <f aca="false">SUMIFS(Report!$U:$U,Report!$T:$T,$A21,Report!$C:$C,"&gt;="&amp;DATE(2026,9,1),Report!$C:$C,"&lt;="&amp;DATE(2026,9,30))</f>
        <v>2431.5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7294.5</v>
      </c>
    </row>
    <row r="22" customFormat="false" ht="12.75" hidden="false" customHeight="true" outlineLevel="0" collapsed="false">
      <c r="A22" s="1" t="s">
        <v>290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989.08</v>
      </c>
      <c r="J22" s="17" t="n">
        <f aca="false">SUMIFS(Report!$U:$U,Report!$T:$T,$A22,Report!$C:$C,"&gt;="&amp;DATE(2026,8,1),Report!$C:$C,"&lt;="&amp;DATE(2026,8,31))</f>
        <v>247.27</v>
      </c>
      <c r="K22" s="17" t="n">
        <f aca="false">SUMIFS(Report!$U:$U,Report!$T:$T,$A22,Report!$C:$C,"&gt;="&amp;DATE(2026,9,1),Report!$C:$C,"&lt;="&amp;DATE(2026,9,30))</f>
        <v>247.27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1483.62</v>
      </c>
    </row>
    <row r="23" customFormat="false" ht="12.75" hidden="false" customHeight="true" outlineLevel="0" collapsed="false">
      <c r="A23" s="1" t="s">
        <v>308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573.02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573.02</v>
      </c>
    </row>
    <row r="24" customFormat="false" ht="12.75" hidden="false" customHeight="true" outlineLevel="0" collapsed="false">
      <c r="A24" s="1" t="s">
        <v>493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1128.04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1128.04</v>
      </c>
    </row>
    <row r="25" customFormat="false" ht="12.75" hidden="false" customHeight="true" outlineLevel="0" collapsed="false">
      <c r="A25" s="1" t="s">
        <v>346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875.87</v>
      </c>
      <c r="J25" s="17" t="n">
        <f aca="false">SUMIFS(Report!$U:$U,Report!$T:$T,$A25,Report!$C:$C,"&gt;="&amp;DATE(2026,8,1),Report!$C:$C,"&lt;="&amp;DATE(2026,8,31))</f>
        <v>279.97</v>
      </c>
      <c r="K25" s="17" t="n">
        <f aca="false">SUMIFS(Report!$U:$U,Report!$T:$T,$A25,Report!$C:$C,"&gt;="&amp;DATE(2026,9,1),Report!$C:$C,"&lt;="&amp;DATE(2026,9,30))</f>
        <v>279.97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1435.81</v>
      </c>
    </row>
    <row r="26" customFormat="false" ht="12.75" hidden="false" customHeight="true" outlineLevel="0" collapsed="false">
      <c r="A26" s="1" t="s">
        <v>226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239.24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239.24</v>
      </c>
    </row>
    <row r="27" customFormat="false" ht="12.75" hidden="false" customHeight="true" outlineLevel="0" collapsed="false">
      <c r="A27" s="1" t="s">
        <v>450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228.88</v>
      </c>
      <c r="J27" s="17" t="n">
        <f aca="false">SUMIFS(Report!$U:$U,Report!$T:$T,$A27,Report!$C:$C,"&gt;="&amp;DATE(2026,8,1),Report!$C:$C,"&lt;="&amp;DATE(2026,8,31))</f>
        <v>228.88</v>
      </c>
      <c r="K27" s="17" t="n">
        <f aca="false">SUMIFS(Report!$U:$U,Report!$T:$T,$A27,Report!$C:$C,"&gt;="&amp;DATE(2026,9,1),Report!$C:$C,"&lt;="&amp;DATE(2026,9,30))</f>
        <v>228.88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686.64</v>
      </c>
    </row>
    <row r="28" customFormat="false" ht="12.75" hidden="false" customHeight="true" outlineLevel="0" collapsed="false">
      <c r="A28" s="1" t="s">
        <v>635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1575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1575</v>
      </c>
    </row>
    <row r="29" customFormat="false" ht="12.75" hidden="false" customHeight="true" outlineLevel="0" collapsed="false">
      <c r="A29" s="1" t="s">
        <v>572</v>
      </c>
      <c r="B29" s="1" t="str">
        <f aca="false">IFERROR(INDEX('Resumo Grupos'!$AC$3:$AC$200,MATCH($A29,'Resumo Grupos'!$AB$3:$AB$200,0)),"n/d")</f>
        <v>Empréstimo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6946.88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6946.88</v>
      </c>
    </row>
    <row r="30" customFormat="false" ht="12.75" hidden="false" customHeight="true" outlineLevel="0" collapsed="false">
      <c r="A30" s="1" t="s">
        <v>258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1217.33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1217.33</v>
      </c>
    </row>
    <row r="31" customFormat="false" ht="12.75" hidden="false" customHeight="true" outlineLevel="0" collapsed="false">
      <c r="A31" s="1" t="s">
        <v>89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1140</v>
      </c>
      <c r="I31" s="17" t="n">
        <f aca="false">SUMIFS(Report!$U:$U,Report!$T:$T,$A31,Report!$C:$C,"&gt;="&amp;DATE(2026,7,1),Report!$C:$C,"&lt;="&amp;DATE(2026,7,31))</f>
        <v>835.26</v>
      </c>
      <c r="J31" s="17" t="n">
        <f aca="false">SUMIFS(Report!$U:$U,Report!$T:$T,$A31,Report!$C:$C,"&gt;="&amp;DATE(2026,8,1),Report!$C:$C,"&lt;="&amp;DATE(2026,8,31))</f>
        <v>415.26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2390.52</v>
      </c>
    </row>
    <row r="32" customFormat="false" ht="12.75" hidden="false" customHeight="true" outlineLevel="0" collapsed="false">
      <c r="A32" s="1" t="s">
        <v>199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1898</v>
      </c>
      <c r="J32" s="17" t="n">
        <f aca="false">SUMIFS(Report!$U:$U,Report!$T:$T,$A32,Report!$C:$C,"&gt;="&amp;DATE(2026,8,1),Report!$C:$C,"&lt;="&amp;DATE(2026,8,31))</f>
        <v>1898</v>
      </c>
      <c r="K32" s="17" t="n">
        <f aca="false">SUMIFS(Report!$U:$U,Report!$T:$T,$A32,Report!$C:$C,"&gt;="&amp;DATE(2026,9,1),Report!$C:$C,"&lt;="&amp;DATE(2026,9,30))</f>
        <v>1898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5694</v>
      </c>
    </row>
    <row r="33" customFormat="false" ht="12.75" hidden="false" customHeight="true" outlineLevel="0" collapsed="false">
      <c r="A33" s="1" t="s">
        <v>149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831.65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831.65</v>
      </c>
    </row>
    <row r="34" customFormat="false" ht="12.75" hidden="false" customHeight="true" outlineLevel="0" collapsed="false">
      <c r="A34" s="1" t="s">
        <v>304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258</v>
      </c>
      <c r="J34" s="17" t="n">
        <f aca="false">SUMIFS(Report!$U:$U,Report!$T:$T,$A34,Report!$C:$C,"&gt;="&amp;DATE(2026,8,1),Report!$C:$C,"&lt;="&amp;DATE(2026,8,31))</f>
        <v>270.9</v>
      </c>
      <c r="K34" s="17" t="n">
        <f aca="false">SUMIFS(Report!$U:$U,Report!$T:$T,$A34,Report!$C:$C,"&gt;="&amp;DATE(2026,9,1),Report!$C:$C,"&lt;="&amp;DATE(2026,9,30))</f>
        <v>270.9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799.8</v>
      </c>
    </row>
    <row r="35" customFormat="false" ht="12.75" hidden="false" customHeight="true" outlineLevel="0" collapsed="false">
      <c r="A35" s="1" t="s">
        <v>37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36907.56</v>
      </c>
      <c r="I35" s="17" t="n">
        <f aca="false">SUMIFS(Report!$U:$U,Report!$T:$T,$A35,Report!$C:$C,"&gt;="&amp;DATE(2026,7,1),Report!$C:$C,"&lt;="&amp;DATE(2026,7,31))</f>
        <v>300056.13</v>
      </c>
      <c r="J35" s="17" t="n">
        <f aca="false">SUMIFS(Report!$U:$U,Report!$T:$T,$A35,Report!$C:$C,"&gt;="&amp;DATE(2026,8,1),Report!$C:$C,"&lt;="&amp;DATE(2026,8,31))</f>
        <v>137422.69</v>
      </c>
      <c r="K35" s="17" t="n">
        <f aca="false">SUMIFS(Report!$U:$U,Report!$T:$T,$A35,Report!$C:$C,"&gt;="&amp;DATE(2026,9,1),Report!$C:$C,"&lt;="&amp;DATE(2026,9,30))</f>
        <v>5012.84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479399.22</v>
      </c>
    </row>
    <row r="36" customFormat="false" ht="12.75" hidden="false" customHeight="true" outlineLevel="0" collapsed="false">
      <c r="A36" s="1" t="s">
        <v>272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9541.27</v>
      </c>
      <c r="J36" s="17" t="n">
        <f aca="false">SUMIFS(Report!$U:$U,Report!$T:$T,$A36,Report!$C:$C,"&gt;="&amp;DATE(2026,8,1),Report!$C:$C,"&lt;="&amp;DATE(2026,8,31))</f>
        <v>446.17</v>
      </c>
      <c r="K36" s="17" t="n">
        <f aca="false">SUMIFS(Report!$U:$U,Report!$T:$T,$A36,Report!$C:$C,"&gt;="&amp;DATE(2026,9,1),Report!$C:$C,"&lt;="&amp;DATE(2026,9,30))</f>
        <v>446.17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10433.61</v>
      </c>
    </row>
    <row r="37" customFormat="false" ht="12.75" hidden="false" customHeight="true" outlineLevel="0" collapsed="false">
      <c r="A37" s="1" t="s">
        <v>637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945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945</v>
      </c>
    </row>
    <row r="38" customFormat="false" ht="12.75" hidden="false" customHeight="true" outlineLevel="0" collapsed="false">
      <c r="A38" s="1" t="s">
        <v>509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138.43</v>
      </c>
      <c r="J38" s="17" t="n">
        <f aca="false">SUMIFS(Report!$U:$U,Report!$T:$T,$A38,Report!$C:$C,"&gt;="&amp;DATE(2026,8,1),Report!$C:$C,"&lt;="&amp;DATE(2026,8,31))</f>
        <v>138.3</v>
      </c>
      <c r="K38" s="17" t="n">
        <f aca="false">SUMIFS(Report!$U:$U,Report!$T:$T,$A38,Report!$C:$C,"&gt;="&amp;DATE(2026,9,1),Report!$C:$C,"&lt;="&amp;DATE(2026,9,30))</f>
        <v>138.3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415.03</v>
      </c>
    </row>
    <row r="39" customFormat="false" ht="12.75" hidden="false" customHeight="true" outlineLevel="0" collapsed="false">
      <c r="A39" s="1" t="s">
        <v>131</v>
      </c>
      <c r="B39" s="1" t="str">
        <f aca="false">IFERROR(INDEX('Resumo Grupos'!$AC$3:$AC$200,MATCH($A39,'Resumo Grupos'!$AB$3:$AB$200,0)),"n/d")</f>
        <v>Salários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600</v>
      </c>
      <c r="I39" s="17" t="n">
        <f aca="false">SUMIFS(Report!$U:$U,Report!$T:$T,$A39,Report!$C:$C,"&gt;="&amp;DATE(2026,7,1),Report!$C:$C,"&lt;="&amp;DATE(2026,7,31))</f>
        <v>17920.08</v>
      </c>
      <c r="J39" s="17" t="n">
        <f aca="false">SUMIFS(Report!$U:$U,Report!$T:$T,$A39,Report!$C:$C,"&gt;="&amp;DATE(2026,8,1),Report!$C:$C,"&lt;="&amp;DATE(2026,8,31))</f>
        <v>222.91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18742.99</v>
      </c>
    </row>
    <row r="40" customFormat="false" ht="12.75" hidden="false" customHeight="true" outlineLevel="0" collapsed="false">
      <c r="A40" s="1" t="s">
        <v>491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1596.41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1596.41</v>
      </c>
    </row>
    <row r="41" customFormat="false" ht="12.75" hidden="false" customHeight="true" outlineLevel="0" collapsed="false">
      <c r="A41" s="1" t="s">
        <v>164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1071.45</v>
      </c>
      <c r="J41" s="17" t="n">
        <f aca="false">SUMIFS(Report!$U:$U,Report!$T:$T,$A41,Report!$C:$C,"&gt;="&amp;DATE(2026,8,1),Report!$C:$C,"&lt;="&amp;DATE(2026,8,31))</f>
        <v>666.66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1738.11</v>
      </c>
    </row>
    <row r="42" customFormat="false" ht="12.75" hidden="false" customHeight="true" outlineLevel="0" collapsed="false">
      <c r="A42" s="1" t="s">
        <v>738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1333.34</v>
      </c>
    </row>
    <row r="43" customFormat="false" ht="12.75" hidden="false" customHeight="true" outlineLevel="0" collapsed="false">
      <c r="A43" s="1" t="s">
        <v>167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810</v>
      </c>
      <c r="J43" s="17" t="n">
        <f aca="false">SUMIFS(Report!$U:$U,Report!$T:$T,$A43,Report!$C:$C,"&gt;="&amp;DATE(2026,8,1),Report!$C:$C,"&lt;="&amp;DATE(2026,8,31))</f>
        <v>780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1590</v>
      </c>
    </row>
    <row r="44" customFormat="false" ht="12.75" hidden="false" customHeight="true" outlineLevel="0" collapsed="false">
      <c r="A44" s="23" t="s">
        <v>809</v>
      </c>
      <c r="B44" s="23"/>
      <c r="C44" s="24" t="n">
        <f aca="false">SUM(C2:C43)</f>
        <v>0</v>
      </c>
      <c r="D44" s="24" t="n">
        <f aca="false">SUM(D2:D43)</f>
        <v>0</v>
      </c>
      <c r="E44" s="24" t="n">
        <f aca="false">SUM(E2:E43)</f>
        <v>0</v>
      </c>
      <c r="F44" s="24" t="n">
        <f aca="false">SUM(F2:F43)</f>
        <v>0</v>
      </c>
      <c r="G44" s="24" t="n">
        <f aca="false">SUM(G2:G43)</f>
        <v>0</v>
      </c>
      <c r="H44" s="24" t="n">
        <f aca="false">SUM(H2:H43)</f>
        <v>42683.06</v>
      </c>
      <c r="I44" s="24" t="n">
        <f aca="false">SUM(I2:I43)</f>
        <v>390009</v>
      </c>
      <c r="J44" s="24" t="n">
        <f aca="false">SUM(J2:J43)</f>
        <v>162899.44</v>
      </c>
      <c r="K44" s="24" t="n">
        <f aca="false">SUM(K2:K43)</f>
        <v>22267.73</v>
      </c>
      <c r="L44" s="24" t="n">
        <f aca="false">SUM(L2:L43)</f>
        <v>0</v>
      </c>
      <c r="M44" s="24" t="n">
        <f aca="false">SUM(M2:M43)</f>
        <v>0</v>
      </c>
      <c r="N44" s="24" t="n">
        <f aca="false">SUM(N2:N43)</f>
        <v>0</v>
      </c>
      <c r="O44" s="24" t="n">
        <f aca="false">SUM(O2:O43)</f>
        <v>0</v>
      </c>
      <c r="P44" s="24" t="n">
        <f aca="false">SUM(P2:P43)</f>
        <v>0</v>
      </c>
      <c r="Q44" s="24" t="n">
        <f aca="false">SUM(Q2:Q43)</f>
        <v>0</v>
      </c>
      <c r="R44" s="24" t="n">
        <f aca="false">SUM(R2:R43)</f>
        <v>0</v>
      </c>
      <c r="S44" s="24" t="n">
        <f aca="false">SUM(S2:S43)</f>
        <v>0</v>
      </c>
      <c r="T44" s="24" t="n">
        <f aca="false">SUM(T2:T43)</f>
        <v>0</v>
      </c>
      <c r="U44" s="24" t="n">
        <f aca="false">SUM(U2:U43)</f>
        <v>0</v>
      </c>
      <c r="V44" s="24" t="n">
        <f aca="false">SUM(V2:V43)</f>
        <v>0</v>
      </c>
      <c r="W44" s="24" t="n">
        <f aca="false">SUM(W2:W43)</f>
        <v>0</v>
      </c>
      <c r="X44" s="24" t="n">
        <f aca="false">SUM(X2:X43)</f>
        <v>0</v>
      </c>
      <c r="Y44" s="24" t="n">
        <f aca="false">SUM(Y2:Y43)</f>
        <v>0</v>
      </c>
      <c r="Z44" s="24" t="n">
        <f aca="false">SUM(Z2:Z43)</f>
        <v>0</v>
      </c>
      <c r="AA44" s="24" t="n">
        <f aca="false">SUM(AA2:AA43)</f>
        <v>617859.23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825</v>
      </c>
      <c r="B1" s="24" t="n">
        <f aca="false">SUMIFS(Report!$U:$U,Report!$T:$T,"&lt;&gt;"&amp;"MERCADORIAS P/REVENDA",Report!$AA:$AA,"SIM",Report!$C:$C,"&gt;="&amp;DATE(2026,1,1),Report!$C:$C,"&lt;="&amp;DATE(2027,12,31))</f>
        <v>138460.01</v>
      </c>
      <c r="C1" s="24" t="n">
        <f aca="false">SUMIFS(Report!$U:$U,Report!$T:$T,"MERCADORIAS P/REVENDA",Report!$AA:$AA,"SIM",Report!$C:$C,"&gt;="&amp;DATE(2026,1,1),Report!$C:$C,"&lt;="&amp;DATE(2027,12,31))</f>
        <v>479399.22</v>
      </c>
      <c r="D1" s="28" t="s">
        <v>826</v>
      </c>
      <c r="E1" s="29" t="n">
        <f aca="false">SUMIFS(Report!$U:$U,Report!$AA:$AA,"NAO",Report!$C:$C,"&gt;="&amp;DATE(2026,1,1),Report!$C:$C,"&lt;="&amp;DATE(2027,12,31))</f>
        <v>0</v>
      </c>
      <c r="F1" s="24" t="n">
        <f aca="false">B1+C1</f>
        <v>617859.23</v>
      </c>
      <c r="H1" s="1"/>
      <c r="I1" s="17"/>
    </row>
    <row r="2" customFormat="false" ht="12.75" hidden="false" customHeight="true" outlineLevel="0" collapsed="false">
      <c r="A2" s="22" t="s">
        <v>827</v>
      </c>
      <c r="B2" s="24" t="s">
        <v>828</v>
      </c>
      <c r="C2" s="24" t="s">
        <v>829</v>
      </c>
      <c r="D2" s="28" t="s">
        <v>830</v>
      </c>
      <c r="E2" s="29" t="n">
        <f aca="false">F1+E1</f>
        <v>617859.23</v>
      </c>
      <c r="F2" s="24" t="s">
        <v>831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0" t="n">
        <v>46025</v>
      </c>
      <c r="B5" s="31" t="n">
        <f aca="false">SUMIFS(Report!$U:$U,Report!$T:$T,"&lt;&gt;"&amp;"MERCADORIAS P/REVENDA",Report!$AA:$AA,"SIM",Report!$C:$C,A5)</f>
        <v>0</v>
      </c>
      <c r="C5" s="31" t="n">
        <f aca="false">SUMIFS(Report!$U:$U,Report!$T:$T,"MERCADORIAS P/REVENDA",Report!$AA:$AA,"SIM",Report!$C:$C,A5)</f>
        <v>0</v>
      </c>
      <c r="D5" s="32"/>
      <c r="E5" s="32"/>
      <c r="F5" s="31" t="n">
        <f aca="false">B5+C5</f>
        <v>0</v>
      </c>
    </row>
    <row r="6" customFormat="false" ht="12.75" hidden="false" customHeight="true" outlineLevel="0" collapsed="false">
      <c r="A6" s="30" t="n">
        <v>46026</v>
      </c>
      <c r="B6" s="31" t="n">
        <f aca="false">SUMIFS(Report!$U:$U,Report!$T:$T,"&lt;&gt;"&amp;"MERCADORIAS P/REVENDA",Report!$AA:$AA,"SIM",Report!$C:$C,A6)</f>
        <v>0</v>
      </c>
      <c r="C6" s="31" t="n">
        <f aca="false">SUMIFS(Report!$U:$U,Report!$T:$T,"MERCADORIAS P/REVENDA",Report!$AA:$AA,"SIM",Report!$C:$C,A6)</f>
        <v>0</v>
      </c>
      <c r="D6" s="32"/>
      <c r="E6" s="32"/>
      <c r="F6" s="31" t="n">
        <f aca="false">B6+C6</f>
        <v>0</v>
      </c>
    </row>
    <row r="7" customFormat="false" ht="12.75" hidden="false" customHeight="true" outlineLevel="0" collapsed="false">
      <c r="A7" s="30" t="n">
        <v>46027</v>
      </c>
      <c r="B7" s="31" t="n">
        <f aca="false">SUMIFS(Report!$U:$U,Report!$T:$T,"&lt;&gt;"&amp;"MERCADORIAS P/REVENDA",Report!$AA:$AA,"SIM",Report!$C:$C,A7)</f>
        <v>0</v>
      </c>
      <c r="C7" s="31" t="n">
        <f aca="false">SUMIFS(Report!$U:$U,Report!$T:$T,"MERCADORIAS P/REVENDA",Report!$AA:$AA,"SIM",Report!$C:$C,A7)</f>
        <v>0</v>
      </c>
      <c r="D7" s="32"/>
      <c r="E7" s="32"/>
      <c r="F7" s="31" t="n">
        <f aca="false">B7+C7</f>
        <v>0</v>
      </c>
    </row>
    <row r="8" customFormat="false" ht="12.75" hidden="false" customHeight="true" outlineLevel="0" collapsed="false">
      <c r="A8" s="33" t="s">
        <v>832</v>
      </c>
      <c r="B8" s="34" t="n">
        <f aca="false">SUM(B3:B7)</f>
        <v>0</v>
      </c>
      <c r="C8" s="34" t="n">
        <f aca="false">SUM(C3:C7)</f>
        <v>0</v>
      </c>
      <c r="D8" s="35"/>
      <c r="E8" s="35"/>
      <c r="F8" s="3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0" t="n">
        <v>46032</v>
      </c>
      <c r="B13" s="31" t="n">
        <f aca="false">SUMIFS(Report!$U:$U,Report!$T:$T,"&lt;&gt;"&amp;"MERCADORIAS P/REVENDA",Report!$AA:$AA,"SIM",Report!$C:$C,A13)</f>
        <v>0</v>
      </c>
      <c r="C13" s="31" t="n">
        <f aca="false">SUMIFS(Report!$U:$U,Report!$T:$T,"MERCADORIAS P/REVENDA",Report!$AA:$AA,"SIM",Report!$C:$C,A13)</f>
        <v>0</v>
      </c>
      <c r="D13" s="32"/>
      <c r="E13" s="32"/>
      <c r="F13" s="31" t="n">
        <f aca="false">B13+C13</f>
        <v>0</v>
      </c>
    </row>
    <row r="14" customFormat="false" ht="12.75" hidden="false" customHeight="true" outlineLevel="0" collapsed="false">
      <c r="A14" s="30" t="n">
        <v>46033</v>
      </c>
      <c r="B14" s="31" t="n">
        <f aca="false">SUMIFS(Report!$U:$U,Report!$T:$T,"&lt;&gt;"&amp;"MERCADORIAS P/REVENDA",Report!$AA:$AA,"SIM",Report!$C:$C,A14)</f>
        <v>0</v>
      </c>
      <c r="C14" s="31" t="n">
        <f aca="false">SUMIFS(Report!$U:$U,Report!$T:$T,"MERCADORIAS P/REVENDA",Report!$AA:$AA,"SIM",Report!$C:$C,A14)</f>
        <v>0</v>
      </c>
      <c r="D14" s="32"/>
      <c r="E14" s="32"/>
      <c r="F14" s="31" t="n">
        <f aca="false">B14+C14</f>
        <v>0</v>
      </c>
    </row>
    <row r="15" customFormat="false" ht="12.75" hidden="false" customHeight="true" outlineLevel="0" collapsed="false">
      <c r="A15" s="30" t="n">
        <v>46034</v>
      </c>
      <c r="B15" s="31" t="n">
        <f aca="false">SUMIFS(Report!$U:$U,Report!$T:$T,"&lt;&gt;"&amp;"MERCADORIAS P/REVENDA",Report!$AA:$AA,"SIM",Report!$C:$C,A15)</f>
        <v>0</v>
      </c>
      <c r="C15" s="31" t="n">
        <f aca="false">SUMIFS(Report!$U:$U,Report!$T:$T,"MERCADORIAS P/REVENDA",Report!$AA:$AA,"SIM",Report!$C:$C,A15)</f>
        <v>0</v>
      </c>
      <c r="D15" s="32"/>
      <c r="E15" s="32"/>
      <c r="F15" s="31" t="n">
        <f aca="false">B15+C15</f>
        <v>0</v>
      </c>
    </row>
    <row r="16" customFormat="false" ht="12.75" hidden="false" customHeight="true" outlineLevel="0" collapsed="false">
      <c r="A16" s="33" t="s">
        <v>833</v>
      </c>
      <c r="B16" s="34" t="n">
        <f aca="false">SUM(B9:B15)</f>
        <v>0</v>
      </c>
      <c r="C16" s="34" t="n">
        <f aca="false">SUM(C9:C15)</f>
        <v>0</v>
      </c>
      <c r="D16" s="35"/>
      <c r="E16" s="35"/>
      <c r="F16" s="3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0" t="n">
        <v>46039</v>
      </c>
      <c r="B21" s="31" t="n">
        <f aca="false">SUMIFS(Report!$U:$U,Report!$T:$T,"&lt;&gt;"&amp;"MERCADORIAS P/REVENDA",Report!$AA:$AA,"SIM",Report!$C:$C,A21)</f>
        <v>0</v>
      </c>
      <c r="C21" s="31" t="n">
        <f aca="false">SUMIFS(Report!$U:$U,Report!$T:$T,"MERCADORIAS P/REVENDA",Report!$AA:$AA,"SIM",Report!$C:$C,A21)</f>
        <v>0</v>
      </c>
      <c r="D21" s="32"/>
      <c r="E21" s="32"/>
      <c r="F21" s="31" t="n">
        <f aca="false">B21+C21</f>
        <v>0</v>
      </c>
    </row>
    <row r="22" customFormat="false" ht="12.75" hidden="false" customHeight="true" outlineLevel="0" collapsed="false">
      <c r="A22" s="30" t="n">
        <v>46040</v>
      </c>
      <c r="B22" s="31" t="n">
        <f aca="false">SUMIFS(Report!$U:$U,Report!$T:$T,"&lt;&gt;"&amp;"MERCADORIAS P/REVENDA",Report!$AA:$AA,"SIM",Report!$C:$C,A22)</f>
        <v>0</v>
      </c>
      <c r="C22" s="31" t="n">
        <f aca="false">SUMIFS(Report!$U:$U,Report!$T:$T,"MERCADORIAS P/REVENDA",Report!$AA:$AA,"SIM",Report!$C:$C,A22)</f>
        <v>0</v>
      </c>
      <c r="D22" s="32"/>
      <c r="E22" s="32"/>
      <c r="F22" s="31" t="n">
        <f aca="false">B22+C22</f>
        <v>0</v>
      </c>
    </row>
    <row r="23" customFormat="false" ht="12.75" hidden="false" customHeight="true" outlineLevel="0" collapsed="false">
      <c r="A23" s="30" t="n">
        <v>46041</v>
      </c>
      <c r="B23" s="31" t="n">
        <f aca="false">SUMIFS(Report!$U:$U,Report!$T:$T,"&lt;&gt;"&amp;"MERCADORIAS P/REVENDA",Report!$AA:$AA,"SIM",Report!$C:$C,A23)</f>
        <v>0</v>
      </c>
      <c r="C23" s="31" t="n">
        <f aca="false">SUMIFS(Report!$U:$U,Report!$T:$T,"MERCADORIAS P/REVENDA",Report!$AA:$AA,"SIM",Report!$C:$C,A23)</f>
        <v>0</v>
      </c>
      <c r="D23" s="32"/>
      <c r="E23" s="32"/>
      <c r="F23" s="31" t="n">
        <f aca="false">B23+C23</f>
        <v>0</v>
      </c>
    </row>
    <row r="24" customFormat="false" ht="12.75" hidden="false" customHeight="true" outlineLevel="0" collapsed="false">
      <c r="A24" s="33" t="s">
        <v>834</v>
      </c>
      <c r="B24" s="34" t="n">
        <f aca="false">SUM(B17:B23)</f>
        <v>0</v>
      </c>
      <c r="C24" s="34" t="n">
        <f aca="false">SUM(C17:C23)</f>
        <v>0</v>
      </c>
      <c r="D24" s="35"/>
      <c r="E24" s="35"/>
      <c r="F24" s="3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0" t="n">
        <v>46046</v>
      </c>
      <c r="B29" s="31" t="n">
        <f aca="false">SUMIFS(Report!$U:$U,Report!$T:$T,"&lt;&gt;"&amp;"MERCADORIAS P/REVENDA",Report!$AA:$AA,"SIM",Report!$C:$C,A29)</f>
        <v>0</v>
      </c>
      <c r="C29" s="31" t="n">
        <f aca="false">SUMIFS(Report!$U:$U,Report!$T:$T,"MERCADORIAS P/REVENDA",Report!$AA:$AA,"SIM",Report!$C:$C,A29)</f>
        <v>0</v>
      </c>
      <c r="D29" s="32"/>
      <c r="E29" s="32"/>
      <c r="F29" s="31" t="n">
        <f aca="false">B29+C29</f>
        <v>0</v>
      </c>
    </row>
    <row r="30" customFormat="false" ht="12.75" hidden="false" customHeight="true" outlineLevel="0" collapsed="false">
      <c r="A30" s="30" t="n">
        <v>46047</v>
      </c>
      <c r="B30" s="31" t="n">
        <f aca="false">SUMIFS(Report!$U:$U,Report!$T:$T,"&lt;&gt;"&amp;"MERCADORIAS P/REVENDA",Report!$AA:$AA,"SIM",Report!$C:$C,A30)</f>
        <v>0</v>
      </c>
      <c r="C30" s="31" t="n">
        <f aca="false">SUMIFS(Report!$U:$U,Report!$T:$T,"MERCADORIAS P/REVENDA",Report!$AA:$AA,"SIM",Report!$C:$C,A30)</f>
        <v>0</v>
      </c>
      <c r="D30" s="32"/>
      <c r="E30" s="32"/>
      <c r="F30" s="31" t="n">
        <f aca="false">B30+C30</f>
        <v>0</v>
      </c>
    </row>
    <row r="31" customFormat="false" ht="12.75" hidden="false" customHeight="true" outlineLevel="0" collapsed="false">
      <c r="A31" s="30" t="n">
        <v>46048</v>
      </c>
      <c r="B31" s="31" t="n">
        <f aca="false">SUMIFS(Report!$U:$U,Report!$T:$T,"&lt;&gt;"&amp;"MERCADORIAS P/REVENDA",Report!$AA:$AA,"SIM",Report!$C:$C,A31)</f>
        <v>0</v>
      </c>
      <c r="C31" s="31" t="n">
        <f aca="false">SUMIFS(Report!$U:$U,Report!$T:$T,"MERCADORIAS P/REVENDA",Report!$AA:$AA,"SIM",Report!$C:$C,A31)</f>
        <v>0</v>
      </c>
      <c r="D31" s="32"/>
      <c r="E31" s="32"/>
      <c r="F31" s="31" t="n">
        <f aca="false">B31+C31</f>
        <v>0</v>
      </c>
    </row>
    <row r="32" customFormat="false" ht="12.75" hidden="false" customHeight="true" outlineLevel="0" collapsed="false">
      <c r="A32" s="33" t="s">
        <v>835</v>
      </c>
      <c r="B32" s="34" t="n">
        <f aca="false">SUM(B25:B31)</f>
        <v>0</v>
      </c>
      <c r="C32" s="34" t="n">
        <f aca="false">SUM(C25:C31)</f>
        <v>0</v>
      </c>
      <c r="D32" s="35"/>
      <c r="E32" s="35"/>
      <c r="F32" s="3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0" t="n">
        <v>46053</v>
      </c>
      <c r="B37" s="31" t="n">
        <f aca="false">SUMIFS(Report!$U:$U,Report!$T:$T,"&lt;&gt;"&amp;"MERCADORIAS P/REVENDA",Report!$AA:$AA,"SIM",Report!$C:$C,A37)</f>
        <v>0</v>
      </c>
      <c r="C37" s="31" t="n">
        <f aca="false">SUMIFS(Report!$U:$U,Report!$T:$T,"MERCADORIAS P/REVENDA",Report!$AA:$AA,"SIM",Report!$C:$C,A37)</f>
        <v>0</v>
      </c>
      <c r="D37" s="32"/>
      <c r="E37" s="32"/>
      <c r="F37" s="31" t="n">
        <f aca="false">B37+C37</f>
        <v>0</v>
      </c>
    </row>
    <row r="38" customFormat="false" ht="12.75" hidden="false" customHeight="true" outlineLevel="0" collapsed="false">
      <c r="A38" s="30" t="n">
        <v>46054</v>
      </c>
      <c r="B38" s="31" t="n">
        <f aca="false">SUMIFS(Report!$U:$U,Report!$T:$T,"&lt;&gt;"&amp;"MERCADORIAS P/REVENDA",Report!$AA:$AA,"SIM",Report!$C:$C,A38)</f>
        <v>0</v>
      </c>
      <c r="C38" s="31" t="n">
        <f aca="false">SUMIFS(Report!$U:$U,Report!$T:$T,"MERCADORIAS P/REVENDA",Report!$AA:$AA,"SIM",Report!$C:$C,A38)</f>
        <v>0</v>
      </c>
      <c r="D38" s="32"/>
      <c r="E38" s="32"/>
      <c r="F38" s="31" t="n">
        <f aca="false">B38+C38</f>
        <v>0</v>
      </c>
    </row>
    <row r="39" customFormat="false" ht="12.75" hidden="false" customHeight="true" outlineLevel="0" collapsed="false">
      <c r="A39" s="30" t="n">
        <v>46055</v>
      </c>
      <c r="B39" s="31" t="n">
        <f aca="false">SUMIFS(Report!$U:$U,Report!$T:$T,"&lt;&gt;"&amp;"MERCADORIAS P/REVENDA",Report!$AA:$AA,"SIM",Report!$C:$C,A39)</f>
        <v>0</v>
      </c>
      <c r="C39" s="31" t="n">
        <f aca="false">SUMIFS(Report!$U:$U,Report!$T:$T,"MERCADORIAS P/REVENDA",Report!$AA:$AA,"SIM",Report!$C:$C,A39)</f>
        <v>0</v>
      </c>
      <c r="D39" s="32"/>
      <c r="E39" s="32"/>
      <c r="F39" s="31" t="n">
        <f aca="false">B39+C39</f>
        <v>0</v>
      </c>
    </row>
    <row r="40" customFormat="false" ht="12.75" hidden="false" customHeight="true" outlineLevel="0" collapsed="false">
      <c r="A40" s="33" t="s">
        <v>836</v>
      </c>
      <c r="B40" s="34" t="n">
        <f aca="false">SUM(B33:B39)</f>
        <v>0</v>
      </c>
      <c r="C40" s="34" t="n">
        <f aca="false">SUM(C33:C39)</f>
        <v>0</v>
      </c>
      <c r="D40" s="35"/>
      <c r="E40" s="35"/>
      <c r="F40" s="3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0" t="n">
        <v>46060</v>
      </c>
      <c r="B45" s="31" t="n">
        <f aca="false">SUMIFS(Report!$U:$U,Report!$T:$T,"&lt;&gt;"&amp;"MERCADORIAS P/REVENDA",Report!$AA:$AA,"SIM",Report!$C:$C,A45)</f>
        <v>0</v>
      </c>
      <c r="C45" s="31" t="n">
        <f aca="false">SUMIFS(Report!$U:$U,Report!$T:$T,"MERCADORIAS P/REVENDA",Report!$AA:$AA,"SIM",Report!$C:$C,A45)</f>
        <v>0</v>
      </c>
      <c r="D45" s="32"/>
      <c r="E45" s="32"/>
      <c r="F45" s="31" t="n">
        <f aca="false">B45+C45</f>
        <v>0</v>
      </c>
    </row>
    <row r="46" customFormat="false" ht="12.75" hidden="false" customHeight="true" outlineLevel="0" collapsed="false">
      <c r="A46" s="30" t="n">
        <v>46061</v>
      </c>
      <c r="B46" s="31" t="n">
        <f aca="false">SUMIFS(Report!$U:$U,Report!$T:$T,"&lt;&gt;"&amp;"MERCADORIAS P/REVENDA",Report!$AA:$AA,"SIM",Report!$C:$C,A46)</f>
        <v>0</v>
      </c>
      <c r="C46" s="31" t="n">
        <f aca="false">SUMIFS(Report!$U:$U,Report!$T:$T,"MERCADORIAS P/REVENDA",Report!$AA:$AA,"SIM",Report!$C:$C,A46)</f>
        <v>0</v>
      </c>
      <c r="D46" s="32"/>
      <c r="E46" s="32"/>
      <c r="F46" s="31" t="n">
        <f aca="false">B46+C46</f>
        <v>0</v>
      </c>
    </row>
    <row r="47" customFormat="false" ht="12.75" hidden="false" customHeight="true" outlineLevel="0" collapsed="false">
      <c r="A47" s="30" t="n">
        <v>46062</v>
      </c>
      <c r="B47" s="31" t="n">
        <f aca="false">SUMIFS(Report!$U:$U,Report!$T:$T,"&lt;&gt;"&amp;"MERCADORIAS P/REVENDA",Report!$AA:$AA,"SIM",Report!$C:$C,A47)</f>
        <v>0</v>
      </c>
      <c r="C47" s="31" t="n">
        <f aca="false">SUMIFS(Report!$U:$U,Report!$T:$T,"MERCADORIAS P/REVENDA",Report!$AA:$AA,"SIM",Report!$C:$C,A47)</f>
        <v>0</v>
      </c>
      <c r="D47" s="32"/>
      <c r="E47" s="32"/>
      <c r="F47" s="31" t="n">
        <f aca="false">B47+C47</f>
        <v>0</v>
      </c>
    </row>
    <row r="48" customFormat="false" ht="12.75" hidden="false" customHeight="true" outlineLevel="0" collapsed="false">
      <c r="A48" s="33" t="s">
        <v>837</v>
      </c>
      <c r="B48" s="34" t="n">
        <f aca="false">SUM(B41:B47)</f>
        <v>0</v>
      </c>
      <c r="C48" s="34" t="n">
        <f aca="false">SUM(C41:C47)</f>
        <v>0</v>
      </c>
      <c r="D48" s="35"/>
      <c r="E48" s="35"/>
      <c r="F48" s="3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0" t="n">
        <v>46067</v>
      </c>
      <c r="B53" s="31" t="n">
        <f aca="false">SUMIFS(Report!$U:$U,Report!$T:$T,"&lt;&gt;"&amp;"MERCADORIAS P/REVENDA",Report!$AA:$AA,"SIM",Report!$C:$C,A53)</f>
        <v>0</v>
      </c>
      <c r="C53" s="31" t="n">
        <f aca="false">SUMIFS(Report!$U:$U,Report!$T:$T,"MERCADORIAS P/REVENDA",Report!$AA:$AA,"SIM",Report!$C:$C,A53)</f>
        <v>0</v>
      </c>
      <c r="D53" s="32"/>
      <c r="E53" s="32"/>
      <c r="F53" s="31" t="n">
        <f aca="false">B53+C53</f>
        <v>0</v>
      </c>
    </row>
    <row r="54" customFormat="false" ht="12.75" hidden="false" customHeight="true" outlineLevel="0" collapsed="false">
      <c r="A54" s="30" t="n">
        <v>46068</v>
      </c>
      <c r="B54" s="31" t="n">
        <f aca="false">SUMIFS(Report!$U:$U,Report!$T:$T,"&lt;&gt;"&amp;"MERCADORIAS P/REVENDA",Report!$AA:$AA,"SIM",Report!$C:$C,A54)</f>
        <v>0</v>
      </c>
      <c r="C54" s="31" t="n">
        <f aca="false">SUMIFS(Report!$U:$U,Report!$T:$T,"MERCADORIAS P/REVENDA",Report!$AA:$AA,"SIM",Report!$C:$C,A54)</f>
        <v>0</v>
      </c>
      <c r="D54" s="32"/>
      <c r="E54" s="32"/>
      <c r="F54" s="31" t="n">
        <f aca="false">B54+C54</f>
        <v>0</v>
      </c>
    </row>
    <row r="55" customFormat="false" ht="12.75" hidden="false" customHeight="true" outlineLevel="0" collapsed="false">
      <c r="A55" s="30" t="n">
        <v>46069</v>
      </c>
      <c r="B55" s="31" t="n">
        <f aca="false">SUMIFS(Report!$U:$U,Report!$T:$T,"&lt;&gt;"&amp;"MERCADORIAS P/REVENDA",Report!$AA:$AA,"SIM",Report!$C:$C,A55)</f>
        <v>0</v>
      </c>
      <c r="C55" s="31" t="n">
        <f aca="false">SUMIFS(Report!$U:$U,Report!$T:$T,"MERCADORIAS P/REVENDA",Report!$AA:$AA,"SIM",Report!$C:$C,A55)</f>
        <v>0</v>
      </c>
      <c r="D55" s="32"/>
      <c r="E55" s="32"/>
      <c r="F55" s="31" t="n">
        <f aca="false">B55+C55</f>
        <v>0</v>
      </c>
    </row>
    <row r="56" customFormat="false" ht="12.75" hidden="false" customHeight="true" outlineLevel="0" collapsed="false">
      <c r="A56" s="33" t="s">
        <v>838</v>
      </c>
      <c r="B56" s="34" t="n">
        <f aca="false">SUM(B49:B55)</f>
        <v>0</v>
      </c>
      <c r="C56" s="34" t="n">
        <f aca="false">SUM(C49:C55)</f>
        <v>0</v>
      </c>
      <c r="D56" s="35"/>
      <c r="E56" s="35"/>
      <c r="F56" s="3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0" t="n">
        <v>46074</v>
      </c>
      <c r="B61" s="31" t="n">
        <f aca="false">SUMIFS(Report!$U:$U,Report!$T:$T,"&lt;&gt;"&amp;"MERCADORIAS P/REVENDA",Report!$AA:$AA,"SIM",Report!$C:$C,A61)</f>
        <v>0</v>
      </c>
      <c r="C61" s="31" t="n">
        <f aca="false">SUMIFS(Report!$U:$U,Report!$T:$T,"MERCADORIAS P/REVENDA",Report!$AA:$AA,"SIM",Report!$C:$C,A61)</f>
        <v>0</v>
      </c>
      <c r="D61" s="32"/>
      <c r="E61" s="32"/>
      <c r="F61" s="31" t="n">
        <f aca="false">B61+C61</f>
        <v>0</v>
      </c>
    </row>
    <row r="62" customFormat="false" ht="12.75" hidden="false" customHeight="true" outlineLevel="0" collapsed="false">
      <c r="A62" s="30" t="n">
        <v>46075</v>
      </c>
      <c r="B62" s="31" t="n">
        <f aca="false">SUMIFS(Report!$U:$U,Report!$T:$T,"&lt;&gt;"&amp;"MERCADORIAS P/REVENDA",Report!$AA:$AA,"SIM",Report!$C:$C,A62)</f>
        <v>0</v>
      </c>
      <c r="C62" s="31" t="n">
        <f aca="false">SUMIFS(Report!$U:$U,Report!$T:$T,"MERCADORIAS P/REVENDA",Report!$AA:$AA,"SIM",Report!$C:$C,A62)</f>
        <v>0</v>
      </c>
      <c r="D62" s="32"/>
      <c r="E62" s="32"/>
      <c r="F62" s="31" t="n">
        <f aca="false">B62+C62</f>
        <v>0</v>
      </c>
    </row>
    <row r="63" customFormat="false" ht="12.75" hidden="false" customHeight="true" outlineLevel="0" collapsed="false">
      <c r="A63" s="30" t="n">
        <v>46076</v>
      </c>
      <c r="B63" s="31" t="n">
        <f aca="false">SUMIFS(Report!$U:$U,Report!$T:$T,"&lt;&gt;"&amp;"MERCADORIAS P/REVENDA",Report!$AA:$AA,"SIM",Report!$C:$C,A63)</f>
        <v>0</v>
      </c>
      <c r="C63" s="31" t="n">
        <f aca="false">SUMIFS(Report!$U:$U,Report!$T:$T,"MERCADORIAS P/REVENDA",Report!$AA:$AA,"SIM",Report!$C:$C,A63)</f>
        <v>0</v>
      </c>
      <c r="D63" s="32"/>
      <c r="E63" s="32"/>
      <c r="F63" s="31" t="n">
        <f aca="false">B63+C63</f>
        <v>0</v>
      </c>
    </row>
    <row r="64" customFormat="false" ht="12.75" hidden="false" customHeight="true" outlineLevel="0" collapsed="false">
      <c r="A64" s="33" t="s">
        <v>839</v>
      </c>
      <c r="B64" s="34" t="n">
        <f aca="false">SUM(B57:B63)</f>
        <v>0</v>
      </c>
      <c r="C64" s="34" t="n">
        <f aca="false">SUM(C57:C63)</f>
        <v>0</v>
      </c>
      <c r="D64" s="35"/>
      <c r="E64" s="35"/>
      <c r="F64" s="3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0" t="n">
        <v>46081</v>
      </c>
      <c r="B69" s="31" t="n">
        <f aca="false">SUMIFS(Report!$U:$U,Report!$T:$T,"&lt;&gt;"&amp;"MERCADORIAS P/REVENDA",Report!$AA:$AA,"SIM",Report!$C:$C,A69)</f>
        <v>0</v>
      </c>
      <c r="C69" s="31" t="n">
        <f aca="false">SUMIFS(Report!$U:$U,Report!$T:$T,"MERCADORIAS P/REVENDA",Report!$AA:$AA,"SIM",Report!$C:$C,A69)</f>
        <v>0</v>
      </c>
      <c r="D69" s="32"/>
      <c r="E69" s="32"/>
      <c r="F69" s="31" t="n">
        <f aca="false">B69+C69</f>
        <v>0</v>
      </c>
    </row>
    <row r="70" customFormat="false" ht="12.75" hidden="false" customHeight="true" outlineLevel="0" collapsed="false">
      <c r="A70" s="30" t="n">
        <v>46082</v>
      </c>
      <c r="B70" s="31" t="n">
        <f aca="false">SUMIFS(Report!$U:$U,Report!$T:$T,"&lt;&gt;"&amp;"MERCADORIAS P/REVENDA",Report!$AA:$AA,"SIM",Report!$C:$C,A70)</f>
        <v>0</v>
      </c>
      <c r="C70" s="31" t="n">
        <f aca="false">SUMIFS(Report!$U:$U,Report!$T:$T,"MERCADORIAS P/REVENDA",Report!$AA:$AA,"SIM",Report!$C:$C,A70)</f>
        <v>0</v>
      </c>
      <c r="D70" s="32"/>
      <c r="E70" s="32"/>
      <c r="F70" s="31" t="n">
        <f aca="false">B70+C70</f>
        <v>0</v>
      </c>
    </row>
    <row r="71" customFormat="false" ht="12.75" hidden="false" customHeight="true" outlineLevel="0" collapsed="false">
      <c r="A71" s="30" t="n">
        <v>46083</v>
      </c>
      <c r="B71" s="31" t="n">
        <f aca="false">SUMIFS(Report!$U:$U,Report!$T:$T,"&lt;&gt;"&amp;"MERCADORIAS P/REVENDA",Report!$AA:$AA,"SIM",Report!$C:$C,A71)</f>
        <v>0</v>
      </c>
      <c r="C71" s="31" t="n">
        <f aca="false">SUMIFS(Report!$U:$U,Report!$T:$T,"MERCADORIAS P/REVENDA",Report!$AA:$AA,"SIM",Report!$C:$C,A71)</f>
        <v>0</v>
      </c>
      <c r="D71" s="32"/>
      <c r="E71" s="32"/>
      <c r="F71" s="31" t="n">
        <f aca="false">B71+C71</f>
        <v>0</v>
      </c>
    </row>
    <row r="72" customFormat="false" ht="12.75" hidden="false" customHeight="true" outlineLevel="0" collapsed="false">
      <c r="A72" s="33" t="s">
        <v>840</v>
      </c>
      <c r="B72" s="34" t="n">
        <f aca="false">SUM(B65:B71)</f>
        <v>0</v>
      </c>
      <c r="C72" s="34" t="n">
        <f aca="false">SUM(C65:C71)</f>
        <v>0</v>
      </c>
      <c r="D72" s="35"/>
      <c r="E72" s="35"/>
      <c r="F72" s="3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0" t="n">
        <v>46088</v>
      </c>
      <c r="B77" s="31" t="n">
        <f aca="false">SUMIFS(Report!$U:$U,Report!$T:$T,"&lt;&gt;"&amp;"MERCADORIAS P/REVENDA",Report!$AA:$AA,"SIM",Report!$C:$C,A77)</f>
        <v>0</v>
      </c>
      <c r="C77" s="31" t="n">
        <f aca="false">SUMIFS(Report!$U:$U,Report!$T:$T,"MERCADORIAS P/REVENDA",Report!$AA:$AA,"SIM",Report!$C:$C,A77)</f>
        <v>0</v>
      </c>
      <c r="D77" s="32"/>
      <c r="E77" s="32"/>
      <c r="F77" s="31" t="n">
        <f aca="false">B77+C77</f>
        <v>0</v>
      </c>
    </row>
    <row r="78" customFormat="false" ht="12.75" hidden="false" customHeight="true" outlineLevel="0" collapsed="false">
      <c r="A78" s="30" t="n">
        <v>46089</v>
      </c>
      <c r="B78" s="31" t="n">
        <f aca="false">SUMIFS(Report!$U:$U,Report!$T:$T,"&lt;&gt;"&amp;"MERCADORIAS P/REVENDA",Report!$AA:$AA,"SIM",Report!$C:$C,A78)</f>
        <v>0</v>
      </c>
      <c r="C78" s="31" t="n">
        <f aca="false">SUMIFS(Report!$U:$U,Report!$T:$T,"MERCADORIAS P/REVENDA",Report!$AA:$AA,"SIM",Report!$C:$C,A78)</f>
        <v>0</v>
      </c>
      <c r="D78" s="32"/>
      <c r="E78" s="32"/>
      <c r="F78" s="31" t="n">
        <f aca="false">B78+C78</f>
        <v>0</v>
      </c>
    </row>
    <row r="79" customFormat="false" ht="12.75" hidden="false" customHeight="true" outlineLevel="0" collapsed="false">
      <c r="A79" s="30" t="n">
        <v>46090</v>
      </c>
      <c r="B79" s="31" t="n">
        <f aca="false">SUMIFS(Report!$U:$U,Report!$T:$T,"&lt;&gt;"&amp;"MERCADORIAS P/REVENDA",Report!$AA:$AA,"SIM",Report!$C:$C,A79)</f>
        <v>0</v>
      </c>
      <c r="C79" s="31" t="n">
        <f aca="false">SUMIFS(Report!$U:$U,Report!$T:$T,"MERCADORIAS P/REVENDA",Report!$AA:$AA,"SIM",Report!$C:$C,A79)</f>
        <v>0</v>
      </c>
      <c r="D79" s="32"/>
      <c r="E79" s="32"/>
      <c r="F79" s="31" t="n">
        <f aca="false">B79+C79</f>
        <v>0</v>
      </c>
    </row>
    <row r="80" customFormat="false" ht="12.75" hidden="false" customHeight="true" outlineLevel="0" collapsed="false">
      <c r="A80" s="33" t="s">
        <v>841</v>
      </c>
      <c r="B80" s="34" t="n">
        <f aca="false">SUM(B73:B79)</f>
        <v>0</v>
      </c>
      <c r="C80" s="34" t="n">
        <f aca="false">SUM(C73:C79)</f>
        <v>0</v>
      </c>
      <c r="D80" s="35"/>
      <c r="E80" s="35"/>
      <c r="F80" s="3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0" t="n">
        <v>46095</v>
      </c>
      <c r="B85" s="31" t="n">
        <f aca="false">SUMIFS(Report!$U:$U,Report!$T:$T,"&lt;&gt;"&amp;"MERCADORIAS P/REVENDA",Report!$AA:$AA,"SIM",Report!$C:$C,A85)</f>
        <v>0</v>
      </c>
      <c r="C85" s="31" t="n">
        <f aca="false">SUMIFS(Report!$U:$U,Report!$T:$T,"MERCADORIAS P/REVENDA",Report!$AA:$AA,"SIM",Report!$C:$C,A85)</f>
        <v>0</v>
      </c>
      <c r="D85" s="32"/>
      <c r="E85" s="32"/>
      <c r="F85" s="31" t="n">
        <f aca="false">B85+C85</f>
        <v>0</v>
      </c>
    </row>
    <row r="86" customFormat="false" ht="12.75" hidden="false" customHeight="true" outlineLevel="0" collapsed="false">
      <c r="A86" s="30" t="n">
        <v>46096</v>
      </c>
      <c r="B86" s="31" t="n">
        <f aca="false">SUMIFS(Report!$U:$U,Report!$T:$T,"&lt;&gt;"&amp;"MERCADORIAS P/REVENDA",Report!$AA:$AA,"SIM",Report!$C:$C,A86)</f>
        <v>0</v>
      </c>
      <c r="C86" s="31" t="n">
        <f aca="false">SUMIFS(Report!$U:$U,Report!$T:$T,"MERCADORIAS P/REVENDA",Report!$AA:$AA,"SIM",Report!$C:$C,A86)</f>
        <v>0</v>
      </c>
      <c r="D86" s="32"/>
      <c r="E86" s="32"/>
      <c r="F86" s="31" t="n">
        <f aca="false">B86+C86</f>
        <v>0</v>
      </c>
    </row>
    <row r="87" customFormat="false" ht="12.75" hidden="false" customHeight="true" outlineLevel="0" collapsed="false">
      <c r="A87" s="30" t="n">
        <v>46097</v>
      </c>
      <c r="B87" s="31" t="n">
        <f aca="false">SUMIFS(Report!$U:$U,Report!$T:$T,"&lt;&gt;"&amp;"MERCADORIAS P/REVENDA",Report!$AA:$AA,"SIM",Report!$C:$C,A87)</f>
        <v>0</v>
      </c>
      <c r="C87" s="31" t="n">
        <f aca="false">SUMIFS(Report!$U:$U,Report!$T:$T,"MERCADORIAS P/REVENDA",Report!$AA:$AA,"SIM",Report!$C:$C,A87)</f>
        <v>0</v>
      </c>
      <c r="D87" s="32"/>
      <c r="E87" s="32"/>
      <c r="F87" s="31" t="n">
        <f aca="false">B87+C87</f>
        <v>0</v>
      </c>
    </row>
    <row r="88" customFormat="false" ht="12.75" hidden="false" customHeight="true" outlineLevel="0" collapsed="false">
      <c r="A88" s="33" t="s">
        <v>842</v>
      </c>
      <c r="B88" s="34" t="n">
        <f aca="false">SUM(B81:B87)</f>
        <v>0</v>
      </c>
      <c r="C88" s="34" t="n">
        <f aca="false">SUM(C81:C87)</f>
        <v>0</v>
      </c>
      <c r="D88" s="35"/>
      <c r="E88" s="35"/>
      <c r="F88" s="3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0" t="n">
        <v>46102</v>
      </c>
      <c r="B93" s="31" t="n">
        <f aca="false">SUMIFS(Report!$U:$U,Report!$T:$T,"&lt;&gt;"&amp;"MERCADORIAS P/REVENDA",Report!$AA:$AA,"SIM",Report!$C:$C,A93)</f>
        <v>0</v>
      </c>
      <c r="C93" s="31" t="n">
        <f aca="false">SUMIFS(Report!$U:$U,Report!$T:$T,"MERCADORIAS P/REVENDA",Report!$AA:$AA,"SIM",Report!$C:$C,A93)</f>
        <v>0</v>
      </c>
      <c r="D93" s="32"/>
      <c r="E93" s="32"/>
      <c r="F93" s="31" t="n">
        <f aca="false">B93+C93</f>
        <v>0</v>
      </c>
    </row>
    <row r="94" customFormat="false" ht="12.75" hidden="false" customHeight="true" outlineLevel="0" collapsed="false">
      <c r="A94" s="30" t="n">
        <v>46103</v>
      </c>
      <c r="B94" s="31" t="n">
        <f aca="false">SUMIFS(Report!$U:$U,Report!$T:$T,"&lt;&gt;"&amp;"MERCADORIAS P/REVENDA",Report!$AA:$AA,"SIM",Report!$C:$C,A94)</f>
        <v>0</v>
      </c>
      <c r="C94" s="31" t="n">
        <f aca="false">SUMIFS(Report!$U:$U,Report!$T:$T,"MERCADORIAS P/REVENDA",Report!$AA:$AA,"SIM",Report!$C:$C,A94)</f>
        <v>0</v>
      </c>
      <c r="D94" s="32"/>
      <c r="E94" s="32"/>
      <c r="F94" s="31" t="n">
        <f aca="false">B94+C94</f>
        <v>0</v>
      </c>
    </row>
    <row r="95" customFormat="false" ht="12.75" hidden="false" customHeight="true" outlineLevel="0" collapsed="false">
      <c r="A95" s="30" t="n">
        <v>46104</v>
      </c>
      <c r="B95" s="31" t="n">
        <f aca="false">SUMIFS(Report!$U:$U,Report!$T:$T,"&lt;&gt;"&amp;"MERCADORIAS P/REVENDA",Report!$AA:$AA,"SIM",Report!$C:$C,A95)</f>
        <v>0</v>
      </c>
      <c r="C95" s="31" t="n">
        <f aca="false">SUMIFS(Report!$U:$U,Report!$T:$T,"MERCADORIAS P/REVENDA",Report!$AA:$AA,"SIM",Report!$C:$C,A95)</f>
        <v>0</v>
      </c>
      <c r="D95" s="32"/>
      <c r="E95" s="32"/>
      <c r="F95" s="31" t="n">
        <f aca="false">B95+C95</f>
        <v>0</v>
      </c>
    </row>
    <row r="96" customFormat="false" ht="12.75" hidden="false" customHeight="true" outlineLevel="0" collapsed="false">
      <c r="A96" s="33" t="s">
        <v>843</v>
      </c>
      <c r="B96" s="34" t="n">
        <f aca="false">SUM(B89:B95)</f>
        <v>0</v>
      </c>
      <c r="C96" s="34" t="n">
        <f aca="false">SUM(C89:C95)</f>
        <v>0</v>
      </c>
      <c r="D96" s="35"/>
      <c r="E96" s="35"/>
      <c r="F96" s="3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0" t="n">
        <v>46109</v>
      </c>
      <c r="B101" s="31" t="n">
        <f aca="false">SUMIFS(Report!$U:$U,Report!$T:$T,"&lt;&gt;"&amp;"MERCADORIAS P/REVENDA",Report!$AA:$AA,"SIM",Report!$C:$C,A101)</f>
        <v>0</v>
      </c>
      <c r="C101" s="31" t="n">
        <f aca="false">SUMIFS(Report!$U:$U,Report!$T:$T,"MERCADORIAS P/REVENDA",Report!$AA:$AA,"SIM",Report!$C:$C,A101)</f>
        <v>0</v>
      </c>
      <c r="D101" s="32"/>
      <c r="E101" s="32"/>
      <c r="F101" s="31" t="n">
        <f aca="false">B101+C101</f>
        <v>0</v>
      </c>
    </row>
    <row r="102" customFormat="false" ht="12.75" hidden="false" customHeight="true" outlineLevel="0" collapsed="false">
      <c r="A102" s="30" t="n">
        <v>46110</v>
      </c>
      <c r="B102" s="31" t="n">
        <f aca="false">SUMIFS(Report!$U:$U,Report!$T:$T,"&lt;&gt;"&amp;"MERCADORIAS P/REVENDA",Report!$AA:$AA,"SIM",Report!$C:$C,A102)</f>
        <v>0</v>
      </c>
      <c r="C102" s="31" t="n">
        <f aca="false">SUMIFS(Report!$U:$U,Report!$T:$T,"MERCADORIAS P/REVENDA",Report!$AA:$AA,"SIM",Report!$C:$C,A102)</f>
        <v>0</v>
      </c>
      <c r="D102" s="32"/>
      <c r="E102" s="32"/>
      <c r="F102" s="31" t="n">
        <f aca="false">B102+C102</f>
        <v>0</v>
      </c>
    </row>
    <row r="103" customFormat="false" ht="12.75" hidden="false" customHeight="true" outlineLevel="0" collapsed="false">
      <c r="A103" s="30" t="n">
        <v>46111</v>
      </c>
      <c r="B103" s="31" t="n">
        <f aca="false">SUMIFS(Report!$U:$U,Report!$T:$T,"&lt;&gt;"&amp;"MERCADORIAS P/REVENDA",Report!$AA:$AA,"SIM",Report!$C:$C,A103)</f>
        <v>0</v>
      </c>
      <c r="C103" s="31" t="n">
        <f aca="false">SUMIFS(Report!$U:$U,Report!$T:$T,"MERCADORIAS P/REVENDA",Report!$AA:$AA,"SIM",Report!$C:$C,A103)</f>
        <v>0</v>
      </c>
      <c r="D103" s="32"/>
      <c r="E103" s="32"/>
      <c r="F103" s="31" t="n">
        <f aca="false">B103+C103</f>
        <v>0</v>
      </c>
    </row>
    <row r="104" customFormat="false" ht="12.75" hidden="false" customHeight="true" outlineLevel="0" collapsed="false">
      <c r="A104" s="33" t="s">
        <v>844</v>
      </c>
      <c r="B104" s="34" t="n">
        <f aca="false">SUM(B97:B103)</f>
        <v>0</v>
      </c>
      <c r="C104" s="34" t="n">
        <f aca="false">SUM(C97:C103)</f>
        <v>0</v>
      </c>
      <c r="D104" s="35"/>
      <c r="E104" s="35"/>
      <c r="F104" s="3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0" t="n">
        <v>46116</v>
      </c>
      <c r="B109" s="31" t="n">
        <f aca="false">SUMIFS(Report!$U:$U,Report!$T:$T,"&lt;&gt;"&amp;"MERCADORIAS P/REVENDA",Report!$AA:$AA,"SIM",Report!$C:$C,A109)</f>
        <v>0</v>
      </c>
      <c r="C109" s="31" t="n">
        <f aca="false">SUMIFS(Report!$U:$U,Report!$T:$T,"MERCADORIAS P/REVENDA",Report!$AA:$AA,"SIM",Report!$C:$C,A109)</f>
        <v>0</v>
      </c>
      <c r="D109" s="32"/>
      <c r="E109" s="32"/>
      <c r="F109" s="31" t="n">
        <f aca="false">B109+C109</f>
        <v>0</v>
      </c>
    </row>
    <row r="110" customFormat="false" ht="12.75" hidden="false" customHeight="true" outlineLevel="0" collapsed="false">
      <c r="A110" s="30" t="n">
        <v>46117</v>
      </c>
      <c r="B110" s="31" t="n">
        <f aca="false">SUMIFS(Report!$U:$U,Report!$T:$T,"&lt;&gt;"&amp;"MERCADORIAS P/REVENDA",Report!$AA:$AA,"SIM",Report!$C:$C,A110)</f>
        <v>0</v>
      </c>
      <c r="C110" s="31" t="n">
        <f aca="false">SUMIFS(Report!$U:$U,Report!$T:$T,"MERCADORIAS P/REVENDA",Report!$AA:$AA,"SIM",Report!$C:$C,A110)</f>
        <v>0</v>
      </c>
      <c r="D110" s="32"/>
      <c r="E110" s="32"/>
      <c r="F110" s="31" t="n">
        <f aca="false">B110+C110</f>
        <v>0</v>
      </c>
    </row>
    <row r="111" customFormat="false" ht="12.75" hidden="false" customHeight="true" outlineLevel="0" collapsed="false">
      <c r="A111" s="30" t="n">
        <v>46118</v>
      </c>
      <c r="B111" s="31" t="n">
        <f aca="false">SUMIFS(Report!$U:$U,Report!$T:$T,"&lt;&gt;"&amp;"MERCADORIAS P/REVENDA",Report!$AA:$AA,"SIM",Report!$C:$C,A111)</f>
        <v>0</v>
      </c>
      <c r="C111" s="31" t="n">
        <f aca="false">SUMIFS(Report!$U:$U,Report!$T:$T,"MERCADORIAS P/REVENDA",Report!$AA:$AA,"SIM",Report!$C:$C,A111)</f>
        <v>0</v>
      </c>
      <c r="D111" s="32"/>
      <c r="E111" s="32"/>
      <c r="F111" s="31" t="n">
        <f aca="false">B111+C111</f>
        <v>0</v>
      </c>
    </row>
    <row r="112" customFormat="false" ht="12.75" hidden="false" customHeight="true" outlineLevel="0" collapsed="false">
      <c r="A112" s="33" t="s">
        <v>845</v>
      </c>
      <c r="B112" s="34" t="n">
        <f aca="false">SUM(B105:B111)</f>
        <v>0</v>
      </c>
      <c r="C112" s="34" t="n">
        <f aca="false">SUM(C105:C111)</f>
        <v>0</v>
      </c>
      <c r="D112" s="35"/>
      <c r="E112" s="35"/>
      <c r="F112" s="3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0" t="n">
        <v>46123</v>
      </c>
      <c r="B117" s="31" t="n">
        <f aca="false">SUMIFS(Report!$U:$U,Report!$T:$T,"&lt;&gt;"&amp;"MERCADORIAS P/REVENDA",Report!$AA:$AA,"SIM",Report!$C:$C,A117)</f>
        <v>0</v>
      </c>
      <c r="C117" s="31" t="n">
        <f aca="false">SUMIFS(Report!$U:$U,Report!$T:$T,"MERCADORIAS P/REVENDA",Report!$AA:$AA,"SIM",Report!$C:$C,A117)</f>
        <v>0</v>
      </c>
      <c r="D117" s="32"/>
      <c r="E117" s="32"/>
      <c r="F117" s="31" t="n">
        <f aca="false">B117+C117</f>
        <v>0</v>
      </c>
    </row>
    <row r="118" customFormat="false" ht="12.75" hidden="false" customHeight="true" outlineLevel="0" collapsed="false">
      <c r="A118" s="30" t="n">
        <v>46124</v>
      </c>
      <c r="B118" s="31" t="n">
        <f aca="false">SUMIFS(Report!$U:$U,Report!$T:$T,"&lt;&gt;"&amp;"MERCADORIAS P/REVENDA",Report!$AA:$AA,"SIM",Report!$C:$C,A118)</f>
        <v>0</v>
      </c>
      <c r="C118" s="31" t="n">
        <f aca="false">SUMIFS(Report!$U:$U,Report!$T:$T,"MERCADORIAS P/REVENDA",Report!$AA:$AA,"SIM",Report!$C:$C,A118)</f>
        <v>0</v>
      </c>
      <c r="D118" s="32"/>
      <c r="E118" s="32"/>
      <c r="F118" s="31" t="n">
        <f aca="false">B118+C118</f>
        <v>0</v>
      </c>
    </row>
    <row r="119" customFormat="false" ht="12.75" hidden="false" customHeight="true" outlineLevel="0" collapsed="false">
      <c r="A119" s="30" t="n">
        <v>46125</v>
      </c>
      <c r="B119" s="31" t="n">
        <f aca="false">SUMIFS(Report!$U:$U,Report!$T:$T,"&lt;&gt;"&amp;"MERCADORIAS P/REVENDA",Report!$AA:$AA,"SIM",Report!$C:$C,A119)</f>
        <v>0</v>
      </c>
      <c r="C119" s="31" t="n">
        <f aca="false">SUMIFS(Report!$U:$U,Report!$T:$T,"MERCADORIAS P/REVENDA",Report!$AA:$AA,"SIM",Report!$C:$C,A119)</f>
        <v>0</v>
      </c>
      <c r="D119" s="32"/>
      <c r="E119" s="32"/>
      <c r="F119" s="31" t="n">
        <f aca="false">B119+C119</f>
        <v>0</v>
      </c>
    </row>
    <row r="120" customFormat="false" ht="12.75" hidden="false" customHeight="true" outlineLevel="0" collapsed="false">
      <c r="A120" s="33" t="s">
        <v>846</v>
      </c>
      <c r="B120" s="34" t="n">
        <f aca="false">SUM(B113:B119)</f>
        <v>0</v>
      </c>
      <c r="C120" s="34" t="n">
        <f aca="false">SUM(C113:C119)</f>
        <v>0</v>
      </c>
      <c r="D120" s="35"/>
      <c r="E120" s="35"/>
      <c r="F120" s="3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0" t="n">
        <v>46130</v>
      </c>
      <c r="B125" s="31" t="n">
        <f aca="false">SUMIFS(Report!$U:$U,Report!$T:$T,"&lt;&gt;"&amp;"MERCADORIAS P/REVENDA",Report!$AA:$AA,"SIM",Report!$C:$C,A125)</f>
        <v>0</v>
      </c>
      <c r="C125" s="31" t="n">
        <f aca="false">SUMIFS(Report!$U:$U,Report!$T:$T,"MERCADORIAS P/REVENDA",Report!$AA:$AA,"SIM",Report!$C:$C,A125)</f>
        <v>0</v>
      </c>
      <c r="D125" s="32"/>
      <c r="E125" s="32"/>
      <c r="F125" s="31" t="n">
        <f aca="false">B125+C125</f>
        <v>0</v>
      </c>
    </row>
    <row r="126" customFormat="false" ht="12.75" hidden="false" customHeight="true" outlineLevel="0" collapsed="false">
      <c r="A126" s="30" t="n">
        <v>46131</v>
      </c>
      <c r="B126" s="31" t="n">
        <f aca="false">SUMIFS(Report!$U:$U,Report!$T:$T,"&lt;&gt;"&amp;"MERCADORIAS P/REVENDA",Report!$AA:$AA,"SIM",Report!$C:$C,A126)</f>
        <v>0</v>
      </c>
      <c r="C126" s="31" t="n">
        <f aca="false">SUMIFS(Report!$U:$U,Report!$T:$T,"MERCADORIAS P/REVENDA",Report!$AA:$AA,"SIM",Report!$C:$C,A126)</f>
        <v>0</v>
      </c>
      <c r="D126" s="32"/>
      <c r="E126" s="32"/>
      <c r="F126" s="31" t="n">
        <f aca="false">B126+C126</f>
        <v>0</v>
      </c>
    </row>
    <row r="127" customFormat="false" ht="12.75" hidden="false" customHeight="true" outlineLevel="0" collapsed="false">
      <c r="A127" s="30" t="n">
        <v>46132</v>
      </c>
      <c r="B127" s="31" t="n">
        <f aca="false">SUMIFS(Report!$U:$U,Report!$T:$T,"&lt;&gt;"&amp;"MERCADORIAS P/REVENDA",Report!$AA:$AA,"SIM",Report!$C:$C,A127)</f>
        <v>0</v>
      </c>
      <c r="C127" s="31" t="n">
        <f aca="false">SUMIFS(Report!$U:$U,Report!$T:$T,"MERCADORIAS P/REVENDA",Report!$AA:$AA,"SIM",Report!$C:$C,A127)</f>
        <v>0</v>
      </c>
      <c r="D127" s="32"/>
      <c r="E127" s="32"/>
      <c r="F127" s="31" t="n">
        <f aca="false">B127+C127</f>
        <v>0</v>
      </c>
    </row>
    <row r="128" customFormat="false" ht="12.75" hidden="false" customHeight="true" outlineLevel="0" collapsed="false">
      <c r="A128" s="33" t="s">
        <v>847</v>
      </c>
      <c r="B128" s="34" t="n">
        <f aca="false">SUM(B121:B127)</f>
        <v>0</v>
      </c>
      <c r="C128" s="34" t="n">
        <f aca="false">SUM(C121:C127)</f>
        <v>0</v>
      </c>
      <c r="D128" s="35"/>
      <c r="E128" s="35"/>
      <c r="F128" s="3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0" t="n">
        <v>46137</v>
      </c>
      <c r="B133" s="31" t="n">
        <f aca="false">SUMIFS(Report!$U:$U,Report!$T:$T,"&lt;&gt;"&amp;"MERCADORIAS P/REVENDA",Report!$AA:$AA,"SIM",Report!$C:$C,A133)</f>
        <v>0</v>
      </c>
      <c r="C133" s="31" t="n">
        <f aca="false">SUMIFS(Report!$U:$U,Report!$T:$T,"MERCADORIAS P/REVENDA",Report!$AA:$AA,"SIM",Report!$C:$C,A133)</f>
        <v>0</v>
      </c>
      <c r="D133" s="32"/>
      <c r="E133" s="32"/>
      <c r="F133" s="31" t="n">
        <f aca="false">B133+C133</f>
        <v>0</v>
      </c>
    </row>
    <row r="134" customFormat="false" ht="12.75" hidden="false" customHeight="true" outlineLevel="0" collapsed="false">
      <c r="A134" s="30" t="n">
        <v>46138</v>
      </c>
      <c r="B134" s="31" t="n">
        <f aca="false">SUMIFS(Report!$U:$U,Report!$T:$T,"&lt;&gt;"&amp;"MERCADORIAS P/REVENDA",Report!$AA:$AA,"SIM",Report!$C:$C,A134)</f>
        <v>0</v>
      </c>
      <c r="C134" s="31" t="n">
        <f aca="false">SUMIFS(Report!$U:$U,Report!$T:$T,"MERCADORIAS P/REVENDA",Report!$AA:$AA,"SIM",Report!$C:$C,A134)</f>
        <v>0</v>
      </c>
      <c r="D134" s="32"/>
      <c r="E134" s="32"/>
      <c r="F134" s="31" t="n">
        <f aca="false">B134+C134</f>
        <v>0</v>
      </c>
    </row>
    <row r="135" customFormat="false" ht="12.75" hidden="false" customHeight="true" outlineLevel="0" collapsed="false">
      <c r="A135" s="30" t="n">
        <v>46139</v>
      </c>
      <c r="B135" s="31" t="n">
        <f aca="false">SUMIFS(Report!$U:$U,Report!$T:$T,"&lt;&gt;"&amp;"MERCADORIAS P/REVENDA",Report!$AA:$AA,"SIM",Report!$C:$C,A135)</f>
        <v>0</v>
      </c>
      <c r="C135" s="31" t="n">
        <f aca="false">SUMIFS(Report!$U:$U,Report!$T:$T,"MERCADORIAS P/REVENDA",Report!$AA:$AA,"SIM",Report!$C:$C,A135)</f>
        <v>0</v>
      </c>
      <c r="D135" s="32"/>
      <c r="E135" s="32"/>
      <c r="F135" s="31" t="n">
        <f aca="false">B135+C135</f>
        <v>0</v>
      </c>
    </row>
    <row r="136" customFormat="false" ht="12.75" hidden="false" customHeight="true" outlineLevel="0" collapsed="false">
      <c r="A136" s="33" t="s">
        <v>848</v>
      </c>
      <c r="B136" s="34" t="n">
        <f aca="false">SUM(B129:B135)</f>
        <v>0</v>
      </c>
      <c r="C136" s="34" t="n">
        <f aca="false">SUM(C129:C135)</f>
        <v>0</v>
      </c>
      <c r="D136" s="35"/>
      <c r="E136" s="35"/>
      <c r="F136" s="3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0" t="n">
        <v>46144</v>
      </c>
      <c r="B141" s="31" t="n">
        <f aca="false">SUMIFS(Report!$U:$U,Report!$T:$T,"&lt;&gt;"&amp;"MERCADORIAS P/REVENDA",Report!$AA:$AA,"SIM",Report!$C:$C,A141)</f>
        <v>0</v>
      </c>
      <c r="C141" s="31" t="n">
        <f aca="false">SUMIFS(Report!$U:$U,Report!$T:$T,"MERCADORIAS P/REVENDA",Report!$AA:$AA,"SIM",Report!$C:$C,A141)</f>
        <v>0</v>
      </c>
      <c r="D141" s="32"/>
      <c r="E141" s="32"/>
      <c r="F141" s="31" t="n">
        <f aca="false">B141+C141</f>
        <v>0</v>
      </c>
    </row>
    <row r="142" customFormat="false" ht="12.75" hidden="false" customHeight="true" outlineLevel="0" collapsed="false">
      <c r="A142" s="30" t="n">
        <v>46145</v>
      </c>
      <c r="B142" s="31" t="n">
        <f aca="false">SUMIFS(Report!$U:$U,Report!$T:$T,"&lt;&gt;"&amp;"MERCADORIAS P/REVENDA",Report!$AA:$AA,"SIM",Report!$C:$C,A142)</f>
        <v>0</v>
      </c>
      <c r="C142" s="31" t="n">
        <f aca="false">SUMIFS(Report!$U:$U,Report!$T:$T,"MERCADORIAS P/REVENDA",Report!$AA:$AA,"SIM",Report!$C:$C,A142)</f>
        <v>0</v>
      </c>
      <c r="D142" s="32"/>
      <c r="E142" s="32"/>
      <c r="F142" s="31" t="n">
        <f aca="false">B142+C142</f>
        <v>0</v>
      </c>
    </row>
    <row r="143" customFormat="false" ht="12.75" hidden="false" customHeight="true" outlineLevel="0" collapsed="false">
      <c r="A143" s="30" t="n">
        <v>46146</v>
      </c>
      <c r="B143" s="31" t="n">
        <f aca="false">SUMIFS(Report!$U:$U,Report!$T:$T,"&lt;&gt;"&amp;"MERCADORIAS P/REVENDA",Report!$AA:$AA,"SIM",Report!$C:$C,A143)</f>
        <v>0</v>
      </c>
      <c r="C143" s="31" t="n">
        <f aca="false">SUMIFS(Report!$U:$U,Report!$T:$T,"MERCADORIAS P/REVENDA",Report!$AA:$AA,"SIM",Report!$C:$C,A143)</f>
        <v>0</v>
      </c>
      <c r="D143" s="32"/>
      <c r="E143" s="32"/>
      <c r="F143" s="31" t="n">
        <f aca="false">B143+C143</f>
        <v>0</v>
      </c>
    </row>
    <row r="144" customFormat="false" ht="12.75" hidden="false" customHeight="true" outlineLevel="0" collapsed="false">
      <c r="A144" s="33" t="s">
        <v>849</v>
      </c>
      <c r="B144" s="34" t="n">
        <f aca="false">SUM(B137:B143)</f>
        <v>0</v>
      </c>
      <c r="C144" s="34" t="n">
        <f aca="false">SUM(C137:C143)</f>
        <v>0</v>
      </c>
      <c r="D144" s="35"/>
      <c r="E144" s="35"/>
      <c r="F144" s="3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0" t="n">
        <v>46151</v>
      </c>
      <c r="B149" s="31" t="n">
        <f aca="false">SUMIFS(Report!$U:$U,Report!$T:$T,"&lt;&gt;"&amp;"MERCADORIAS P/REVENDA",Report!$AA:$AA,"SIM",Report!$C:$C,A149)</f>
        <v>0</v>
      </c>
      <c r="C149" s="31" t="n">
        <f aca="false">SUMIFS(Report!$U:$U,Report!$T:$T,"MERCADORIAS P/REVENDA",Report!$AA:$AA,"SIM",Report!$C:$C,A149)</f>
        <v>0</v>
      </c>
      <c r="D149" s="32"/>
      <c r="E149" s="32"/>
      <c r="F149" s="31" t="n">
        <f aca="false">B149+C149</f>
        <v>0</v>
      </c>
    </row>
    <row r="150" customFormat="false" ht="12.75" hidden="false" customHeight="true" outlineLevel="0" collapsed="false">
      <c r="A150" s="30" t="n">
        <v>46152</v>
      </c>
      <c r="B150" s="31" t="n">
        <f aca="false">SUMIFS(Report!$U:$U,Report!$T:$T,"&lt;&gt;"&amp;"MERCADORIAS P/REVENDA",Report!$AA:$AA,"SIM",Report!$C:$C,A150)</f>
        <v>0</v>
      </c>
      <c r="C150" s="31" t="n">
        <f aca="false">SUMIFS(Report!$U:$U,Report!$T:$T,"MERCADORIAS P/REVENDA",Report!$AA:$AA,"SIM",Report!$C:$C,A150)</f>
        <v>0</v>
      </c>
      <c r="D150" s="32"/>
      <c r="E150" s="32"/>
      <c r="F150" s="31" t="n">
        <f aca="false">B150+C150</f>
        <v>0</v>
      </c>
    </row>
    <row r="151" customFormat="false" ht="12.75" hidden="false" customHeight="true" outlineLevel="0" collapsed="false">
      <c r="A151" s="30" t="n">
        <v>46153</v>
      </c>
      <c r="B151" s="31" t="n">
        <f aca="false">SUMIFS(Report!$U:$U,Report!$T:$T,"&lt;&gt;"&amp;"MERCADORIAS P/REVENDA",Report!$AA:$AA,"SIM",Report!$C:$C,A151)</f>
        <v>0</v>
      </c>
      <c r="C151" s="31" t="n">
        <f aca="false">SUMIFS(Report!$U:$U,Report!$T:$T,"MERCADORIAS P/REVENDA",Report!$AA:$AA,"SIM",Report!$C:$C,A151)</f>
        <v>0</v>
      </c>
      <c r="D151" s="32"/>
      <c r="E151" s="32"/>
      <c r="F151" s="31" t="n">
        <f aca="false">B151+C151</f>
        <v>0</v>
      </c>
    </row>
    <row r="152" customFormat="false" ht="12.75" hidden="false" customHeight="true" outlineLevel="0" collapsed="false">
      <c r="A152" s="33" t="s">
        <v>850</v>
      </c>
      <c r="B152" s="34" t="n">
        <f aca="false">SUM(B145:B151)</f>
        <v>0</v>
      </c>
      <c r="C152" s="34" t="n">
        <f aca="false">SUM(C145:C151)</f>
        <v>0</v>
      </c>
      <c r="D152" s="35"/>
      <c r="E152" s="35"/>
      <c r="F152" s="3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0" t="n">
        <v>46158</v>
      </c>
      <c r="B157" s="31" t="n">
        <f aca="false">SUMIFS(Report!$U:$U,Report!$T:$T,"&lt;&gt;"&amp;"MERCADORIAS P/REVENDA",Report!$AA:$AA,"SIM",Report!$C:$C,A157)</f>
        <v>0</v>
      </c>
      <c r="C157" s="31" t="n">
        <f aca="false">SUMIFS(Report!$U:$U,Report!$T:$T,"MERCADORIAS P/REVENDA",Report!$AA:$AA,"SIM",Report!$C:$C,A157)</f>
        <v>0</v>
      </c>
      <c r="D157" s="32"/>
      <c r="E157" s="32"/>
      <c r="F157" s="31" t="n">
        <f aca="false">B157+C157</f>
        <v>0</v>
      </c>
    </row>
    <row r="158" customFormat="false" ht="12.75" hidden="false" customHeight="true" outlineLevel="0" collapsed="false">
      <c r="A158" s="30" t="n">
        <v>46159</v>
      </c>
      <c r="B158" s="31" t="n">
        <f aca="false">SUMIFS(Report!$U:$U,Report!$T:$T,"&lt;&gt;"&amp;"MERCADORIAS P/REVENDA",Report!$AA:$AA,"SIM",Report!$C:$C,A158)</f>
        <v>0</v>
      </c>
      <c r="C158" s="31" t="n">
        <f aca="false">SUMIFS(Report!$U:$U,Report!$T:$T,"MERCADORIAS P/REVENDA",Report!$AA:$AA,"SIM",Report!$C:$C,A158)</f>
        <v>0</v>
      </c>
      <c r="D158" s="32"/>
      <c r="E158" s="32"/>
      <c r="F158" s="31" t="n">
        <f aca="false">B158+C158</f>
        <v>0</v>
      </c>
    </row>
    <row r="159" customFormat="false" ht="12.75" hidden="false" customHeight="true" outlineLevel="0" collapsed="false">
      <c r="A159" s="30" t="n">
        <v>46160</v>
      </c>
      <c r="B159" s="31" t="n">
        <f aca="false">SUMIFS(Report!$U:$U,Report!$T:$T,"&lt;&gt;"&amp;"MERCADORIAS P/REVENDA",Report!$AA:$AA,"SIM",Report!$C:$C,A159)</f>
        <v>0</v>
      </c>
      <c r="C159" s="31" t="n">
        <f aca="false">SUMIFS(Report!$U:$U,Report!$T:$T,"MERCADORIAS P/REVENDA",Report!$AA:$AA,"SIM",Report!$C:$C,A159)</f>
        <v>0</v>
      </c>
      <c r="D159" s="32"/>
      <c r="E159" s="32"/>
      <c r="F159" s="31" t="n">
        <f aca="false">B159+C159</f>
        <v>0</v>
      </c>
    </row>
    <row r="160" customFormat="false" ht="12.75" hidden="false" customHeight="true" outlineLevel="0" collapsed="false">
      <c r="A160" s="33" t="s">
        <v>851</v>
      </c>
      <c r="B160" s="34" t="n">
        <f aca="false">SUM(B153:B159)</f>
        <v>0</v>
      </c>
      <c r="C160" s="34" t="n">
        <f aca="false">SUM(C153:C159)</f>
        <v>0</v>
      </c>
      <c r="D160" s="35"/>
      <c r="E160" s="35"/>
      <c r="F160" s="3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0" t="n">
        <v>46165</v>
      </c>
      <c r="B165" s="31" t="n">
        <f aca="false">SUMIFS(Report!$U:$U,Report!$T:$T,"&lt;&gt;"&amp;"MERCADORIAS P/REVENDA",Report!$AA:$AA,"SIM",Report!$C:$C,A165)</f>
        <v>0</v>
      </c>
      <c r="C165" s="31" t="n">
        <f aca="false">SUMIFS(Report!$U:$U,Report!$T:$T,"MERCADORIAS P/REVENDA",Report!$AA:$AA,"SIM",Report!$C:$C,A165)</f>
        <v>0</v>
      </c>
      <c r="D165" s="32"/>
      <c r="E165" s="32"/>
      <c r="F165" s="31" t="n">
        <f aca="false">B165+C165</f>
        <v>0</v>
      </c>
    </row>
    <row r="166" customFormat="false" ht="12.75" hidden="false" customHeight="true" outlineLevel="0" collapsed="false">
      <c r="A166" s="30" t="n">
        <v>46166</v>
      </c>
      <c r="B166" s="31" t="n">
        <f aca="false">SUMIFS(Report!$U:$U,Report!$T:$T,"&lt;&gt;"&amp;"MERCADORIAS P/REVENDA",Report!$AA:$AA,"SIM",Report!$C:$C,A166)</f>
        <v>0</v>
      </c>
      <c r="C166" s="31" t="n">
        <f aca="false">SUMIFS(Report!$U:$U,Report!$T:$T,"MERCADORIAS P/REVENDA",Report!$AA:$AA,"SIM",Report!$C:$C,A166)</f>
        <v>0</v>
      </c>
      <c r="D166" s="32"/>
      <c r="E166" s="32"/>
      <c r="F166" s="31" t="n">
        <f aca="false">B166+C166</f>
        <v>0</v>
      </c>
    </row>
    <row r="167" customFormat="false" ht="12.75" hidden="false" customHeight="true" outlineLevel="0" collapsed="false">
      <c r="A167" s="30" t="n">
        <v>46167</v>
      </c>
      <c r="B167" s="31" t="n">
        <f aca="false">SUMIFS(Report!$U:$U,Report!$T:$T,"&lt;&gt;"&amp;"MERCADORIAS P/REVENDA",Report!$AA:$AA,"SIM",Report!$C:$C,A167)</f>
        <v>0</v>
      </c>
      <c r="C167" s="31" t="n">
        <f aca="false">SUMIFS(Report!$U:$U,Report!$T:$T,"MERCADORIAS P/REVENDA",Report!$AA:$AA,"SIM",Report!$C:$C,A167)</f>
        <v>0</v>
      </c>
      <c r="D167" s="32"/>
      <c r="E167" s="32"/>
      <c r="F167" s="31" t="n">
        <f aca="false">B167+C167</f>
        <v>0</v>
      </c>
    </row>
    <row r="168" customFormat="false" ht="12.75" hidden="false" customHeight="true" outlineLevel="0" collapsed="false">
      <c r="A168" s="33" t="s">
        <v>852</v>
      </c>
      <c r="B168" s="34" t="n">
        <f aca="false">SUM(B161:B167)</f>
        <v>0</v>
      </c>
      <c r="C168" s="34" t="n">
        <f aca="false">SUM(C161:C167)</f>
        <v>0</v>
      </c>
      <c r="D168" s="35"/>
      <c r="E168" s="35"/>
      <c r="F168" s="3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0" t="n">
        <v>46172</v>
      </c>
      <c r="B173" s="31" t="n">
        <f aca="false">SUMIFS(Report!$U:$U,Report!$T:$T,"&lt;&gt;"&amp;"MERCADORIAS P/REVENDA",Report!$AA:$AA,"SIM",Report!$C:$C,A173)</f>
        <v>0</v>
      </c>
      <c r="C173" s="31" t="n">
        <f aca="false">SUMIFS(Report!$U:$U,Report!$T:$T,"MERCADORIAS P/REVENDA",Report!$AA:$AA,"SIM",Report!$C:$C,A173)</f>
        <v>0</v>
      </c>
      <c r="D173" s="32"/>
      <c r="E173" s="32"/>
      <c r="F173" s="31" t="n">
        <f aca="false">B173+C173</f>
        <v>0</v>
      </c>
    </row>
    <row r="174" customFormat="false" ht="12.75" hidden="false" customHeight="true" outlineLevel="0" collapsed="false">
      <c r="A174" s="30" t="n">
        <v>46173</v>
      </c>
      <c r="B174" s="31" t="n">
        <f aca="false">SUMIFS(Report!$U:$U,Report!$T:$T,"&lt;&gt;"&amp;"MERCADORIAS P/REVENDA",Report!$AA:$AA,"SIM",Report!$C:$C,A174)</f>
        <v>0</v>
      </c>
      <c r="C174" s="31" t="n">
        <f aca="false">SUMIFS(Report!$U:$U,Report!$T:$T,"MERCADORIAS P/REVENDA",Report!$AA:$AA,"SIM",Report!$C:$C,A174)</f>
        <v>0</v>
      </c>
      <c r="D174" s="32"/>
      <c r="E174" s="32"/>
      <c r="F174" s="31" t="n">
        <f aca="false">B174+C174</f>
        <v>0</v>
      </c>
    </row>
    <row r="175" customFormat="false" ht="12.75" hidden="false" customHeight="true" outlineLevel="0" collapsed="false">
      <c r="A175" s="30" t="n">
        <v>46174</v>
      </c>
      <c r="B175" s="31" t="n">
        <f aca="false">SUMIFS(Report!$U:$U,Report!$T:$T,"&lt;&gt;"&amp;"MERCADORIAS P/REVENDA",Report!$AA:$AA,"SIM",Report!$C:$C,A175)</f>
        <v>0</v>
      </c>
      <c r="C175" s="31" t="n">
        <f aca="false">SUMIFS(Report!$U:$U,Report!$T:$T,"MERCADORIAS P/REVENDA",Report!$AA:$AA,"SIM",Report!$C:$C,A175)</f>
        <v>0</v>
      </c>
      <c r="D175" s="32"/>
      <c r="E175" s="32"/>
      <c r="F175" s="31" t="n">
        <f aca="false">B175+C175</f>
        <v>0</v>
      </c>
    </row>
    <row r="176" customFormat="false" ht="12.75" hidden="false" customHeight="true" outlineLevel="0" collapsed="false">
      <c r="A176" s="33" t="s">
        <v>853</v>
      </c>
      <c r="B176" s="34" t="n">
        <f aca="false">SUM(B169:B175)</f>
        <v>0</v>
      </c>
      <c r="C176" s="34" t="n">
        <f aca="false">SUM(C169:C175)</f>
        <v>0</v>
      </c>
      <c r="D176" s="35"/>
      <c r="E176" s="35"/>
      <c r="F176" s="34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0" t="n">
        <v>46179</v>
      </c>
      <c r="B181" s="31" t="n">
        <f aca="false">SUMIFS(Report!$U:$U,Report!$T:$T,"&lt;&gt;"&amp;"MERCADORIAS P/REVENDA",Report!$AA:$AA,"SIM",Report!$C:$C,A181)</f>
        <v>0</v>
      </c>
      <c r="C181" s="31" t="n">
        <f aca="false">SUMIFS(Report!$U:$U,Report!$T:$T,"MERCADORIAS P/REVENDA",Report!$AA:$AA,"SIM",Report!$C:$C,A181)</f>
        <v>0</v>
      </c>
      <c r="D181" s="32"/>
      <c r="E181" s="32"/>
      <c r="F181" s="31" t="n">
        <f aca="false">B181+C181</f>
        <v>0</v>
      </c>
    </row>
    <row r="182" customFormat="false" ht="12.75" hidden="false" customHeight="true" outlineLevel="0" collapsed="false">
      <c r="A182" s="30" t="n">
        <v>46180</v>
      </c>
      <c r="B182" s="31" t="n">
        <f aca="false">SUMIFS(Report!$U:$U,Report!$T:$T,"&lt;&gt;"&amp;"MERCADORIAS P/REVENDA",Report!$AA:$AA,"SIM",Report!$C:$C,A182)</f>
        <v>0</v>
      </c>
      <c r="C182" s="31" t="n">
        <f aca="false">SUMIFS(Report!$U:$U,Report!$T:$T,"MERCADORIAS P/REVENDA",Report!$AA:$AA,"SIM",Report!$C:$C,A182)</f>
        <v>0</v>
      </c>
      <c r="D182" s="32"/>
      <c r="E182" s="32"/>
      <c r="F182" s="31" t="n">
        <f aca="false">B182+C182</f>
        <v>0</v>
      </c>
    </row>
    <row r="183" customFormat="false" ht="12.75" hidden="false" customHeight="true" outlineLevel="0" collapsed="false">
      <c r="A183" s="30" t="n">
        <v>46181</v>
      </c>
      <c r="B183" s="31" t="n">
        <f aca="false">SUMIFS(Report!$U:$U,Report!$T:$T,"&lt;&gt;"&amp;"MERCADORIAS P/REVENDA",Report!$AA:$AA,"SIM",Report!$C:$C,A183)</f>
        <v>0</v>
      </c>
      <c r="C183" s="31" t="n">
        <f aca="false">SUMIFS(Report!$U:$U,Report!$T:$T,"MERCADORIAS P/REVENDA",Report!$AA:$AA,"SIM",Report!$C:$C,A183)</f>
        <v>0</v>
      </c>
      <c r="D183" s="32"/>
      <c r="E183" s="32"/>
      <c r="F183" s="31" t="n">
        <f aca="false">B183+C183</f>
        <v>0</v>
      </c>
    </row>
    <row r="184" customFormat="false" ht="12.75" hidden="false" customHeight="true" outlineLevel="0" collapsed="false">
      <c r="A184" s="33" t="s">
        <v>854</v>
      </c>
      <c r="B184" s="34" t="n">
        <f aca="false">SUM(B177:B183)</f>
        <v>0</v>
      </c>
      <c r="C184" s="34" t="n">
        <f aca="false">SUM(C177:C183)</f>
        <v>0</v>
      </c>
      <c r="D184" s="35"/>
      <c r="E184" s="35"/>
      <c r="F184" s="34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0" t="n">
        <v>46186</v>
      </c>
      <c r="B189" s="31" t="n">
        <f aca="false">SUMIFS(Report!$U:$U,Report!$T:$T,"&lt;&gt;"&amp;"MERCADORIAS P/REVENDA",Report!$AA:$AA,"SIM",Report!$C:$C,A189)</f>
        <v>0</v>
      </c>
      <c r="C189" s="31" t="n">
        <f aca="false">SUMIFS(Report!$U:$U,Report!$T:$T,"MERCADORIAS P/REVENDA",Report!$AA:$AA,"SIM",Report!$C:$C,A189)</f>
        <v>0</v>
      </c>
      <c r="D189" s="32"/>
      <c r="E189" s="32"/>
      <c r="F189" s="31" t="n">
        <f aca="false">B189+C189</f>
        <v>0</v>
      </c>
    </row>
    <row r="190" customFormat="false" ht="12.75" hidden="false" customHeight="true" outlineLevel="0" collapsed="false">
      <c r="A190" s="30" t="n">
        <v>46187</v>
      </c>
      <c r="B190" s="31" t="n">
        <f aca="false">SUMIFS(Report!$U:$U,Report!$T:$T,"&lt;&gt;"&amp;"MERCADORIAS P/REVENDA",Report!$AA:$AA,"SIM",Report!$C:$C,A190)</f>
        <v>0</v>
      </c>
      <c r="C190" s="31" t="n">
        <f aca="false">SUMIFS(Report!$U:$U,Report!$T:$T,"MERCADORIAS P/REVENDA",Report!$AA:$AA,"SIM",Report!$C:$C,A190)</f>
        <v>0</v>
      </c>
      <c r="D190" s="32"/>
      <c r="E190" s="32"/>
      <c r="F190" s="31" t="n">
        <f aca="false">B190+C190</f>
        <v>0</v>
      </c>
    </row>
    <row r="191" customFormat="false" ht="12.75" hidden="false" customHeight="true" outlineLevel="0" collapsed="false">
      <c r="A191" s="30" t="n">
        <v>46188</v>
      </c>
      <c r="B191" s="31" t="n">
        <f aca="false">SUMIFS(Report!$U:$U,Report!$T:$T,"&lt;&gt;"&amp;"MERCADORIAS P/REVENDA",Report!$AA:$AA,"SIM",Report!$C:$C,A191)</f>
        <v>0</v>
      </c>
      <c r="C191" s="31" t="n">
        <f aca="false">SUMIFS(Report!$U:$U,Report!$T:$T,"MERCADORIAS P/REVENDA",Report!$AA:$AA,"SIM",Report!$C:$C,A191)</f>
        <v>0</v>
      </c>
      <c r="D191" s="32"/>
      <c r="E191" s="32"/>
      <c r="F191" s="31" t="n">
        <f aca="false">B191+C191</f>
        <v>0</v>
      </c>
    </row>
    <row r="192" customFormat="false" ht="12.75" hidden="false" customHeight="true" outlineLevel="0" collapsed="false">
      <c r="A192" s="33" t="s">
        <v>855</v>
      </c>
      <c r="B192" s="34" t="n">
        <f aca="false">SUM(B185:B191)</f>
        <v>0</v>
      </c>
      <c r="C192" s="34" t="n">
        <f aca="false">SUM(C185:C191)</f>
        <v>0</v>
      </c>
      <c r="D192" s="35"/>
      <c r="E192" s="35"/>
      <c r="F192" s="34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0" t="n">
        <v>46193</v>
      </c>
      <c r="B197" s="31" t="n">
        <f aca="false">SUMIFS(Report!$U:$U,Report!$T:$T,"&lt;&gt;"&amp;"MERCADORIAS P/REVENDA",Report!$AA:$AA,"SIM",Report!$C:$C,A197)</f>
        <v>0</v>
      </c>
      <c r="C197" s="31" t="n">
        <f aca="false">SUMIFS(Report!$U:$U,Report!$T:$T,"MERCADORIAS P/REVENDA",Report!$AA:$AA,"SIM",Report!$C:$C,A197)</f>
        <v>0</v>
      </c>
      <c r="D197" s="32"/>
      <c r="E197" s="32"/>
      <c r="F197" s="31" t="n">
        <f aca="false">B197+C197</f>
        <v>0</v>
      </c>
    </row>
    <row r="198" customFormat="false" ht="12.75" hidden="false" customHeight="true" outlineLevel="0" collapsed="false">
      <c r="A198" s="30" t="n">
        <v>46194</v>
      </c>
      <c r="B198" s="31" t="n">
        <f aca="false">SUMIFS(Report!$U:$U,Report!$T:$T,"&lt;&gt;"&amp;"MERCADORIAS P/REVENDA",Report!$AA:$AA,"SIM",Report!$C:$C,A198)</f>
        <v>0</v>
      </c>
      <c r="C198" s="31" t="n">
        <f aca="false">SUMIFS(Report!$U:$U,Report!$T:$T,"MERCADORIAS P/REVENDA",Report!$AA:$AA,"SIM",Report!$C:$C,A198)</f>
        <v>0</v>
      </c>
      <c r="D198" s="32"/>
      <c r="E198" s="32"/>
      <c r="F198" s="31" t="n">
        <f aca="false">B198+C198</f>
        <v>0</v>
      </c>
    </row>
    <row r="199" customFormat="false" ht="12.75" hidden="false" customHeight="true" outlineLevel="0" collapsed="false">
      <c r="A199" s="30" t="n">
        <v>46195</v>
      </c>
      <c r="B199" s="31" t="n">
        <f aca="false">SUMIFS(Report!$U:$U,Report!$T:$T,"&lt;&gt;"&amp;"MERCADORIAS P/REVENDA",Report!$AA:$AA,"SIM",Report!$C:$C,A199)</f>
        <v>0</v>
      </c>
      <c r="C199" s="31" t="n">
        <f aca="false">SUMIFS(Report!$U:$U,Report!$T:$T,"MERCADORIAS P/REVENDA",Report!$AA:$AA,"SIM",Report!$C:$C,A199)</f>
        <v>0</v>
      </c>
      <c r="D199" s="32"/>
      <c r="E199" s="32"/>
      <c r="F199" s="31" t="n">
        <f aca="false">B199+C199</f>
        <v>0</v>
      </c>
    </row>
    <row r="200" customFormat="false" ht="12.75" hidden="false" customHeight="true" outlineLevel="0" collapsed="false">
      <c r="A200" s="33" t="s">
        <v>856</v>
      </c>
      <c r="B200" s="34" t="n">
        <f aca="false">SUM(B193:B199)</f>
        <v>0</v>
      </c>
      <c r="C200" s="34" t="n">
        <f aca="false">SUM(C193:C199)</f>
        <v>0</v>
      </c>
      <c r="D200" s="35"/>
      <c r="E200" s="35"/>
      <c r="F200" s="34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0" t="n">
        <v>46200</v>
      </c>
      <c r="B205" s="31" t="n">
        <f aca="false">SUMIFS(Report!$U:$U,Report!$T:$T,"&lt;&gt;"&amp;"MERCADORIAS P/REVENDA",Report!$AA:$AA,"SIM",Report!$C:$C,A205)</f>
        <v>0</v>
      </c>
      <c r="C205" s="31" t="n">
        <f aca="false">SUMIFS(Report!$U:$U,Report!$T:$T,"MERCADORIAS P/REVENDA",Report!$AA:$AA,"SIM",Report!$C:$C,A205)</f>
        <v>7347.72</v>
      </c>
      <c r="D205" s="32"/>
      <c r="E205" s="32"/>
      <c r="F205" s="31" t="n">
        <f aca="false">B205+C205</f>
        <v>7347.72</v>
      </c>
    </row>
    <row r="206" customFormat="false" ht="12.75" hidden="false" customHeight="true" outlineLevel="0" collapsed="false">
      <c r="A206" s="30" t="n">
        <v>46201</v>
      </c>
      <c r="B206" s="31" t="n">
        <f aca="false">SUMIFS(Report!$U:$U,Report!$T:$T,"&lt;&gt;"&amp;"MERCADORIAS P/REVENDA",Report!$AA:$AA,"SIM",Report!$C:$C,A206)</f>
        <v>0</v>
      </c>
      <c r="C206" s="31" t="n">
        <f aca="false">SUMIFS(Report!$U:$U,Report!$T:$T,"MERCADORIAS P/REVENDA",Report!$AA:$AA,"SIM",Report!$C:$C,A206)</f>
        <v>1589.28</v>
      </c>
      <c r="D206" s="32"/>
      <c r="E206" s="32"/>
      <c r="F206" s="31" t="n">
        <f aca="false">B206+C206</f>
        <v>1589.28</v>
      </c>
    </row>
    <row r="207" customFormat="false" ht="12.75" hidden="false" customHeight="true" outlineLevel="0" collapsed="false">
      <c r="A207" s="30" t="n">
        <v>46202</v>
      </c>
      <c r="B207" s="31" t="n">
        <f aca="false">SUMIFS(Report!$U:$U,Report!$T:$T,"&lt;&gt;"&amp;"MERCADORIAS P/REVENDA",Report!$AA:$AA,"SIM",Report!$C:$C,A207)</f>
        <v>1305</v>
      </c>
      <c r="C207" s="31" t="n">
        <f aca="false">SUMIFS(Report!$U:$U,Report!$T:$T,"MERCADORIAS P/REVENDA",Report!$AA:$AA,"SIM",Report!$C:$C,A207)</f>
        <v>14050.67</v>
      </c>
      <c r="D207" s="32"/>
      <c r="E207" s="32"/>
      <c r="F207" s="31" t="n">
        <f aca="false">B207+C207</f>
        <v>15355.67</v>
      </c>
    </row>
    <row r="208" customFormat="false" ht="12.75" hidden="false" customHeight="true" outlineLevel="0" collapsed="false">
      <c r="A208" s="33" t="s">
        <v>857</v>
      </c>
      <c r="B208" s="34" t="n">
        <f aca="false">SUM(B201:B207)</f>
        <v>1305</v>
      </c>
      <c r="C208" s="34" t="n">
        <f aca="false">SUM(C201:C207)</f>
        <v>22987.67</v>
      </c>
      <c r="D208" s="35"/>
      <c r="E208" s="35"/>
      <c r="F208" s="34" t="n">
        <f aca="false">B208+C208</f>
        <v>24292.67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0" t="n">
        <v>46207</v>
      </c>
      <c r="B213" s="31" t="n">
        <f aca="false">SUMIFS(Report!$U:$U,Report!$T:$T,"&lt;&gt;"&amp;"MERCADORIAS P/REVENDA",Report!$AA:$AA,"SIM",Report!$C:$C,A213)</f>
        <v>258</v>
      </c>
      <c r="C213" s="31" t="n">
        <f aca="false">SUMIFS(Report!$U:$U,Report!$T:$T,"MERCADORIAS P/REVENDA",Report!$AA:$AA,"SIM",Report!$C:$C,A213)</f>
        <v>8204.38</v>
      </c>
      <c r="D213" s="32"/>
      <c r="E213" s="32"/>
      <c r="F213" s="31" t="n">
        <f aca="false">B213+C213</f>
        <v>8462.38</v>
      </c>
    </row>
    <row r="214" customFormat="false" ht="12.75" hidden="false" customHeight="true" outlineLevel="0" collapsed="false">
      <c r="A214" s="30" t="n">
        <v>46208</v>
      </c>
      <c r="B214" s="31" t="n">
        <f aca="false">SUMIFS(Report!$U:$U,Report!$T:$T,"&lt;&gt;"&amp;"MERCADORIAS P/REVENDA",Report!$AA:$AA,"SIM",Report!$C:$C,A214)</f>
        <v>573.02</v>
      </c>
      <c r="C214" s="31" t="n">
        <f aca="false">SUMIFS(Report!$U:$U,Report!$T:$T,"MERCADORIAS P/REVENDA",Report!$AA:$AA,"SIM",Report!$C:$C,A214)</f>
        <v>0</v>
      </c>
      <c r="D214" s="32"/>
      <c r="E214" s="32"/>
      <c r="F214" s="31" t="n">
        <f aca="false">B214+C214</f>
        <v>573.02</v>
      </c>
    </row>
    <row r="215" customFormat="false" ht="12.75" hidden="false" customHeight="true" outlineLevel="0" collapsed="false">
      <c r="A215" s="30" t="n">
        <v>46209</v>
      </c>
      <c r="B215" s="31" t="n">
        <f aca="false">SUMIFS(Report!$U:$U,Report!$T:$T,"&lt;&gt;"&amp;"MERCADORIAS P/REVENDA",Report!$AA:$AA,"SIM",Report!$C:$C,A215)</f>
        <v>5330.98</v>
      </c>
      <c r="C215" s="31" t="n">
        <f aca="false">SUMIFS(Report!$U:$U,Report!$T:$T,"MERCADORIAS P/REVENDA",Report!$AA:$AA,"SIM",Report!$C:$C,A215)</f>
        <v>4940.99</v>
      </c>
      <c r="D215" s="32"/>
      <c r="E215" s="32"/>
      <c r="F215" s="31" t="n">
        <f aca="false">B215+C215</f>
        <v>10271.97</v>
      </c>
    </row>
    <row r="216" customFormat="false" ht="12.75" hidden="false" customHeight="true" outlineLevel="0" collapsed="false">
      <c r="A216" s="33" t="s">
        <v>858</v>
      </c>
      <c r="B216" s="34" t="n">
        <f aca="false">SUM(B209:B215)</f>
        <v>36832.46</v>
      </c>
      <c r="C216" s="34" t="n">
        <f aca="false">SUM(C209:C215)</f>
        <v>75148.66</v>
      </c>
      <c r="D216" s="35"/>
      <c r="E216" s="35"/>
      <c r="F216" s="34" t="n">
        <f aca="false">B216+C216</f>
        <v>111981.12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0" t="n">
        <v>46214</v>
      </c>
      <c r="B221" s="31" t="n">
        <f aca="false">SUMIFS(Report!$U:$U,Report!$T:$T,"&lt;&gt;"&amp;"MERCADORIAS P/REVENDA",Report!$AA:$AA,"SIM",Report!$C:$C,A221)</f>
        <v>0</v>
      </c>
      <c r="C221" s="31" t="n">
        <f aca="false">SUMIFS(Report!$U:$U,Report!$T:$T,"MERCADORIAS P/REVENDA",Report!$AA:$AA,"SIM",Report!$C:$C,A221)</f>
        <v>2664.11</v>
      </c>
      <c r="D221" s="32"/>
      <c r="E221" s="32"/>
      <c r="F221" s="31" t="n">
        <f aca="false">B221+C221</f>
        <v>2664.11</v>
      </c>
    </row>
    <row r="222" customFormat="false" ht="12.75" hidden="false" customHeight="true" outlineLevel="0" collapsed="false">
      <c r="A222" s="30" t="n">
        <v>46215</v>
      </c>
      <c r="B222" s="31" t="n">
        <f aca="false">SUMIFS(Report!$U:$U,Report!$T:$T,"&lt;&gt;"&amp;"MERCADORIAS P/REVENDA",Report!$AA:$AA,"SIM",Report!$C:$C,A222)</f>
        <v>0</v>
      </c>
      <c r="C222" s="31" t="n">
        <f aca="false">SUMIFS(Report!$U:$U,Report!$T:$T,"MERCADORIAS P/REVENDA",Report!$AA:$AA,"SIM",Report!$C:$C,A222)</f>
        <v>1361.81</v>
      </c>
      <c r="D222" s="32"/>
      <c r="E222" s="32"/>
      <c r="F222" s="31" t="n">
        <f aca="false">B222+C222</f>
        <v>1361.81</v>
      </c>
    </row>
    <row r="223" customFormat="false" ht="12.75" hidden="false" customHeight="true" outlineLevel="0" collapsed="false">
      <c r="A223" s="30" t="n">
        <v>46216</v>
      </c>
      <c r="B223" s="31" t="n">
        <f aca="false">SUMIFS(Report!$U:$U,Report!$T:$T,"&lt;&gt;"&amp;"MERCADORIAS P/REVENDA",Report!$AA:$AA,"SIM",Report!$C:$C,A223)</f>
        <v>737.43</v>
      </c>
      <c r="C223" s="31" t="n">
        <f aca="false">SUMIFS(Report!$U:$U,Report!$T:$T,"MERCADORIAS P/REVENDA",Report!$AA:$AA,"SIM",Report!$C:$C,A223)</f>
        <v>7819.88</v>
      </c>
      <c r="D223" s="32"/>
      <c r="E223" s="32"/>
      <c r="F223" s="31" t="n">
        <f aca="false">B223+C223</f>
        <v>8557.31</v>
      </c>
    </row>
    <row r="224" customFormat="false" ht="12.75" hidden="false" customHeight="true" outlineLevel="0" collapsed="false">
      <c r="A224" s="33" t="s">
        <v>859</v>
      </c>
      <c r="B224" s="34" t="n">
        <f aca="false">SUM(B217:B223)</f>
        <v>6780.66</v>
      </c>
      <c r="C224" s="34" t="n">
        <f aca="false">SUM(C217:C223)</f>
        <v>73517.39</v>
      </c>
      <c r="D224" s="35"/>
      <c r="E224" s="35"/>
      <c r="F224" s="34" t="n">
        <f aca="false">B224+C224</f>
        <v>80298.05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0" t="n">
        <v>46221</v>
      </c>
      <c r="B229" s="31" t="n">
        <f aca="false">SUMIFS(Report!$U:$U,Report!$T:$T,"&lt;&gt;"&amp;"MERCADORIAS P/REVENDA",Report!$AA:$AA,"SIM",Report!$C:$C,A229)</f>
        <v>247.27</v>
      </c>
      <c r="C229" s="31" t="n">
        <f aca="false">SUMIFS(Report!$U:$U,Report!$T:$T,"MERCADORIAS P/REVENDA",Report!$AA:$AA,"SIM",Report!$C:$C,A229)</f>
        <v>6413.08</v>
      </c>
      <c r="D229" s="32"/>
      <c r="E229" s="32"/>
      <c r="F229" s="31" t="n">
        <f aca="false">B229+C229</f>
        <v>6660.35</v>
      </c>
    </row>
    <row r="230" customFormat="false" ht="12.75" hidden="false" customHeight="true" outlineLevel="0" collapsed="false">
      <c r="A230" s="30" t="n">
        <v>46222</v>
      </c>
      <c r="B230" s="31" t="n">
        <f aca="false">SUMIFS(Report!$U:$U,Report!$T:$T,"&lt;&gt;"&amp;"MERCADORIAS P/REVENDA",Report!$AA:$AA,"SIM",Report!$C:$C,A230)</f>
        <v>0</v>
      </c>
      <c r="C230" s="31" t="n">
        <f aca="false">SUMIFS(Report!$U:$U,Report!$T:$T,"MERCADORIAS P/REVENDA",Report!$AA:$AA,"SIM",Report!$C:$C,A230)</f>
        <v>2273.8</v>
      </c>
      <c r="D230" s="32"/>
      <c r="E230" s="32"/>
      <c r="F230" s="31" t="n">
        <f aca="false">B230+C230</f>
        <v>2273.8</v>
      </c>
    </row>
    <row r="231" customFormat="false" ht="12.75" hidden="false" customHeight="true" outlineLevel="0" collapsed="false">
      <c r="A231" s="30" t="n">
        <v>46223</v>
      </c>
      <c r="B231" s="31" t="n">
        <f aca="false">SUMIFS(Report!$U:$U,Report!$T:$T,"&lt;&gt;"&amp;"MERCADORIAS P/REVENDA",Report!$AA:$AA,"SIM",Report!$C:$C,A231)</f>
        <v>8024.28</v>
      </c>
      <c r="C231" s="31" t="n">
        <f aca="false">SUMIFS(Report!$U:$U,Report!$T:$T,"MERCADORIAS P/REVENDA",Report!$AA:$AA,"SIM",Report!$C:$C,A231)</f>
        <v>3792.93</v>
      </c>
      <c r="D231" s="32"/>
      <c r="E231" s="32"/>
      <c r="F231" s="31" t="n">
        <f aca="false">B231+C231</f>
        <v>11817.21</v>
      </c>
    </row>
    <row r="232" customFormat="false" ht="12.75" hidden="false" customHeight="true" outlineLevel="0" collapsed="false">
      <c r="A232" s="33" t="s">
        <v>860</v>
      </c>
      <c r="B232" s="34" t="n">
        <f aca="false">SUM(B225:B231)</f>
        <v>16918.09</v>
      </c>
      <c r="C232" s="34" t="n">
        <f aca="false">SUM(C225:C231)</f>
        <v>60989.77</v>
      </c>
      <c r="D232" s="35"/>
      <c r="E232" s="35"/>
      <c r="F232" s="34" t="n">
        <f aca="false">B232+C232</f>
        <v>77907.86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0" t="n">
        <v>46228</v>
      </c>
      <c r="B237" s="31" t="n">
        <f aca="false">SUMIFS(Report!$U:$U,Report!$T:$T,"&lt;&gt;"&amp;"MERCADORIAS P/REVENDA",Report!$AA:$AA,"SIM",Report!$C:$C,A237)</f>
        <v>646.17</v>
      </c>
      <c r="C237" s="31" t="n">
        <f aca="false">SUMIFS(Report!$U:$U,Report!$T:$T,"MERCADORIAS P/REVENDA",Report!$AA:$AA,"SIM",Report!$C:$C,A237)</f>
        <v>4144</v>
      </c>
      <c r="D237" s="32"/>
      <c r="E237" s="32"/>
      <c r="F237" s="31" t="n">
        <f aca="false">B237+C237</f>
        <v>4790.17</v>
      </c>
    </row>
    <row r="238" customFormat="false" ht="12.75" hidden="false" customHeight="true" outlineLevel="0" collapsed="false">
      <c r="A238" s="30" t="n">
        <v>46229</v>
      </c>
      <c r="B238" s="31" t="n">
        <f aca="false">SUMIFS(Report!$U:$U,Report!$T:$T,"&lt;&gt;"&amp;"MERCADORIAS P/REVENDA",Report!$AA:$AA,"SIM",Report!$C:$C,A238)</f>
        <v>0</v>
      </c>
      <c r="C238" s="31" t="n">
        <f aca="false">SUMIFS(Report!$U:$U,Report!$T:$T,"MERCADORIAS P/REVENDA",Report!$AA:$AA,"SIM",Report!$C:$C,A238)</f>
        <v>819.53</v>
      </c>
      <c r="D238" s="32"/>
      <c r="E238" s="32"/>
      <c r="F238" s="31" t="n">
        <f aca="false">B238+C238</f>
        <v>819.53</v>
      </c>
    </row>
    <row r="239" customFormat="false" ht="12.75" hidden="false" customHeight="true" outlineLevel="0" collapsed="false">
      <c r="A239" s="30" t="n">
        <v>46230</v>
      </c>
      <c r="B239" s="31" t="n">
        <f aca="false">SUMIFS(Report!$U:$U,Report!$T:$T,"&lt;&gt;"&amp;"MERCADORIAS P/REVENDA",Report!$AA:$AA,"SIM",Report!$C:$C,A239)</f>
        <v>6704.11</v>
      </c>
      <c r="C239" s="31" t="n">
        <f aca="false">SUMIFS(Report!$U:$U,Report!$T:$T,"MERCADORIAS P/REVENDA",Report!$AA:$AA,"SIM",Report!$C:$C,A239)</f>
        <v>6271.3</v>
      </c>
      <c r="D239" s="32"/>
      <c r="E239" s="32"/>
      <c r="F239" s="31" t="n">
        <f aca="false">B239+C239</f>
        <v>12975.41</v>
      </c>
    </row>
    <row r="240" customFormat="false" ht="12.75" hidden="false" customHeight="true" outlineLevel="0" collapsed="false">
      <c r="A240" s="33" t="s">
        <v>861</v>
      </c>
      <c r="B240" s="34" t="n">
        <f aca="false">SUM(B233:B239)</f>
        <v>26901.71</v>
      </c>
      <c r="C240" s="34" t="n">
        <f aca="false">SUM(C233:C239)</f>
        <v>60496.77</v>
      </c>
      <c r="D240" s="35"/>
      <c r="E240" s="35"/>
      <c r="F240" s="34" t="n">
        <f aca="false">B240+C240</f>
        <v>87398.48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831.81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9112.97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2995.64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10242.33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2955.82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19079.32</v>
      </c>
    </row>
    <row r="245" customFormat="false" ht="12.75" hidden="false" customHeight="true" outlineLevel="0" collapsed="false">
      <c r="A245" s="30" t="n">
        <v>46235</v>
      </c>
      <c r="B245" s="31" t="n">
        <f aca="false">SUMIFS(Report!$U:$U,Report!$T:$T,"&lt;&gt;"&amp;"MERCADORIAS P/REVENDA",Report!$AA:$AA,"SIM",Report!$C:$C,A245)</f>
        <v>3056.82</v>
      </c>
      <c r="C245" s="31" t="n">
        <f aca="false">SUMIFS(Report!$U:$U,Report!$T:$T,"MERCADORIAS P/REVENDA",Report!$AA:$AA,"SIM",Report!$C:$C,A245)</f>
        <v>12984.07</v>
      </c>
      <c r="D245" s="32"/>
      <c r="E245" s="32"/>
      <c r="F245" s="31" t="n">
        <f aca="false">B245+C245</f>
        <v>16040.89</v>
      </c>
    </row>
    <row r="246" customFormat="false" ht="12.75" hidden="false" customHeight="true" outlineLevel="0" collapsed="false">
      <c r="A246" s="30" t="n">
        <v>46236</v>
      </c>
      <c r="B246" s="31" t="n">
        <f aca="false">SUMIFS(Report!$U:$U,Report!$T:$T,"&lt;&gt;"&amp;"MERCADORIAS P/REVENDA",Report!$AA:$AA,"SIM",Report!$C:$C,A246)</f>
        <v>0</v>
      </c>
      <c r="C246" s="31" t="n">
        <f aca="false">SUMIFS(Report!$U:$U,Report!$T:$T,"MERCADORIAS P/REVENDA",Report!$AA:$AA,"SIM",Report!$C:$C,A246)</f>
        <v>0</v>
      </c>
      <c r="D246" s="32"/>
      <c r="E246" s="32"/>
      <c r="F246" s="31" t="n">
        <f aca="false">B246+C246</f>
        <v>0</v>
      </c>
    </row>
    <row r="247" customFormat="false" ht="12.75" hidden="false" customHeight="true" outlineLevel="0" collapsed="false">
      <c r="A247" s="30" t="n">
        <v>46237</v>
      </c>
      <c r="B247" s="31" t="n">
        <f aca="false">SUMIFS(Report!$U:$U,Report!$T:$T,"&lt;&gt;"&amp;"MERCADORIAS P/REVENDA",Report!$AA:$AA,"SIM",Report!$C:$C,A247)</f>
        <v>0</v>
      </c>
      <c r="C247" s="31" t="n">
        <f aca="false">SUMIFS(Report!$U:$U,Report!$T:$T,"MERCADORIAS P/REVENDA",Report!$AA:$AA,"SIM",Report!$C:$C,A247)</f>
        <v>8325.77</v>
      </c>
      <c r="D247" s="32"/>
      <c r="E247" s="32"/>
      <c r="F247" s="31" t="n">
        <f aca="false">B247+C247</f>
        <v>8325.77</v>
      </c>
    </row>
    <row r="248" customFormat="false" ht="12.75" hidden="false" customHeight="true" outlineLevel="0" collapsed="false">
      <c r="A248" s="33" t="s">
        <v>862</v>
      </c>
      <c r="B248" s="34" t="n">
        <f aca="false">SUM(B241:B247)</f>
        <v>10047.27</v>
      </c>
      <c r="C248" s="34" t="n">
        <f aca="false">SUM(C241:C247)</f>
        <v>65133.27</v>
      </c>
      <c r="D248" s="35"/>
      <c r="E248" s="35"/>
      <c r="F248" s="34" t="n">
        <f aca="false">B248+C248</f>
        <v>75180.54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370.9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6497.7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3275.29</v>
      </c>
      <c r="C250" s="17" t="n">
        <f aca="false">SUMIFS(Report!$U:$U,Report!$T:$T,"MERCADORIAS P/REVENDA",Report!$AA:$AA,"SIM",Report!$C:$C,A250)</f>
        <v>15226.57</v>
      </c>
      <c r="F250" s="17" t="n">
        <f aca="false">B250+C250</f>
        <v>18501.86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8048.88</v>
      </c>
      <c r="F251" s="17" t="n">
        <f aca="false">B251+C251</f>
        <v>8048.88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10258.07</v>
      </c>
      <c r="F252" s="17" t="n">
        <f aca="false">B252+C252</f>
        <v>11487.19</v>
      </c>
    </row>
    <row r="253" customFormat="false" ht="12.75" hidden="false" customHeight="true" outlineLevel="0" collapsed="false">
      <c r="A253" s="30" t="n">
        <v>46242</v>
      </c>
      <c r="B253" s="31" t="n">
        <f aca="false">SUMIFS(Report!$U:$U,Report!$T:$T,"&lt;&gt;"&amp;"MERCADORIAS P/REVENDA",Report!$AA:$AA,"SIM",Report!$C:$C,A253)</f>
        <v>0</v>
      </c>
      <c r="C253" s="31" t="n">
        <f aca="false">SUMIFS(Report!$U:$U,Report!$T:$T,"MERCADORIAS P/REVENDA",Report!$AA:$AA,"SIM",Report!$C:$C,A253)</f>
        <v>8107.55</v>
      </c>
      <c r="D253" s="32"/>
      <c r="E253" s="32"/>
      <c r="F253" s="31" t="n">
        <f aca="false">B253+C253</f>
        <v>8107.55</v>
      </c>
    </row>
    <row r="254" customFormat="false" ht="12.75" hidden="false" customHeight="true" outlineLevel="0" collapsed="false">
      <c r="A254" s="30" t="n">
        <v>46243</v>
      </c>
      <c r="B254" s="31" t="n">
        <f aca="false">SUMIFS(Report!$U:$U,Report!$T:$T,"&lt;&gt;"&amp;"MERCADORIAS P/REVENDA",Report!$AA:$AA,"SIM",Report!$C:$C,A254)</f>
        <v>707.65</v>
      </c>
      <c r="C254" s="31" t="n">
        <f aca="false">SUMIFS(Report!$U:$U,Report!$T:$T,"MERCADORIAS P/REVENDA",Report!$AA:$AA,"SIM",Report!$C:$C,A254)</f>
        <v>0</v>
      </c>
      <c r="D254" s="32"/>
      <c r="E254" s="32"/>
      <c r="F254" s="31" t="n">
        <f aca="false">B254+C254</f>
        <v>707.65</v>
      </c>
    </row>
    <row r="255" customFormat="false" ht="12.75" hidden="false" customHeight="true" outlineLevel="0" collapsed="false">
      <c r="A255" s="30" t="n">
        <v>46244</v>
      </c>
      <c r="B255" s="31" t="n">
        <f aca="false">SUMIFS(Report!$U:$U,Report!$T:$T,"&lt;&gt;"&amp;"MERCADORIAS P/REVENDA",Report!$AA:$AA,"SIM",Report!$C:$C,A255)</f>
        <v>4740.01</v>
      </c>
      <c r="C255" s="31" t="n">
        <f aca="false">SUMIFS(Report!$U:$U,Report!$T:$T,"MERCADORIAS P/REVENDA",Report!$AA:$AA,"SIM",Report!$C:$C,A255)</f>
        <v>12430.47</v>
      </c>
      <c r="D255" s="32"/>
      <c r="E255" s="32"/>
      <c r="F255" s="31" t="n">
        <f aca="false">B255+C255</f>
        <v>17170.48</v>
      </c>
    </row>
    <row r="256" customFormat="false" ht="12.75" hidden="false" customHeight="true" outlineLevel="0" collapsed="false">
      <c r="A256" s="33" t="s">
        <v>863</v>
      </c>
      <c r="B256" s="34" t="n">
        <f aca="false">SUM(B249:B255)</f>
        <v>10322.97</v>
      </c>
      <c r="C256" s="34" t="n">
        <f aca="false">SUM(C249:C255)</f>
        <v>60198.34</v>
      </c>
      <c r="D256" s="35"/>
      <c r="E256" s="35"/>
      <c r="F256" s="34" t="n">
        <f aca="false">B256+C256</f>
        <v>70521.31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391.26</v>
      </c>
      <c r="C257" s="17" t="n">
        <f aca="false">SUMIFS(Report!$U:$U,Report!$T:$T,"MERCADORIAS P/REVENDA",Report!$AA:$AA,"SIM",Report!$C:$C,A257)</f>
        <v>5465.97</v>
      </c>
      <c r="F257" s="17" t="n">
        <f aca="false">B257+C257</f>
        <v>5857.23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10353.21</v>
      </c>
      <c r="F258" s="17" t="n">
        <f aca="false">B258+C258</f>
        <v>10678.21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2979.26</v>
      </c>
      <c r="F259" s="17" t="n">
        <f aca="false">B259+C259</f>
        <v>2979.26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13718.41</v>
      </c>
      <c r="F260" s="17" t="n">
        <f aca="false">B260+C260</f>
        <v>13773.41</v>
      </c>
    </row>
    <row r="261" customFormat="false" ht="12.75" hidden="false" customHeight="true" outlineLevel="0" collapsed="false">
      <c r="A261" s="30" t="n">
        <v>46249</v>
      </c>
      <c r="B261" s="31" t="n">
        <f aca="false">SUMIFS(Report!$U:$U,Report!$T:$T,"&lt;&gt;"&amp;"MERCADORIAS P/REVENDA",Report!$AA:$AA,"SIM",Report!$C:$C,A261)</f>
        <v>5928.88</v>
      </c>
      <c r="C261" s="31" t="n">
        <f aca="false">SUMIFS(Report!$U:$U,Report!$T:$T,"MERCADORIAS P/REVENDA",Report!$AA:$AA,"SIM",Report!$C:$C,A261)</f>
        <v>7127.51</v>
      </c>
      <c r="D261" s="32"/>
      <c r="E261" s="32"/>
      <c r="F261" s="31" t="n">
        <f aca="false">B261+C261</f>
        <v>13056.39</v>
      </c>
    </row>
    <row r="262" customFormat="false" ht="12.75" hidden="false" customHeight="true" outlineLevel="0" collapsed="false">
      <c r="A262" s="30" t="n">
        <v>46250</v>
      </c>
      <c r="B262" s="31" t="n">
        <f aca="false">SUMIFS(Report!$U:$U,Report!$T:$T,"&lt;&gt;"&amp;"MERCADORIAS P/REVENDA",Report!$AA:$AA,"SIM",Report!$C:$C,A262)</f>
        <v>0</v>
      </c>
      <c r="C262" s="31" t="n">
        <f aca="false">SUMIFS(Report!$U:$U,Report!$T:$T,"MERCADORIAS P/REVENDA",Report!$AA:$AA,"SIM",Report!$C:$C,A262)</f>
        <v>0</v>
      </c>
      <c r="D262" s="32"/>
      <c r="E262" s="32"/>
      <c r="F262" s="31" t="n">
        <f aca="false">B262+C262</f>
        <v>0</v>
      </c>
    </row>
    <row r="263" customFormat="false" ht="12.75" hidden="false" customHeight="true" outlineLevel="0" collapsed="false">
      <c r="A263" s="30" t="n">
        <v>46251</v>
      </c>
      <c r="B263" s="31" t="n">
        <f aca="false">SUMIFS(Report!$U:$U,Report!$T:$T,"&lt;&gt;"&amp;"MERCADORIAS P/REVENDA",Report!$AA:$AA,"SIM",Report!$C:$C,A263)</f>
        <v>0</v>
      </c>
      <c r="C263" s="31" t="n">
        <f aca="false">SUMIFS(Report!$U:$U,Report!$T:$T,"MERCADORIAS P/REVENDA",Report!$AA:$AA,"SIM",Report!$C:$C,A263)</f>
        <v>3764.31</v>
      </c>
      <c r="D263" s="32"/>
      <c r="E263" s="32"/>
      <c r="F263" s="31" t="n">
        <f aca="false">B263+C263</f>
        <v>3764.31</v>
      </c>
    </row>
    <row r="264" customFormat="false" ht="12.75" hidden="false" customHeight="true" outlineLevel="0" collapsed="false">
      <c r="A264" s="33" t="s">
        <v>864</v>
      </c>
      <c r="B264" s="34" t="n">
        <f aca="false">SUM(B257:B263)</f>
        <v>6700.14</v>
      </c>
      <c r="C264" s="34" t="n">
        <f aca="false">SUM(C257:C263)</f>
        <v>43408.67</v>
      </c>
      <c r="D264" s="35"/>
      <c r="E264" s="35"/>
      <c r="F264" s="34" t="n">
        <f aca="false">B264+C264</f>
        <v>50108.81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247.27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2803.76</v>
      </c>
      <c r="F266" s="17" t="n">
        <f aca="false">B266+C266</f>
        <v>2803.76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138.3</v>
      </c>
      <c r="C267" s="17" t="n">
        <f aca="false">SUMIFS(Report!$U:$U,Report!$T:$T,"MERCADORIAS P/REVENDA",Report!$AA:$AA,"SIM",Report!$C:$C,A267)</f>
        <v>827.28</v>
      </c>
      <c r="F267" s="17" t="n">
        <f aca="false">B267+C267</f>
        <v>965.58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2051.81</v>
      </c>
      <c r="F268" s="17" t="n">
        <f aca="false">B268+C268</f>
        <v>2051.81</v>
      </c>
    </row>
    <row r="269" customFormat="false" ht="12.75" hidden="false" customHeight="true" outlineLevel="0" collapsed="false">
      <c r="A269" s="30" t="n">
        <v>46256</v>
      </c>
      <c r="B269" s="31" t="n">
        <f aca="false">SUMIFS(Report!$U:$U,Report!$T:$T,"&lt;&gt;"&amp;"MERCADORIAS P/REVENDA",Report!$AA:$AA,"SIM",Report!$C:$C,A269)</f>
        <v>396.67</v>
      </c>
      <c r="C269" s="31" t="n">
        <f aca="false">SUMIFS(Report!$U:$U,Report!$T:$T,"MERCADORIAS P/REVENDA",Report!$AA:$AA,"SIM",Report!$C:$C,A269)</f>
        <v>4661.88</v>
      </c>
      <c r="D269" s="32"/>
      <c r="E269" s="32"/>
      <c r="F269" s="31" t="n">
        <f aca="false">B269+C269</f>
        <v>5058.55</v>
      </c>
    </row>
    <row r="270" customFormat="false" ht="12.75" hidden="false" customHeight="true" outlineLevel="0" collapsed="false">
      <c r="A270" s="30" t="n">
        <v>46257</v>
      </c>
      <c r="B270" s="31" t="n">
        <f aca="false">SUMIFS(Report!$U:$U,Report!$T:$T,"&lt;&gt;"&amp;"MERCADORIAS P/REVENDA",Report!$AA:$AA,"SIM",Report!$C:$C,A270)</f>
        <v>0</v>
      </c>
      <c r="C270" s="31" t="n">
        <f aca="false">SUMIFS(Report!$U:$U,Report!$T:$T,"MERCADORIAS P/REVENDA",Report!$AA:$AA,"SIM",Report!$C:$C,A270)</f>
        <v>0</v>
      </c>
      <c r="D270" s="32"/>
      <c r="E270" s="32"/>
      <c r="F270" s="31" t="n">
        <f aca="false">B270+C270</f>
        <v>0</v>
      </c>
    </row>
    <row r="271" customFormat="false" ht="12.75" hidden="false" customHeight="true" outlineLevel="0" collapsed="false">
      <c r="A271" s="30" t="n">
        <v>46258</v>
      </c>
      <c r="B271" s="31" t="n">
        <f aca="false">SUMIFS(Report!$U:$U,Report!$T:$T,"&lt;&gt;"&amp;"MERCADORIAS P/REVENDA",Report!$AA:$AA,"SIM",Report!$C:$C,A271)</f>
        <v>0</v>
      </c>
      <c r="C271" s="31" t="n">
        <f aca="false">SUMIFS(Report!$U:$U,Report!$T:$T,"MERCADORIAS P/REVENDA",Report!$AA:$AA,"SIM",Report!$C:$C,A271)</f>
        <v>416.64</v>
      </c>
      <c r="D271" s="32"/>
      <c r="E271" s="32"/>
      <c r="F271" s="31" t="n">
        <f aca="false">B271+C271</f>
        <v>416.64</v>
      </c>
    </row>
    <row r="272" customFormat="false" ht="12.75" hidden="false" customHeight="true" outlineLevel="0" collapsed="false">
      <c r="A272" s="33" t="s">
        <v>865</v>
      </c>
      <c r="B272" s="34" t="n">
        <f aca="false">SUM(B265:B271)</f>
        <v>782.24</v>
      </c>
      <c r="C272" s="34" t="n">
        <f aca="false">SUM(C265:C271)</f>
        <v>11241.01</v>
      </c>
      <c r="D272" s="35"/>
      <c r="E272" s="35"/>
      <c r="F272" s="34" t="n">
        <f aca="false">B272+C272</f>
        <v>12023.25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446.17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0</v>
      </c>
      <c r="F274" s="17" t="n">
        <f aca="false">B274+C274</f>
        <v>4168.41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0</v>
      </c>
      <c r="F275" s="17" t="n">
        <f aca="false">B275+C275</f>
        <v>0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0</v>
      </c>
      <c r="F276" s="17" t="n">
        <f aca="false">B276+C276</f>
        <v>0</v>
      </c>
    </row>
    <row r="277" customFormat="false" ht="12.75" hidden="false" customHeight="true" outlineLevel="0" collapsed="false">
      <c r="A277" s="30" t="n">
        <v>46263</v>
      </c>
      <c r="B277" s="31" t="n">
        <f aca="false">SUMIFS(Report!$U:$U,Report!$T:$T,"&lt;&gt;"&amp;"MERCADORIAS P/REVENDA",Report!$AA:$AA,"SIM",Report!$C:$C,A277)</f>
        <v>0</v>
      </c>
      <c r="C277" s="31" t="n">
        <f aca="false">SUMIFS(Report!$U:$U,Report!$T:$T,"MERCADORIAS P/REVENDA",Report!$AA:$AA,"SIM",Report!$C:$C,A277)</f>
        <v>0</v>
      </c>
      <c r="D277" s="32"/>
      <c r="E277" s="32"/>
      <c r="F277" s="31" t="n">
        <f aca="false">B277+C277</f>
        <v>0</v>
      </c>
    </row>
    <row r="278" customFormat="false" ht="12.75" hidden="false" customHeight="true" outlineLevel="0" collapsed="false">
      <c r="A278" s="30" t="n">
        <v>46264</v>
      </c>
      <c r="B278" s="31" t="n">
        <f aca="false">SUMIFS(Report!$U:$U,Report!$T:$T,"&lt;&gt;"&amp;"MERCADORIAS P/REVENDA",Report!$AA:$AA,"SIM",Report!$C:$C,A278)</f>
        <v>0</v>
      </c>
      <c r="C278" s="31" t="n">
        <f aca="false">SUMIFS(Report!$U:$U,Report!$T:$T,"MERCADORIAS P/REVENDA",Report!$AA:$AA,"SIM",Report!$C:$C,A278)</f>
        <v>446.28</v>
      </c>
      <c r="D278" s="32"/>
      <c r="E278" s="32"/>
      <c r="F278" s="31" t="n">
        <f aca="false">B278+C278</f>
        <v>446.28</v>
      </c>
    </row>
    <row r="279" customFormat="false" ht="12.75" hidden="false" customHeight="true" outlineLevel="0" collapsed="false">
      <c r="A279" s="30" t="n">
        <v>46265</v>
      </c>
      <c r="B279" s="31" t="n">
        <f aca="false">SUMIFS(Report!$U:$U,Report!$T:$T,"&lt;&gt;"&amp;"MERCADORIAS P/REVENDA",Report!$AA:$AA,"SIM",Report!$C:$C,A279)</f>
        <v>0</v>
      </c>
      <c r="C279" s="31" t="n">
        <f aca="false">SUMIFS(Report!$U:$U,Report!$T:$T,"MERCADORIAS P/REVENDA",Report!$AA:$AA,"SIM",Report!$C:$C,A279)</f>
        <v>0</v>
      </c>
      <c r="D279" s="32"/>
      <c r="E279" s="32"/>
      <c r="F279" s="31" t="n">
        <f aca="false">B279+C279</f>
        <v>0</v>
      </c>
    </row>
    <row r="280" customFormat="false" ht="12.75" hidden="false" customHeight="true" outlineLevel="0" collapsed="false">
      <c r="A280" s="33" t="s">
        <v>866</v>
      </c>
      <c r="B280" s="34" t="n">
        <f aca="false">SUM(B273:B279)</f>
        <v>4614.58</v>
      </c>
      <c r="C280" s="34" t="n">
        <f aca="false">SUM(C273:C279)</f>
        <v>1264.83</v>
      </c>
      <c r="D280" s="35"/>
      <c r="E280" s="35"/>
      <c r="F280" s="34" t="n">
        <f aca="false">B280+C280</f>
        <v>5879.41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2276.82</v>
      </c>
      <c r="C281" s="17" t="n">
        <f aca="false">SUMIFS(Report!$U:$U,Report!$T:$T,"MERCADORIAS P/REVENDA",Report!$AA:$AA,"SIM",Report!$C:$C,A281)</f>
        <v>3382.61</v>
      </c>
      <c r="F281" s="17" t="n">
        <f aca="false">B281+C281</f>
        <v>5659.43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30" t="n">
        <v>46270</v>
      </c>
      <c r="B285" s="31" t="n">
        <f aca="false">SUMIFS(Report!$U:$U,Report!$T:$T,"&lt;&gt;"&amp;"MERCADORIAS P/REVENDA",Report!$AA:$AA,"SIM",Report!$C:$C,A285)</f>
        <v>0</v>
      </c>
      <c r="C285" s="31" t="n">
        <f aca="false">SUMIFS(Report!$U:$U,Report!$T:$T,"MERCADORIAS P/REVENDA",Report!$AA:$AA,"SIM",Report!$C:$C,A285)</f>
        <v>0</v>
      </c>
      <c r="D285" s="32"/>
      <c r="E285" s="32"/>
      <c r="F285" s="31" t="n">
        <f aca="false">B285+C285</f>
        <v>0</v>
      </c>
    </row>
    <row r="286" customFormat="false" ht="12.75" hidden="false" customHeight="true" outlineLevel="0" collapsed="false">
      <c r="A286" s="30" t="n">
        <v>46271</v>
      </c>
      <c r="B286" s="31" t="n">
        <f aca="false">SUMIFS(Report!$U:$U,Report!$T:$T,"&lt;&gt;"&amp;"MERCADORIAS P/REVENDA",Report!$AA:$AA,"SIM",Report!$C:$C,A286)</f>
        <v>0</v>
      </c>
      <c r="C286" s="31" t="n">
        <f aca="false">SUMIFS(Report!$U:$U,Report!$T:$T,"MERCADORIAS P/REVENDA",Report!$AA:$AA,"SIM",Report!$C:$C,A286)</f>
        <v>0</v>
      </c>
      <c r="D286" s="32"/>
      <c r="E286" s="32"/>
      <c r="F286" s="31" t="n">
        <f aca="false">B286+C286</f>
        <v>0</v>
      </c>
    </row>
    <row r="287" customFormat="false" ht="12.75" hidden="false" customHeight="true" outlineLevel="0" collapsed="false">
      <c r="A287" s="30" t="n">
        <v>46272</v>
      </c>
      <c r="B287" s="31" t="n">
        <f aca="false">SUMIFS(Report!$U:$U,Report!$T:$T,"&lt;&gt;"&amp;"MERCADORIAS P/REVENDA",Report!$AA:$AA,"SIM",Report!$C:$C,A287)</f>
        <v>119.97</v>
      </c>
      <c r="C287" s="31" t="n">
        <f aca="false">SUMIFS(Report!$U:$U,Report!$T:$T,"MERCADORIAS P/REVENDA",Report!$AA:$AA,"SIM",Report!$C:$C,A287)</f>
        <v>0</v>
      </c>
      <c r="D287" s="32"/>
      <c r="E287" s="32"/>
      <c r="F287" s="31" t="n">
        <f aca="false">B287+C287</f>
        <v>119.97</v>
      </c>
    </row>
    <row r="288" customFormat="false" ht="12.75" hidden="false" customHeight="true" outlineLevel="0" collapsed="false">
      <c r="A288" s="33" t="s">
        <v>867</v>
      </c>
      <c r="B288" s="34" t="n">
        <f aca="false">SUM(B281:B287)</f>
        <v>5099.19</v>
      </c>
      <c r="C288" s="34" t="n">
        <f aca="false">SUM(C281:C287)</f>
        <v>3382.61</v>
      </c>
      <c r="D288" s="35"/>
      <c r="E288" s="35"/>
      <c r="F288" s="34" t="n">
        <f aca="false">B288+C288</f>
        <v>8481.8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0</v>
      </c>
      <c r="F290" s="17" t="n">
        <f aca="false">B290+C290</f>
        <v>0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1226.67</v>
      </c>
      <c r="C291" s="17" t="n">
        <f aca="false">SUMIFS(Report!$U:$U,Report!$T:$T,"MERCADORIAS P/REVENDA",Report!$AA:$AA,"SIM",Report!$C:$C,A291)</f>
        <v>128.85</v>
      </c>
      <c r="F291" s="17" t="n">
        <f aca="false">B291+C291</f>
        <v>1355.52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0" t="n">
        <v>46277</v>
      </c>
      <c r="B293" s="31" t="n">
        <f aca="false">SUMIFS(Report!$U:$U,Report!$T:$T,"&lt;&gt;"&amp;"MERCADORIAS P/REVENDA",Report!$AA:$AA,"SIM",Report!$C:$C,A293)</f>
        <v>0</v>
      </c>
      <c r="C293" s="31" t="n">
        <f aca="false">SUMIFS(Report!$U:$U,Report!$T:$T,"MERCADORIAS P/REVENDA",Report!$AA:$AA,"SIM",Report!$C:$C,A293)</f>
        <v>0</v>
      </c>
      <c r="D293" s="32"/>
      <c r="E293" s="32"/>
      <c r="F293" s="31" t="n">
        <f aca="false">B293+C293</f>
        <v>0</v>
      </c>
    </row>
    <row r="294" customFormat="false" ht="12.75" hidden="false" customHeight="true" outlineLevel="0" collapsed="false">
      <c r="A294" s="30" t="n">
        <v>46278</v>
      </c>
      <c r="B294" s="31" t="n">
        <f aca="false">SUMIFS(Report!$U:$U,Report!$T:$T,"&lt;&gt;"&amp;"MERCADORIAS P/REVENDA",Report!$AA:$AA,"SIM",Report!$C:$C,A294)</f>
        <v>0</v>
      </c>
      <c r="C294" s="31" t="n">
        <f aca="false">SUMIFS(Report!$U:$U,Report!$T:$T,"MERCADORIAS P/REVENDA",Report!$AA:$AA,"SIM",Report!$C:$C,A294)</f>
        <v>0</v>
      </c>
      <c r="D294" s="32"/>
      <c r="E294" s="32"/>
      <c r="F294" s="31" t="n">
        <f aca="false">B294+C294</f>
        <v>0</v>
      </c>
    </row>
    <row r="295" customFormat="false" ht="12.75" hidden="false" customHeight="true" outlineLevel="0" collapsed="false">
      <c r="A295" s="30" t="n">
        <v>46279</v>
      </c>
      <c r="B295" s="31" t="n">
        <f aca="false">SUMIFS(Report!$U:$U,Report!$T:$T,"&lt;&gt;"&amp;"MERCADORIAS P/REVENDA",Report!$AA:$AA,"SIM",Report!$C:$C,A295)</f>
        <v>0</v>
      </c>
      <c r="C295" s="31" t="n">
        <f aca="false">SUMIFS(Report!$U:$U,Report!$T:$T,"MERCADORIAS P/REVENDA",Report!$AA:$AA,"SIM",Report!$C:$C,A295)</f>
        <v>0</v>
      </c>
      <c r="D295" s="32"/>
      <c r="E295" s="32"/>
      <c r="F295" s="31" t="n">
        <f aca="false">B295+C295</f>
        <v>0</v>
      </c>
    </row>
    <row r="296" customFormat="false" ht="12.75" hidden="false" customHeight="true" outlineLevel="0" collapsed="false">
      <c r="A296" s="33" t="s">
        <v>868</v>
      </c>
      <c r="B296" s="34" t="n">
        <f aca="false">SUM(B289:B295)</f>
        <v>1226.67</v>
      </c>
      <c r="C296" s="34" t="n">
        <f aca="false">SUM(C289:C295)</f>
        <v>128.85</v>
      </c>
      <c r="D296" s="35"/>
      <c r="E296" s="35"/>
      <c r="F296" s="34" t="n">
        <f aca="false">B296+C296</f>
        <v>1355.52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0" t="n">
        <v>46284</v>
      </c>
      <c r="B301" s="31" t="n">
        <f aca="false">SUMIFS(Report!$U:$U,Report!$T:$T,"&lt;&gt;"&amp;"MERCADORIAS P/REVENDA",Report!$AA:$AA,"SIM",Report!$C:$C,A301)</f>
        <v>0</v>
      </c>
      <c r="C301" s="31" t="n">
        <f aca="false">SUMIFS(Report!$U:$U,Report!$T:$T,"MERCADORIAS P/REVENDA",Report!$AA:$AA,"SIM",Report!$C:$C,A301)</f>
        <v>0</v>
      </c>
      <c r="D301" s="32"/>
      <c r="E301" s="32"/>
      <c r="F301" s="31" t="n">
        <f aca="false">B301+C301</f>
        <v>0</v>
      </c>
    </row>
    <row r="302" customFormat="false" ht="12.75" hidden="false" customHeight="true" outlineLevel="0" collapsed="false">
      <c r="A302" s="30" t="n">
        <v>46285</v>
      </c>
      <c r="B302" s="31" t="n">
        <f aca="false">SUMIFS(Report!$U:$U,Report!$T:$T,"&lt;&gt;"&amp;"MERCADORIAS P/REVENDA",Report!$AA:$AA,"SIM",Report!$C:$C,A302)</f>
        <v>138.3</v>
      </c>
      <c r="C302" s="31" t="n">
        <f aca="false">SUMIFS(Report!$U:$U,Report!$T:$T,"MERCADORIAS P/REVENDA",Report!$AA:$AA,"SIM",Report!$C:$C,A302)</f>
        <v>0</v>
      </c>
      <c r="D302" s="32"/>
      <c r="E302" s="32"/>
      <c r="F302" s="31" t="n">
        <f aca="false">B302+C302</f>
        <v>138.3</v>
      </c>
    </row>
    <row r="303" customFormat="false" ht="12.75" hidden="false" customHeight="true" outlineLevel="0" collapsed="false">
      <c r="A303" s="30" t="n">
        <v>46286</v>
      </c>
      <c r="B303" s="31" t="n">
        <f aca="false">SUMIFS(Report!$U:$U,Report!$T:$T,"&lt;&gt;"&amp;"MERCADORIAS P/REVENDA",Report!$AA:$AA,"SIM",Report!$C:$C,A303)</f>
        <v>0</v>
      </c>
      <c r="C303" s="31" t="n">
        <f aca="false">SUMIFS(Report!$U:$U,Report!$T:$T,"MERCADORIAS P/REVENDA",Report!$AA:$AA,"SIM",Report!$C:$C,A303)</f>
        <v>0</v>
      </c>
      <c r="D303" s="32"/>
      <c r="E303" s="32"/>
      <c r="F303" s="31" t="n">
        <f aca="false">B303+C303</f>
        <v>0</v>
      </c>
    </row>
    <row r="304" customFormat="false" ht="12.75" hidden="false" customHeight="true" outlineLevel="0" collapsed="false">
      <c r="A304" s="33" t="s">
        <v>869</v>
      </c>
      <c r="B304" s="34" t="n">
        <f aca="false">SUM(B297:B303)</f>
        <v>6314.45</v>
      </c>
      <c r="C304" s="34" t="n">
        <f aca="false">SUM(C297:C303)</f>
        <v>1501.38</v>
      </c>
      <c r="D304" s="35"/>
      <c r="E304" s="35"/>
      <c r="F304" s="34" t="n">
        <f aca="false">B304+C304</f>
        <v>7815.83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446.17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30" t="n">
        <v>46291</v>
      </c>
      <c r="B309" s="31" t="n">
        <f aca="false">SUMIFS(Report!$U:$U,Report!$T:$T,"&lt;&gt;"&amp;"MERCADORIAS P/REVENDA",Report!$AA:$AA,"SIM",Report!$C:$C,A309)</f>
        <v>0</v>
      </c>
      <c r="C309" s="31" t="n">
        <f aca="false">SUMIFS(Report!$U:$U,Report!$T:$T,"MERCADORIAS P/REVENDA",Report!$AA:$AA,"SIM",Report!$C:$C,A309)</f>
        <v>0</v>
      </c>
      <c r="D309" s="32"/>
      <c r="E309" s="32"/>
      <c r="F309" s="31" t="n">
        <f aca="false">B309+C309</f>
        <v>0</v>
      </c>
    </row>
    <row r="310" customFormat="false" ht="12.75" hidden="false" customHeight="true" outlineLevel="0" collapsed="false">
      <c r="A310" s="30" t="n">
        <v>46292</v>
      </c>
      <c r="B310" s="31" t="n">
        <f aca="false">SUMIFS(Report!$U:$U,Report!$T:$T,"&lt;&gt;"&amp;"MERCADORIAS P/REVENDA",Report!$AA:$AA,"SIM",Report!$C:$C,A310)</f>
        <v>0</v>
      </c>
      <c r="C310" s="31" t="n">
        <f aca="false">SUMIFS(Report!$U:$U,Report!$T:$T,"MERCADORIAS P/REVENDA",Report!$AA:$AA,"SIM",Report!$C:$C,A310)</f>
        <v>0</v>
      </c>
      <c r="D310" s="32"/>
      <c r="E310" s="32"/>
      <c r="F310" s="31" t="n">
        <f aca="false">B310+C310</f>
        <v>0</v>
      </c>
    </row>
    <row r="311" customFormat="false" ht="12.75" hidden="false" customHeight="true" outlineLevel="0" collapsed="false">
      <c r="A311" s="30" t="n">
        <v>46293</v>
      </c>
      <c r="B311" s="31" t="n">
        <f aca="false">SUMIFS(Report!$U:$U,Report!$T:$T,"&lt;&gt;"&amp;"MERCADORIAS P/REVENDA",Report!$AA:$AA,"SIM",Report!$C:$C,A311)</f>
        <v>4168.41</v>
      </c>
      <c r="C311" s="31" t="n">
        <f aca="false">SUMIFS(Report!$U:$U,Report!$T:$T,"MERCADORIAS P/REVENDA",Report!$AA:$AA,"SIM",Report!$C:$C,A311)</f>
        <v>0</v>
      </c>
      <c r="D311" s="32"/>
      <c r="E311" s="32"/>
      <c r="F311" s="31" t="n">
        <f aca="false">B311+C311</f>
        <v>4168.41</v>
      </c>
    </row>
    <row r="312" customFormat="false" ht="12.75" hidden="false" customHeight="true" outlineLevel="0" collapsed="false">
      <c r="A312" s="33" t="s">
        <v>870</v>
      </c>
      <c r="B312" s="34" t="n">
        <f aca="false">SUM(B305:B311)</f>
        <v>4614.58</v>
      </c>
      <c r="C312" s="34" t="n">
        <f aca="false">SUM(C305:C311)</f>
        <v>0</v>
      </c>
      <c r="D312" s="35"/>
      <c r="E312" s="35"/>
      <c r="F312" s="34" t="n">
        <f aca="false">B312+C312</f>
        <v>4614.58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0" t="n">
        <v>46298</v>
      </c>
      <c r="B317" s="31" t="n">
        <f aca="false">SUMIFS(Report!$U:$U,Report!$T:$T,"&lt;&gt;"&amp;"MERCADORIAS P/REVENDA",Report!$AA:$AA,"SIM",Report!$C:$C,A317)</f>
        <v>0</v>
      </c>
      <c r="C317" s="31" t="n">
        <f aca="false">SUMIFS(Report!$U:$U,Report!$T:$T,"MERCADORIAS P/REVENDA",Report!$AA:$AA,"SIM",Report!$C:$C,A317)</f>
        <v>0</v>
      </c>
      <c r="D317" s="32"/>
      <c r="E317" s="32"/>
      <c r="F317" s="31" t="n">
        <f aca="false">B317+C317</f>
        <v>0</v>
      </c>
    </row>
    <row r="318" customFormat="false" ht="12.75" hidden="false" customHeight="true" outlineLevel="0" collapsed="false">
      <c r="A318" s="30" t="n">
        <v>46299</v>
      </c>
      <c r="B318" s="31" t="n">
        <f aca="false">SUMIFS(Report!$U:$U,Report!$T:$T,"&lt;&gt;"&amp;"MERCADORIAS P/REVENDA",Report!$AA:$AA,"SIM",Report!$C:$C,A318)</f>
        <v>0</v>
      </c>
      <c r="C318" s="31" t="n">
        <f aca="false">SUMIFS(Report!$U:$U,Report!$T:$T,"MERCADORIAS P/REVENDA",Report!$AA:$AA,"SIM",Report!$C:$C,A318)</f>
        <v>0</v>
      </c>
      <c r="D318" s="32"/>
      <c r="E318" s="32"/>
      <c r="F318" s="31" t="n">
        <f aca="false">B318+C318</f>
        <v>0</v>
      </c>
    </row>
    <row r="319" customFormat="false" ht="12.75" hidden="false" customHeight="true" outlineLevel="0" collapsed="false">
      <c r="A319" s="30" t="n">
        <v>46300</v>
      </c>
      <c r="B319" s="31" t="n">
        <f aca="false">SUMIFS(Report!$U:$U,Report!$T:$T,"&lt;&gt;"&amp;"MERCADORIAS P/REVENDA",Report!$AA:$AA,"SIM",Report!$C:$C,A319)</f>
        <v>0</v>
      </c>
      <c r="C319" s="31" t="n">
        <f aca="false">SUMIFS(Report!$U:$U,Report!$T:$T,"MERCADORIAS P/REVENDA",Report!$AA:$AA,"SIM",Report!$C:$C,A319)</f>
        <v>0</v>
      </c>
      <c r="D319" s="32"/>
      <c r="E319" s="32"/>
      <c r="F319" s="31" t="n">
        <f aca="false">B319+C319</f>
        <v>0</v>
      </c>
    </row>
    <row r="320" customFormat="false" ht="12.75" hidden="false" customHeight="true" outlineLevel="0" collapsed="false">
      <c r="A320" s="33" t="s">
        <v>871</v>
      </c>
      <c r="B320" s="34" t="n">
        <f aca="false">SUM(B313:B319)</f>
        <v>0</v>
      </c>
      <c r="C320" s="34" t="n">
        <f aca="false">SUM(C313:C319)</f>
        <v>0</v>
      </c>
      <c r="D320" s="35"/>
      <c r="E320" s="35"/>
      <c r="F320" s="34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0" t="n">
        <v>46305</v>
      </c>
      <c r="B325" s="31" t="n">
        <f aca="false">SUMIFS(Report!$U:$U,Report!$T:$T,"&lt;&gt;"&amp;"MERCADORIAS P/REVENDA",Report!$AA:$AA,"SIM",Report!$C:$C,A325)</f>
        <v>0</v>
      </c>
      <c r="C325" s="31" t="n">
        <f aca="false">SUMIFS(Report!$U:$U,Report!$T:$T,"MERCADORIAS P/REVENDA",Report!$AA:$AA,"SIM",Report!$C:$C,A325)</f>
        <v>0</v>
      </c>
      <c r="D325" s="32"/>
      <c r="E325" s="32"/>
      <c r="F325" s="31" t="n">
        <f aca="false">B325+C325</f>
        <v>0</v>
      </c>
    </row>
    <row r="326" customFormat="false" ht="12.75" hidden="false" customHeight="true" outlineLevel="0" collapsed="false">
      <c r="A326" s="30" t="n">
        <v>46306</v>
      </c>
      <c r="B326" s="31" t="n">
        <f aca="false">SUMIFS(Report!$U:$U,Report!$T:$T,"&lt;&gt;"&amp;"MERCADORIAS P/REVENDA",Report!$AA:$AA,"SIM",Report!$C:$C,A326)</f>
        <v>0</v>
      </c>
      <c r="C326" s="31" t="n">
        <f aca="false">SUMIFS(Report!$U:$U,Report!$T:$T,"MERCADORIAS P/REVENDA",Report!$AA:$AA,"SIM",Report!$C:$C,A326)</f>
        <v>0</v>
      </c>
      <c r="D326" s="32"/>
      <c r="E326" s="32"/>
      <c r="F326" s="31" t="n">
        <f aca="false">B326+C326</f>
        <v>0</v>
      </c>
    </row>
    <row r="327" customFormat="false" ht="12.75" hidden="false" customHeight="true" outlineLevel="0" collapsed="false">
      <c r="A327" s="30" t="n">
        <v>46307</v>
      </c>
      <c r="B327" s="31" t="n">
        <f aca="false">SUMIFS(Report!$U:$U,Report!$T:$T,"&lt;&gt;"&amp;"MERCADORIAS P/REVENDA",Report!$AA:$AA,"SIM",Report!$C:$C,A327)</f>
        <v>0</v>
      </c>
      <c r="C327" s="31" t="n">
        <f aca="false">SUMIFS(Report!$U:$U,Report!$T:$T,"MERCADORIAS P/REVENDA",Report!$AA:$AA,"SIM",Report!$C:$C,A327)</f>
        <v>0</v>
      </c>
      <c r="D327" s="32"/>
      <c r="E327" s="32"/>
      <c r="F327" s="31" t="n">
        <f aca="false">B327+C327</f>
        <v>0</v>
      </c>
    </row>
    <row r="328" customFormat="false" ht="12.75" hidden="false" customHeight="true" outlineLevel="0" collapsed="false">
      <c r="A328" s="33" t="s">
        <v>872</v>
      </c>
      <c r="B328" s="34" t="n">
        <f aca="false">SUM(B321:B327)</f>
        <v>0</v>
      </c>
      <c r="C328" s="34" t="n">
        <f aca="false">SUM(C321:C327)</f>
        <v>0</v>
      </c>
      <c r="D328" s="35"/>
      <c r="E328" s="35"/>
      <c r="F328" s="34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0" t="n">
        <v>46312</v>
      </c>
      <c r="B333" s="31" t="n">
        <f aca="false">SUMIFS(Report!$U:$U,Report!$T:$T,"&lt;&gt;"&amp;"MERCADORIAS P/REVENDA",Report!$AA:$AA,"SIM",Report!$C:$C,A333)</f>
        <v>0</v>
      </c>
      <c r="C333" s="31" t="n">
        <f aca="false">SUMIFS(Report!$U:$U,Report!$T:$T,"MERCADORIAS P/REVENDA",Report!$AA:$AA,"SIM",Report!$C:$C,A333)</f>
        <v>0</v>
      </c>
      <c r="D333" s="32"/>
      <c r="E333" s="32"/>
      <c r="F333" s="31" t="n">
        <f aca="false">B333+C333</f>
        <v>0</v>
      </c>
    </row>
    <row r="334" customFormat="false" ht="12.75" hidden="false" customHeight="true" outlineLevel="0" collapsed="false">
      <c r="A334" s="30" t="n">
        <v>46313</v>
      </c>
      <c r="B334" s="31" t="n">
        <f aca="false">SUMIFS(Report!$U:$U,Report!$T:$T,"&lt;&gt;"&amp;"MERCADORIAS P/REVENDA",Report!$AA:$AA,"SIM",Report!$C:$C,A334)</f>
        <v>0</v>
      </c>
      <c r="C334" s="31" t="n">
        <f aca="false">SUMIFS(Report!$U:$U,Report!$T:$T,"MERCADORIAS P/REVENDA",Report!$AA:$AA,"SIM",Report!$C:$C,A334)</f>
        <v>0</v>
      </c>
      <c r="D334" s="32"/>
      <c r="E334" s="32"/>
      <c r="F334" s="31" t="n">
        <f aca="false">B334+C334</f>
        <v>0</v>
      </c>
    </row>
    <row r="335" customFormat="false" ht="12.75" hidden="false" customHeight="true" outlineLevel="0" collapsed="false">
      <c r="A335" s="30" t="n">
        <v>46314</v>
      </c>
      <c r="B335" s="31" t="n">
        <f aca="false">SUMIFS(Report!$U:$U,Report!$T:$T,"&lt;&gt;"&amp;"MERCADORIAS P/REVENDA",Report!$AA:$AA,"SIM",Report!$C:$C,A335)</f>
        <v>0</v>
      </c>
      <c r="C335" s="31" t="n">
        <f aca="false">SUMIFS(Report!$U:$U,Report!$T:$T,"MERCADORIAS P/REVENDA",Report!$AA:$AA,"SIM",Report!$C:$C,A335)</f>
        <v>0</v>
      </c>
      <c r="D335" s="32"/>
      <c r="E335" s="32"/>
      <c r="F335" s="31" t="n">
        <f aca="false">B335+C335</f>
        <v>0</v>
      </c>
    </row>
    <row r="336" customFormat="false" ht="12.75" hidden="false" customHeight="true" outlineLevel="0" collapsed="false">
      <c r="A336" s="33" t="s">
        <v>873</v>
      </c>
      <c r="B336" s="34" t="n">
        <f aca="false">SUM(B329:B335)</f>
        <v>0</v>
      </c>
      <c r="C336" s="34" t="n">
        <f aca="false">SUM(C329:C335)</f>
        <v>0</v>
      </c>
      <c r="D336" s="35"/>
      <c r="E336" s="35"/>
      <c r="F336" s="34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0" t="n">
        <v>46319</v>
      </c>
      <c r="B341" s="31" t="n">
        <f aca="false">SUMIFS(Report!$U:$U,Report!$T:$T,"&lt;&gt;"&amp;"MERCADORIAS P/REVENDA",Report!$AA:$AA,"SIM",Report!$C:$C,A341)</f>
        <v>0</v>
      </c>
      <c r="C341" s="31" t="n">
        <f aca="false">SUMIFS(Report!$U:$U,Report!$T:$T,"MERCADORIAS P/REVENDA",Report!$AA:$AA,"SIM",Report!$C:$C,A341)</f>
        <v>0</v>
      </c>
      <c r="D341" s="32"/>
      <c r="E341" s="32"/>
      <c r="F341" s="31" t="n">
        <f aca="false">B341+C341</f>
        <v>0</v>
      </c>
    </row>
    <row r="342" customFormat="false" ht="12.75" hidden="false" customHeight="true" outlineLevel="0" collapsed="false">
      <c r="A342" s="30" t="n">
        <v>46320</v>
      </c>
      <c r="B342" s="31" t="n">
        <f aca="false">SUMIFS(Report!$U:$U,Report!$T:$T,"&lt;&gt;"&amp;"MERCADORIAS P/REVENDA",Report!$AA:$AA,"SIM",Report!$C:$C,A342)</f>
        <v>0</v>
      </c>
      <c r="C342" s="31" t="n">
        <f aca="false">SUMIFS(Report!$U:$U,Report!$T:$T,"MERCADORIAS P/REVENDA",Report!$AA:$AA,"SIM",Report!$C:$C,A342)</f>
        <v>0</v>
      </c>
      <c r="D342" s="32"/>
      <c r="E342" s="32"/>
      <c r="F342" s="31" t="n">
        <f aca="false">B342+C342</f>
        <v>0</v>
      </c>
    </row>
    <row r="343" customFormat="false" ht="12.75" hidden="false" customHeight="true" outlineLevel="0" collapsed="false">
      <c r="A343" s="30" t="n">
        <v>46321</v>
      </c>
      <c r="B343" s="31" t="n">
        <f aca="false">SUMIFS(Report!$U:$U,Report!$T:$T,"&lt;&gt;"&amp;"MERCADORIAS P/REVENDA",Report!$AA:$AA,"SIM",Report!$C:$C,A343)</f>
        <v>0</v>
      </c>
      <c r="C343" s="31" t="n">
        <f aca="false">SUMIFS(Report!$U:$U,Report!$T:$T,"MERCADORIAS P/REVENDA",Report!$AA:$AA,"SIM",Report!$C:$C,A343)</f>
        <v>0</v>
      </c>
      <c r="D343" s="32"/>
      <c r="E343" s="32"/>
      <c r="F343" s="31" t="n">
        <f aca="false">B343+C343</f>
        <v>0</v>
      </c>
    </row>
    <row r="344" customFormat="false" ht="12.75" hidden="false" customHeight="true" outlineLevel="0" collapsed="false">
      <c r="A344" s="33" t="s">
        <v>874</v>
      </c>
      <c r="B344" s="34" t="n">
        <f aca="false">SUM(B337:B343)</f>
        <v>0</v>
      </c>
      <c r="C344" s="34" t="n">
        <f aca="false">SUM(C337:C343)</f>
        <v>0</v>
      </c>
      <c r="D344" s="35"/>
      <c r="E344" s="35"/>
      <c r="F344" s="34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0" t="n">
        <v>46326</v>
      </c>
      <c r="B349" s="31" t="n">
        <f aca="false">SUMIFS(Report!$U:$U,Report!$T:$T,"&lt;&gt;"&amp;"MERCADORIAS P/REVENDA",Report!$AA:$AA,"SIM",Report!$C:$C,A349)</f>
        <v>0</v>
      </c>
      <c r="C349" s="31" t="n">
        <f aca="false">SUMIFS(Report!$U:$U,Report!$T:$T,"MERCADORIAS P/REVENDA",Report!$AA:$AA,"SIM",Report!$C:$C,A349)</f>
        <v>0</v>
      </c>
      <c r="D349" s="32"/>
      <c r="E349" s="32"/>
      <c r="F349" s="31" t="n">
        <f aca="false">B349+C349</f>
        <v>0</v>
      </c>
    </row>
    <row r="350" customFormat="false" ht="12.75" hidden="false" customHeight="true" outlineLevel="0" collapsed="false">
      <c r="A350" s="30" t="n">
        <v>46327</v>
      </c>
      <c r="B350" s="31" t="n">
        <f aca="false">SUMIFS(Report!$U:$U,Report!$T:$T,"&lt;&gt;"&amp;"MERCADORIAS P/REVENDA",Report!$AA:$AA,"SIM",Report!$C:$C,A350)</f>
        <v>0</v>
      </c>
      <c r="C350" s="31" t="n">
        <f aca="false">SUMIFS(Report!$U:$U,Report!$T:$T,"MERCADORIAS P/REVENDA",Report!$AA:$AA,"SIM",Report!$C:$C,A350)</f>
        <v>0</v>
      </c>
      <c r="D350" s="32"/>
      <c r="E350" s="32"/>
      <c r="F350" s="31" t="n">
        <f aca="false">B350+C350</f>
        <v>0</v>
      </c>
    </row>
    <row r="351" customFormat="false" ht="12.75" hidden="false" customHeight="true" outlineLevel="0" collapsed="false">
      <c r="A351" s="30" t="n">
        <v>46328</v>
      </c>
      <c r="B351" s="31" t="n">
        <f aca="false">SUMIFS(Report!$U:$U,Report!$T:$T,"&lt;&gt;"&amp;"MERCADORIAS P/REVENDA",Report!$AA:$AA,"SIM",Report!$C:$C,A351)</f>
        <v>0</v>
      </c>
      <c r="C351" s="31" t="n">
        <f aca="false">SUMIFS(Report!$U:$U,Report!$T:$T,"MERCADORIAS P/REVENDA",Report!$AA:$AA,"SIM",Report!$C:$C,A351)</f>
        <v>0</v>
      </c>
      <c r="D351" s="32"/>
      <c r="E351" s="32"/>
      <c r="F351" s="31" t="n">
        <f aca="false">B351+C351</f>
        <v>0</v>
      </c>
    </row>
    <row r="352" customFormat="false" ht="12.75" hidden="false" customHeight="true" outlineLevel="0" collapsed="false">
      <c r="A352" s="33" t="s">
        <v>875</v>
      </c>
      <c r="B352" s="34" t="n">
        <f aca="false">SUM(B345:B351)</f>
        <v>0</v>
      </c>
      <c r="C352" s="34" t="n">
        <f aca="false">SUM(C345:C351)</f>
        <v>0</v>
      </c>
      <c r="D352" s="35"/>
      <c r="E352" s="35"/>
      <c r="F352" s="34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0" t="n">
        <v>46333</v>
      </c>
      <c r="B357" s="31" t="n">
        <f aca="false">SUMIFS(Report!$U:$U,Report!$T:$T,"&lt;&gt;"&amp;"MERCADORIAS P/REVENDA",Report!$AA:$AA,"SIM",Report!$C:$C,A357)</f>
        <v>0</v>
      </c>
      <c r="C357" s="31" t="n">
        <f aca="false">SUMIFS(Report!$U:$U,Report!$T:$T,"MERCADORIAS P/REVENDA",Report!$AA:$AA,"SIM",Report!$C:$C,A357)</f>
        <v>0</v>
      </c>
      <c r="D357" s="32"/>
      <c r="E357" s="32"/>
      <c r="F357" s="31" t="n">
        <f aca="false">B357+C357</f>
        <v>0</v>
      </c>
    </row>
    <row r="358" customFormat="false" ht="12.75" hidden="false" customHeight="true" outlineLevel="0" collapsed="false">
      <c r="A358" s="30" t="n">
        <v>46334</v>
      </c>
      <c r="B358" s="31" t="n">
        <f aca="false">SUMIFS(Report!$U:$U,Report!$T:$T,"&lt;&gt;"&amp;"MERCADORIAS P/REVENDA",Report!$AA:$AA,"SIM",Report!$C:$C,A358)</f>
        <v>0</v>
      </c>
      <c r="C358" s="31" t="n">
        <f aca="false">SUMIFS(Report!$U:$U,Report!$T:$T,"MERCADORIAS P/REVENDA",Report!$AA:$AA,"SIM",Report!$C:$C,A358)</f>
        <v>0</v>
      </c>
      <c r="D358" s="32"/>
      <c r="E358" s="32"/>
      <c r="F358" s="31" t="n">
        <f aca="false">B358+C358</f>
        <v>0</v>
      </c>
    </row>
    <row r="359" customFormat="false" ht="12.75" hidden="false" customHeight="true" outlineLevel="0" collapsed="false">
      <c r="A359" s="30" t="n">
        <v>46335</v>
      </c>
      <c r="B359" s="31" t="n">
        <f aca="false">SUMIFS(Report!$U:$U,Report!$T:$T,"&lt;&gt;"&amp;"MERCADORIAS P/REVENDA",Report!$AA:$AA,"SIM",Report!$C:$C,A359)</f>
        <v>0</v>
      </c>
      <c r="C359" s="31" t="n">
        <f aca="false">SUMIFS(Report!$U:$U,Report!$T:$T,"MERCADORIAS P/REVENDA",Report!$AA:$AA,"SIM",Report!$C:$C,A359)</f>
        <v>0</v>
      </c>
      <c r="D359" s="32"/>
      <c r="E359" s="32"/>
      <c r="F359" s="31" t="n">
        <f aca="false">B359+C359</f>
        <v>0</v>
      </c>
    </row>
    <row r="360" customFormat="false" ht="12.75" hidden="false" customHeight="true" outlineLevel="0" collapsed="false">
      <c r="A360" s="33" t="s">
        <v>876</v>
      </c>
      <c r="B360" s="34" t="n">
        <f aca="false">SUM(B353:B359)</f>
        <v>0</v>
      </c>
      <c r="C360" s="34" t="n">
        <f aca="false">SUM(C353:C359)</f>
        <v>0</v>
      </c>
      <c r="D360" s="35"/>
      <c r="E360" s="35"/>
      <c r="F360" s="34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0" t="n">
        <v>46340</v>
      </c>
      <c r="B365" s="31" t="n">
        <f aca="false">SUMIFS(Report!$U:$U,Report!$T:$T,"&lt;&gt;"&amp;"MERCADORIAS P/REVENDA",Report!$AA:$AA,"SIM",Report!$C:$C,A365)</f>
        <v>0</v>
      </c>
      <c r="C365" s="31" t="n">
        <f aca="false">SUMIFS(Report!$U:$U,Report!$T:$T,"MERCADORIAS P/REVENDA",Report!$AA:$AA,"SIM",Report!$C:$C,A365)</f>
        <v>0</v>
      </c>
      <c r="D365" s="32"/>
      <c r="E365" s="32"/>
      <c r="F365" s="31" t="n">
        <f aca="false">B365+C365</f>
        <v>0</v>
      </c>
    </row>
    <row r="366" customFormat="false" ht="12.75" hidden="false" customHeight="true" outlineLevel="0" collapsed="false">
      <c r="A366" s="30" t="n">
        <v>46341</v>
      </c>
      <c r="B366" s="31" t="n">
        <f aca="false">SUMIFS(Report!$U:$U,Report!$T:$T,"&lt;&gt;"&amp;"MERCADORIAS P/REVENDA",Report!$AA:$AA,"SIM",Report!$C:$C,A366)</f>
        <v>0</v>
      </c>
      <c r="C366" s="31" t="n">
        <f aca="false">SUMIFS(Report!$U:$U,Report!$T:$T,"MERCADORIAS P/REVENDA",Report!$AA:$AA,"SIM",Report!$C:$C,A366)</f>
        <v>0</v>
      </c>
      <c r="D366" s="32"/>
      <c r="E366" s="32"/>
      <c r="F366" s="31" t="n">
        <f aca="false">B366+C366</f>
        <v>0</v>
      </c>
    </row>
    <row r="367" customFormat="false" ht="12.75" hidden="false" customHeight="true" outlineLevel="0" collapsed="false">
      <c r="A367" s="30" t="n">
        <v>46342</v>
      </c>
      <c r="B367" s="31" t="n">
        <f aca="false">SUMIFS(Report!$U:$U,Report!$T:$T,"&lt;&gt;"&amp;"MERCADORIAS P/REVENDA",Report!$AA:$AA,"SIM",Report!$C:$C,A367)</f>
        <v>0</v>
      </c>
      <c r="C367" s="31" t="n">
        <f aca="false">SUMIFS(Report!$U:$U,Report!$T:$T,"MERCADORIAS P/REVENDA",Report!$AA:$AA,"SIM",Report!$C:$C,A367)</f>
        <v>0</v>
      </c>
      <c r="D367" s="32"/>
      <c r="E367" s="32"/>
      <c r="F367" s="31" t="n">
        <f aca="false">B367+C367</f>
        <v>0</v>
      </c>
    </row>
    <row r="368" customFormat="false" ht="12.75" hidden="false" customHeight="true" outlineLevel="0" collapsed="false">
      <c r="A368" s="33" t="s">
        <v>877</v>
      </c>
      <c r="B368" s="34" t="n">
        <f aca="false">SUM(B361:B367)</f>
        <v>0</v>
      </c>
      <c r="C368" s="34" t="n">
        <f aca="false">SUM(C361:C367)</f>
        <v>0</v>
      </c>
      <c r="D368" s="35"/>
      <c r="E368" s="35"/>
      <c r="F368" s="34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0" t="n">
        <v>46347</v>
      </c>
      <c r="B373" s="31" t="n">
        <f aca="false">SUMIFS(Report!$U:$U,Report!$T:$T,"&lt;&gt;"&amp;"MERCADORIAS P/REVENDA",Report!$AA:$AA,"SIM",Report!$C:$C,A373)</f>
        <v>0</v>
      </c>
      <c r="C373" s="31" t="n">
        <f aca="false">SUMIFS(Report!$U:$U,Report!$T:$T,"MERCADORIAS P/REVENDA",Report!$AA:$AA,"SIM",Report!$C:$C,A373)</f>
        <v>0</v>
      </c>
      <c r="D373" s="32"/>
      <c r="E373" s="32"/>
      <c r="F373" s="31" t="n">
        <f aca="false">B373+C373</f>
        <v>0</v>
      </c>
    </row>
    <row r="374" customFormat="false" ht="12.75" hidden="false" customHeight="true" outlineLevel="0" collapsed="false">
      <c r="A374" s="30" t="n">
        <v>46348</v>
      </c>
      <c r="B374" s="31" t="n">
        <f aca="false">SUMIFS(Report!$U:$U,Report!$T:$T,"&lt;&gt;"&amp;"MERCADORIAS P/REVENDA",Report!$AA:$AA,"SIM",Report!$C:$C,A374)</f>
        <v>0</v>
      </c>
      <c r="C374" s="31" t="n">
        <f aca="false">SUMIFS(Report!$U:$U,Report!$T:$T,"MERCADORIAS P/REVENDA",Report!$AA:$AA,"SIM",Report!$C:$C,A374)</f>
        <v>0</v>
      </c>
      <c r="D374" s="32"/>
      <c r="E374" s="32"/>
      <c r="F374" s="31" t="n">
        <f aca="false">B374+C374</f>
        <v>0</v>
      </c>
    </row>
    <row r="375" customFormat="false" ht="12.75" hidden="false" customHeight="true" outlineLevel="0" collapsed="false">
      <c r="A375" s="30" t="n">
        <v>46349</v>
      </c>
      <c r="B375" s="31" t="n">
        <f aca="false">SUMIFS(Report!$U:$U,Report!$T:$T,"&lt;&gt;"&amp;"MERCADORIAS P/REVENDA",Report!$AA:$AA,"SIM",Report!$C:$C,A375)</f>
        <v>0</v>
      </c>
      <c r="C375" s="31" t="n">
        <f aca="false">SUMIFS(Report!$U:$U,Report!$T:$T,"MERCADORIAS P/REVENDA",Report!$AA:$AA,"SIM",Report!$C:$C,A375)</f>
        <v>0</v>
      </c>
      <c r="D375" s="32"/>
      <c r="E375" s="32"/>
      <c r="F375" s="31" t="n">
        <f aca="false">B375+C375</f>
        <v>0</v>
      </c>
    </row>
    <row r="376" customFormat="false" ht="12.75" hidden="false" customHeight="true" outlineLevel="0" collapsed="false">
      <c r="A376" s="33" t="s">
        <v>878</v>
      </c>
      <c r="B376" s="34" t="n">
        <f aca="false">SUM(B369:B375)</f>
        <v>0</v>
      </c>
      <c r="C376" s="34" t="n">
        <f aca="false">SUM(C369:C375)</f>
        <v>0</v>
      </c>
      <c r="D376" s="35"/>
      <c r="E376" s="35"/>
      <c r="F376" s="34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0" t="n">
        <v>46354</v>
      </c>
      <c r="B381" s="31" t="n">
        <f aca="false">SUMIFS(Report!$U:$U,Report!$T:$T,"&lt;&gt;"&amp;"MERCADORIAS P/REVENDA",Report!$AA:$AA,"SIM",Report!$C:$C,A381)</f>
        <v>0</v>
      </c>
      <c r="C381" s="31" t="n">
        <f aca="false">SUMIFS(Report!$U:$U,Report!$T:$T,"MERCADORIAS P/REVENDA",Report!$AA:$AA,"SIM",Report!$C:$C,A381)</f>
        <v>0</v>
      </c>
      <c r="D381" s="32"/>
      <c r="E381" s="32"/>
      <c r="F381" s="31" t="n">
        <f aca="false">B381+C381</f>
        <v>0</v>
      </c>
    </row>
    <row r="382" customFormat="false" ht="12.75" hidden="false" customHeight="true" outlineLevel="0" collapsed="false">
      <c r="A382" s="30" t="n">
        <v>46355</v>
      </c>
      <c r="B382" s="31" t="n">
        <f aca="false">SUMIFS(Report!$U:$U,Report!$T:$T,"&lt;&gt;"&amp;"MERCADORIAS P/REVENDA",Report!$AA:$AA,"SIM",Report!$C:$C,A382)</f>
        <v>0</v>
      </c>
      <c r="C382" s="31" t="n">
        <f aca="false">SUMIFS(Report!$U:$U,Report!$T:$T,"MERCADORIAS P/REVENDA",Report!$AA:$AA,"SIM",Report!$C:$C,A382)</f>
        <v>0</v>
      </c>
      <c r="D382" s="32"/>
      <c r="E382" s="32"/>
      <c r="F382" s="31" t="n">
        <f aca="false">B382+C382</f>
        <v>0</v>
      </c>
    </row>
    <row r="383" customFormat="false" ht="12.75" hidden="false" customHeight="true" outlineLevel="0" collapsed="false">
      <c r="A383" s="30" t="n">
        <v>46356</v>
      </c>
      <c r="B383" s="31" t="n">
        <f aca="false">SUMIFS(Report!$U:$U,Report!$T:$T,"&lt;&gt;"&amp;"MERCADORIAS P/REVENDA",Report!$AA:$AA,"SIM",Report!$C:$C,A383)</f>
        <v>0</v>
      </c>
      <c r="C383" s="31" t="n">
        <f aca="false">SUMIFS(Report!$U:$U,Report!$T:$T,"MERCADORIAS P/REVENDA",Report!$AA:$AA,"SIM",Report!$C:$C,A383)</f>
        <v>0</v>
      </c>
      <c r="D383" s="32"/>
      <c r="E383" s="32"/>
      <c r="F383" s="31" t="n">
        <f aca="false">B383+C383</f>
        <v>0</v>
      </c>
    </row>
    <row r="384" customFormat="false" ht="12.75" hidden="false" customHeight="true" outlineLevel="0" collapsed="false">
      <c r="A384" s="33" t="s">
        <v>879</v>
      </c>
      <c r="B384" s="34" t="n">
        <f aca="false">SUM(B377:B383)</f>
        <v>0</v>
      </c>
      <c r="C384" s="34" t="n">
        <f aca="false">SUM(C377:C383)</f>
        <v>0</v>
      </c>
      <c r="D384" s="35"/>
      <c r="E384" s="35"/>
      <c r="F384" s="34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0" t="n">
        <v>46361</v>
      </c>
      <c r="B389" s="31" t="n">
        <f aca="false">SUMIFS(Report!$U:$U,Report!$T:$T,"&lt;&gt;"&amp;"MERCADORIAS P/REVENDA",Report!$AA:$AA,"SIM",Report!$C:$C,A389)</f>
        <v>0</v>
      </c>
      <c r="C389" s="31" t="n">
        <f aca="false">SUMIFS(Report!$U:$U,Report!$T:$T,"MERCADORIAS P/REVENDA",Report!$AA:$AA,"SIM",Report!$C:$C,A389)</f>
        <v>0</v>
      </c>
      <c r="D389" s="32"/>
      <c r="E389" s="32"/>
      <c r="F389" s="31" t="n">
        <f aca="false">B389+C389</f>
        <v>0</v>
      </c>
    </row>
    <row r="390" customFormat="false" ht="12.75" hidden="false" customHeight="true" outlineLevel="0" collapsed="false">
      <c r="A390" s="30" t="n">
        <v>46362</v>
      </c>
      <c r="B390" s="31" t="n">
        <f aca="false">SUMIFS(Report!$U:$U,Report!$T:$T,"&lt;&gt;"&amp;"MERCADORIAS P/REVENDA",Report!$AA:$AA,"SIM",Report!$C:$C,A390)</f>
        <v>0</v>
      </c>
      <c r="C390" s="31" t="n">
        <f aca="false">SUMIFS(Report!$U:$U,Report!$T:$T,"MERCADORIAS P/REVENDA",Report!$AA:$AA,"SIM",Report!$C:$C,A390)</f>
        <v>0</v>
      </c>
      <c r="D390" s="32"/>
      <c r="E390" s="32"/>
      <c r="F390" s="31" t="n">
        <f aca="false">B390+C390</f>
        <v>0</v>
      </c>
    </row>
    <row r="391" customFormat="false" ht="12.75" hidden="false" customHeight="true" outlineLevel="0" collapsed="false">
      <c r="A391" s="30" t="n">
        <v>46363</v>
      </c>
      <c r="B391" s="31" t="n">
        <f aca="false">SUMIFS(Report!$U:$U,Report!$T:$T,"&lt;&gt;"&amp;"MERCADORIAS P/REVENDA",Report!$AA:$AA,"SIM",Report!$C:$C,A391)</f>
        <v>0</v>
      </c>
      <c r="C391" s="31" t="n">
        <f aca="false">SUMIFS(Report!$U:$U,Report!$T:$T,"MERCADORIAS P/REVENDA",Report!$AA:$AA,"SIM",Report!$C:$C,A391)</f>
        <v>0</v>
      </c>
      <c r="D391" s="32"/>
      <c r="E391" s="32"/>
      <c r="F391" s="31" t="n">
        <f aca="false">B391+C391</f>
        <v>0</v>
      </c>
    </row>
    <row r="392" customFormat="false" ht="12.75" hidden="false" customHeight="true" outlineLevel="0" collapsed="false">
      <c r="A392" s="33" t="s">
        <v>880</v>
      </c>
      <c r="B392" s="34" t="n">
        <f aca="false">SUM(B385:B391)</f>
        <v>0</v>
      </c>
      <c r="C392" s="34" t="n">
        <f aca="false">SUM(C385:C391)</f>
        <v>0</v>
      </c>
      <c r="D392" s="35"/>
      <c r="E392" s="35"/>
      <c r="F392" s="34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0" t="n">
        <v>46368</v>
      </c>
      <c r="B397" s="31" t="n">
        <f aca="false">SUMIFS(Report!$U:$U,Report!$T:$T,"&lt;&gt;"&amp;"MERCADORIAS P/REVENDA",Report!$AA:$AA,"SIM",Report!$C:$C,A397)</f>
        <v>0</v>
      </c>
      <c r="C397" s="31" t="n">
        <f aca="false">SUMIFS(Report!$U:$U,Report!$T:$T,"MERCADORIAS P/REVENDA",Report!$AA:$AA,"SIM",Report!$C:$C,A397)</f>
        <v>0</v>
      </c>
      <c r="D397" s="32"/>
      <c r="E397" s="32"/>
      <c r="F397" s="31" t="n">
        <f aca="false">B397+C397</f>
        <v>0</v>
      </c>
    </row>
    <row r="398" customFormat="false" ht="12.75" hidden="false" customHeight="true" outlineLevel="0" collapsed="false">
      <c r="A398" s="30" t="n">
        <v>46369</v>
      </c>
      <c r="B398" s="31" t="n">
        <f aca="false">SUMIFS(Report!$U:$U,Report!$T:$T,"&lt;&gt;"&amp;"MERCADORIAS P/REVENDA",Report!$AA:$AA,"SIM",Report!$C:$C,A398)</f>
        <v>0</v>
      </c>
      <c r="C398" s="31" t="n">
        <f aca="false">SUMIFS(Report!$U:$U,Report!$T:$T,"MERCADORIAS P/REVENDA",Report!$AA:$AA,"SIM",Report!$C:$C,A398)</f>
        <v>0</v>
      </c>
      <c r="D398" s="32"/>
      <c r="E398" s="32"/>
      <c r="F398" s="31" t="n">
        <f aca="false">B398+C398</f>
        <v>0</v>
      </c>
    </row>
    <row r="399" customFormat="false" ht="12.75" hidden="false" customHeight="true" outlineLevel="0" collapsed="false">
      <c r="A399" s="30" t="n">
        <v>46370</v>
      </c>
      <c r="B399" s="31" t="n">
        <f aca="false">SUMIFS(Report!$U:$U,Report!$T:$T,"&lt;&gt;"&amp;"MERCADORIAS P/REVENDA",Report!$AA:$AA,"SIM",Report!$C:$C,A399)</f>
        <v>0</v>
      </c>
      <c r="C399" s="31" t="n">
        <f aca="false">SUMIFS(Report!$U:$U,Report!$T:$T,"MERCADORIAS P/REVENDA",Report!$AA:$AA,"SIM",Report!$C:$C,A399)</f>
        <v>0</v>
      </c>
      <c r="D399" s="32"/>
      <c r="E399" s="32"/>
      <c r="F399" s="31" t="n">
        <f aca="false">B399+C399</f>
        <v>0</v>
      </c>
    </row>
    <row r="400" customFormat="false" ht="12.75" hidden="false" customHeight="true" outlineLevel="0" collapsed="false">
      <c r="A400" s="33" t="s">
        <v>881</v>
      </c>
      <c r="B400" s="34" t="n">
        <f aca="false">SUM(B393:B399)</f>
        <v>0</v>
      </c>
      <c r="C400" s="34" t="n">
        <f aca="false">SUM(C393:C399)</f>
        <v>0</v>
      </c>
      <c r="D400" s="35"/>
      <c r="E400" s="35"/>
      <c r="F400" s="34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0" t="n">
        <v>46375</v>
      </c>
      <c r="B405" s="31" t="n">
        <f aca="false">SUMIFS(Report!$U:$U,Report!$T:$T,"&lt;&gt;"&amp;"MERCADORIAS P/REVENDA",Report!$AA:$AA,"SIM",Report!$C:$C,A405)</f>
        <v>0</v>
      </c>
      <c r="C405" s="31" t="n">
        <f aca="false">SUMIFS(Report!$U:$U,Report!$T:$T,"MERCADORIAS P/REVENDA",Report!$AA:$AA,"SIM",Report!$C:$C,A405)</f>
        <v>0</v>
      </c>
      <c r="D405" s="32"/>
      <c r="E405" s="32"/>
      <c r="F405" s="31" t="n">
        <f aca="false">B405+C405</f>
        <v>0</v>
      </c>
    </row>
    <row r="406" customFormat="false" ht="12.75" hidden="false" customHeight="true" outlineLevel="0" collapsed="false">
      <c r="A406" s="30" t="n">
        <v>46376</v>
      </c>
      <c r="B406" s="31" t="n">
        <f aca="false">SUMIFS(Report!$U:$U,Report!$T:$T,"&lt;&gt;"&amp;"MERCADORIAS P/REVENDA",Report!$AA:$AA,"SIM",Report!$C:$C,A406)</f>
        <v>0</v>
      </c>
      <c r="C406" s="31" t="n">
        <f aca="false">SUMIFS(Report!$U:$U,Report!$T:$T,"MERCADORIAS P/REVENDA",Report!$AA:$AA,"SIM",Report!$C:$C,A406)</f>
        <v>0</v>
      </c>
      <c r="D406" s="32"/>
      <c r="E406" s="32"/>
      <c r="F406" s="31" t="n">
        <f aca="false">B406+C406</f>
        <v>0</v>
      </c>
    </row>
    <row r="407" customFormat="false" ht="12.75" hidden="false" customHeight="true" outlineLevel="0" collapsed="false">
      <c r="A407" s="30" t="n">
        <v>46377</v>
      </c>
      <c r="B407" s="31" t="n">
        <f aca="false">SUMIFS(Report!$U:$U,Report!$T:$T,"&lt;&gt;"&amp;"MERCADORIAS P/REVENDA",Report!$AA:$AA,"SIM",Report!$C:$C,A407)</f>
        <v>0</v>
      </c>
      <c r="C407" s="31" t="n">
        <f aca="false">SUMIFS(Report!$U:$U,Report!$T:$T,"MERCADORIAS P/REVENDA",Report!$AA:$AA,"SIM",Report!$C:$C,A407)</f>
        <v>0</v>
      </c>
      <c r="D407" s="32"/>
      <c r="E407" s="32"/>
      <c r="F407" s="31" t="n">
        <f aca="false">B407+C407</f>
        <v>0</v>
      </c>
    </row>
    <row r="408" customFormat="false" ht="12.75" hidden="false" customHeight="true" outlineLevel="0" collapsed="false">
      <c r="A408" s="33" t="s">
        <v>882</v>
      </c>
      <c r="B408" s="34" t="n">
        <f aca="false">SUM(B401:B407)</f>
        <v>0</v>
      </c>
      <c r="C408" s="34" t="n">
        <f aca="false">SUM(C401:C407)</f>
        <v>0</v>
      </c>
      <c r="D408" s="35"/>
      <c r="E408" s="35"/>
      <c r="F408" s="34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0" t="n">
        <v>46382</v>
      </c>
      <c r="B413" s="31" t="n">
        <f aca="false">SUMIFS(Report!$U:$U,Report!$T:$T,"&lt;&gt;"&amp;"MERCADORIAS P/REVENDA",Report!$AA:$AA,"SIM",Report!$C:$C,A413)</f>
        <v>0</v>
      </c>
      <c r="C413" s="31" t="n">
        <f aca="false">SUMIFS(Report!$U:$U,Report!$T:$T,"MERCADORIAS P/REVENDA",Report!$AA:$AA,"SIM",Report!$C:$C,A413)</f>
        <v>0</v>
      </c>
      <c r="D413" s="32"/>
      <c r="E413" s="32"/>
      <c r="F413" s="31" t="n">
        <f aca="false">B413+C413</f>
        <v>0</v>
      </c>
    </row>
    <row r="414" customFormat="false" ht="12.75" hidden="false" customHeight="true" outlineLevel="0" collapsed="false">
      <c r="A414" s="30" t="n">
        <v>46383</v>
      </c>
      <c r="B414" s="31" t="n">
        <f aca="false">SUMIFS(Report!$U:$U,Report!$T:$T,"&lt;&gt;"&amp;"MERCADORIAS P/REVENDA",Report!$AA:$AA,"SIM",Report!$C:$C,A414)</f>
        <v>0</v>
      </c>
      <c r="C414" s="31" t="n">
        <f aca="false">SUMIFS(Report!$U:$U,Report!$T:$T,"MERCADORIAS P/REVENDA",Report!$AA:$AA,"SIM",Report!$C:$C,A414)</f>
        <v>0</v>
      </c>
      <c r="D414" s="32"/>
      <c r="E414" s="32"/>
      <c r="F414" s="31" t="n">
        <f aca="false">B414+C414</f>
        <v>0</v>
      </c>
    </row>
    <row r="415" customFormat="false" ht="12.75" hidden="false" customHeight="true" outlineLevel="0" collapsed="false">
      <c r="A415" s="30" t="n">
        <v>46384</v>
      </c>
      <c r="B415" s="31" t="n">
        <f aca="false">SUMIFS(Report!$U:$U,Report!$T:$T,"&lt;&gt;"&amp;"MERCADORIAS P/REVENDA",Report!$AA:$AA,"SIM",Report!$C:$C,A415)</f>
        <v>0</v>
      </c>
      <c r="C415" s="31" t="n">
        <f aca="false">SUMIFS(Report!$U:$U,Report!$T:$T,"MERCADORIAS P/REVENDA",Report!$AA:$AA,"SIM",Report!$C:$C,A415)</f>
        <v>0</v>
      </c>
      <c r="D415" s="32"/>
      <c r="E415" s="32"/>
      <c r="F415" s="31" t="n">
        <f aca="false">B415+C415</f>
        <v>0</v>
      </c>
    </row>
    <row r="416" customFormat="false" ht="12.75" hidden="false" customHeight="true" outlineLevel="0" collapsed="false">
      <c r="A416" s="33" t="s">
        <v>883</v>
      </c>
      <c r="B416" s="34" t="n">
        <f aca="false">SUM(B409:B415)</f>
        <v>0</v>
      </c>
      <c r="C416" s="34" t="n">
        <f aca="false">SUM(C409:C415)</f>
        <v>0</v>
      </c>
      <c r="D416" s="35"/>
      <c r="E416" s="35"/>
      <c r="F416" s="34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0" t="n">
        <v>46389</v>
      </c>
      <c r="B421" s="31" t="n">
        <f aca="false">SUMIFS(Report!$U:$U,Report!$T:$T,"&lt;&gt;"&amp;"MERCADORIAS P/REVENDA",Report!$AA:$AA,"SIM",Report!$C:$C,A421)</f>
        <v>0</v>
      </c>
      <c r="C421" s="31" t="n">
        <f aca="false">SUMIFS(Report!$U:$U,Report!$T:$T,"MERCADORIAS P/REVENDA",Report!$AA:$AA,"SIM",Report!$C:$C,A421)</f>
        <v>0</v>
      </c>
      <c r="D421" s="32"/>
      <c r="E421" s="32"/>
      <c r="F421" s="31" t="n">
        <f aca="false">B421+C421</f>
        <v>0</v>
      </c>
    </row>
    <row r="422" customFormat="false" ht="12.75" hidden="false" customHeight="true" outlineLevel="0" collapsed="false">
      <c r="A422" s="30" t="n">
        <v>46390</v>
      </c>
      <c r="B422" s="31" t="n">
        <f aca="false">SUMIFS(Report!$U:$U,Report!$T:$T,"&lt;&gt;"&amp;"MERCADORIAS P/REVENDA",Report!$AA:$AA,"SIM",Report!$C:$C,A422)</f>
        <v>0</v>
      </c>
      <c r="C422" s="31" t="n">
        <f aca="false">SUMIFS(Report!$U:$U,Report!$T:$T,"MERCADORIAS P/REVENDA",Report!$AA:$AA,"SIM",Report!$C:$C,A422)</f>
        <v>0</v>
      </c>
      <c r="D422" s="32"/>
      <c r="E422" s="32"/>
      <c r="F422" s="31" t="n">
        <f aca="false">B422+C422</f>
        <v>0</v>
      </c>
    </row>
    <row r="423" customFormat="false" ht="12.75" hidden="false" customHeight="true" outlineLevel="0" collapsed="false">
      <c r="A423" s="30" t="n">
        <v>46391</v>
      </c>
      <c r="B423" s="31" t="n">
        <f aca="false">SUMIFS(Report!$U:$U,Report!$T:$T,"&lt;&gt;"&amp;"MERCADORIAS P/REVENDA",Report!$AA:$AA,"SIM",Report!$C:$C,A423)</f>
        <v>0</v>
      </c>
      <c r="C423" s="31" t="n">
        <f aca="false">SUMIFS(Report!$U:$U,Report!$T:$T,"MERCADORIAS P/REVENDA",Report!$AA:$AA,"SIM",Report!$C:$C,A423)</f>
        <v>0</v>
      </c>
      <c r="D423" s="32"/>
      <c r="E423" s="32"/>
      <c r="F423" s="31" t="n">
        <f aca="false">B423+C423</f>
        <v>0</v>
      </c>
    </row>
    <row r="424" customFormat="false" ht="12.75" hidden="false" customHeight="true" outlineLevel="0" collapsed="false">
      <c r="A424" s="33" t="s">
        <v>884</v>
      </c>
      <c r="B424" s="34" t="n">
        <f aca="false">SUM(B417:B423)</f>
        <v>0</v>
      </c>
      <c r="C424" s="34" t="n">
        <f aca="false">SUM(C417:C423)</f>
        <v>0</v>
      </c>
      <c r="D424" s="35"/>
      <c r="E424" s="35"/>
      <c r="F424" s="3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0" t="n">
        <v>46396</v>
      </c>
      <c r="B429" s="31" t="n">
        <f aca="false">SUMIFS(Report!$U:$U,Report!$T:$T,"&lt;&gt;"&amp;"MERCADORIAS P/REVENDA",Report!$AA:$AA,"SIM",Report!$C:$C,A429)</f>
        <v>0</v>
      </c>
      <c r="C429" s="31" t="n">
        <f aca="false">SUMIFS(Report!$U:$U,Report!$T:$T,"MERCADORIAS P/REVENDA",Report!$AA:$AA,"SIM",Report!$C:$C,A429)</f>
        <v>0</v>
      </c>
      <c r="D429" s="32"/>
      <c r="E429" s="32"/>
      <c r="F429" s="31" t="n">
        <f aca="false">B429+C429</f>
        <v>0</v>
      </c>
    </row>
    <row r="430" customFormat="false" ht="12.75" hidden="false" customHeight="true" outlineLevel="0" collapsed="false">
      <c r="A430" s="30" t="n">
        <v>46397</v>
      </c>
      <c r="B430" s="31" t="n">
        <f aca="false">SUMIFS(Report!$U:$U,Report!$T:$T,"&lt;&gt;"&amp;"MERCADORIAS P/REVENDA",Report!$AA:$AA,"SIM",Report!$C:$C,A430)</f>
        <v>0</v>
      </c>
      <c r="C430" s="31" t="n">
        <f aca="false">SUMIFS(Report!$U:$U,Report!$T:$T,"MERCADORIAS P/REVENDA",Report!$AA:$AA,"SIM",Report!$C:$C,A430)</f>
        <v>0</v>
      </c>
      <c r="D430" s="32"/>
      <c r="E430" s="32"/>
      <c r="F430" s="31" t="n">
        <f aca="false">B430+C430</f>
        <v>0</v>
      </c>
    </row>
    <row r="431" customFormat="false" ht="12.75" hidden="false" customHeight="true" outlineLevel="0" collapsed="false">
      <c r="A431" s="30" t="n">
        <v>46398</v>
      </c>
      <c r="B431" s="31" t="n">
        <f aca="false">SUMIFS(Report!$U:$U,Report!$T:$T,"&lt;&gt;"&amp;"MERCADORIAS P/REVENDA",Report!$AA:$AA,"SIM",Report!$C:$C,A431)</f>
        <v>0</v>
      </c>
      <c r="C431" s="31" t="n">
        <f aca="false">SUMIFS(Report!$U:$U,Report!$T:$T,"MERCADORIAS P/REVENDA",Report!$AA:$AA,"SIM",Report!$C:$C,A431)</f>
        <v>0</v>
      </c>
      <c r="D431" s="32"/>
      <c r="E431" s="32"/>
      <c r="F431" s="31" t="n">
        <f aca="false">B431+C431</f>
        <v>0</v>
      </c>
    </row>
    <row r="432" customFormat="false" ht="12.75" hidden="false" customHeight="true" outlineLevel="0" collapsed="false">
      <c r="A432" s="33" t="s">
        <v>885</v>
      </c>
      <c r="B432" s="34" t="n">
        <f aca="false">SUM(B425:B431)</f>
        <v>0</v>
      </c>
      <c r="C432" s="34" t="n">
        <f aca="false">SUM(C425:C431)</f>
        <v>0</v>
      </c>
      <c r="D432" s="35"/>
      <c r="E432" s="35"/>
      <c r="F432" s="3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0" t="n">
        <v>46403</v>
      </c>
      <c r="B437" s="31" t="n">
        <f aca="false">SUMIFS(Report!$U:$U,Report!$T:$T,"&lt;&gt;"&amp;"MERCADORIAS P/REVENDA",Report!$AA:$AA,"SIM",Report!$C:$C,A437)</f>
        <v>0</v>
      </c>
      <c r="C437" s="31" t="n">
        <f aca="false">SUMIFS(Report!$U:$U,Report!$T:$T,"MERCADORIAS P/REVENDA",Report!$AA:$AA,"SIM",Report!$C:$C,A437)</f>
        <v>0</v>
      </c>
      <c r="D437" s="32"/>
      <c r="E437" s="32"/>
      <c r="F437" s="31" t="n">
        <f aca="false">B437+C437</f>
        <v>0</v>
      </c>
    </row>
    <row r="438" customFormat="false" ht="12.75" hidden="false" customHeight="true" outlineLevel="0" collapsed="false">
      <c r="A438" s="30" t="n">
        <v>46404</v>
      </c>
      <c r="B438" s="31" t="n">
        <f aca="false">SUMIFS(Report!$U:$U,Report!$T:$T,"&lt;&gt;"&amp;"MERCADORIAS P/REVENDA",Report!$AA:$AA,"SIM",Report!$C:$C,A438)</f>
        <v>0</v>
      </c>
      <c r="C438" s="31" t="n">
        <f aca="false">SUMIFS(Report!$U:$U,Report!$T:$T,"MERCADORIAS P/REVENDA",Report!$AA:$AA,"SIM",Report!$C:$C,A438)</f>
        <v>0</v>
      </c>
      <c r="D438" s="32"/>
      <c r="E438" s="32"/>
      <c r="F438" s="31" t="n">
        <f aca="false">B438+C438</f>
        <v>0</v>
      </c>
    </row>
    <row r="439" customFormat="false" ht="12.75" hidden="false" customHeight="true" outlineLevel="0" collapsed="false">
      <c r="A439" s="30" t="n">
        <v>46405</v>
      </c>
      <c r="B439" s="31" t="n">
        <f aca="false">SUMIFS(Report!$U:$U,Report!$T:$T,"&lt;&gt;"&amp;"MERCADORIAS P/REVENDA",Report!$AA:$AA,"SIM",Report!$C:$C,A439)</f>
        <v>0</v>
      </c>
      <c r="C439" s="31" t="n">
        <f aca="false">SUMIFS(Report!$U:$U,Report!$T:$T,"MERCADORIAS P/REVENDA",Report!$AA:$AA,"SIM",Report!$C:$C,A439)</f>
        <v>0</v>
      </c>
      <c r="D439" s="32"/>
      <c r="E439" s="32"/>
      <c r="F439" s="31" t="n">
        <f aca="false">B439+C439</f>
        <v>0</v>
      </c>
    </row>
    <row r="440" customFormat="false" ht="12.75" hidden="false" customHeight="true" outlineLevel="0" collapsed="false">
      <c r="A440" s="33" t="s">
        <v>886</v>
      </c>
      <c r="B440" s="34" t="n">
        <f aca="false">SUM(B433:B439)</f>
        <v>0</v>
      </c>
      <c r="C440" s="34" t="n">
        <f aca="false">SUM(C433:C439)</f>
        <v>0</v>
      </c>
      <c r="D440" s="35"/>
      <c r="E440" s="35"/>
      <c r="F440" s="3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0" t="n">
        <v>46410</v>
      </c>
      <c r="B445" s="31" t="n">
        <f aca="false">SUMIFS(Report!$U:$U,Report!$T:$T,"&lt;&gt;"&amp;"MERCADORIAS P/REVENDA",Report!$AA:$AA,"SIM",Report!$C:$C,A445)</f>
        <v>0</v>
      </c>
      <c r="C445" s="31" t="n">
        <f aca="false">SUMIFS(Report!$U:$U,Report!$T:$T,"MERCADORIAS P/REVENDA",Report!$AA:$AA,"SIM",Report!$C:$C,A445)</f>
        <v>0</v>
      </c>
      <c r="D445" s="32"/>
      <c r="E445" s="32"/>
      <c r="F445" s="31" t="n">
        <f aca="false">B445+C445</f>
        <v>0</v>
      </c>
    </row>
    <row r="446" customFormat="false" ht="12.75" hidden="false" customHeight="true" outlineLevel="0" collapsed="false">
      <c r="A446" s="30" t="n">
        <v>46411</v>
      </c>
      <c r="B446" s="31" t="n">
        <f aca="false">SUMIFS(Report!$U:$U,Report!$T:$T,"&lt;&gt;"&amp;"MERCADORIAS P/REVENDA",Report!$AA:$AA,"SIM",Report!$C:$C,A446)</f>
        <v>0</v>
      </c>
      <c r="C446" s="31" t="n">
        <f aca="false">SUMIFS(Report!$U:$U,Report!$T:$T,"MERCADORIAS P/REVENDA",Report!$AA:$AA,"SIM",Report!$C:$C,A446)</f>
        <v>0</v>
      </c>
      <c r="D446" s="32"/>
      <c r="E446" s="32"/>
      <c r="F446" s="31" t="n">
        <f aca="false">B446+C446</f>
        <v>0</v>
      </c>
    </row>
    <row r="447" customFormat="false" ht="12.75" hidden="false" customHeight="true" outlineLevel="0" collapsed="false">
      <c r="A447" s="30" t="n">
        <v>46412</v>
      </c>
      <c r="B447" s="31" t="n">
        <f aca="false">SUMIFS(Report!$U:$U,Report!$T:$T,"&lt;&gt;"&amp;"MERCADORIAS P/REVENDA",Report!$AA:$AA,"SIM",Report!$C:$C,A447)</f>
        <v>0</v>
      </c>
      <c r="C447" s="31" t="n">
        <f aca="false">SUMIFS(Report!$U:$U,Report!$T:$T,"MERCADORIAS P/REVENDA",Report!$AA:$AA,"SIM",Report!$C:$C,A447)</f>
        <v>0</v>
      </c>
      <c r="D447" s="32"/>
      <c r="E447" s="32"/>
      <c r="F447" s="31" t="n">
        <f aca="false">B447+C447</f>
        <v>0</v>
      </c>
    </row>
    <row r="448" customFormat="false" ht="12.75" hidden="false" customHeight="true" outlineLevel="0" collapsed="false">
      <c r="A448" s="33" t="s">
        <v>887</v>
      </c>
      <c r="B448" s="34" t="n">
        <f aca="false">SUM(B441:B447)</f>
        <v>0</v>
      </c>
      <c r="C448" s="34" t="n">
        <f aca="false">SUM(C441:C447)</f>
        <v>0</v>
      </c>
      <c r="D448" s="35"/>
      <c r="E448" s="35"/>
      <c r="F448" s="3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0" t="n">
        <v>46417</v>
      </c>
      <c r="B453" s="31" t="n">
        <f aca="false">SUMIFS(Report!$U:$U,Report!$T:$T,"&lt;&gt;"&amp;"MERCADORIAS P/REVENDA",Report!$AA:$AA,"SIM",Report!$C:$C,A453)</f>
        <v>0</v>
      </c>
      <c r="C453" s="31" t="n">
        <f aca="false">SUMIFS(Report!$U:$U,Report!$T:$T,"MERCADORIAS P/REVENDA",Report!$AA:$AA,"SIM",Report!$C:$C,A453)</f>
        <v>0</v>
      </c>
      <c r="D453" s="32"/>
      <c r="E453" s="32"/>
      <c r="F453" s="31" t="n">
        <f aca="false">B453+C453</f>
        <v>0</v>
      </c>
    </row>
    <row r="454" customFormat="false" ht="12.75" hidden="false" customHeight="true" outlineLevel="0" collapsed="false">
      <c r="A454" s="30" t="n">
        <v>46418</v>
      </c>
      <c r="B454" s="31" t="n">
        <f aca="false">SUMIFS(Report!$U:$U,Report!$T:$T,"&lt;&gt;"&amp;"MERCADORIAS P/REVENDA",Report!$AA:$AA,"SIM",Report!$C:$C,A454)</f>
        <v>0</v>
      </c>
      <c r="C454" s="31" t="n">
        <f aca="false">SUMIFS(Report!$U:$U,Report!$T:$T,"MERCADORIAS P/REVENDA",Report!$AA:$AA,"SIM",Report!$C:$C,A454)</f>
        <v>0</v>
      </c>
      <c r="D454" s="32"/>
      <c r="E454" s="32"/>
      <c r="F454" s="31" t="n">
        <f aca="false">B454+C454</f>
        <v>0</v>
      </c>
    </row>
    <row r="455" customFormat="false" ht="12.75" hidden="false" customHeight="true" outlineLevel="0" collapsed="false">
      <c r="A455" s="30" t="n">
        <v>46419</v>
      </c>
      <c r="B455" s="31" t="n">
        <f aca="false">SUMIFS(Report!$U:$U,Report!$T:$T,"&lt;&gt;"&amp;"MERCADORIAS P/REVENDA",Report!$AA:$AA,"SIM",Report!$C:$C,A455)</f>
        <v>0</v>
      </c>
      <c r="C455" s="31" t="n">
        <f aca="false">SUMIFS(Report!$U:$U,Report!$T:$T,"MERCADORIAS P/REVENDA",Report!$AA:$AA,"SIM",Report!$C:$C,A455)</f>
        <v>0</v>
      </c>
      <c r="D455" s="32"/>
      <c r="E455" s="32"/>
      <c r="F455" s="31" t="n">
        <f aca="false">B455+C455</f>
        <v>0</v>
      </c>
    </row>
    <row r="456" customFormat="false" ht="12.75" hidden="false" customHeight="true" outlineLevel="0" collapsed="false">
      <c r="A456" s="33" t="s">
        <v>888</v>
      </c>
      <c r="B456" s="34" t="n">
        <f aca="false">SUM(B449:B455)</f>
        <v>0</v>
      </c>
      <c r="C456" s="34" t="n">
        <f aca="false">SUM(C449:C455)</f>
        <v>0</v>
      </c>
      <c r="D456" s="35"/>
      <c r="E456" s="35"/>
      <c r="F456" s="3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0" t="n">
        <v>46424</v>
      </c>
      <c r="B461" s="31" t="n">
        <f aca="false">SUMIFS(Report!$U:$U,Report!$T:$T,"&lt;&gt;"&amp;"MERCADORIAS P/REVENDA",Report!$AA:$AA,"SIM",Report!$C:$C,A461)</f>
        <v>0</v>
      </c>
      <c r="C461" s="31" t="n">
        <f aca="false">SUMIFS(Report!$U:$U,Report!$T:$T,"MERCADORIAS P/REVENDA",Report!$AA:$AA,"SIM",Report!$C:$C,A461)</f>
        <v>0</v>
      </c>
      <c r="D461" s="32"/>
      <c r="E461" s="32"/>
      <c r="F461" s="31" t="n">
        <f aca="false">B461+C461</f>
        <v>0</v>
      </c>
    </row>
    <row r="462" customFormat="false" ht="12.75" hidden="false" customHeight="true" outlineLevel="0" collapsed="false">
      <c r="A462" s="30" t="n">
        <v>46425</v>
      </c>
      <c r="B462" s="31" t="n">
        <f aca="false">SUMIFS(Report!$U:$U,Report!$T:$T,"&lt;&gt;"&amp;"MERCADORIAS P/REVENDA",Report!$AA:$AA,"SIM",Report!$C:$C,A462)</f>
        <v>0</v>
      </c>
      <c r="C462" s="31" t="n">
        <f aca="false">SUMIFS(Report!$U:$U,Report!$T:$T,"MERCADORIAS P/REVENDA",Report!$AA:$AA,"SIM",Report!$C:$C,A462)</f>
        <v>0</v>
      </c>
      <c r="D462" s="32"/>
      <c r="E462" s="32"/>
      <c r="F462" s="31" t="n">
        <f aca="false">B462+C462</f>
        <v>0</v>
      </c>
    </row>
    <row r="463" customFormat="false" ht="12.75" hidden="false" customHeight="true" outlineLevel="0" collapsed="false">
      <c r="A463" s="30" t="n">
        <v>46426</v>
      </c>
      <c r="B463" s="31" t="n">
        <f aca="false">SUMIFS(Report!$U:$U,Report!$T:$T,"&lt;&gt;"&amp;"MERCADORIAS P/REVENDA",Report!$AA:$AA,"SIM",Report!$C:$C,A463)</f>
        <v>0</v>
      </c>
      <c r="C463" s="31" t="n">
        <f aca="false">SUMIFS(Report!$U:$U,Report!$T:$T,"MERCADORIAS P/REVENDA",Report!$AA:$AA,"SIM",Report!$C:$C,A463)</f>
        <v>0</v>
      </c>
      <c r="D463" s="32"/>
      <c r="E463" s="32"/>
      <c r="F463" s="31" t="n">
        <f aca="false">B463+C463</f>
        <v>0</v>
      </c>
    </row>
    <row r="464" customFormat="false" ht="12.75" hidden="false" customHeight="true" outlineLevel="0" collapsed="false">
      <c r="A464" s="33" t="s">
        <v>889</v>
      </c>
      <c r="B464" s="34" t="n">
        <f aca="false">SUM(B457:B463)</f>
        <v>0</v>
      </c>
      <c r="C464" s="34" t="n">
        <f aca="false">SUM(C457:C463)</f>
        <v>0</v>
      </c>
      <c r="D464" s="35"/>
      <c r="E464" s="35"/>
      <c r="F464" s="3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0" t="n">
        <v>46431</v>
      </c>
      <c r="B469" s="31" t="n">
        <f aca="false">SUMIFS(Report!$U:$U,Report!$T:$T,"&lt;&gt;"&amp;"MERCADORIAS P/REVENDA",Report!$AA:$AA,"SIM",Report!$C:$C,A469)</f>
        <v>0</v>
      </c>
      <c r="C469" s="31" t="n">
        <f aca="false">SUMIFS(Report!$U:$U,Report!$T:$T,"MERCADORIAS P/REVENDA",Report!$AA:$AA,"SIM",Report!$C:$C,A469)</f>
        <v>0</v>
      </c>
      <c r="D469" s="32"/>
      <c r="E469" s="32"/>
      <c r="F469" s="31" t="n">
        <f aca="false">B469+C469</f>
        <v>0</v>
      </c>
    </row>
    <row r="470" customFormat="false" ht="12.75" hidden="false" customHeight="true" outlineLevel="0" collapsed="false">
      <c r="A470" s="30" t="n">
        <v>46432</v>
      </c>
      <c r="B470" s="31" t="n">
        <f aca="false">SUMIFS(Report!$U:$U,Report!$T:$T,"&lt;&gt;"&amp;"MERCADORIAS P/REVENDA",Report!$AA:$AA,"SIM",Report!$C:$C,A470)</f>
        <v>0</v>
      </c>
      <c r="C470" s="31" t="n">
        <f aca="false">SUMIFS(Report!$U:$U,Report!$T:$T,"MERCADORIAS P/REVENDA",Report!$AA:$AA,"SIM",Report!$C:$C,A470)</f>
        <v>0</v>
      </c>
      <c r="D470" s="32"/>
      <c r="E470" s="32"/>
      <c r="F470" s="31" t="n">
        <f aca="false">B470+C470</f>
        <v>0</v>
      </c>
    </row>
    <row r="471" customFormat="false" ht="12.75" hidden="false" customHeight="true" outlineLevel="0" collapsed="false">
      <c r="A471" s="30" t="n">
        <v>46433</v>
      </c>
      <c r="B471" s="31" t="n">
        <f aca="false">SUMIFS(Report!$U:$U,Report!$T:$T,"&lt;&gt;"&amp;"MERCADORIAS P/REVENDA",Report!$AA:$AA,"SIM",Report!$C:$C,A471)</f>
        <v>0</v>
      </c>
      <c r="C471" s="31" t="n">
        <f aca="false">SUMIFS(Report!$U:$U,Report!$T:$T,"MERCADORIAS P/REVENDA",Report!$AA:$AA,"SIM",Report!$C:$C,A471)</f>
        <v>0</v>
      </c>
      <c r="D471" s="32"/>
      <c r="E471" s="32"/>
      <c r="F471" s="31" t="n">
        <f aca="false">B471+C471</f>
        <v>0</v>
      </c>
    </row>
    <row r="472" customFormat="false" ht="12.75" hidden="false" customHeight="true" outlineLevel="0" collapsed="false">
      <c r="A472" s="33" t="s">
        <v>890</v>
      </c>
      <c r="B472" s="34" t="n">
        <f aca="false">SUM(B465:B471)</f>
        <v>0</v>
      </c>
      <c r="C472" s="34" t="n">
        <f aca="false">SUM(C465:C471)</f>
        <v>0</v>
      </c>
      <c r="D472" s="35"/>
      <c r="E472" s="35"/>
      <c r="F472" s="3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0" t="n">
        <v>46438</v>
      </c>
      <c r="B477" s="31" t="n">
        <f aca="false">SUMIFS(Report!$U:$U,Report!$T:$T,"&lt;&gt;"&amp;"MERCADORIAS P/REVENDA",Report!$AA:$AA,"SIM",Report!$C:$C,A477)</f>
        <v>0</v>
      </c>
      <c r="C477" s="31" t="n">
        <f aca="false">SUMIFS(Report!$U:$U,Report!$T:$T,"MERCADORIAS P/REVENDA",Report!$AA:$AA,"SIM",Report!$C:$C,A477)</f>
        <v>0</v>
      </c>
      <c r="D477" s="32"/>
      <c r="E477" s="32"/>
      <c r="F477" s="31" t="n">
        <f aca="false">B477+C477</f>
        <v>0</v>
      </c>
    </row>
    <row r="478" customFormat="false" ht="12.75" hidden="false" customHeight="true" outlineLevel="0" collapsed="false">
      <c r="A478" s="30" t="n">
        <v>46439</v>
      </c>
      <c r="B478" s="31" t="n">
        <f aca="false">SUMIFS(Report!$U:$U,Report!$T:$T,"&lt;&gt;"&amp;"MERCADORIAS P/REVENDA",Report!$AA:$AA,"SIM",Report!$C:$C,A478)</f>
        <v>0</v>
      </c>
      <c r="C478" s="31" t="n">
        <f aca="false">SUMIFS(Report!$U:$U,Report!$T:$T,"MERCADORIAS P/REVENDA",Report!$AA:$AA,"SIM",Report!$C:$C,A478)</f>
        <v>0</v>
      </c>
      <c r="D478" s="32"/>
      <c r="E478" s="32"/>
      <c r="F478" s="31" t="n">
        <f aca="false">B478+C478</f>
        <v>0</v>
      </c>
    </row>
    <row r="479" customFormat="false" ht="12.75" hidden="false" customHeight="true" outlineLevel="0" collapsed="false">
      <c r="A479" s="30" t="n">
        <v>46440</v>
      </c>
      <c r="B479" s="31" t="n">
        <f aca="false">SUMIFS(Report!$U:$U,Report!$T:$T,"&lt;&gt;"&amp;"MERCADORIAS P/REVENDA",Report!$AA:$AA,"SIM",Report!$C:$C,A479)</f>
        <v>0</v>
      </c>
      <c r="C479" s="31" t="n">
        <f aca="false">SUMIFS(Report!$U:$U,Report!$T:$T,"MERCADORIAS P/REVENDA",Report!$AA:$AA,"SIM",Report!$C:$C,A479)</f>
        <v>0</v>
      </c>
      <c r="D479" s="32"/>
      <c r="E479" s="32"/>
      <c r="F479" s="31" t="n">
        <f aca="false">B479+C479</f>
        <v>0</v>
      </c>
    </row>
    <row r="480" customFormat="false" ht="12.75" hidden="false" customHeight="true" outlineLevel="0" collapsed="false">
      <c r="A480" s="33" t="s">
        <v>891</v>
      </c>
      <c r="B480" s="34" t="n">
        <f aca="false">SUM(B473:B479)</f>
        <v>0</v>
      </c>
      <c r="C480" s="34" t="n">
        <f aca="false">SUM(C473:C479)</f>
        <v>0</v>
      </c>
      <c r="D480" s="35"/>
      <c r="E480" s="35"/>
      <c r="F480" s="3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0" t="n">
        <v>46445</v>
      </c>
      <c r="B485" s="31" t="n">
        <f aca="false">SUMIFS(Report!$U:$U,Report!$T:$T,"&lt;&gt;"&amp;"MERCADORIAS P/REVENDA",Report!$AA:$AA,"SIM",Report!$C:$C,A485)</f>
        <v>0</v>
      </c>
      <c r="C485" s="31" t="n">
        <f aca="false">SUMIFS(Report!$U:$U,Report!$T:$T,"MERCADORIAS P/REVENDA",Report!$AA:$AA,"SIM",Report!$C:$C,A485)</f>
        <v>0</v>
      </c>
      <c r="D485" s="32"/>
      <c r="E485" s="32"/>
      <c r="F485" s="31" t="n">
        <f aca="false">B485+C485</f>
        <v>0</v>
      </c>
    </row>
    <row r="486" customFormat="false" ht="12.75" hidden="false" customHeight="true" outlineLevel="0" collapsed="false">
      <c r="A486" s="30" t="n">
        <v>46446</v>
      </c>
      <c r="B486" s="31" t="n">
        <f aca="false">SUMIFS(Report!$U:$U,Report!$T:$T,"&lt;&gt;"&amp;"MERCADORIAS P/REVENDA",Report!$AA:$AA,"SIM",Report!$C:$C,A486)</f>
        <v>0</v>
      </c>
      <c r="C486" s="31" t="n">
        <f aca="false">SUMIFS(Report!$U:$U,Report!$T:$T,"MERCADORIAS P/REVENDA",Report!$AA:$AA,"SIM",Report!$C:$C,A486)</f>
        <v>0</v>
      </c>
      <c r="D486" s="32"/>
      <c r="E486" s="32"/>
      <c r="F486" s="31" t="n">
        <f aca="false">B486+C486</f>
        <v>0</v>
      </c>
    </row>
    <row r="487" customFormat="false" ht="12.75" hidden="false" customHeight="true" outlineLevel="0" collapsed="false">
      <c r="A487" s="30" t="n">
        <v>46447</v>
      </c>
      <c r="B487" s="31" t="n">
        <f aca="false">SUMIFS(Report!$U:$U,Report!$T:$T,"&lt;&gt;"&amp;"MERCADORIAS P/REVENDA",Report!$AA:$AA,"SIM",Report!$C:$C,A487)</f>
        <v>0</v>
      </c>
      <c r="C487" s="31" t="n">
        <f aca="false">SUMIFS(Report!$U:$U,Report!$T:$T,"MERCADORIAS P/REVENDA",Report!$AA:$AA,"SIM",Report!$C:$C,A487)</f>
        <v>0</v>
      </c>
      <c r="D487" s="32"/>
      <c r="E487" s="32"/>
      <c r="F487" s="31" t="n">
        <f aca="false">B487+C487</f>
        <v>0</v>
      </c>
    </row>
    <row r="488" customFormat="false" ht="12.75" hidden="false" customHeight="true" outlineLevel="0" collapsed="false">
      <c r="A488" s="33" t="s">
        <v>892</v>
      </c>
      <c r="B488" s="34" t="n">
        <f aca="false">SUM(B481:B487)</f>
        <v>0</v>
      </c>
      <c r="C488" s="34" t="n">
        <f aca="false">SUM(C481:C487)</f>
        <v>0</v>
      </c>
      <c r="D488" s="35"/>
      <c r="E488" s="35"/>
      <c r="F488" s="3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0" t="n">
        <v>46452</v>
      </c>
      <c r="B493" s="31" t="n">
        <f aca="false">SUMIFS(Report!$U:$U,Report!$T:$T,"&lt;&gt;"&amp;"MERCADORIAS P/REVENDA",Report!$AA:$AA,"SIM",Report!$C:$C,A493)</f>
        <v>0</v>
      </c>
      <c r="C493" s="31" t="n">
        <f aca="false">SUMIFS(Report!$U:$U,Report!$T:$T,"MERCADORIAS P/REVENDA",Report!$AA:$AA,"SIM",Report!$C:$C,A493)</f>
        <v>0</v>
      </c>
      <c r="D493" s="32"/>
      <c r="E493" s="32"/>
      <c r="F493" s="31" t="n">
        <f aca="false">B493+C493</f>
        <v>0</v>
      </c>
    </row>
    <row r="494" customFormat="false" ht="12.75" hidden="false" customHeight="true" outlineLevel="0" collapsed="false">
      <c r="A494" s="30" t="n">
        <v>46453</v>
      </c>
      <c r="B494" s="31" t="n">
        <f aca="false">SUMIFS(Report!$U:$U,Report!$T:$T,"&lt;&gt;"&amp;"MERCADORIAS P/REVENDA",Report!$AA:$AA,"SIM",Report!$C:$C,A494)</f>
        <v>0</v>
      </c>
      <c r="C494" s="31" t="n">
        <f aca="false">SUMIFS(Report!$U:$U,Report!$T:$T,"MERCADORIAS P/REVENDA",Report!$AA:$AA,"SIM",Report!$C:$C,A494)</f>
        <v>0</v>
      </c>
      <c r="D494" s="32"/>
      <c r="E494" s="32"/>
      <c r="F494" s="31" t="n">
        <f aca="false">B494+C494</f>
        <v>0</v>
      </c>
    </row>
    <row r="495" customFormat="false" ht="12.75" hidden="false" customHeight="true" outlineLevel="0" collapsed="false">
      <c r="A495" s="30" t="n">
        <v>46454</v>
      </c>
      <c r="B495" s="31" t="n">
        <f aca="false">SUMIFS(Report!$U:$U,Report!$T:$T,"&lt;&gt;"&amp;"MERCADORIAS P/REVENDA",Report!$AA:$AA,"SIM",Report!$C:$C,A495)</f>
        <v>0</v>
      </c>
      <c r="C495" s="31" t="n">
        <f aca="false">SUMIFS(Report!$U:$U,Report!$T:$T,"MERCADORIAS P/REVENDA",Report!$AA:$AA,"SIM",Report!$C:$C,A495)</f>
        <v>0</v>
      </c>
      <c r="D495" s="32"/>
      <c r="E495" s="32"/>
      <c r="F495" s="31" t="n">
        <f aca="false">B495+C495</f>
        <v>0</v>
      </c>
    </row>
    <row r="496" customFormat="false" ht="12.75" hidden="false" customHeight="true" outlineLevel="0" collapsed="false">
      <c r="A496" s="33" t="s">
        <v>893</v>
      </c>
      <c r="B496" s="34" t="n">
        <f aca="false">SUM(B489:B495)</f>
        <v>0</v>
      </c>
      <c r="C496" s="34" t="n">
        <f aca="false">SUM(C489:C495)</f>
        <v>0</v>
      </c>
      <c r="D496" s="35"/>
      <c r="E496" s="35"/>
      <c r="F496" s="3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0" t="n">
        <v>46459</v>
      </c>
      <c r="B501" s="31" t="n">
        <f aca="false">SUMIFS(Report!$U:$U,Report!$T:$T,"&lt;&gt;"&amp;"MERCADORIAS P/REVENDA",Report!$AA:$AA,"SIM",Report!$C:$C,A501)</f>
        <v>0</v>
      </c>
      <c r="C501" s="31" t="n">
        <f aca="false">SUMIFS(Report!$U:$U,Report!$T:$T,"MERCADORIAS P/REVENDA",Report!$AA:$AA,"SIM",Report!$C:$C,A501)</f>
        <v>0</v>
      </c>
      <c r="D501" s="32"/>
      <c r="E501" s="32"/>
      <c r="F501" s="31" t="n">
        <f aca="false">B501+C501</f>
        <v>0</v>
      </c>
    </row>
    <row r="502" customFormat="false" ht="12.75" hidden="false" customHeight="true" outlineLevel="0" collapsed="false">
      <c r="A502" s="30" t="n">
        <v>46460</v>
      </c>
      <c r="B502" s="31" t="n">
        <f aca="false">SUMIFS(Report!$U:$U,Report!$T:$T,"&lt;&gt;"&amp;"MERCADORIAS P/REVENDA",Report!$AA:$AA,"SIM",Report!$C:$C,A502)</f>
        <v>0</v>
      </c>
      <c r="C502" s="31" t="n">
        <f aca="false">SUMIFS(Report!$U:$U,Report!$T:$T,"MERCADORIAS P/REVENDA",Report!$AA:$AA,"SIM",Report!$C:$C,A502)</f>
        <v>0</v>
      </c>
      <c r="D502" s="32"/>
      <c r="E502" s="32"/>
      <c r="F502" s="31" t="n">
        <f aca="false">B502+C502</f>
        <v>0</v>
      </c>
    </row>
    <row r="503" customFormat="false" ht="12.75" hidden="false" customHeight="true" outlineLevel="0" collapsed="false">
      <c r="A503" s="30" t="n">
        <v>46461</v>
      </c>
      <c r="B503" s="31" t="n">
        <f aca="false">SUMIFS(Report!$U:$U,Report!$T:$T,"&lt;&gt;"&amp;"MERCADORIAS P/REVENDA",Report!$AA:$AA,"SIM",Report!$C:$C,A503)</f>
        <v>0</v>
      </c>
      <c r="C503" s="31" t="n">
        <f aca="false">SUMIFS(Report!$U:$U,Report!$T:$T,"MERCADORIAS P/REVENDA",Report!$AA:$AA,"SIM",Report!$C:$C,A503)</f>
        <v>0</v>
      </c>
      <c r="D503" s="32"/>
      <c r="E503" s="32"/>
      <c r="F503" s="31" t="n">
        <f aca="false">B503+C503</f>
        <v>0</v>
      </c>
    </row>
    <row r="504" customFormat="false" ht="12.75" hidden="false" customHeight="true" outlineLevel="0" collapsed="false">
      <c r="A504" s="33" t="s">
        <v>894</v>
      </c>
      <c r="B504" s="34" t="n">
        <f aca="false">SUM(B497:B503)</f>
        <v>0</v>
      </c>
      <c r="C504" s="34" t="n">
        <f aca="false">SUM(C497:C503)</f>
        <v>0</v>
      </c>
      <c r="D504" s="35"/>
      <c r="E504" s="35"/>
      <c r="F504" s="3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0" t="n">
        <v>46466</v>
      </c>
      <c r="B509" s="31" t="n">
        <f aca="false">SUMIFS(Report!$U:$U,Report!$T:$T,"&lt;&gt;"&amp;"MERCADORIAS P/REVENDA",Report!$AA:$AA,"SIM",Report!$C:$C,A509)</f>
        <v>0</v>
      </c>
      <c r="C509" s="31" t="n">
        <f aca="false">SUMIFS(Report!$U:$U,Report!$T:$T,"MERCADORIAS P/REVENDA",Report!$AA:$AA,"SIM",Report!$C:$C,A509)</f>
        <v>0</v>
      </c>
      <c r="D509" s="32"/>
      <c r="E509" s="32"/>
      <c r="F509" s="31" t="n">
        <f aca="false">B509+C509</f>
        <v>0</v>
      </c>
    </row>
    <row r="510" customFormat="false" ht="12.75" hidden="false" customHeight="true" outlineLevel="0" collapsed="false">
      <c r="A510" s="30" t="n">
        <v>46467</v>
      </c>
      <c r="B510" s="31" t="n">
        <f aca="false">SUMIFS(Report!$U:$U,Report!$T:$T,"&lt;&gt;"&amp;"MERCADORIAS P/REVENDA",Report!$AA:$AA,"SIM",Report!$C:$C,A510)</f>
        <v>0</v>
      </c>
      <c r="C510" s="31" t="n">
        <f aca="false">SUMIFS(Report!$U:$U,Report!$T:$T,"MERCADORIAS P/REVENDA",Report!$AA:$AA,"SIM",Report!$C:$C,A510)</f>
        <v>0</v>
      </c>
      <c r="D510" s="32"/>
      <c r="E510" s="32"/>
      <c r="F510" s="31" t="n">
        <f aca="false">B510+C510</f>
        <v>0</v>
      </c>
    </row>
    <row r="511" customFormat="false" ht="12.75" hidden="false" customHeight="true" outlineLevel="0" collapsed="false">
      <c r="A511" s="30" t="n">
        <v>46468</v>
      </c>
      <c r="B511" s="31" t="n">
        <f aca="false">SUMIFS(Report!$U:$U,Report!$T:$T,"&lt;&gt;"&amp;"MERCADORIAS P/REVENDA",Report!$AA:$AA,"SIM",Report!$C:$C,A511)</f>
        <v>0</v>
      </c>
      <c r="C511" s="31" t="n">
        <f aca="false">SUMIFS(Report!$U:$U,Report!$T:$T,"MERCADORIAS P/REVENDA",Report!$AA:$AA,"SIM",Report!$C:$C,A511)</f>
        <v>0</v>
      </c>
      <c r="D511" s="32"/>
      <c r="E511" s="32"/>
      <c r="F511" s="31" t="n">
        <f aca="false">B511+C511</f>
        <v>0</v>
      </c>
    </row>
    <row r="512" customFormat="false" ht="12.75" hidden="false" customHeight="true" outlineLevel="0" collapsed="false">
      <c r="A512" s="33" t="s">
        <v>895</v>
      </c>
      <c r="B512" s="34" t="n">
        <f aca="false">SUM(B505:B511)</f>
        <v>0</v>
      </c>
      <c r="C512" s="34" t="n">
        <f aca="false">SUM(C505:C511)</f>
        <v>0</v>
      </c>
      <c r="D512" s="35"/>
      <c r="E512" s="35"/>
      <c r="F512" s="3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0" t="n">
        <v>46473</v>
      </c>
      <c r="B517" s="31" t="n">
        <f aca="false">SUMIFS(Report!$U:$U,Report!$T:$T,"&lt;&gt;"&amp;"MERCADORIAS P/REVENDA",Report!$AA:$AA,"SIM",Report!$C:$C,A517)</f>
        <v>0</v>
      </c>
      <c r="C517" s="31" t="n">
        <f aca="false">SUMIFS(Report!$U:$U,Report!$T:$T,"MERCADORIAS P/REVENDA",Report!$AA:$AA,"SIM",Report!$C:$C,A517)</f>
        <v>0</v>
      </c>
      <c r="D517" s="32"/>
      <c r="E517" s="32"/>
      <c r="F517" s="31" t="n">
        <f aca="false">B517+C517</f>
        <v>0</v>
      </c>
    </row>
    <row r="518" customFormat="false" ht="12.75" hidden="false" customHeight="true" outlineLevel="0" collapsed="false">
      <c r="A518" s="30" t="n">
        <v>46474</v>
      </c>
      <c r="B518" s="31" t="n">
        <f aca="false">SUMIFS(Report!$U:$U,Report!$T:$T,"&lt;&gt;"&amp;"MERCADORIAS P/REVENDA",Report!$AA:$AA,"SIM",Report!$C:$C,A518)</f>
        <v>0</v>
      </c>
      <c r="C518" s="31" t="n">
        <f aca="false">SUMIFS(Report!$U:$U,Report!$T:$T,"MERCADORIAS P/REVENDA",Report!$AA:$AA,"SIM",Report!$C:$C,A518)</f>
        <v>0</v>
      </c>
      <c r="D518" s="32"/>
      <c r="E518" s="32"/>
      <c r="F518" s="31" t="n">
        <f aca="false">B518+C518</f>
        <v>0</v>
      </c>
    </row>
    <row r="519" customFormat="false" ht="12.75" hidden="false" customHeight="true" outlineLevel="0" collapsed="false">
      <c r="A519" s="30" t="n">
        <v>46475</v>
      </c>
      <c r="B519" s="31" t="n">
        <f aca="false">SUMIFS(Report!$U:$U,Report!$T:$T,"&lt;&gt;"&amp;"MERCADORIAS P/REVENDA",Report!$AA:$AA,"SIM",Report!$C:$C,A519)</f>
        <v>0</v>
      </c>
      <c r="C519" s="31" t="n">
        <f aca="false">SUMIFS(Report!$U:$U,Report!$T:$T,"MERCADORIAS P/REVENDA",Report!$AA:$AA,"SIM",Report!$C:$C,A519)</f>
        <v>0</v>
      </c>
      <c r="D519" s="32"/>
      <c r="E519" s="32"/>
      <c r="F519" s="31" t="n">
        <f aca="false">B519+C519</f>
        <v>0</v>
      </c>
    </row>
    <row r="520" customFormat="false" ht="12.75" hidden="false" customHeight="true" outlineLevel="0" collapsed="false">
      <c r="A520" s="33" t="s">
        <v>896</v>
      </c>
      <c r="B520" s="34" t="n">
        <f aca="false">SUM(B513:B519)</f>
        <v>0</v>
      </c>
      <c r="C520" s="34" t="n">
        <f aca="false">SUM(C513:C519)</f>
        <v>0</v>
      </c>
      <c r="D520" s="35"/>
      <c r="E520" s="35"/>
      <c r="F520" s="3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0" t="n">
        <v>46480</v>
      </c>
      <c r="B525" s="31" t="n">
        <f aca="false">SUMIFS(Report!$U:$U,Report!$T:$T,"&lt;&gt;"&amp;"MERCADORIAS P/REVENDA",Report!$AA:$AA,"SIM",Report!$C:$C,A525)</f>
        <v>0</v>
      </c>
      <c r="C525" s="31" t="n">
        <f aca="false">SUMIFS(Report!$U:$U,Report!$T:$T,"MERCADORIAS P/REVENDA",Report!$AA:$AA,"SIM",Report!$C:$C,A525)</f>
        <v>0</v>
      </c>
      <c r="D525" s="32"/>
      <c r="E525" s="32"/>
      <c r="F525" s="31" t="n">
        <f aca="false">B525+C525</f>
        <v>0</v>
      </c>
    </row>
    <row r="526" customFormat="false" ht="12.75" hidden="false" customHeight="true" outlineLevel="0" collapsed="false">
      <c r="A526" s="30" t="n">
        <v>46481</v>
      </c>
      <c r="B526" s="31" t="n">
        <f aca="false">SUMIFS(Report!$U:$U,Report!$T:$T,"&lt;&gt;"&amp;"MERCADORIAS P/REVENDA",Report!$AA:$AA,"SIM",Report!$C:$C,A526)</f>
        <v>0</v>
      </c>
      <c r="C526" s="31" t="n">
        <f aca="false">SUMIFS(Report!$U:$U,Report!$T:$T,"MERCADORIAS P/REVENDA",Report!$AA:$AA,"SIM",Report!$C:$C,A526)</f>
        <v>0</v>
      </c>
      <c r="D526" s="32"/>
      <c r="E526" s="32"/>
      <c r="F526" s="31" t="n">
        <f aca="false">B526+C526</f>
        <v>0</v>
      </c>
    </row>
    <row r="527" customFormat="false" ht="12.75" hidden="false" customHeight="true" outlineLevel="0" collapsed="false">
      <c r="A527" s="30" t="n">
        <v>46482</v>
      </c>
      <c r="B527" s="31" t="n">
        <f aca="false">SUMIFS(Report!$U:$U,Report!$T:$T,"&lt;&gt;"&amp;"MERCADORIAS P/REVENDA",Report!$AA:$AA,"SIM",Report!$C:$C,A527)</f>
        <v>0</v>
      </c>
      <c r="C527" s="31" t="n">
        <f aca="false">SUMIFS(Report!$U:$U,Report!$T:$T,"MERCADORIAS P/REVENDA",Report!$AA:$AA,"SIM",Report!$C:$C,A527)</f>
        <v>0</v>
      </c>
      <c r="D527" s="32"/>
      <c r="E527" s="32"/>
      <c r="F527" s="31" t="n">
        <f aca="false">B527+C527</f>
        <v>0</v>
      </c>
    </row>
    <row r="528" customFormat="false" ht="12.75" hidden="false" customHeight="true" outlineLevel="0" collapsed="false">
      <c r="A528" s="33" t="s">
        <v>897</v>
      </c>
      <c r="B528" s="34" t="n">
        <f aca="false">SUM(B521:B527)</f>
        <v>0</v>
      </c>
      <c r="C528" s="34" t="n">
        <f aca="false">SUM(C521:C527)</f>
        <v>0</v>
      </c>
      <c r="D528" s="35"/>
      <c r="E528" s="35"/>
      <c r="F528" s="3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0" t="n">
        <v>46487</v>
      </c>
      <c r="B533" s="31" t="n">
        <f aca="false">SUMIFS(Report!$U:$U,Report!$T:$T,"&lt;&gt;"&amp;"MERCADORIAS P/REVENDA",Report!$AA:$AA,"SIM",Report!$C:$C,A533)</f>
        <v>0</v>
      </c>
      <c r="C533" s="31" t="n">
        <f aca="false">SUMIFS(Report!$U:$U,Report!$T:$T,"MERCADORIAS P/REVENDA",Report!$AA:$AA,"SIM",Report!$C:$C,A533)</f>
        <v>0</v>
      </c>
      <c r="D533" s="32"/>
      <c r="E533" s="32"/>
      <c r="F533" s="31" t="n">
        <f aca="false">B533+C533</f>
        <v>0</v>
      </c>
    </row>
    <row r="534" customFormat="false" ht="12.75" hidden="false" customHeight="true" outlineLevel="0" collapsed="false">
      <c r="A534" s="30" t="n">
        <v>46488</v>
      </c>
      <c r="B534" s="31" t="n">
        <f aca="false">SUMIFS(Report!$U:$U,Report!$T:$T,"&lt;&gt;"&amp;"MERCADORIAS P/REVENDA",Report!$AA:$AA,"SIM",Report!$C:$C,A534)</f>
        <v>0</v>
      </c>
      <c r="C534" s="31" t="n">
        <f aca="false">SUMIFS(Report!$U:$U,Report!$T:$T,"MERCADORIAS P/REVENDA",Report!$AA:$AA,"SIM",Report!$C:$C,A534)</f>
        <v>0</v>
      </c>
      <c r="D534" s="32"/>
      <c r="E534" s="32"/>
      <c r="F534" s="31" t="n">
        <f aca="false">B534+C534</f>
        <v>0</v>
      </c>
    </row>
    <row r="535" customFormat="false" ht="12.75" hidden="false" customHeight="true" outlineLevel="0" collapsed="false">
      <c r="A535" s="30" t="n">
        <v>46489</v>
      </c>
      <c r="B535" s="31" t="n">
        <f aca="false">SUMIFS(Report!$U:$U,Report!$T:$T,"&lt;&gt;"&amp;"MERCADORIAS P/REVENDA",Report!$AA:$AA,"SIM",Report!$C:$C,A535)</f>
        <v>0</v>
      </c>
      <c r="C535" s="31" t="n">
        <f aca="false">SUMIFS(Report!$U:$U,Report!$T:$T,"MERCADORIAS P/REVENDA",Report!$AA:$AA,"SIM",Report!$C:$C,A535)</f>
        <v>0</v>
      </c>
      <c r="D535" s="32"/>
      <c r="E535" s="32"/>
      <c r="F535" s="31" t="n">
        <f aca="false">B535+C535</f>
        <v>0</v>
      </c>
    </row>
    <row r="536" customFormat="false" ht="12.75" hidden="false" customHeight="true" outlineLevel="0" collapsed="false">
      <c r="A536" s="33" t="s">
        <v>898</v>
      </c>
      <c r="B536" s="34" t="n">
        <f aca="false">SUM(B529:B535)</f>
        <v>0</v>
      </c>
      <c r="C536" s="34" t="n">
        <f aca="false">SUM(C529:C535)</f>
        <v>0</v>
      </c>
      <c r="D536" s="35"/>
      <c r="E536" s="35"/>
      <c r="F536" s="3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0" t="n">
        <v>46494</v>
      </c>
      <c r="B541" s="31" t="n">
        <f aca="false">SUMIFS(Report!$U:$U,Report!$T:$T,"&lt;&gt;"&amp;"MERCADORIAS P/REVENDA",Report!$AA:$AA,"SIM",Report!$C:$C,A541)</f>
        <v>0</v>
      </c>
      <c r="C541" s="31" t="n">
        <f aca="false">SUMIFS(Report!$U:$U,Report!$T:$T,"MERCADORIAS P/REVENDA",Report!$AA:$AA,"SIM",Report!$C:$C,A541)</f>
        <v>0</v>
      </c>
      <c r="D541" s="32"/>
      <c r="E541" s="32"/>
      <c r="F541" s="31" t="n">
        <f aca="false">B541+C541</f>
        <v>0</v>
      </c>
    </row>
    <row r="542" customFormat="false" ht="12.75" hidden="false" customHeight="true" outlineLevel="0" collapsed="false">
      <c r="A542" s="30" t="n">
        <v>46495</v>
      </c>
      <c r="B542" s="31" t="n">
        <f aca="false">SUMIFS(Report!$U:$U,Report!$T:$T,"&lt;&gt;"&amp;"MERCADORIAS P/REVENDA",Report!$AA:$AA,"SIM",Report!$C:$C,A542)</f>
        <v>0</v>
      </c>
      <c r="C542" s="31" t="n">
        <f aca="false">SUMIFS(Report!$U:$U,Report!$T:$T,"MERCADORIAS P/REVENDA",Report!$AA:$AA,"SIM",Report!$C:$C,A542)</f>
        <v>0</v>
      </c>
      <c r="D542" s="32"/>
      <c r="E542" s="32"/>
      <c r="F542" s="31" t="n">
        <f aca="false">B542+C542</f>
        <v>0</v>
      </c>
    </row>
    <row r="543" customFormat="false" ht="12.75" hidden="false" customHeight="true" outlineLevel="0" collapsed="false">
      <c r="A543" s="30" t="n">
        <v>46496</v>
      </c>
      <c r="B543" s="31" t="n">
        <f aca="false">SUMIFS(Report!$U:$U,Report!$T:$T,"&lt;&gt;"&amp;"MERCADORIAS P/REVENDA",Report!$AA:$AA,"SIM",Report!$C:$C,A543)</f>
        <v>0</v>
      </c>
      <c r="C543" s="31" t="n">
        <f aca="false">SUMIFS(Report!$U:$U,Report!$T:$T,"MERCADORIAS P/REVENDA",Report!$AA:$AA,"SIM",Report!$C:$C,A543)</f>
        <v>0</v>
      </c>
      <c r="D543" s="32"/>
      <c r="E543" s="32"/>
      <c r="F543" s="31" t="n">
        <f aca="false">B543+C543</f>
        <v>0</v>
      </c>
    </row>
    <row r="544" customFormat="false" ht="12.75" hidden="false" customHeight="true" outlineLevel="0" collapsed="false">
      <c r="A544" s="33" t="s">
        <v>899</v>
      </c>
      <c r="B544" s="34" t="n">
        <f aca="false">SUM(B537:B543)</f>
        <v>0</v>
      </c>
      <c r="C544" s="34" t="n">
        <f aca="false">SUM(C537:C543)</f>
        <v>0</v>
      </c>
      <c r="D544" s="35"/>
      <c r="E544" s="35"/>
      <c r="F544" s="3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0" t="n">
        <v>46501</v>
      </c>
      <c r="B549" s="31" t="n">
        <f aca="false">SUMIFS(Report!$U:$U,Report!$T:$T,"&lt;&gt;"&amp;"MERCADORIAS P/REVENDA",Report!$AA:$AA,"SIM",Report!$C:$C,A549)</f>
        <v>0</v>
      </c>
      <c r="C549" s="31" t="n">
        <f aca="false">SUMIFS(Report!$U:$U,Report!$T:$T,"MERCADORIAS P/REVENDA",Report!$AA:$AA,"SIM",Report!$C:$C,A549)</f>
        <v>0</v>
      </c>
      <c r="D549" s="32"/>
      <c r="E549" s="32"/>
      <c r="F549" s="31" t="n">
        <f aca="false">B549+C549</f>
        <v>0</v>
      </c>
    </row>
    <row r="550" customFormat="false" ht="12.75" hidden="false" customHeight="true" outlineLevel="0" collapsed="false">
      <c r="A550" s="30" t="n">
        <v>46502</v>
      </c>
      <c r="B550" s="31" t="n">
        <f aca="false">SUMIFS(Report!$U:$U,Report!$T:$T,"&lt;&gt;"&amp;"MERCADORIAS P/REVENDA",Report!$AA:$AA,"SIM",Report!$C:$C,A550)</f>
        <v>0</v>
      </c>
      <c r="C550" s="31" t="n">
        <f aca="false">SUMIFS(Report!$U:$U,Report!$T:$T,"MERCADORIAS P/REVENDA",Report!$AA:$AA,"SIM",Report!$C:$C,A550)</f>
        <v>0</v>
      </c>
      <c r="D550" s="32"/>
      <c r="E550" s="32"/>
      <c r="F550" s="31" t="n">
        <f aca="false">B550+C550</f>
        <v>0</v>
      </c>
    </row>
    <row r="551" customFormat="false" ht="12.75" hidden="false" customHeight="true" outlineLevel="0" collapsed="false">
      <c r="A551" s="30" t="n">
        <v>46503</v>
      </c>
      <c r="B551" s="31" t="n">
        <f aca="false">SUMIFS(Report!$U:$U,Report!$T:$T,"&lt;&gt;"&amp;"MERCADORIAS P/REVENDA",Report!$AA:$AA,"SIM",Report!$C:$C,A551)</f>
        <v>0</v>
      </c>
      <c r="C551" s="31" t="n">
        <f aca="false">SUMIFS(Report!$U:$U,Report!$T:$T,"MERCADORIAS P/REVENDA",Report!$AA:$AA,"SIM",Report!$C:$C,A551)</f>
        <v>0</v>
      </c>
      <c r="D551" s="32"/>
      <c r="E551" s="32"/>
      <c r="F551" s="31" t="n">
        <f aca="false">B551+C551</f>
        <v>0</v>
      </c>
    </row>
    <row r="552" customFormat="false" ht="12.75" hidden="false" customHeight="true" outlineLevel="0" collapsed="false">
      <c r="A552" s="33" t="s">
        <v>900</v>
      </c>
      <c r="B552" s="34" t="n">
        <f aca="false">SUM(B545:B551)</f>
        <v>0</v>
      </c>
      <c r="C552" s="34" t="n">
        <f aca="false">SUM(C545:C551)</f>
        <v>0</v>
      </c>
      <c r="D552" s="35"/>
      <c r="E552" s="35"/>
      <c r="F552" s="3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0" t="n">
        <v>46508</v>
      </c>
      <c r="B557" s="31" t="n">
        <f aca="false">SUMIFS(Report!$U:$U,Report!$T:$T,"&lt;&gt;"&amp;"MERCADORIAS P/REVENDA",Report!$AA:$AA,"SIM",Report!$C:$C,A557)</f>
        <v>0</v>
      </c>
      <c r="C557" s="31" t="n">
        <f aca="false">SUMIFS(Report!$U:$U,Report!$T:$T,"MERCADORIAS P/REVENDA",Report!$AA:$AA,"SIM",Report!$C:$C,A557)</f>
        <v>0</v>
      </c>
      <c r="D557" s="32"/>
      <c r="E557" s="32"/>
      <c r="F557" s="31" t="n">
        <f aca="false">B557+C557</f>
        <v>0</v>
      </c>
    </row>
    <row r="558" customFormat="false" ht="12.75" hidden="false" customHeight="true" outlineLevel="0" collapsed="false">
      <c r="A558" s="30" t="n">
        <v>46509</v>
      </c>
      <c r="B558" s="31" t="n">
        <f aca="false">SUMIFS(Report!$U:$U,Report!$T:$T,"&lt;&gt;"&amp;"MERCADORIAS P/REVENDA",Report!$AA:$AA,"SIM",Report!$C:$C,A558)</f>
        <v>0</v>
      </c>
      <c r="C558" s="31" t="n">
        <f aca="false">SUMIFS(Report!$U:$U,Report!$T:$T,"MERCADORIAS P/REVENDA",Report!$AA:$AA,"SIM",Report!$C:$C,A558)</f>
        <v>0</v>
      </c>
      <c r="D558" s="32"/>
      <c r="E558" s="32"/>
      <c r="F558" s="31" t="n">
        <f aca="false">B558+C558</f>
        <v>0</v>
      </c>
    </row>
    <row r="559" customFormat="false" ht="12.75" hidden="false" customHeight="true" outlineLevel="0" collapsed="false">
      <c r="A559" s="30" t="n">
        <v>46510</v>
      </c>
      <c r="B559" s="31" t="n">
        <f aca="false">SUMIFS(Report!$U:$U,Report!$T:$T,"&lt;&gt;"&amp;"MERCADORIAS P/REVENDA",Report!$AA:$AA,"SIM",Report!$C:$C,A559)</f>
        <v>0</v>
      </c>
      <c r="C559" s="31" t="n">
        <f aca="false">SUMIFS(Report!$U:$U,Report!$T:$T,"MERCADORIAS P/REVENDA",Report!$AA:$AA,"SIM",Report!$C:$C,A559)</f>
        <v>0</v>
      </c>
      <c r="D559" s="32"/>
      <c r="E559" s="32"/>
      <c r="F559" s="31" t="n">
        <f aca="false">B559+C559</f>
        <v>0</v>
      </c>
    </row>
    <row r="560" customFormat="false" ht="12.75" hidden="false" customHeight="true" outlineLevel="0" collapsed="false">
      <c r="A560" s="33" t="s">
        <v>901</v>
      </c>
      <c r="B560" s="34" t="n">
        <f aca="false">SUM(B553:B559)</f>
        <v>0</v>
      </c>
      <c r="C560" s="34" t="n">
        <f aca="false">SUM(C553:C559)</f>
        <v>0</v>
      </c>
      <c r="D560" s="35"/>
      <c r="E560" s="35"/>
      <c r="F560" s="3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0" t="n">
        <v>46515</v>
      </c>
      <c r="B565" s="31" t="n">
        <f aca="false">SUMIFS(Report!$U:$U,Report!$T:$T,"&lt;&gt;"&amp;"MERCADORIAS P/REVENDA",Report!$AA:$AA,"SIM",Report!$C:$C,A565)</f>
        <v>0</v>
      </c>
      <c r="C565" s="31" t="n">
        <f aca="false">SUMIFS(Report!$U:$U,Report!$T:$T,"MERCADORIAS P/REVENDA",Report!$AA:$AA,"SIM",Report!$C:$C,A565)</f>
        <v>0</v>
      </c>
      <c r="D565" s="32"/>
      <c r="E565" s="32"/>
      <c r="F565" s="31" t="n">
        <f aca="false">B565+C565</f>
        <v>0</v>
      </c>
    </row>
    <row r="566" customFormat="false" ht="12.75" hidden="false" customHeight="true" outlineLevel="0" collapsed="false">
      <c r="A566" s="30" t="n">
        <v>46516</v>
      </c>
      <c r="B566" s="31" t="n">
        <f aca="false">SUMIFS(Report!$U:$U,Report!$T:$T,"&lt;&gt;"&amp;"MERCADORIAS P/REVENDA",Report!$AA:$AA,"SIM",Report!$C:$C,A566)</f>
        <v>0</v>
      </c>
      <c r="C566" s="31" t="n">
        <f aca="false">SUMIFS(Report!$U:$U,Report!$T:$T,"MERCADORIAS P/REVENDA",Report!$AA:$AA,"SIM",Report!$C:$C,A566)</f>
        <v>0</v>
      </c>
      <c r="D566" s="32"/>
      <c r="E566" s="32"/>
      <c r="F566" s="31" t="n">
        <f aca="false">B566+C566</f>
        <v>0</v>
      </c>
    </row>
    <row r="567" customFormat="false" ht="12.75" hidden="false" customHeight="true" outlineLevel="0" collapsed="false">
      <c r="A567" s="30" t="n">
        <v>46517</v>
      </c>
      <c r="B567" s="31" t="n">
        <f aca="false">SUMIFS(Report!$U:$U,Report!$T:$T,"&lt;&gt;"&amp;"MERCADORIAS P/REVENDA",Report!$AA:$AA,"SIM",Report!$C:$C,A567)</f>
        <v>0</v>
      </c>
      <c r="C567" s="31" t="n">
        <f aca="false">SUMIFS(Report!$U:$U,Report!$T:$T,"MERCADORIAS P/REVENDA",Report!$AA:$AA,"SIM",Report!$C:$C,A567)</f>
        <v>0</v>
      </c>
      <c r="D567" s="32"/>
      <c r="E567" s="32"/>
      <c r="F567" s="31" t="n">
        <f aca="false">B567+C567</f>
        <v>0</v>
      </c>
    </row>
    <row r="568" customFormat="false" ht="12.75" hidden="false" customHeight="true" outlineLevel="0" collapsed="false">
      <c r="A568" s="33" t="s">
        <v>902</v>
      </c>
      <c r="B568" s="34" t="n">
        <f aca="false">SUM(B561:B567)</f>
        <v>0</v>
      </c>
      <c r="C568" s="34" t="n">
        <f aca="false">SUM(C561:C567)</f>
        <v>0</v>
      </c>
      <c r="D568" s="35"/>
      <c r="E568" s="35"/>
      <c r="F568" s="3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0" t="n">
        <v>46522</v>
      </c>
      <c r="B573" s="31" t="n">
        <f aca="false">SUMIFS(Report!$U:$U,Report!$T:$T,"&lt;&gt;"&amp;"MERCADORIAS P/REVENDA",Report!$AA:$AA,"SIM",Report!$C:$C,A573)</f>
        <v>0</v>
      </c>
      <c r="C573" s="31" t="n">
        <f aca="false">SUMIFS(Report!$U:$U,Report!$T:$T,"MERCADORIAS P/REVENDA",Report!$AA:$AA,"SIM",Report!$C:$C,A573)</f>
        <v>0</v>
      </c>
      <c r="D573" s="32"/>
      <c r="E573" s="32"/>
      <c r="F573" s="31" t="n">
        <f aca="false">B573+C573</f>
        <v>0</v>
      </c>
    </row>
    <row r="574" customFormat="false" ht="12.75" hidden="false" customHeight="true" outlineLevel="0" collapsed="false">
      <c r="A574" s="30" t="n">
        <v>46523</v>
      </c>
      <c r="B574" s="31" t="n">
        <f aca="false">SUMIFS(Report!$U:$U,Report!$T:$T,"&lt;&gt;"&amp;"MERCADORIAS P/REVENDA",Report!$AA:$AA,"SIM",Report!$C:$C,A574)</f>
        <v>0</v>
      </c>
      <c r="C574" s="31" t="n">
        <f aca="false">SUMIFS(Report!$U:$U,Report!$T:$T,"MERCADORIAS P/REVENDA",Report!$AA:$AA,"SIM",Report!$C:$C,A574)</f>
        <v>0</v>
      </c>
      <c r="D574" s="32"/>
      <c r="E574" s="32"/>
      <c r="F574" s="31" t="n">
        <f aca="false">B574+C574</f>
        <v>0</v>
      </c>
    </row>
    <row r="575" customFormat="false" ht="12.75" hidden="false" customHeight="true" outlineLevel="0" collapsed="false">
      <c r="A575" s="30" t="n">
        <v>46524</v>
      </c>
      <c r="B575" s="31" t="n">
        <f aca="false">SUMIFS(Report!$U:$U,Report!$T:$T,"&lt;&gt;"&amp;"MERCADORIAS P/REVENDA",Report!$AA:$AA,"SIM",Report!$C:$C,A575)</f>
        <v>0</v>
      </c>
      <c r="C575" s="31" t="n">
        <f aca="false">SUMIFS(Report!$U:$U,Report!$T:$T,"MERCADORIAS P/REVENDA",Report!$AA:$AA,"SIM",Report!$C:$C,A575)</f>
        <v>0</v>
      </c>
      <c r="D575" s="32"/>
      <c r="E575" s="32"/>
      <c r="F575" s="31" t="n">
        <f aca="false">B575+C575</f>
        <v>0</v>
      </c>
    </row>
    <row r="576" customFormat="false" ht="12.75" hidden="false" customHeight="true" outlineLevel="0" collapsed="false">
      <c r="A576" s="33" t="s">
        <v>903</v>
      </c>
      <c r="B576" s="34" t="n">
        <f aca="false">SUM(B569:B575)</f>
        <v>0</v>
      </c>
      <c r="C576" s="34" t="n">
        <f aca="false">SUM(C569:C575)</f>
        <v>0</v>
      </c>
      <c r="D576" s="35"/>
      <c r="E576" s="35"/>
      <c r="F576" s="3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0" t="n">
        <v>46529</v>
      </c>
      <c r="B581" s="31" t="n">
        <f aca="false">SUMIFS(Report!$U:$U,Report!$T:$T,"&lt;&gt;"&amp;"MERCADORIAS P/REVENDA",Report!$AA:$AA,"SIM",Report!$C:$C,A581)</f>
        <v>0</v>
      </c>
      <c r="C581" s="31" t="n">
        <f aca="false">SUMIFS(Report!$U:$U,Report!$T:$T,"MERCADORIAS P/REVENDA",Report!$AA:$AA,"SIM",Report!$C:$C,A581)</f>
        <v>0</v>
      </c>
      <c r="D581" s="32"/>
      <c r="E581" s="32"/>
      <c r="F581" s="31" t="n">
        <f aca="false">B581+C581</f>
        <v>0</v>
      </c>
    </row>
    <row r="582" customFormat="false" ht="12.75" hidden="false" customHeight="true" outlineLevel="0" collapsed="false">
      <c r="A582" s="30" t="n">
        <v>46530</v>
      </c>
      <c r="B582" s="31" t="n">
        <f aca="false">SUMIFS(Report!$U:$U,Report!$T:$T,"&lt;&gt;"&amp;"MERCADORIAS P/REVENDA",Report!$AA:$AA,"SIM",Report!$C:$C,A582)</f>
        <v>0</v>
      </c>
      <c r="C582" s="31" t="n">
        <f aca="false">SUMIFS(Report!$U:$U,Report!$T:$T,"MERCADORIAS P/REVENDA",Report!$AA:$AA,"SIM",Report!$C:$C,A582)</f>
        <v>0</v>
      </c>
      <c r="D582" s="32"/>
      <c r="E582" s="32"/>
      <c r="F582" s="31" t="n">
        <f aca="false">B582+C582</f>
        <v>0</v>
      </c>
    </row>
    <row r="583" customFormat="false" ht="12.75" hidden="false" customHeight="true" outlineLevel="0" collapsed="false">
      <c r="A583" s="30" t="n">
        <v>46531</v>
      </c>
      <c r="B583" s="31" t="n">
        <f aca="false">SUMIFS(Report!$U:$U,Report!$T:$T,"&lt;&gt;"&amp;"MERCADORIAS P/REVENDA",Report!$AA:$AA,"SIM",Report!$C:$C,A583)</f>
        <v>0</v>
      </c>
      <c r="C583" s="31" t="n">
        <f aca="false">SUMIFS(Report!$U:$U,Report!$T:$T,"MERCADORIAS P/REVENDA",Report!$AA:$AA,"SIM",Report!$C:$C,A583)</f>
        <v>0</v>
      </c>
      <c r="D583" s="32"/>
      <c r="E583" s="32"/>
      <c r="F583" s="31" t="n">
        <f aca="false">B583+C583</f>
        <v>0</v>
      </c>
    </row>
    <row r="584" customFormat="false" ht="12.75" hidden="false" customHeight="true" outlineLevel="0" collapsed="false">
      <c r="A584" s="33" t="s">
        <v>904</v>
      </c>
      <c r="B584" s="34" t="n">
        <f aca="false">SUM(B577:B583)</f>
        <v>0</v>
      </c>
      <c r="C584" s="34" t="n">
        <f aca="false">SUM(C577:C583)</f>
        <v>0</v>
      </c>
      <c r="D584" s="35"/>
      <c r="E584" s="35"/>
      <c r="F584" s="3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0" t="n">
        <v>46536</v>
      </c>
      <c r="B589" s="31" t="n">
        <f aca="false">SUMIFS(Report!$U:$U,Report!$T:$T,"&lt;&gt;"&amp;"MERCADORIAS P/REVENDA",Report!$AA:$AA,"SIM",Report!$C:$C,A589)</f>
        <v>0</v>
      </c>
      <c r="C589" s="31" t="n">
        <f aca="false">SUMIFS(Report!$U:$U,Report!$T:$T,"MERCADORIAS P/REVENDA",Report!$AA:$AA,"SIM",Report!$C:$C,A589)</f>
        <v>0</v>
      </c>
      <c r="D589" s="32"/>
      <c r="E589" s="32"/>
      <c r="F589" s="31" t="n">
        <f aca="false">B589+C589</f>
        <v>0</v>
      </c>
    </row>
    <row r="590" customFormat="false" ht="12.75" hidden="false" customHeight="true" outlineLevel="0" collapsed="false">
      <c r="A590" s="30" t="n">
        <v>46537</v>
      </c>
      <c r="B590" s="31" t="n">
        <f aca="false">SUMIFS(Report!$U:$U,Report!$T:$T,"&lt;&gt;"&amp;"MERCADORIAS P/REVENDA",Report!$AA:$AA,"SIM",Report!$C:$C,A590)</f>
        <v>0</v>
      </c>
      <c r="C590" s="31" t="n">
        <f aca="false">SUMIFS(Report!$U:$U,Report!$T:$T,"MERCADORIAS P/REVENDA",Report!$AA:$AA,"SIM",Report!$C:$C,A590)</f>
        <v>0</v>
      </c>
      <c r="D590" s="32"/>
      <c r="E590" s="32"/>
      <c r="F590" s="31" t="n">
        <f aca="false">B590+C590</f>
        <v>0</v>
      </c>
    </row>
    <row r="591" customFormat="false" ht="12.75" hidden="false" customHeight="true" outlineLevel="0" collapsed="false">
      <c r="A591" s="30" t="n">
        <v>46538</v>
      </c>
      <c r="B591" s="31" t="n">
        <f aca="false">SUMIFS(Report!$U:$U,Report!$T:$T,"&lt;&gt;"&amp;"MERCADORIAS P/REVENDA",Report!$AA:$AA,"SIM",Report!$C:$C,A591)</f>
        <v>0</v>
      </c>
      <c r="C591" s="31" t="n">
        <f aca="false">SUMIFS(Report!$U:$U,Report!$T:$T,"MERCADORIAS P/REVENDA",Report!$AA:$AA,"SIM",Report!$C:$C,A591)</f>
        <v>0</v>
      </c>
      <c r="D591" s="32"/>
      <c r="E591" s="32"/>
      <c r="F591" s="31" t="n">
        <f aca="false">B591+C591</f>
        <v>0</v>
      </c>
    </row>
    <row r="592" customFormat="false" ht="12.75" hidden="false" customHeight="true" outlineLevel="0" collapsed="false">
      <c r="A592" s="33" t="s">
        <v>905</v>
      </c>
      <c r="B592" s="34" t="n">
        <f aca="false">SUM(B585:B591)</f>
        <v>0</v>
      </c>
      <c r="C592" s="34" t="n">
        <f aca="false">SUM(C585:C591)</f>
        <v>0</v>
      </c>
      <c r="D592" s="35"/>
      <c r="E592" s="35"/>
      <c r="F592" s="3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0" t="n">
        <v>46543</v>
      </c>
      <c r="B597" s="31" t="n">
        <f aca="false">SUMIFS(Report!$U:$U,Report!$T:$T,"&lt;&gt;"&amp;"MERCADORIAS P/REVENDA",Report!$AA:$AA,"SIM",Report!$C:$C,A597)</f>
        <v>0</v>
      </c>
      <c r="C597" s="31" t="n">
        <f aca="false">SUMIFS(Report!$U:$U,Report!$T:$T,"MERCADORIAS P/REVENDA",Report!$AA:$AA,"SIM",Report!$C:$C,A597)</f>
        <v>0</v>
      </c>
      <c r="D597" s="32"/>
      <c r="E597" s="32"/>
      <c r="F597" s="31" t="n">
        <f aca="false">B597+C597</f>
        <v>0</v>
      </c>
    </row>
    <row r="598" customFormat="false" ht="12.75" hidden="false" customHeight="true" outlineLevel="0" collapsed="false">
      <c r="A598" s="30" t="n">
        <v>46544</v>
      </c>
      <c r="B598" s="31" t="n">
        <f aca="false">SUMIFS(Report!$U:$U,Report!$T:$T,"&lt;&gt;"&amp;"MERCADORIAS P/REVENDA",Report!$AA:$AA,"SIM",Report!$C:$C,A598)</f>
        <v>0</v>
      </c>
      <c r="C598" s="31" t="n">
        <f aca="false">SUMIFS(Report!$U:$U,Report!$T:$T,"MERCADORIAS P/REVENDA",Report!$AA:$AA,"SIM",Report!$C:$C,A598)</f>
        <v>0</v>
      </c>
      <c r="D598" s="32"/>
      <c r="E598" s="32"/>
      <c r="F598" s="31" t="n">
        <f aca="false">B598+C598</f>
        <v>0</v>
      </c>
    </row>
    <row r="599" customFormat="false" ht="12.75" hidden="false" customHeight="true" outlineLevel="0" collapsed="false">
      <c r="A599" s="30" t="n">
        <v>46545</v>
      </c>
      <c r="B599" s="31" t="n">
        <f aca="false">SUMIFS(Report!$U:$U,Report!$T:$T,"&lt;&gt;"&amp;"MERCADORIAS P/REVENDA",Report!$AA:$AA,"SIM",Report!$C:$C,A599)</f>
        <v>0</v>
      </c>
      <c r="C599" s="31" t="n">
        <f aca="false">SUMIFS(Report!$U:$U,Report!$T:$T,"MERCADORIAS P/REVENDA",Report!$AA:$AA,"SIM",Report!$C:$C,A599)</f>
        <v>0</v>
      </c>
      <c r="D599" s="32"/>
      <c r="E599" s="32"/>
      <c r="F599" s="31" t="n">
        <f aca="false">B599+C599</f>
        <v>0</v>
      </c>
    </row>
    <row r="600" customFormat="false" ht="12.75" hidden="false" customHeight="true" outlineLevel="0" collapsed="false">
      <c r="A600" s="33" t="s">
        <v>906</v>
      </c>
      <c r="B600" s="34" t="n">
        <f aca="false">SUM(B593:B599)</f>
        <v>0</v>
      </c>
      <c r="C600" s="34" t="n">
        <f aca="false">SUM(C593:C599)</f>
        <v>0</v>
      </c>
      <c r="D600" s="35"/>
      <c r="E600" s="35"/>
      <c r="F600" s="3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0" t="n">
        <v>46550</v>
      </c>
      <c r="B605" s="31" t="n">
        <f aca="false">SUMIFS(Report!$U:$U,Report!$T:$T,"&lt;&gt;"&amp;"MERCADORIAS P/REVENDA",Report!$AA:$AA,"SIM",Report!$C:$C,A605)</f>
        <v>0</v>
      </c>
      <c r="C605" s="31" t="n">
        <f aca="false">SUMIFS(Report!$U:$U,Report!$T:$T,"MERCADORIAS P/REVENDA",Report!$AA:$AA,"SIM",Report!$C:$C,A605)</f>
        <v>0</v>
      </c>
      <c r="D605" s="32"/>
      <c r="E605" s="32"/>
      <c r="F605" s="31" t="n">
        <f aca="false">B605+C605</f>
        <v>0</v>
      </c>
    </row>
    <row r="606" customFormat="false" ht="12.75" hidden="false" customHeight="true" outlineLevel="0" collapsed="false">
      <c r="A606" s="30" t="n">
        <v>46551</v>
      </c>
      <c r="B606" s="31" t="n">
        <f aca="false">SUMIFS(Report!$U:$U,Report!$T:$T,"&lt;&gt;"&amp;"MERCADORIAS P/REVENDA",Report!$AA:$AA,"SIM",Report!$C:$C,A606)</f>
        <v>0</v>
      </c>
      <c r="C606" s="31" t="n">
        <f aca="false">SUMIFS(Report!$U:$U,Report!$T:$T,"MERCADORIAS P/REVENDA",Report!$AA:$AA,"SIM",Report!$C:$C,A606)</f>
        <v>0</v>
      </c>
      <c r="D606" s="32"/>
      <c r="E606" s="32"/>
      <c r="F606" s="31" t="n">
        <f aca="false">B606+C606</f>
        <v>0</v>
      </c>
    </row>
    <row r="607" customFormat="false" ht="12.75" hidden="false" customHeight="true" outlineLevel="0" collapsed="false">
      <c r="A607" s="30" t="n">
        <v>46552</v>
      </c>
      <c r="B607" s="31" t="n">
        <f aca="false">SUMIFS(Report!$U:$U,Report!$T:$T,"&lt;&gt;"&amp;"MERCADORIAS P/REVENDA",Report!$AA:$AA,"SIM",Report!$C:$C,A607)</f>
        <v>0</v>
      </c>
      <c r="C607" s="31" t="n">
        <f aca="false">SUMIFS(Report!$U:$U,Report!$T:$T,"MERCADORIAS P/REVENDA",Report!$AA:$AA,"SIM",Report!$C:$C,A607)</f>
        <v>0</v>
      </c>
      <c r="D607" s="32"/>
      <c r="E607" s="32"/>
      <c r="F607" s="31" t="n">
        <f aca="false">B607+C607</f>
        <v>0</v>
      </c>
    </row>
    <row r="608" customFormat="false" ht="12.75" hidden="false" customHeight="true" outlineLevel="0" collapsed="false">
      <c r="A608" s="33" t="s">
        <v>907</v>
      </c>
      <c r="B608" s="34" t="n">
        <f aca="false">SUM(B601:B607)</f>
        <v>0</v>
      </c>
      <c r="C608" s="34" t="n">
        <f aca="false">SUM(C601:C607)</f>
        <v>0</v>
      </c>
      <c r="D608" s="35"/>
      <c r="E608" s="35"/>
      <c r="F608" s="3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0" t="n">
        <v>46557</v>
      </c>
      <c r="B613" s="31" t="n">
        <f aca="false">SUMIFS(Report!$U:$U,Report!$T:$T,"&lt;&gt;"&amp;"MERCADORIAS P/REVENDA",Report!$AA:$AA,"SIM",Report!$C:$C,A613)</f>
        <v>0</v>
      </c>
      <c r="C613" s="31" t="n">
        <f aca="false">SUMIFS(Report!$U:$U,Report!$T:$T,"MERCADORIAS P/REVENDA",Report!$AA:$AA,"SIM",Report!$C:$C,A613)</f>
        <v>0</v>
      </c>
      <c r="D613" s="32"/>
      <c r="E613" s="32"/>
      <c r="F613" s="31" t="n">
        <f aca="false">B613+C613</f>
        <v>0</v>
      </c>
    </row>
    <row r="614" customFormat="false" ht="12.75" hidden="false" customHeight="true" outlineLevel="0" collapsed="false">
      <c r="A614" s="30" t="n">
        <v>46558</v>
      </c>
      <c r="B614" s="31" t="n">
        <f aca="false">SUMIFS(Report!$U:$U,Report!$T:$T,"&lt;&gt;"&amp;"MERCADORIAS P/REVENDA",Report!$AA:$AA,"SIM",Report!$C:$C,A614)</f>
        <v>0</v>
      </c>
      <c r="C614" s="31" t="n">
        <f aca="false">SUMIFS(Report!$U:$U,Report!$T:$T,"MERCADORIAS P/REVENDA",Report!$AA:$AA,"SIM",Report!$C:$C,A614)</f>
        <v>0</v>
      </c>
      <c r="D614" s="32"/>
      <c r="E614" s="32"/>
      <c r="F614" s="31" t="n">
        <f aca="false">B614+C614</f>
        <v>0</v>
      </c>
    </row>
    <row r="615" customFormat="false" ht="12.75" hidden="false" customHeight="true" outlineLevel="0" collapsed="false">
      <c r="A615" s="30" t="n">
        <v>46559</v>
      </c>
      <c r="B615" s="31" t="n">
        <f aca="false">SUMIFS(Report!$U:$U,Report!$T:$T,"&lt;&gt;"&amp;"MERCADORIAS P/REVENDA",Report!$AA:$AA,"SIM",Report!$C:$C,A615)</f>
        <v>0</v>
      </c>
      <c r="C615" s="31" t="n">
        <f aca="false">SUMIFS(Report!$U:$U,Report!$T:$T,"MERCADORIAS P/REVENDA",Report!$AA:$AA,"SIM",Report!$C:$C,A615)</f>
        <v>0</v>
      </c>
      <c r="D615" s="32"/>
      <c r="E615" s="32"/>
      <c r="F615" s="31" t="n">
        <f aca="false">B615+C615</f>
        <v>0</v>
      </c>
    </row>
    <row r="616" customFormat="false" ht="12.75" hidden="false" customHeight="true" outlineLevel="0" collapsed="false">
      <c r="A616" s="33" t="s">
        <v>908</v>
      </c>
      <c r="B616" s="34" t="n">
        <f aca="false">SUM(B609:B615)</f>
        <v>0</v>
      </c>
      <c r="C616" s="34" t="n">
        <f aca="false">SUM(C609:C615)</f>
        <v>0</v>
      </c>
      <c r="D616" s="35"/>
      <c r="E616" s="35"/>
      <c r="F616" s="3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0" t="n">
        <v>46564</v>
      </c>
      <c r="B621" s="31" t="n">
        <f aca="false">SUMIFS(Report!$U:$U,Report!$T:$T,"&lt;&gt;"&amp;"MERCADORIAS P/REVENDA",Report!$AA:$AA,"SIM",Report!$C:$C,A621)</f>
        <v>0</v>
      </c>
      <c r="C621" s="31" t="n">
        <f aca="false">SUMIFS(Report!$U:$U,Report!$T:$T,"MERCADORIAS P/REVENDA",Report!$AA:$AA,"SIM",Report!$C:$C,A621)</f>
        <v>0</v>
      </c>
      <c r="D621" s="32"/>
      <c r="E621" s="32"/>
      <c r="F621" s="31" t="n">
        <f aca="false">B621+C621</f>
        <v>0</v>
      </c>
    </row>
    <row r="622" customFormat="false" ht="12.75" hidden="false" customHeight="true" outlineLevel="0" collapsed="false">
      <c r="A622" s="30" t="n">
        <v>46565</v>
      </c>
      <c r="B622" s="31" t="n">
        <f aca="false">SUMIFS(Report!$U:$U,Report!$T:$T,"&lt;&gt;"&amp;"MERCADORIAS P/REVENDA",Report!$AA:$AA,"SIM",Report!$C:$C,A622)</f>
        <v>0</v>
      </c>
      <c r="C622" s="31" t="n">
        <f aca="false">SUMIFS(Report!$U:$U,Report!$T:$T,"MERCADORIAS P/REVENDA",Report!$AA:$AA,"SIM",Report!$C:$C,A622)</f>
        <v>0</v>
      </c>
      <c r="D622" s="32"/>
      <c r="E622" s="32"/>
      <c r="F622" s="31" t="n">
        <f aca="false">B622+C622</f>
        <v>0</v>
      </c>
    </row>
    <row r="623" customFormat="false" ht="12.75" hidden="false" customHeight="true" outlineLevel="0" collapsed="false">
      <c r="A623" s="30" t="n">
        <v>46566</v>
      </c>
      <c r="B623" s="31" t="n">
        <f aca="false">SUMIFS(Report!$U:$U,Report!$T:$T,"&lt;&gt;"&amp;"MERCADORIAS P/REVENDA",Report!$AA:$AA,"SIM",Report!$C:$C,A623)</f>
        <v>0</v>
      </c>
      <c r="C623" s="31" t="n">
        <f aca="false">SUMIFS(Report!$U:$U,Report!$T:$T,"MERCADORIAS P/REVENDA",Report!$AA:$AA,"SIM",Report!$C:$C,A623)</f>
        <v>0</v>
      </c>
      <c r="D623" s="32"/>
      <c r="E623" s="32"/>
      <c r="F623" s="31" t="n">
        <f aca="false">B623+C623</f>
        <v>0</v>
      </c>
    </row>
    <row r="624" customFormat="false" ht="12.75" hidden="false" customHeight="true" outlineLevel="0" collapsed="false">
      <c r="A624" s="33" t="s">
        <v>909</v>
      </c>
      <c r="B624" s="34" t="n">
        <f aca="false">SUM(B617:B623)</f>
        <v>0</v>
      </c>
      <c r="C624" s="34" t="n">
        <f aca="false">SUM(C617:C623)</f>
        <v>0</v>
      </c>
      <c r="D624" s="35"/>
      <c r="E624" s="35"/>
      <c r="F624" s="3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0" t="n">
        <v>46571</v>
      </c>
      <c r="B629" s="31" t="n">
        <f aca="false">SUMIFS(Report!$U:$U,Report!$T:$T,"&lt;&gt;"&amp;"MERCADORIAS P/REVENDA",Report!$AA:$AA,"SIM",Report!$C:$C,A629)</f>
        <v>0</v>
      </c>
      <c r="C629" s="31" t="n">
        <f aca="false">SUMIFS(Report!$U:$U,Report!$T:$T,"MERCADORIAS P/REVENDA",Report!$AA:$AA,"SIM",Report!$C:$C,A629)</f>
        <v>0</v>
      </c>
      <c r="D629" s="32"/>
      <c r="E629" s="32"/>
      <c r="F629" s="31" t="n">
        <f aca="false">B629+C629</f>
        <v>0</v>
      </c>
    </row>
    <row r="630" customFormat="false" ht="12.75" hidden="false" customHeight="true" outlineLevel="0" collapsed="false">
      <c r="A630" s="30" t="n">
        <v>46572</v>
      </c>
      <c r="B630" s="31" t="n">
        <f aca="false">SUMIFS(Report!$U:$U,Report!$T:$T,"&lt;&gt;"&amp;"MERCADORIAS P/REVENDA",Report!$AA:$AA,"SIM",Report!$C:$C,A630)</f>
        <v>0</v>
      </c>
      <c r="C630" s="31" t="n">
        <f aca="false">SUMIFS(Report!$U:$U,Report!$T:$T,"MERCADORIAS P/REVENDA",Report!$AA:$AA,"SIM",Report!$C:$C,A630)</f>
        <v>0</v>
      </c>
      <c r="D630" s="32"/>
      <c r="E630" s="32"/>
      <c r="F630" s="31" t="n">
        <f aca="false">B630+C630</f>
        <v>0</v>
      </c>
    </row>
    <row r="631" customFormat="false" ht="12.75" hidden="false" customHeight="true" outlineLevel="0" collapsed="false">
      <c r="A631" s="30" t="n">
        <v>46573</v>
      </c>
      <c r="B631" s="31" t="n">
        <f aca="false">SUMIFS(Report!$U:$U,Report!$T:$T,"&lt;&gt;"&amp;"MERCADORIAS P/REVENDA",Report!$AA:$AA,"SIM",Report!$C:$C,A631)</f>
        <v>0</v>
      </c>
      <c r="C631" s="31" t="n">
        <f aca="false">SUMIFS(Report!$U:$U,Report!$T:$T,"MERCADORIAS P/REVENDA",Report!$AA:$AA,"SIM",Report!$C:$C,A631)</f>
        <v>0</v>
      </c>
      <c r="D631" s="32"/>
      <c r="E631" s="32"/>
      <c r="F631" s="31" t="n">
        <f aca="false">B631+C631</f>
        <v>0</v>
      </c>
    </row>
    <row r="632" customFormat="false" ht="12.75" hidden="false" customHeight="true" outlineLevel="0" collapsed="false">
      <c r="A632" s="33" t="s">
        <v>910</v>
      </c>
      <c r="B632" s="34" t="n">
        <f aca="false">SUM(B625:B631)</f>
        <v>0</v>
      </c>
      <c r="C632" s="34" t="n">
        <f aca="false">SUM(C625:C631)</f>
        <v>0</v>
      </c>
      <c r="D632" s="35"/>
      <c r="E632" s="35"/>
      <c r="F632" s="3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0" t="n">
        <v>46578</v>
      </c>
      <c r="B637" s="31" t="n">
        <f aca="false">SUMIFS(Report!$U:$U,Report!$T:$T,"&lt;&gt;"&amp;"MERCADORIAS P/REVENDA",Report!$AA:$AA,"SIM",Report!$C:$C,A637)</f>
        <v>0</v>
      </c>
      <c r="C637" s="31" t="n">
        <f aca="false">SUMIFS(Report!$U:$U,Report!$T:$T,"MERCADORIAS P/REVENDA",Report!$AA:$AA,"SIM",Report!$C:$C,A637)</f>
        <v>0</v>
      </c>
      <c r="D637" s="32"/>
      <c r="E637" s="32"/>
      <c r="F637" s="31" t="n">
        <f aca="false">B637+C637</f>
        <v>0</v>
      </c>
    </row>
    <row r="638" customFormat="false" ht="12.75" hidden="false" customHeight="true" outlineLevel="0" collapsed="false">
      <c r="A638" s="30" t="n">
        <v>46579</v>
      </c>
      <c r="B638" s="31" t="n">
        <f aca="false">SUMIFS(Report!$U:$U,Report!$T:$T,"&lt;&gt;"&amp;"MERCADORIAS P/REVENDA",Report!$AA:$AA,"SIM",Report!$C:$C,A638)</f>
        <v>0</v>
      </c>
      <c r="C638" s="31" t="n">
        <f aca="false">SUMIFS(Report!$U:$U,Report!$T:$T,"MERCADORIAS P/REVENDA",Report!$AA:$AA,"SIM",Report!$C:$C,A638)</f>
        <v>0</v>
      </c>
      <c r="D638" s="32"/>
      <c r="E638" s="32"/>
      <c r="F638" s="31" t="n">
        <f aca="false">B638+C638</f>
        <v>0</v>
      </c>
    </row>
    <row r="639" customFormat="false" ht="12.75" hidden="false" customHeight="true" outlineLevel="0" collapsed="false">
      <c r="A639" s="30" t="n">
        <v>46580</v>
      </c>
      <c r="B639" s="31" t="n">
        <f aca="false">SUMIFS(Report!$U:$U,Report!$T:$T,"&lt;&gt;"&amp;"MERCADORIAS P/REVENDA",Report!$AA:$AA,"SIM",Report!$C:$C,A639)</f>
        <v>0</v>
      </c>
      <c r="C639" s="31" t="n">
        <f aca="false">SUMIFS(Report!$U:$U,Report!$T:$T,"MERCADORIAS P/REVENDA",Report!$AA:$AA,"SIM",Report!$C:$C,A639)</f>
        <v>0</v>
      </c>
      <c r="D639" s="32"/>
      <c r="E639" s="32"/>
      <c r="F639" s="31" t="n">
        <f aca="false">B639+C639</f>
        <v>0</v>
      </c>
    </row>
    <row r="640" customFormat="false" ht="12.75" hidden="false" customHeight="true" outlineLevel="0" collapsed="false">
      <c r="A640" s="33" t="s">
        <v>911</v>
      </c>
      <c r="B640" s="34" t="n">
        <f aca="false">SUM(B633:B639)</f>
        <v>0</v>
      </c>
      <c r="C640" s="34" t="n">
        <f aca="false">SUM(C633:C639)</f>
        <v>0</v>
      </c>
      <c r="D640" s="35"/>
      <c r="E640" s="35"/>
      <c r="F640" s="3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0" t="n">
        <v>46585</v>
      </c>
      <c r="B645" s="31" t="n">
        <f aca="false">SUMIFS(Report!$U:$U,Report!$T:$T,"&lt;&gt;"&amp;"MERCADORIAS P/REVENDA",Report!$AA:$AA,"SIM",Report!$C:$C,A645)</f>
        <v>0</v>
      </c>
      <c r="C645" s="31" t="n">
        <f aca="false">SUMIFS(Report!$U:$U,Report!$T:$T,"MERCADORIAS P/REVENDA",Report!$AA:$AA,"SIM",Report!$C:$C,A645)</f>
        <v>0</v>
      </c>
      <c r="D645" s="32"/>
      <c r="E645" s="32"/>
      <c r="F645" s="31" t="n">
        <f aca="false">B645+C645</f>
        <v>0</v>
      </c>
    </row>
    <row r="646" customFormat="false" ht="12.75" hidden="false" customHeight="true" outlineLevel="0" collapsed="false">
      <c r="A646" s="30" t="n">
        <v>46586</v>
      </c>
      <c r="B646" s="31" t="n">
        <f aca="false">SUMIFS(Report!$U:$U,Report!$T:$T,"&lt;&gt;"&amp;"MERCADORIAS P/REVENDA",Report!$AA:$AA,"SIM",Report!$C:$C,A646)</f>
        <v>0</v>
      </c>
      <c r="C646" s="31" t="n">
        <f aca="false">SUMIFS(Report!$U:$U,Report!$T:$T,"MERCADORIAS P/REVENDA",Report!$AA:$AA,"SIM",Report!$C:$C,A646)</f>
        <v>0</v>
      </c>
      <c r="D646" s="32"/>
      <c r="E646" s="32"/>
      <c r="F646" s="31" t="n">
        <f aca="false">B646+C646</f>
        <v>0</v>
      </c>
    </row>
    <row r="647" customFormat="false" ht="12.75" hidden="false" customHeight="true" outlineLevel="0" collapsed="false">
      <c r="A647" s="30" t="n">
        <v>46587</v>
      </c>
      <c r="B647" s="31" t="n">
        <f aca="false">SUMIFS(Report!$U:$U,Report!$T:$T,"&lt;&gt;"&amp;"MERCADORIAS P/REVENDA",Report!$AA:$AA,"SIM",Report!$C:$C,A647)</f>
        <v>0</v>
      </c>
      <c r="C647" s="31" t="n">
        <f aca="false">SUMIFS(Report!$U:$U,Report!$T:$T,"MERCADORIAS P/REVENDA",Report!$AA:$AA,"SIM",Report!$C:$C,A647)</f>
        <v>0</v>
      </c>
      <c r="D647" s="32"/>
      <c r="E647" s="32"/>
      <c r="F647" s="31" t="n">
        <f aca="false">B647+C647</f>
        <v>0</v>
      </c>
    </row>
    <row r="648" customFormat="false" ht="12.75" hidden="false" customHeight="true" outlineLevel="0" collapsed="false">
      <c r="A648" s="33" t="s">
        <v>912</v>
      </c>
      <c r="B648" s="34" t="n">
        <f aca="false">SUM(B641:B647)</f>
        <v>0</v>
      </c>
      <c r="C648" s="34" t="n">
        <f aca="false">SUM(C641:C647)</f>
        <v>0</v>
      </c>
      <c r="D648" s="35"/>
      <c r="E648" s="35"/>
      <c r="F648" s="3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0" t="n">
        <v>46592</v>
      </c>
      <c r="B653" s="31" t="n">
        <f aca="false">SUMIFS(Report!$U:$U,Report!$T:$T,"&lt;&gt;"&amp;"MERCADORIAS P/REVENDA",Report!$AA:$AA,"SIM",Report!$C:$C,A653)</f>
        <v>0</v>
      </c>
      <c r="C653" s="31" t="n">
        <f aca="false">SUMIFS(Report!$U:$U,Report!$T:$T,"MERCADORIAS P/REVENDA",Report!$AA:$AA,"SIM",Report!$C:$C,A653)</f>
        <v>0</v>
      </c>
      <c r="D653" s="32"/>
      <c r="E653" s="32"/>
      <c r="F653" s="31" t="n">
        <f aca="false">B653+C653</f>
        <v>0</v>
      </c>
    </row>
    <row r="654" customFormat="false" ht="12.75" hidden="false" customHeight="true" outlineLevel="0" collapsed="false">
      <c r="A654" s="30" t="n">
        <v>46593</v>
      </c>
      <c r="B654" s="31" t="n">
        <f aca="false">SUMIFS(Report!$U:$U,Report!$T:$T,"&lt;&gt;"&amp;"MERCADORIAS P/REVENDA",Report!$AA:$AA,"SIM",Report!$C:$C,A654)</f>
        <v>0</v>
      </c>
      <c r="C654" s="31" t="n">
        <f aca="false">SUMIFS(Report!$U:$U,Report!$T:$T,"MERCADORIAS P/REVENDA",Report!$AA:$AA,"SIM",Report!$C:$C,A654)</f>
        <v>0</v>
      </c>
      <c r="D654" s="32"/>
      <c r="E654" s="32"/>
      <c r="F654" s="31" t="n">
        <f aca="false">B654+C654</f>
        <v>0</v>
      </c>
    </row>
    <row r="655" customFormat="false" ht="12.75" hidden="false" customHeight="true" outlineLevel="0" collapsed="false">
      <c r="A655" s="30" t="n">
        <v>46594</v>
      </c>
      <c r="B655" s="31" t="n">
        <f aca="false">SUMIFS(Report!$U:$U,Report!$T:$T,"&lt;&gt;"&amp;"MERCADORIAS P/REVENDA",Report!$AA:$AA,"SIM",Report!$C:$C,A655)</f>
        <v>0</v>
      </c>
      <c r="C655" s="31" t="n">
        <f aca="false">SUMIFS(Report!$U:$U,Report!$T:$T,"MERCADORIAS P/REVENDA",Report!$AA:$AA,"SIM",Report!$C:$C,A655)</f>
        <v>0</v>
      </c>
      <c r="D655" s="32"/>
      <c r="E655" s="32"/>
      <c r="F655" s="31" t="n">
        <f aca="false">B655+C655</f>
        <v>0</v>
      </c>
    </row>
    <row r="656" customFormat="false" ht="12.75" hidden="false" customHeight="true" outlineLevel="0" collapsed="false">
      <c r="A656" s="33" t="s">
        <v>913</v>
      </c>
      <c r="B656" s="34" t="n">
        <f aca="false">SUM(B649:B655)</f>
        <v>0</v>
      </c>
      <c r="C656" s="34" t="n">
        <f aca="false">SUM(C649:C655)</f>
        <v>0</v>
      </c>
      <c r="D656" s="35"/>
      <c r="E656" s="35"/>
      <c r="F656" s="3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0" t="n">
        <v>46599</v>
      </c>
      <c r="B661" s="31" t="n">
        <f aca="false">SUMIFS(Report!$U:$U,Report!$T:$T,"&lt;&gt;"&amp;"MERCADORIAS P/REVENDA",Report!$AA:$AA,"SIM",Report!$C:$C,A661)</f>
        <v>0</v>
      </c>
      <c r="C661" s="31" t="n">
        <f aca="false">SUMIFS(Report!$U:$U,Report!$T:$T,"MERCADORIAS P/REVENDA",Report!$AA:$AA,"SIM",Report!$C:$C,A661)</f>
        <v>0</v>
      </c>
      <c r="D661" s="32"/>
      <c r="E661" s="32"/>
      <c r="F661" s="31" t="n">
        <f aca="false">B661+C661</f>
        <v>0</v>
      </c>
    </row>
    <row r="662" customFormat="false" ht="12.75" hidden="false" customHeight="true" outlineLevel="0" collapsed="false">
      <c r="A662" s="30" t="n">
        <v>46600</v>
      </c>
      <c r="B662" s="31" t="n">
        <f aca="false">SUMIFS(Report!$U:$U,Report!$T:$T,"&lt;&gt;"&amp;"MERCADORIAS P/REVENDA",Report!$AA:$AA,"SIM",Report!$C:$C,A662)</f>
        <v>0</v>
      </c>
      <c r="C662" s="31" t="n">
        <f aca="false">SUMIFS(Report!$U:$U,Report!$T:$T,"MERCADORIAS P/REVENDA",Report!$AA:$AA,"SIM",Report!$C:$C,A662)</f>
        <v>0</v>
      </c>
      <c r="D662" s="32"/>
      <c r="E662" s="32"/>
      <c r="F662" s="31" t="n">
        <f aca="false">B662+C662</f>
        <v>0</v>
      </c>
    </row>
    <row r="663" customFormat="false" ht="12.75" hidden="false" customHeight="true" outlineLevel="0" collapsed="false">
      <c r="A663" s="30" t="n">
        <v>46601</v>
      </c>
      <c r="B663" s="31" t="n">
        <f aca="false">SUMIFS(Report!$U:$U,Report!$T:$T,"&lt;&gt;"&amp;"MERCADORIAS P/REVENDA",Report!$AA:$AA,"SIM",Report!$C:$C,A663)</f>
        <v>0</v>
      </c>
      <c r="C663" s="31" t="n">
        <f aca="false">SUMIFS(Report!$U:$U,Report!$T:$T,"MERCADORIAS P/REVENDA",Report!$AA:$AA,"SIM",Report!$C:$C,A663)</f>
        <v>0</v>
      </c>
      <c r="D663" s="32"/>
      <c r="E663" s="32"/>
      <c r="F663" s="31" t="n">
        <f aca="false">B663+C663</f>
        <v>0</v>
      </c>
    </row>
    <row r="664" customFormat="false" ht="12.75" hidden="false" customHeight="true" outlineLevel="0" collapsed="false">
      <c r="A664" s="33" t="s">
        <v>914</v>
      </c>
      <c r="B664" s="34" t="n">
        <f aca="false">SUM(B657:B663)</f>
        <v>0</v>
      </c>
      <c r="C664" s="34" t="n">
        <f aca="false">SUM(C657:C663)</f>
        <v>0</v>
      </c>
      <c r="D664" s="35"/>
      <c r="E664" s="35"/>
      <c r="F664" s="3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0" t="n">
        <v>46606</v>
      </c>
      <c r="B669" s="31" t="n">
        <f aca="false">SUMIFS(Report!$U:$U,Report!$T:$T,"&lt;&gt;"&amp;"MERCADORIAS P/REVENDA",Report!$AA:$AA,"SIM",Report!$C:$C,A669)</f>
        <v>0</v>
      </c>
      <c r="C669" s="31" t="n">
        <f aca="false">SUMIFS(Report!$U:$U,Report!$T:$T,"MERCADORIAS P/REVENDA",Report!$AA:$AA,"SIM",Report!$C:$C,A669)</f>
        <v>0</v>
      </c>
      <c r="D669" s="32"/>
      <c r="E669" s="32"/>
      <c r="F669" s="31" t="n">
        <f aca="false">B669+C669</f>
        <v>0</v>
      </c>
    </row>
    <row r="670" customFormat="false" ht="12.75" hidden="false" customHeight="true" outlineLevel="0" collapsed="false">
      <c r="A670" s="30" t="n">
        <v>46607</v>
      </c>
      <c r="B670" s="31" t="n">
        <f aca="false">SUMIFS(Report!$U:$U,Report!$T:$T,"&lt;&gt;"&amp;"MERCADORIAS P/REVENDA",Report!$AA:$AA,"SIM",Report!$C:$C,A670)</f>
        <v>0</v>
      </c>
      <c r="C670" s="31" t="n">
        <f aca="false">SUMIFS(Report!$U:$U,Report!$T:$T,"MERCADORIAS P/REVENDA",Report!$AA:$AA,"SIM",Report!$C:$C,A670)</f>
        <v>0</v>
      </c>
      <c r="D670" s="32"/>
      <c r="E670" s="32"/>
      <c r="F670" s="31" t="n">
        <f aca="false">B670+C670</f>
        <v>0</v>
      </c>
    </row>
    <row r="671" customFormat="false" ht="12.75" hidden="false" customHeight="true" outlineLevel="0" collapsed="false">
      <c r="A671" s="30" t="n">
        <v>46608</v>
      </c>
      <c r="B671" s="31" t="n">
        <f aca="false">SUMIFS(Report!$U:$U,Report!$T:$T,"&lt;&gt;"&amp;"MERCADORIAS P/REVENDA",Report!$AA:$AA,"SIM",Report!$C:$C,A671)</f>
        <v>0</v>
      </c>
      <c r="C671" s="31" t="n">
        <f aca="false">SUMIFS(Report!$U:$U,Report!$T:$T,"MERCADORIAS P/REVENDA",Report!$AA:$AA,"SIM",Report!$C:$C,A671)</f>
        <v>0</v>
      </c>
      <c r="D671" s="32"/>
      <c r="E671" s="32"/>
      <c r="F671" s="31" t="n">
        <f aca="false">B671+C671</f>
        <v>0</v>
      </c>
    </row>
    <row r="672" customFormat="false" ht="12.75" hidden="false" customHeight="true" outlineLevel="0" collapsed="false">
      <c r="A672" s="33" t="s">
        <v>915</v>
      </c>
      <c r="B672" s="34" t="n">
        <f aca="false">SUM(B665:B671)</f>
        <v>0</v>
      </c>
      <c r="C672" s="34" t="n">
        <f aca="false">SUM(C665:C671)</f>
        <v>0</v>
      </c>
      <c r="D672" s="35"/>
      <c r="E672" s="35"/>
      <c r="F672" s="3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0" t="n">
        <v>46613</v>
      </c>
      <c r="B677" s="31" t="n">
        <f aca="false">SUMIFS(Report!$U:$U,Report!$T:$T,"&lt;&gt;"&amp;"MERCADORIAS P/REVENDA",Report!$AA:$AA,"SIM",Report!$C:$C,A677)</f>
        <v>0</v>
      </c>
      <c r="C677" s="31" t="n">
        <f aca="false">SUMIFS(Report!$U:$U,Report!$T:$T,"MERCADORIAS P/REVENDA",Report!$AA:$AA,"SIM",Report!$C:$C,A677)</f>
        <v>0</v>
      </c>
      <c r="D677" s="32"/>
      <c r="E677" s="32"/>
      <c r="F677" s="31" t="n">
        <f aca="false">B677+C677</f>
        <v>0</v>
      </c>
    </row>
    <row r="678" customFormat="false" ht="12.75" hidden="false" customHeight="true" outlineLevel="0" collapsed="false">
      <c r="A678" s="30" t="n">
        <v>46614</v>
      </c>
      <c r="B678" s="31" t="n">
        <f aca="false">SUMIFS(Report!$U:$U,Report!$T:$T,"&lt;&gt;"&amp;"MERCADORIAS P/REVENDA",Report!$AA:$AA,"SIM",Report!$C:$C,A678)</f>
        <v>0</v>
      </c>
      <c r="C678" s="31" t="n">
        <f aca="false">SUMIFS(Report!$U:$U,Report!$T:$T,"MERCADORIAS P/REVENDA",Report!$AA:$AA,"SIM",Report!$C:$C,A678)</f>
        <v>0</v>
      </c>
      <c r="D678" s="32"/>
      <c r="E678" s="32"/>
      <c r="F678" s="31" t="n">
        <f aca="false">B678+C678</f>
        <v>0</v>
      </c>
    </row>
    <row r="679" customFormat="false" ht="12.75" hidden="false" customHeight="true" outlineLevel="0" collapsed="false">
      <c r="A679" s="30" t="n">
        <v>46615</v>
      </c>
      <c r="B679" s="31" t="n">
        <f aca="false">SUMIFS(Report!$U:$U,Report!$T:$T,"&lt;&gt;"&amp;"MERCADORIAS P/REVENDA",Report!$AA:$AA,"SIM",Report!$C:$C,A679)</f>
        <v>0</v>
      </c>
      <c r="C679" s="31" t="n">
        <f aca="false">SUMIFS(Report!$U:$U,Report!$T:$T,"MERCADORIAS P/REVENDA",Report!$AA:$AA,"SIM",Report!$C:$C,A679)</f>
        <v>0</v>
      </c>
      <c r="D679" s="32"/>
      <c r="E679" s="32"/>
      <c r="F679" s="31" t="n">
        <f aca="false">B679+C679</f>
        <v>0</v>
      </c>
    </row>
    <row r="680" customFormat="false" ht="12.75" hidden="false" customHeight="true" outlineLevel="0" collapsed="false">
      <c r="A680" s="33" t="s">
        <v>916</v>
      </c>
      <c r="B680" s="34" t="n">
        <f aca="false">SUM(B673:B679)</f>
        <v>0</v>
      </c>
      <c r="C680" s="34" t="n">
        <f aca="false">SUM(C673:C679)</f>
        <v>0</v>
      </c>
      <c r="D680" s="35"/>
      <c r="E680" s="35"/>
      <c r="F680" s="3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0" t="n">
        <v>46620</v>
      </c>
      <c r="B685" s="31" t="n">
        <f aca="false">SUMIFS(Report!$U:$U,Report!$T:$T,"&lt;&gt;"&amp;"MERCADORIAS P/REVENDA",Report!$AA:$AA,"SIM",Report!$C:$C,A685)</f>
        <v>0</v>
      </c>
      <c r="C685" s="31" t="n">
        <f aca="false">SUMIFS(Report!$U:$U,Report!$T:$T,"MERCADORIAS P/REVENDA",Report!$AA:$AA,"SIM",Report!$C:$C,A685)</f>
        <v>0</v>
      </c>
      <c r="D685" s="32"/>
      <c r="E685" s="32"/>
      <c r="F685" s="31" t="n">
        <f aca="false">B685+C685</f>
        <v>0</v>
      </c>
    </row>
    <row r="686" customFormat="false" ht="12.75" hidden="false" customHeight="true" outlineLevel="0" collapsed="false">
      <c r="A686" s="30" t="n">
        <v>46621</v>
      </c>
      <c r="B686" s="31" t="n">
        <f aca="false">SUMIFS(Report!$U:$U,Report!$T:$T,"&lt;&gt;"&amp;"MERCADORIAS P/REVENDA",Report!$AA:$AA,"SIM",Report!$C:$C,A686)</f>
        <v>0</v>
      </c>
      <c r="C686" s="31" t="n">
        <f aca="false">SUMIFS(Report!$U:$U,Report!$T:$T,"MERCADORIAS P/REVENDA",Report!$AA:$AA,"SIM",Report!$C:$C,A686)</f>
        <v>0</v>
      </c>
      <c r="D686" s="32"/>
      <c r="E686" s="32"/>
      <c r="F686" s="31" t="n">
        <f aca="false">B686+C686</f>
        <v>0</v>
      </c>
    </row>
    <row r="687" customFormat="false" ht="12.75" hidden="false" customHeight="true" outlineLevel="0" collapsed="false">
      <c r="A687" s="30" t="n">
        <v>46622</v>
      </c>
      <c r="B687" s="31" t="n">
        <f aca="false">SUMIFS(Report!$U:$U,Report!$T:$T,"&lt;&gt;"&amp;"MERCADORIAS P/REVENDA",Report!$AA:$AA,"SIM",Report!$C:$C,A687)</f>
        <v>0</v>
      </c>
      <c r="C687" s="31" t="n">
        <f aca="false">SUMIFS(Report!$U:$U,Report!$T:$T,"MERCADORIAS P/REVENDA",Report!$AA:$AA,"SIM",Report!$C:$C,A687)</f>
        <v>0</v>
      </c>
      <c r="D687" s="32"/>
      <c r="E687" s="32"/>
      <c r="F687" s="31" t="n">
        <f aca="false">B687+C687</f>
        <v>0</v>
      </c>
    </row>
    <row r="688" customFormat="false" ht="12.75" hidden="false" customHeight="true" outlineLevel="0" collapsed="false">
      <c r="A688" s="33" t="s">
        <v>917</v>
      </c>
      <c r="B688" s="34" t="n">
        <f aca="false">SUM(B681:B687)</f>
        <v>0</v>
      </c>
      <c r="C688" s="34" t="n">
        <f aca="false">SUM(C681:C687)</f>
        <v>0</v>
      </c>
      <c r="D688" s="35"/>
      <c r="E688" s="35"/>
      <c r="F688" s="3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0" t="n">
        <v>46627</v>
      </c>
      <c r="B693" s="31" t="n">
        <f aca="false">SUMIFS(Report!$U:$U,Report!$T:$T,"&lt;&gt;"&amp;"MERCADORIAS P/REVENDA",Report!$AA:$AA,"SIM",Report!$C:$C,A693)</f>
        <v>0</v>
      </c>
      <c r="C693" s="31" t="n">
        <f aca="false">SUMIFS(Report!$U:$U,Report!$T:$T,"MERCADORIAS P/REVENDA",Report!$AA:$AA,"SIM",Report!$C:$C,A693)</f>
        <v>0</v>
      </c>
      <c r="D693" s="32"/>
      <c r="E693" s="32"/>
      <c r="F693" s="31" t="n">
        <f aca="false">B693+C693</f>
        <v>0</v>
      </c>
    </row>
    <row r="694" customFormat="false" ht="12.75" hidden="false" customHeight="true" outlineLevel="0" collapsed="false">
      <c r="A694" s="30" t="n">
        <v>46628</v>
      </c>
      <c r="B694" s="31" t="n">
        <f aca="false">SUMIFS(Report!$U:$U,Report!$T:$T,"&lt;&gt;"&amp;"MERCADORIAS P/REVENDA",Report!$AA:$AA,"SIM",Report!$C:$C,A694)</f>
        <v>0</v>
      </c>
      <c r="C694" s="31" t="n">
        <f aca="false">SUMIFS(Report!$U:$U,Report!$T:$T,"MERCADORIAS P/REVENDA",Report!$AA:$AA,"SIM",Report!$C:$C,A694)</f>
        <v>0</v>
      </c>
      <c r="D694" s="32"/>
      <c r="E694" s="32"/>
      <c r="F694" s="31" t="n">
        <f aca="false">B694+C694</f>
        <v>0</v>
      </c>
    </row>
    <row r="695" customFormat="false" ht="12.75" hidden="false" customHeight="true" outlineLevel="0" collapsed="false">
      <c r="A695" s="30" t="n">
        <v>46629</v>
      </c>
      <c r="B695" s="31" t="n">
        <f aca="false">SUMIFS(Report!$U:$U,Report!$T:$T,"&lt;&gt;"&amp;"MERCADORIAS P/REVENDA",Report!$AA:$AA,"SIM",Report!$C:$C,A695)</f>
        <v>0</v>
      </c>
      <c r="C695" s="31" t="n">
        <f aca="false">SUMIFS(Report!$U:$U,Report!$T:$T,"MERCADORIAS P/REVENDA",Report!$AA:$AA,"SIM",Report!$C:$C,A695)</f>
        <v>0</v>
      </c>
      <c r="D695" s="32"/>
      <c r="E695" s="32"/>
      <c r="F695" s="31" t="n">
        <f aca="false">B695+C695</f>
        <v>0</v>
      </c>
    </row>
    <row r="696" customFormat="false" ht="12.75" hidden="false" customHeight="true" outlineLevel="0" collapsed="false">
      <c r="A696" s="33" t="s">
        <v>918</v>
      </c>
      <c r="B696" s="34" t="n">
        <f aca="false">SUM(B689:B695)</f>
        <v>0</v>
      </c>
      <c r="C696" s="34" t="n">
        <f aca="false">SUM(C689:C695)</f>
        <v>0</v>
      </c>
      <c r="D696" s="35"/>
      <c r="E696" s="35"/>
      <c r="F696" s="3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0" t="n">
        <v>46634</v>
      </c>
      <c r="B701" s="31" t="n">
        <f aca="false">SUMIFS(Report!$U:$U,Report!$T:$T,"&lt;&gt;"&amp;"MERCADORIAS P/REVENDA",Report!$AA:$AA,"SIM",Report!$C:$C,A701)</f>
        <v>0</v>
      </c>
      <c r="C701" s="31" t="n">
        <f aca="false">SUMIFS(Report!$U:$U,Report!$T:$T,"MERCADORIAS P/REVENDA",Report!$AA:$AA,"SIM",Report!$C:$C,A701)</f>
        <v>0</v>
      </c>
      <c r="D701" s="32"/>
      <c r="E701" s="32"/>
      <c r="F701" s="31" t="n">
        <f aca="false">B701+C701</f>
        <v>0</v>
      </c>
    </row>
    <row r="702" customFormat="false" ht="12.75" hidden="false" customHeight="true" outlineLevel="0" collapsed="false">
      <c r="A702" s="30" t="n">
        <v>46635</v>
      </c>
      <c r="B702" s="31" t="n">
        <f aca="false">SUMIFS(Report!$U:$U,Report!$T:$T,"&lt;&gt;"&amp;"MERCADORIAS P/REVENDA",Report!$AA:$AA,"SIM",Report!$C:$C,A702)</f>
        <v>0</v>
      </c>
      <c r="C702" s="31" t="n">
        <f aca="false">SUMIFS(Report!$U:$U,Report!$T:$T,"MERCADORIAS P/REVENDA",Report!$AA:$AA,"SIM",Report!$C:$C,A702)</f>
        <v>0</v>
      </c>
      <c r="D702" s="32"/>
      <c r="E702" s="32"/>
      <c r="F702" s="31" t="n">
        <f aca="false">B702+C702</f>
        <v>0</v>
      </c>
    </row>
    <row r="703" customFormat="false" ht="12.75" hidden="false" customHeight="true" outlineLevel="0" collapsed="false">
      <c r="A703" s="30" t="n">
        <v>46636</v>
      </c>
      <c r="B703" s="31" t="n">
        <f aca="false">SUMIFS(Report!$U:$U,Report!$T:$T,"&lt;&gt;"&amp;"MERCADORIAS P/REVENDA",Report!$AA:$AA,"SIM",Report!$C:$C,A703)</f>
        <v>0</v>
      </c>
      <c r="C703" s="31" t="n">
        <f aca="false">SUMIFS(Report!$U:$U,Report!$T:$T,"MERCADORIAS P/REVENDA",Report!$AA:$AA,"SIM",Report!$C:$C,A703)</f>
        <v>0</v>
      </c>
      <c r="D703" s="32"/>
      <c r="E703" s="32"/>
      <c r="F703" s="31" t="n">
        <f aca="false">B703+C703</f>
        <v>0</v>
      </c>
    </row>
    <row r="704" customFormat="false" ht="12.75" hidden="false" customHeight="true" outlineLevel="0" collapsed="false">
      <c r="A704" s="33" t="s">
        <v>919</v>
      </c>
      <c r="B704" s="34" t="n">
        <f aca="false">SUM(B697:B703)</f>
        <v>0</v>
      </c>
      <c r="C704" s="34" t="n">
        <f aca="false">SUM(C697:C703)</f>
        <v>0</v>
      </c>
      <c r="D704" s="35"/>
      <c r="E704" s="35"/>
      <c r="F704" s="3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0" t="n">
        <v>46641</v>
      </c>
      <c r="B709" s="31" t="n">
        <f aca="false">SUMIFS(Report!$U:$U,Report!$T:$T,"&lt;&gt;"&amp;"MERCADORIAS P/REVENDA",Report!$AA:$AA,"SIM",Report!$C:$C,A709)</f>
        <v>0</v>
      </c>
      <c r="C709" s="31" t="n">
        <f aca="false">SUMIFS(Report!$U:$U,Report!$T:$T,"MERCADORIAS P/REVENDA",Report!$AA:$AA,"SIM",Report!$C:$C,A709)</f>
        <v>0</v>
      </c>
      <c r="D709" s="32"/>
      <c r="E709" s="32"/>
      <c r="F709" s="31" t="n">
        <f aca="false">B709+C709</f>
        <v>0</v>
      </c>
    </row>
    <row r="710" customFormat="false" ht="12.75" hidden="false" customHeight="true" outlineLevel="0" collapsed="false">
      <c r="A710" s="30" t="n">
        <v>46642</v>
      </c>
      <c r="B710" s="31" t="n">
        <f aca="false">SUMIFS(Report!$U:$U,Report!$T:$T,"&lt;&gt;"&amp;"MERCADORIAS P/REVENDA",Report!$AA:$AA,"SIM",Report!$C:$C,A710)</f>
        <v>0</v>
      </c>
      <c r="C710" s="31" t="n">
        <f aca="false">SUMIFS(Report!$U:$U,Report!$T:$T,"MERCADORIAS P/REVENDA",Report!$AA:$AA,"SIM",Report!$C:$C,A710)</f>
        <v>0</v>
      </c>
      <c r="D710" s="32"/>
      <c r="E710" s="32"/>
      <c r="F710" s="31" t="n">
        <f aca="false">B710+C710</f>
        <v>0</v>
      </c>
    </row>
    <row r="711" customFormat="false" ht="12.75" hidden="false" customHeight="true" outlineLevel="0" collapsed="false">
      <c r="A711" s="30" t="n">
        <v>46643</v>
      </c>
      <c r="B711" s="31" t="n">
        <f aca="false">SUMIFS(Report!$U:$U,Report!$T:$T,"&lt;&gt;"&amp;"MERCADORIAS P/REVENDA",Report!$AA:$AA,"SIM",Report!$C:$C,A711)</f>
        <v>0</v>
      </c>
      <c r="C711" s="31" t="n">
        <f aca="false">SUMIFS(Report!$U:$U,Report!$T:$T,"MERCADORIAS P/REVENDA",Report!$AA:$AA,"SIM",Report!$C:$C,A711)</f>
        <v>0</v>
      </c>
      <c r="D711" s="32"/>
      <c r="E711" s="32"/>
      <c r="F711" s="31" t="n">
        <f aca="false">B711+C711</f>
        <v>0</v>
      </c>
    </row>
    <row r="712" customFormat="false" ht="12.75" hidden="false" customHeight="true" outlineLevel="0" collapsed="false">
      <c r="A712" s="33" t="s">
        <v>920</v>
      </c>
      <c r="B712" s="34" t="n">
        <f aca="false">SUM(B705:B711)</f>
        <v>0</v>
      </c>
      <c r="C712" s="34" t="n">
        <f aca="false">SUM(C705:C711)</f>
        <v>0</v>
      </c>
      <c r="D712" s="35"/>
      <c r="E712" s="35"/>
      <c r="F712" s="3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0" t="n">
        <v>46648</v>
      </c>
      <c r="B717" s="31" t="n">
        <f aca="false">SUMIFS(Report!$U:$U,Report!$T:$T,"&lt;&gt;"&amp;"MERCADORIAS P/REVENDA",Report!$AA:$AA,"SIM",Report!$C:$C,A717)</f>
        <v>0</v>
      </c>
      <c r="C717" s="31" t="n">
        <f aca="false">SUMIFS(Report!$U:$U,Report!$T:$T,"MERCADORIAS P/REVENDA",Report!$AA:$AA,"SIM",Report!$C:$C,A717)</f>
        <v>0</v>
      </c>
      <c r="D717" s="32"/>
      <c r="E717" s="32"/>
      <c r="F717" s="31" t="n">
        <f aca="false">B717+C717</f>
        <v>0</v>
      </c>
    </row>
    <row r="718" customFormat="false" ht="12.75" hidden="false" customHeight="true" outlineLevel="0" collapsed="false">
      <c r="A718" s="30" t="n">
        <v>46649</v>
      </c>
      <c r="B718" s="31" t="n">
        <f aca="false">SUMIFS(Report!$U:$U,Report!$T:$T,"&lt;&gt;"&amp;"MERCADORIAS P/REVENDA",Report!$AA:$AA,"SIM",Report!$C:$C,A718)</f>
        <v>0</v>
      </c>
      <c r="C718" s="31" t="n">
        <f aca="false">SUMIFS(Report!$U:$U,Report!$T:$T,"MERCADORIAS P/REVENDA",Report!$AA:$AA,"SIM",Report!$C:$C,A718)</f>
        <v>0</v>
      </c>
      <c r="D718" s="32"/>
      <c r="E718" s="32"/>
      <c r="F718" s="31" t="n">
        <f aca="false">B718+C718</f>
        <v>0</v>
      </c>
    </row>
    <row r="719" customFormat="false" ht="12.75" hidden="false" customHeight="true" outlineLevel="0" collapsed="false">
      <c r="A719" s="30" t="n">
        <v>46650</v>
      </c>
      <c r="B719" s="31" t="n">
        <f aca="false">SUMIFS(Report!$U:$U,Report!$T:$T,"&lt;&gt;"&amp;"MERCADORIAS P/REVENDA",Report!$AA:$AA,"SIM",Report!$C:$C,A719)</f>
        <v>0</v>
      </c>
      <c r="C719" s="31" t="n">
        <f aca="false">SUMIFS(Report!$U:$U,Report!$T:$T,"MERCADORIAS P/REVENDA",Report!$AA:$AA,"SIM",Report!$C:$C,A719)</f>
        <v>0</v>
      </c>
      <c r="D719" s="32"/>
      <c r="E719" s="32"/>
      <c r="F719" s="31" t="n">
        <f aca="false">B719+C719</f>
        <v>0</v>
      </c>
    </row>
    <row r="720" customFormat="false" ht="12.75" hidden="false" customHeight="true" outlineLevel="0" collapsed="false">
      <c r="A720" s="33" t="s">
        <v>921</v>
      </c>
      <c r="B720" s="34" t="n">
        <f aca="false">SUM(B713:B719)</f>
        <v>0</v>
      </c>
      <c r="C720" s="34" t="n">
        <f aca="false">SUM(C713:C719)</f>
        <v>0</v>
      </c>
      <c r="D720" s="35"/>
      <c r="E720" s="35"/>
      <c r="F720" s="3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0" t="n">
        <v>46655</v>
      </c>
      <c r="B725" s="31" t="n">
        <f aca="false">SUMIFS(Report!$U:$U,Report!$T:$T,"&lt;&gt;"&amp;"MERCADORIAS P/REVENDA",Report!$AA:$AA,"SIM",Report!$C:$C,A725)</f>
        <v>0</v>
      </c>
      <c r="C725" s="31" t="n">
        <f aca="false">SUMIFS(Report!$U:$U,Report!$T:$T,"MERCADORIAS P/REVENDA",Report!$AA:$AA,"SIM",Report!$C:$C,A725)</f>
        <v>0</v>
      </c>
      <c r="D725" s="32"/>
      <c r="E725" s="32"/>
      <c r="F725" s="31" t="n">
        <f aca="false">B725+C725</f>
        <v>0</v>
      </c>
    </row>
    <row r="726" customFormat="false" ht="12.75" hidden="false" customHeight="true" outlineLevel="0" collapsed="false">
      <c r="A726" s="30" t="n">
        <v>46656</v>
      </c>
      <c r="B726" s="31" t="n">
        <f aca="false">SUMIFS(Report!$U:$U,Report!$T:$T,"&lt;&gt;"&amp;"MERCADORIAS P/REVENDA",Report!$AA:$AA,"SIM",Report!$C:$C,A726)</f>
        <v>0</v>
      </c>
      <c r="C726" s="31" t="n">
        <f aca="false">SUMIFS(Report!$U:$U,Report!$T:$T,"MERCADORIAS P/REVENDA",Report!$AA:$AA,"SIM",Report!$C:$C,A726)</f>
        <v>0</v>
      </c>
      <c r="D726" s="32"/>
      <c r="E726" s="32"/>
      <c r="F726" s="31" t="n">
        <f aca="false">B726+C726</f>
        <v>0</v>
      </c>
    </row>
    <row r="727" customFormat="false" ht="12.75" hidden="false" customHeight="true" outlineLevel="0" collapsed="false">
      <c r="A727" s="30" t="n">
        <v>46657</v>
      </c>
      <c r="B727" s="31" t="n">
        <f aca="false">SUMIFS(Report!$U:$U,Report!$T:$T,"&lt;&gt;"&amp;"MERCADORIAS P/REVENDA",Report!$AA:$AA,"SIM",Report!$C:$C,A727)</f>
        <v>0</v>
      </c>
      <c r="C727" s="31" t="n">
        <f aca="false">SUMIFS(Report!$U:$U,Report!$T:$T,"MERCADORIAS P/REVENDA",Report!$AA:$AA,"SIM",Report!$C:$C,A727)</f>
        <v>0</v>
      </c>
      <c r="D727" s="32"/>
      <c r="E727" s="32"/>
      <c r="F727" s="31" t="n">
        <f aca="false">B727+C727</f>
        <v>0</v>
      </c>
    </row>
    <row r="728" customFormat="false" ht="12.75" hidden="false" customHeight="true" outlineLevel="0" collapsed="false">
      <c r="A728" s="33" t="s">
        <v>922</v>
      </c>
      <c r="B728" s="34" t="n">
        <f aca="false">SUM(B721:B727)</f>
        <v>0</v>
      </c>
      <c r="C728" s="34" t="n">
        <f aca="false">SUM(C721:C727)</f>
        <v>0</v>
      </c>
      <c r="D728" s="35"/>
      <c r="E728" s="35"/>
      <c r="F728" s="3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0" t="n">
        <v>46662</v>
      </c>
      <c r="B733" s="31" t="n">
        <f aca="false">SUMIFS(Report!$U:$U,Report!$T:$T,"&lt;&gt;"&amp;"MERCADORIAS P/REVENDA",Report!$AA:$AA,"SIM",Report!$C:$C,A733)</f>
        <v>0</v>
      </c>
      <c r="C733" s="31" t="n">
        <f aca="false">SUMIFS(Report!$U:$U,Report!$T:$T,"MERCADORIAS P/REVENDA",Report!$AA:$AA,"SIM",Report!$C:$C,A733)</f>
        <v>0</v>
      </c>
      <c r="D733" s="32"/>
      <c r="E733" s="32"/>
      <c r="F733" s="31" t="n">
        <f aca="false">B733+C733</f>
        <v>0</v>
      </c>
    </row>
    <row r="734" customFormat="false" ht="12.75" hidden="false" customHeight="true" outlineLevel="0" collapsed="false">
      <c r="A734" s="30" t="n">
        <v>46663</v>
      </c>
      <c r="B734" s="31" t="n">
        <f aca="false">SUMIFS(Report!$U:$U,Report!$T:$T,"&lt;&gt;"&amp;"MERCADORIAS P/REVENDA",Report!$AA:$AA,"SIM",Report!$C:$C,A734)</f>
        <v>0</v>
      </c>
      <c r="C734" s="31" t="n">
        <f aca="false">SUMIFS(Report!$U:$U,Report!$T:$T,"MERCADORIAS P/REVENDA",Report!$AA:$AA,"SIM",Report!$C:$C,A734)</f>
        <v>0</v>
      </c>
      <c r="D734" s="32"/>
      <c r="E734" s="32"/>
      <c r="F734" s="31" t="n">
        <f aca="false">B734+C734</f>
        <v>0</v>
      </c>
    </row>
    <row r="735" customFormat="false" ht="12.75" hidden="false" customHeight="true" outlineLevel="0" collapsed="false">
      <c r="A735" s="30" t="n">
        <v>46664</v>
      </c>
      <c r="B735" s="31" t="n">
        <f aca="false">SUMIFS(Report!$U:$U,Report!$T:$T,"&lt;&gt;"&amp;"MERCADORIAS P/REVENDA",Report!$AA:$AA,"SIM",Report!$C:$C,A735)</f>
        <v>0</v>
      </c>
      <c r="C735" s="31" t="n">
        <f aca="false">SUMIFS(Report!$U:$U,Report!$T:$T,"MERCADORIAS P/REVENDA",Report!$AA:$AA,"SIM",Report!$C:$C,A735)</f>
        <v>0</v>
      </c>
      <c r="D735" s="32"/>
      <c r="E735" s="32"/>
      <c r="F735" s="31" t="n">
        <f aca="false">B735+C735</f>
        <v>0</v>
      </c>
    </row>
    <row r="736" customFormat="false" ht="12.75" hidden="false" customHeight="true" outlineLevel="0" collapsed="false">
      <c r="A736" s="33" t="s">
        <v>923</v>
      </c>
      <c r="B736" s="34" t="n">
        <f aca="false">SUM(B729:B735)</f>
        <v>0</v>
      </c>
      <c r="C736" s="34" t="n">
        <f aca="false">SUM(C729:C735)</f>
        <v>0</v>
      </c>
      <c r="D736" s="35"/>
      <c r="E736" s="35"/>
      <c r="F736" s="3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0" t="n">
        <v>46669</v>
      </c>
      <c r="B741" s="31" t="n">
        <f aca="false">SUMIFS(Report!$U:$U,Report!$T:$T,"&lt;&gt;"&amp;"MERCADORIAS P/REVENDA",Report!$AA:$AA,"SIM",Report!$C:$C,A741)</f>
        <v>0</v>
      </c>
      <c r="C741" s="31" t="n">
        <f aca="false">SUMIFS(Report!$U:$U,Report!$T:$T,"MERCADORIAS P/REVENDA",Report!$AA:$AA,"SIM",Report!$C:$C,A741)</f>
        <v>0</v>
      </c>
      <c r="D741" s="32"/>
      <c r="E741" s="32"/>
      <c r="F741" s="31" t="n">
        <f aca="false">B741+C741</f>
        <v>0</v>
      </c>
    </row>
    <row r="742" customFormat="false" ht="12.75" hidden="false" customHeight="true" outlineLevel="0" collapsed="false">
      <c r="A742" s="30" t="n">
        <v>46670</v>
      </c>
      <c r="B742" s="31" t="n">
        <f aca="false">SUMIFS(Report!$U:$U,Report!$T:$T,"&lt;&gt;"&amp;"MERCADORIAS P/REVENDA",Report!$AA:$AA,"SIM",Report!$C:$C,A742)</f>
        <v>0</v>
      </c>
      <c r="C742" s="31" t="n">
        <f aca="false">SUMIFS(Report!$U:$U,Report!$T:$T,"MERCADORIAS P/REVENDA",Report!$AA:$AA,"SIM",Report!$C:$C,A742)</f>
        <v>0</v>
      </c>
      <c r="D742" s="32"/>
      <c r="E742" s="32"/>
      <c r="F742" s="31" t="n">
        <f aca="false">B742+C742</f>
        <v>0</v>
      </c>
    </row>
    <row r="743" customFormat="false" ht="12.75" hidden="false" customHeight="true" outlineLevel="0" collapsed="false">
      <c r="A743" s="30" t="n">
        <v>46671</v>
      </c>
      <c r="B743" s="31" t="n">
        <f aca="false">SUMIFS(Report!$U:$U,Report!$T:$T,"&lt;&gt;"&amp;"MERCADORIAS P/REVENDA",Report!$AA:$AA,"SIM",Report!$C:$C,A743)</f>
        <v>0</v>
      </c>
      <c r="C743" s="31" t="n">
        <f aca="false">SUMIFS(Report!$U:$U,Report!$T:$T,"MERCADORIAS P/REVENDA",Report!$AA:$AA,"SIM",Report!$C:$C,A743)</f>
        <v>0</v>
      </c>
      <c r="D743" s="32"/>
      <c r="E743" s="32"/>
      <c r="F743" s="31" t="n">
        <f aca="false">B743+C743</f>
        <v>0</v>
      </c>
    </row>
    <row r="744" customFormat="false" ht="12.75" hidden="false" customHeight="true" outlineLevel="0" collapsed="false">
      <c r="A744" s="33" t="s">
        <v>924</v>
      </c>
      <c r="B744" s="34" t="n">
        <f aca="false">SUM(B737:B743)</f>
        <v>0</v>
      </c>
      <c r="C744" s="34" t="n">
        <f aca="false">SUM(C737:C743)</f>
        <v>0</v>
      </c>
      <c r="D744" s="35"/>
      <c r="E744" s="35"/>
      <c r="F744" s="3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0" t="n">
        <v>46676</v>
      </c>
      <c r="B749" s="31" t="n">
        <f aca="false">SUMIFS(Report!$U:$U,Report!$T:$T,"&lt;&gt;"&amp;"MERCADORIAS P/REVENDA",Report!$AA:$AA,"SIM",Report!$C:$C,A749)</f>
        <v>0</v>
      </c>
      <c r="C749" s="31" t="n">
        <f aca="false">SUMIFS(Report!$U:$U,Report!$T:$T,"MERCADORIAS P/REVENDA",Report!$AA:$AA,"SIM",Report!$C:$C,A749)</f>
        <v>0</v>
      </c>
      <c r="D749" s="32"/>
      <c r="E749" s="32"/>
      <c r="F749" s="31" t="n">
        <f aca="false">B749+C749</f>
        <v>0</v>
      </c>
    </row>
    <row r="750" customFormat="false" ht="12.75" hidden="false" customHeight="true" outlineLevel="0" collapsed="false">
      <c r="A750" s="30" t="n">
        <v>46677</v>
      </c>
      <c r="B750" s="31" t="n">
        <f aca="false">SUMIFS(Report!$U:$U,Report!$T:$T,"&lt;&gt;"&amp;"MERCADORIAS P/REVENDA",Report!$AA:$AA,"SIM",Report!$C:$C,A750)</f>
        <v>0</v>
      </c>
      <c r="C750" s="31" t="n">
        <f aca="false">SUMIFS(Report!$U:$U,Report!$T:$T,"MERCADORIAS P/REVENDA",Report!$AA:$AA,"SIM",Report!$C:$C,A750)</f>
        <v>0</v>
      </c>
      <c r="D750" s="32"/>
      <c r="E750" s="32"/>
      <c r="F750" s="31" t="n">
        <f aca="false">B750+C750</f>
        <v>0</v>
      </c>
    </row>
    <row r="751" customFormat="false" ht="12.75" hidden="false" customHeight="true" outlineLevel="0" collapsed="false">
      <c r="A751" s="30" t="n">
        <v>46678</v>
      </c>
      <c r="B751" s="31" t="n">
        <f aca="false">SUMIFS(Report!$U:$U,Report!$T:$T,"&lt;&gt;"&amp;"MERCADORIAS P/REVENDA",Report!$AA:$AA,"SIM",Report!$C:$C,A751)</f>
        <v>0</v>
      </c>
      <c r="C751" s="31" t="n">
        <f aca="false">SUMIFS(Report!$U:$U,Report!$T:$T,"MERCADORIAS P/REVENDA",Report!$AA:$AA,"SIM",Report!$C:$C,A751)</f>
        <v>0</v>
      </c>
      <c r="D751" s="32"/>
      <c r="E751" s="32"/>
      <c r="F751" s="31" t="n">
        <f aca="false">B751+C751</f>
        <v>0</v>
      </c>
    </row>
    <row r="752" customFormat="false" ht="12.75" hidden="false" customHeight="true" outlineLevel="0" collapsed="false">
      <c r="A752" s="33" t="s">
        <v>925</v>
      </c>
      <c r="B752" s="34" t="n">
        <f aca="false">SUM(B745:B751)</f>
        <v>0</v>
      </c>
      <c r="C752" s="34" t="n">
        <f aca="false">SUM(C745:C751)</f>
        <v>0</v>
      </c>
      <c r="D752" s="35"/>
      <c r="E752" s="35"/>
      <c r="F752" s="3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0" t="n">
        <v>46683</v>
      </c>
      <c r="B757" s="31" t="n">
        <f aca="false">SUMIFS(Report!$U:$U,Report!$T:$T,"&lt;&gt;"&amp;"MERCADORIAS P/REVENDA",Report!$AA:$AA,"SIM",Report!$C:$C,A757)</f>
        <v>0</v>
      </c>
      <c r="C757" s="31" t="n">
        <f aca="false">SUMIFS(Report!$U:$U,Report!$T:$T,"MERCADORIAS P/REVENDA",Report!$AA:$AA,"SIM",Report!$C:$C,A757)</f>
        <v>0</v>
      </c>
      <c r="D757" s="32"/>
      <c r="E757" s="32"/>
      <c r="F757" s="31" t="n">
        <f aca="false">B757+C757</f>
        <v>0</v>
      </c>
    </row>
    <row r="758" customFormat="false" ht="12.75" hidden="false" customHeight="true" outlineLevel="0" collapsed="false">
      <c r="A758" s="30" t="n">
        <v>46684</v>
      </c>
      <c r="B758" s="31" t="n">
        <f aca="false">SUMIFS(Report!$U:$U,Report!$T:$T,"&lt;&gt;"&amp;"MERCADORIAS P/REVENDA",Report!$AA:$AA,"SIM",Report!$C:$C,A758)</f>
        <v>0</v>
      </c>
      <c r="C758" s="31" t="n">
        <f aca="false">SUMIFS(Report!$U:$U,Report!$T:$T,"MERCADORIAS P/REVENDA",Report!$AA:$AA,"SIM",Report!$C:$C,A758)</f>
        <v>0</v>
      </c>
      <c r="D758" s="32"/>
      <c r="E758" s="32"/>
      <c r="F758" s="31" t="n">
        <f aca="false">B758+C758</f>
        <v>0</v>
      </c>
    </row>
    <row r="759" customFormat="false" ht="12.75" hidden="false" customHeight="true" outlineLevel="0" collapsed="false">
      <c r="A759" s="30" t="n">
        <v>46685</v>
      </c>
      <c r="B759" s="31" t="n">
        <f aca="false">SUMIFS(Report!$U:$U,Report!$T:$T,"&lt;&gt;"&amp;"MERCADORIAS P/REVENDA",Report!$AA:$AA,"SIM",Report!$C:$C,A759)</f>
        <v>0</v>
      </c>
      <c r="C759" s="31" t="n">
        <f aca="false">SUMIFS(Report!$U:$U,Report!$T:$T,"MERCADORIAS P/REVENDA",Report!$AA:$AA,"SIM",Report!$C:$C,A759)</f>
        <v>0</v>
      </c>
      <c r="D759" s="32"/>
      <c r="E759" s="32"/>
      <c r="F759" s="31" t="n">
        <f aca="false">B759+C759</f>
        <v>0</v>
      </c>
    </row>
    <row r="760" customFormat="false" ht="12.75" hidden="false" customHeight="true" outlineLevel="0" collapsed="false">
      <c r="A760" s="33" t="s">
        <v>926</v>
      </c>
      <c r="B760" s="34" t="n">
        <f aca="false">SUM(B753:B759)</f>
        <v>0</v>
      </c>
      <c r="C760" s="34" t="n">
        <f aca="false">SUM(C753:C759)</f>
        <v>0</v>
      </c>
      <c r="D760" s="35"/>
      <c r="E760" s="35"/>
      <c r="F760" s="3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0" t="n">
        <v>46690</v>
      </c>
      <c r="B765" s="31" t="n">
        <f aca="false">SUMIFS(Report!$U:$U,Report!$T:$T,"&lt;&gt;"&amp;"MERCADORIAS P/REVENDA",Report!$AA:$AA,"SIM",Report!$C:$C,A765)</f>
        <v>0</v>
      </c>
      <c r="C765" s="31" t="n">
        <f aca="false">SUMIFS(Report!$U:$U,Report!$T:$T,"MERCADORIAS P/REVENDA",Report!$AA:$AA,"SIM",Report!$C:$C,A765)</f>
        <v>0</v>
      </c>
      <c r="D765" s="32"/>
      <c r="E765" s="32"/>
      <c r="F765" s="31" t="n">
        <f aca="false">B765+C765</f>
        <v>0</v>
      </c>
    </row>
    <row r="766" customFormat="false" ht="12.75" hidden="false" customHeight="true" outlineLevel="0" collapsed="false">
      <c r="A766" s="30" t="n">
        <v>46691</v>
      </c>
      <c r="B766" s="31" t="n">
        <f aca="false">SUMIFS(Report!$U:$U,Report!$T:$T,"&lt;&gt;"&amp;"MERCADORIAS P/REVENDA",Report!$AA:$AA,"SIM",Report!$C:$C,A766)</f>
        <v>0</v>
      </c>
      <c r="C766" s="31" t="n">
        <f aca="false">SUMIFS(Report!$U:$U,Report!$T:$T,"MERCADORIAS P/REVENDA",Report!$AA:$AA,"SIM",Report!$C:$C,A766)</f>
        <v>0</v>
      </c>
      <c r="D766" s="32"/>
      <c r="E766" s="32"/>
      <c r="F766" s="31" t="n">
        <f aca="false">B766+C766</f>
        <v>0</v>
      </c>
    </row>
    <row r="767" customFormat="false" ht="12.75" hidden="false" customHeight="true" outlineLevel="0" collapsed="false">
      <c r="A767" s="30" t="n">
        <v>46692</v>
      </c>
      <c r="B767" s="31" t="n">
        <f aca="false">SUMIFS(Report!$U:$U,Report!$T:$T,"&lt;&gt;"&amp;"MERCADORIAS P/REVENDA",Report!$AA:$AA,"SIM",Report!$C:$C,A767)</f>
        <v>0</v>
      </c>
      <c r="C767" s="31" t="n">
        <f aca="false">SUMIFS(Report!$U:$U,Report!$T:$T,"MERCADORIAS P/REVENDA",Report!$AA:$AA,"SIM",Report!$C:$C,A767)</f>
        <v>0</v>
      </c>
      <c r="D767" s="32"/>
      <c r="E767" s="32"/>
      <c r="F767" s="31" t="n">
        <f aca="false">B767+C767</f>
        <v>0</v>
      </c>
    </row>
    <row r="768" customFormat="false" ht="12.75" hidden="false" customHeight="true" outlineLevel="0" collapsed="false">
      <c r="A768" s="33" t="s">
        <v>927</v>
      </c>
      <c r="B768" s="34" t="n">
        <f aca="false">SUM(B761:B767)</f>
        <v>0</v>
      </c>
      <c r="C768" s="34" t="n">
        <f aca="false">SUM(C761:C767)</f>
        <v>0</v>
      </c>
      <c r="D768" s="35"/>
      <c r="E768" s="35"/>
      <c r="F768" s="3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0" t="n">
        <v>46697</v>
      </c>
      <c r="B773" s="31" t="n">
        <f aca="false">SUMIFS(Report!$U:$U,Report!$T:$T,"&lt;&gt;"&amp;"MERCADORIAS P/REVENDA",Report!$AA:$AA,"SIM",Report!$C:$C,A773)</f>
        <v>0</v>
      </c>
      <c r="C773" s="31" t="n">
        <f aca="false">SUMIFS(Report!$U:$U,Report!$T:$T,"MERCADORIAS P/REVENDA",Report!$AA:$AA,"SIM",Report!$C:$C,A773)</f>
        <v>0</v>
      </c>
      <c r="D773" s="32"/>
      <c r="E773" s="32"/>
      <c r="F773" s="31" t="n">
        <f aca="false">B773+C773</f>
        <v>0</v>
      </c>
    </row>
    <row r="774" customFormat="false" ht="12.75" hidden="false" customHeight="true" outlineLevel="0" collapsed="false">
      <c r="A774" s="30" t="n">
        <v>46698</v>
      </c>
      <c r="B774" s="31" t="n">
        <f aca="false">SUMIFS(Report!$U:$U,Report!$T:$T,"&lt;&gt;"&amp;"MERCADORIAS P/REVENDA",Report!$AA:$AA,"SIM",Report!$C:$C,A774)</f>
        <v>0</v>
      </c>
      <c r="C774" s="31" t="n">
        <f aca="false">SUMIFS(Report!$U:$U,Report!$T:$T,"MERCADORIAS P/REVENDA",Report!$AA:$AA,"SIM",Report!$C:$C,A774)</f>
        <v>0</v>
      </c>
      <c r="D774" s="32"/>
      <c r="E774" s="32"/>
      <c r="F774" s="31" t="n">
        <f aca="false">B774+C774</f>
        <v>0</v>
      </c>
    </row>
    <row r="775" customFormat="false" ht="12.75" hidden="false" customHeight="true" outlineLevel="0" collapsed="false">
      <c r="A775" s="30" t="n">
        <v>46699</v>
      </c>
      <c r="B775" s="31" t="n">
        <f aca="false">SUMIFS(Report!$U:$U,Report!$T:$T,"&lt;&gt;"&amp;"MERCADORIAS P/REVENDA",Report!$AA:$AA,"SIM",Report!$C:$C,A775)</f>
        <v>0</v>
      </c>
      <c r="C775" s="31" t="n">
        <f aca="false">SUMIFS(Report!$U:$U,Report!$T:$T,"MERCADORIAS P/REVENDA",Report!$AA:$AA,"SIM",Report!$C:$C,A775)</f>
        <v>0</v>
      </c>
      <c r="D775" s="32"/>
      <c r="E775" s="32"/>
      <c r="F775" s="31" t="n">
        <f aca="false">B775+C775</f>
        <v>0</v>
      </c>
    </row>
    <row r="776" customFormat="false" ht="12.75" hidden="false" customHeight="true" outlineLevel="0" collapsed="false">
      <c r="A776" s="33" t="s">
        <v>928</v>
      </c>
      <c r="B776" s="34" t="n">
        <f aca="false">SUM(B769:B775)</f>
        <v>0</v>
      </c>
      <c r="C776" s="34" t="n">
        <f aca="false">SUM(C769:C775)</f>
        <v>0</v>
      </c>
      <c r="D776" s="35"/>
      <c r="E776" s="35"/>
      <c r="F776" s="3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0" t="n">
        <v>46704</v>
      </c>
      <c r="B781" s="31" t="n">
        <f aca="false">SUMIFS(Report!$U:$U,Report!$T:$T,"&lt;&gt;"&amp;"MERCADORIAS P/REVENDA",Report!$AA:$AA,"SIM",Report!$C:$C,A781)</f>
        <v>0</v>
      </c>
      <c r="C781" s="31" t="n">
        <f aca="false">SUMIFS(Report!$U:$U,Report!$T:$T,"MERCADORIAS P/REVENDA",Report!$AA:$AA,"SIM",Report!$C:$C,A781)</f>
        <v>0</v>
      </c>
      <c r="D781" s="32"/>
      <c r="E781" s="32"/>
      <c r="F781" s="31" t="n">
        <f aca="false">B781+C781</f>
        <v>0</v>
      </c>
    </row>
    <row r="782" customFormat="false" ht="12.75" hidden="false" customHeight="true" outlineLevel="0" collapsed="false">
      <c r="A782" s="30" t="n">
        <v>46705</v>
      </c>
      <c r="B782" s="31" t="n">
        <f aca="false">SUMIFS(Report!$U:$U,Report!$T:$T,"&lt;&gt;"&amp;"MERCADORIAS P/REVENDA",Report!$AA:$AA,"SIM",Report!$C:$C,A782)</f>
        <v>0</v>
      </c>
      <c r="C782" s="31" t="n">
        <f aca="false">SUMIFS(Report!$U:$U,Report!$T:$T,"MERCADORIAS P/REVENDA",Report!$AA:$AA,"SIM",Report!$C:$C,A782)</f>
        <v>0</v>
      </c>
      <c r="D782" s="32"/>
      <c r="E782" s="32"/>
      <c r="F782" s="31" t="n">
        <f aca="false">B782+C782</f>
        <v>0</v>
      </c>
    </row>
    <row r="783" customFormat="false" ht="12.75" hidden="false" customHeight="true" outlineLevel="0" collapsed="false">
      <c r="A783" s="30" t="n">
        <v>46706</v>
      </c>
      <c r="B783" s="31" t="n">
        <f aca="false">SUMIFS(Report!$U:$U,Report!$T:$T,"&lt;&gt;"&amp;"MERCADORIAS P/REVENDA",Report!$AA:$AA,"SIM",Report!$C:$C,A783)</f>
        <v>0</v>
      </c>
      <c r="C783" s="31" t="n">
        <f aca="false">SUMIFS(Report!$U:$U,Report!$T:$T,"MERCADORIAS P/REVENDA",Report!$AA:$AA,"SIM",Report!$C:$C,A783)</f>
        <v>0</v>
      </c>
      <c r="D783" s="32"/>
      <c r="E783" s="32"/>
      <c r="F783" s="31" t="n">
        <f aca="false">B783+C783</f>
        <v>0</v>
      </c>
    </row>
    <row r="784" customFormat="false" ht="12.75" hidden="false" customHeight="true" outlineLevel="0" collapsed="false">
      <c r="A784" s="33" t="s">
        <v>929</v>
      </c>
      <c r="B784" s="34" t="n">
        <f aca="false">SUM(B777:B783)</f>
        <v>0</v>
      </c>
      <c r="C784" s="34" t="n">
        <f aca="false">SUM(C777:C783)</f>
        <v>0</v>
      </c>
      <c r="D784" s="35"/>
      <c r="E784" s="35"/>
      <c r="F784" s="3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0" t="n">
        <v>46711</v>
      </c>
      <c r="B789" s="31" t="n">
        <f aca="false">SUMIFS(Report!$U:$U,Report!$T:$T,"&lt;&gt;"&amp;"MERCADORIAS P/REVENDA",Report!$AA:$AA,"SIM",Report!$C:$C,A789)</f>
        <v>0</v>
      </c>
      <c r="C789" s="31" t="n">
        <f aca="false">SUMIFS(Report!$U:$U,Report!$T:$T,"MERCADORIAS P/REVENDA",Report!$AA:$AA,"SIM",Report!$C:$C,A789)</f>
        <v>0</v>
      </c>
      <c r="D789" s="32"/>
      <c r="E789" s="32"/>
      <c r="F789" s="31" t="n">
        <f aca="false">B789+C789</f>
        <v>0</v>
      </c>
    </row>
    <row r="790" customFormat="false" ht="12.75" hidden="false" customHeight="true" outlineLevel="0" collapsed="false">
      <c r="A790" s="30" t="n">
        <v>46712</v>
      </c>
      <c r="B790" s="31" t="n">
        <f aca="false">SUMIFS(Report!$U:$U,Report!$T:$T,"&lt;&gt;"&amp;"MERCADORIAS P/REVENDA",Report!$AA:$AA,"SIM",Report!$C:$C,A790)</f>
        <v>0</v>
      </c>
      <c r="C790" s="31" t="n">
        <f aca="false">SUMIFS(Report!$U:$U,Report!$T:$T,"MERCADORIAS P/REVENDA",Report!$AA:$AA,"SIM",Report!$C:$C,A790)</f>
        <v>0</v>
      </c>
      <c r="D790" s="32"/>
      <c r="E790" s="32"/>
      <c r="F790" s="31" t="n">
        <f aca="false">B790+C790</f>
        <v>0</v>
      </c>
    </row>
    <row r="791" customFormat="false" ht="12.75" hidden="false" customHeight="true" outlineLevel="0" collapsed="false">
      <c r="A791" s="30" t="n">
        <v>46713</v>
      </c>
      <c r="B791" s="31" t="n">
        <f aca="false">SUMIFS(Report!$U:$U,Report!$T:$T,"&lt;&gt;"&amp;"MERCADORIAS P/REVENDA",Report!$AA:$AA,"SIM",Report!$C:$C,A791)</f>
        <v>0</v>
      </c>
      <c r="C791" s="31" t="n">
        <f aca="false">SUMIFS(Report!$U:$U,Report!$T:$T,"MERCADORIAS P/REVENDA",Report!$AA:$AA,"SIM",Report!$C:$C,A791)</f>
        <v>0</v>
      </c>
      <c r="D791" s="32"/>
      <c r="E791" s="32"/>
      <c r="F791" s="31" t="n">
        <f aca="false">B791+C791</f>
        <v>0</v>
      </c>
    </row>
    <row r="792" customFormat="false" ht="12.75" hidden="false" customHeight="true" outlineLevel="0" collapsed="false">
      <c r="A792" s="33" t="s">
        <v>930</v>
      </c>
      <c r="B792" s="34" t="n">
        <f aca="false">SUM(B785:B791)</f>
        <v>0</v>
      </c>
      <c r="C792" s="34" t="n">
        <f aca="false">SUM(C785:C791)</f>
        <v>0</v>
      </c>
      <c r="D792" s="35"/>
      <c r="E792" s="35"/>
      <c r="F792" s="3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0" t="n">
        <v>46718</v>
      </c>
      <c r="B797" s="31" t="n">
        <f aca="false">SUMIFS(Report!$U:$U,Report!$T:$T,"&lt;&gt;"&amp;"MERCADORIAS P/REVENDA",Report!$AA:$AA,"SIM",Report!$C:$C,A797)</f>
        <v>0</v>
      </c>
      <c r="C797" s="31" t="n">
        <f aca="false">SUMIFS(Report!$U:$U,Report!$T:$T,"MERCADORIAS P/REVENDA",Report!$AA:$AA,"SIM",Report!$C:$C,A797)</f>
        <v>0</v>
      </c>
      <c r="D797" s="32"/>
      <c r="E797" s="32"/>
      <c r="F797" s="31" t="n">
        <f aca="false">B797+C797</f>
        <v>0</v>
      </c>
    </row>
    <row r="798" customFormat="false" ht="12.75" hidden="false" customHeight="true" outlineLevel="0" collapsed="false">
      <c r="A798" s="30" t="n">
        <v>46719</v>
      </c>
      <c r="B798" s="31" t="n">
        <f aca="false">SUMIFS(Report!$U:$U,Report!$T:$T,"&lt;&gt;"&amp;"MERCADORIAS P/REVENDA",Report!$AA:$AA,"SIM",Report!$C:$C,A798)</f>
        <v>0</v>
      </c>
      <c r="C798" s="31" t="n">
        <f aca="false">SUMIFS(Report!$U:$U,Report!$T:$T,"MERCADORIAS P/REVENDA",Report!$AA:$AA,"SIM",Report!$C:$C,A798)</f>
        <v>0</v>
      </c>
      <c r="D798" s="32"/>
      <c r="E798" s="32"/>
      <c r="F798" s="31" t="n">
        <f aca="false">B798+C798</f>
        <v>0</v>
      </c>
    </row>
    <row r="799" customFormat="false" ht="12.75" hidden="false" customHeight="true" outlineLevel="0" collapsed="false">
      <c r="A799" s="30" t="n">
        <v>46720</v>
      </c>
      <c r="B799" s="31" t="n">
        <f aca="false">SUMIFS(Report!$U:$U,Report!$T:$T,"&lt;&gt;"&amp;"MERCADORIAS P/REVENDA",Report!$AA:$AA,"SIM",Report!$C:$C,A799)</f>
        <v>0</v>
      </c>
      <c r="C799" s="31" t="n">
        <f aca="false">SUMIFS(Report!$U:$U,Report!$T:$T,"MERCADORIAS P/REVENDA",Report!$AA:$AA,"SIM",Report!$C:$C,A799)</f>
        <v>0</v>
      </c>
      <c r="D799" s="32"/>
      <c r="E799" s="32"/>
      <c r="F799" s="31" t="n">
        <f aca="false">B799+C799</f>
        <v>0</v>
      </c>
    </row>
    <row r="800" customFormat="false" ht="12.75" hidden="false" customHeight="true" outlineLevel="0" collapsed="false">
      <c r="A800" s="33" t="s">
        <v>931</v>
      </c>
      <c r="B800" s="34" t="n">
        <f aca="false">SUM(B793:B799)</f>
        <v>0</v>
      </c>
      <c r="C800" s="34" t="n">
        <f aca="false">SUM(C793:C799)</f>
        <v>0</v>
      </c>
      <c r="D800" s="35"/>
      <c r="E800" s="35"/>
      <c r="F800" s="3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0" t="n">
        <v>46725</v>
      </c>
      <c r="B805" s="31" t="n">
        <f aca="false">SUMIFS(Report!$U:$U,Report!$T:$T,"&lt;&gt;"&amp;"MERCADORIAS P/REVENDA",Report!$AA:$AA,"SIM",Report!$C:$C,A805)</f>
        <v>0</v>
      </c>
      <c r="C805" s="31" t="n">
        <f aca="false">SUMIFS(Report!$U:$U,Report!$T:$T,"MERCADORIAS P/REVENDA",Report!$AA:$AA,"SIM",Report!$C:$C,A805)</f>
        <v>0</v>
      </c>
      <c r="D805" s="32"/>
      <c r="E805" s="32"/>
      <c r="F805" s="31" t="n">
        <f aca="false">B805+C805</f>
        <v>0</v>
      </c>
    </row>
    <row r="806" customFormat="false" ht="12.75" hidden="false" customHeight="true" outlineLevel="0" collapsed="false">
      <c r="A806" s="30" t="n">
        <v>46726</v>
      </c>
      <c r="B806" s="31" t="n">
        <f aca="false">SUMIFS(Report!$U:$U,Report!$T:$T,"&lt;&gt;"&amp;"MERCADORIAS P/REVENDA",Report!$AA:$AA,"SIM",Report!$C:$C,A806)</f>
        <v>0</v>
      </c>
      <c r="C806" s="31" t="n">
        <f aca="false">SUMIFS(Report!$U:$U,Report!$T:$T,"MERCADORIAS P/REVENDA",Report!$AA:$AA,"SIM",Report!$C:$C,A806)</f>
        <v>0</v>
      </c>
      <c r="D806" s="32"/>
      <c r="E806" s="32"/>
      <c r="F806" s="31" t="n">
        <f aca="false">B806+C806</f>
        <v>0</v>
      </c>
    </row>
    <row r="807" customFormat="false" ht="12.75" hidden="false" customHeight="true" outlineLevel="0" collapsed="false">
      <c r="A807" s="30" t="n">
        <v>46727</v>
      </c>
      <c r="B807" s="31" t="n">
        <f aca="false">SUMIFS(Report!$U:$U,Report!$T:$T,"&lt;&gt;"&amp;"MERCADORIAS P/REVENDA",Report!$AA:$AA,"SIM",Report!$C:$C,A807)</f>
        <v>0</v>
      </c>
      <c r="C807" s="31" t="n">
        <f aca="false">SUMIFS(Report!$U:$U,Report!$T:$T,"MERCADORIAS P/REVENDA",Report!$AA:$AA,"SIM",Report!$C:$C,A807)</f>
        <v>0</v>
      </c>
      <c r="D807" s="32"/>
      <c r="E807" s="32"/>
      <c r="F807" s="31" t="n">
        <f aca="false">B807+C807</f>
        <v>0</v>
      </c>
    </row>
    <row r="808" customFormat="false" ht="12.75" hidden="false" customHeight="true" outlineLevel="0" collapsed="false">
      <c r="A808" s="33" t="s">
        <v>932</v>
      </c>
      <c r="B808" s="34" t="n">
        <f aca="false">SUM(B801:B807)</f>
        <v>0</v>
      </c>
      <c r="C808" s="34" t="n">
        <f aca="false">SUM(C801:C807)</f>
        <v>0</v>
      </c>
      <c r="D808" s="35"/>
      <c r="E808" s="35"/>
      <c r="F808" s="3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0" t="n">
        <v>46732</v>
      </c>
      <c r="B813" s="31" t="n">
        <f aca="false">SUMIFS(Report!$U:$U,Report!$T:$T,"&lt;&gt;"&amp;"MERCADORIAS P/REVENDA",Report!$AA:$AA,"SIM",Report!$C:$C,A813)</f>
        <v>0</v>
      </c>
      <c r="C813" s="31" t="n">
        <f aca="false">SUMIFS(Report!$U:$U,Report!$T:$T,"MERCADORIAS P/REVENDA",Report!$AA:$AA,"SIM",Report!$C:$C,A813)</f>
        <v>0</v>
      </c>
      <c r="D813" s="32"/>
      <c r="E813" s="32"/>
      <c r="F813" s="31" t="n">
        <f aca="false">B813+C813</f>
        <v>0</v>
      </c>
    </row>
    <row r="814" customFormat="false" ht="12.75" hidden="false" customHeight="true" outlineLevel="0" collapsed="false">
      <c r="A814" s="30" t="n">
        <v>46733</v>
      </c>
      <c r="B814" s="31" t="n">
        <f aca="false">SUMIFS(Report!$U:$U,Report!$T:$T,"&lt;&gt;"&amp;"MERCADORIAS P/REVENDA",Report!$AA:$AA,"SIM",Report!$C:$C,A814)</f>
        <v>0</v>
      </c>
      <c r="C814" s="31" t="n">
        <f aca="false">SUMIFS(Report!$U:$U,Report!$T:$T,"MERCADORIAS P/REVENDA",Report!$AA:$AA,"SIM",Report!$C:$C,A814)</f>
        <v>0</v>
      </c>
      <c r="D814" s="32"/>
      <c r="E814" s="32"/>
      <c r="F814" s="31" t="n">
        <f aca="false">B814+C814</f>
        <v>0</v>
      </c>
    </row>
    <row r="815" customFormat="false" ht="12.75" hidden="false" customHeight="true" outlineLevel="0" collapsed="false">
      <c r="A815" s="30" t="n">
        <v>46734</v>
      </c>
      <c r="B815" s="31" t="n">
        <f aca="false">SUMIFS(Report!$U:$U,Report!$T:$T,"&lt;&gt;"&amp;"MERCADORIAS P/REVENDA",Report!$AA:$AA,"SIM",Report!$C:$C,A815)</f>
        <v>0</v>
      </c>
      <c r="C815" s="31" t="n">
        <f aca="false">SUMIFS(Report!$U:$U,Report!$T:$T,"MERCADORIAS P/REVENDA",Report!$AA:$AA,"SIM",Report!$C:$C,A815)</f>
        <v>0</v>
      </c>
      <c r="D815" s="32"/>
      <c r="E815" s="32"/>
      <c r="F815" s="31" t="n">
        <f aca="false">B815+C815</f>
        <v>0</v>
      </c>
    </row>
    <row r="816" customFormat="false" ht="12.75" hidden="false" customHeight="true" outlineLevel="0" collapsed="false">
      <c r="A816" s="33" t="s">
        <v>933</v>
      </c>
      <c r="B816" s="34" t="n">
        <f aca="false">SUM(B809:B815)</f>
        <v>0</v>
      </c>
      <c r="C816" s="34" t="n">
        <f aca="false">SUM(C809:C815)</f>
        <v>0</v>
      </c>
      <c r="D816" s="35"/>
      <c r="E816" s="35"/>
      <c r="F816" s="3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0" t="n">
        <v>46739</v>
      </c>
      <c r="B821" s="31" t="n">
        <f aca="false">SUMIFS(Report!$U:$U,Report!$T:$T,"&lt;&gt;"&amp;"MERCADORIAS P/REVENDA",Report!$AA:$AA,"SIM",Report!$C:$C,A821)</f>
        <v>0</v>
      </c>
      <c r="C821" s="31" t="n">
        <f aca="false">SUMIFS(Report!$U:$U,Report!$T:$T,"MERCADORIAS P/REVENDA",Report!$AA:$AA,"SIM",Report!$C:$C,A821)</f>
        <v>0</v>
      </c>
      <c r="D821" s="32"/>
      <c r="E821" s="32"/>
      <c r="F821" s="31" t="n">
        <f aca="false">B821+C821</f>
        <v>0</v>
      </c>
    </row>
    <row r="822" customFormat="false" ht="12.75" hidden="false" customHeight="true" outlineLevel="0" collapsed="false">
      <c r="A822" s="30" t="n">
        <v>46740</v>
      </c>
      <c r="B822" s="31" t="n">
        <f aca="false">SUMIFS(Report!$U:$U,Report!$T:$T,"&lt;&gt;"&amp;"MERCADORIAS P/REVENDA",Report!$AA:$AA,"SIM",Report!$C:$C,A822)</f>
        <v>0</v>
      </c>
      <c r="C822" s="31" t="n">
        <f aca="false">SUMIFS(Report!$U:$U,Report!$T:$T,"MERCADORIAS P/REVENDA",Report!$AA:$AA,"SIM",Report!$C:$C,A822)</f>
        <v>0</v>
      </c>
      <c r="D822" s="32"/>
      <c r="E822" s="32"/>
      <c r="F822" s="31" t="n">
        <f aca="false">B822+C822</f>
        <v>0</v>
      </c>
    </row>
    <row r="823" customFormat="false" ht="12.75" hidden="false" customHeight="true" outlineLevel="0" collapsed="false">
      <c r="A823" s="30" t="n">
        <v>46741</v>
      </c>
      <c r="B823" s="31" t="n">
        <f aca="false">SUMIFS(Report!$U:$U,Report!$T:$T,"&lt;&gt;"&amp;"MERCADORIAS P/REVENDA",Report!$AA:$AA,"SIM",Report!$C:$C,A823)</f>
        <v>0</v>
      </c>
      <c r="C823" s="31" t="n">
        <f aca="false">SUMIFS(Report!$U:$U,Report!$T:$T,"MERCADORIAS P/REVENDA",Report!$AA:$AA,"SIM",Report!$C:$C,A823)</f>
        <v>0</v>
      </c>
      <c r="D823" s="32"/>
      <c r="E823" s="32"/>
      <c r="F823" s="31" t="n">
        <f aca="false">B823+C823</f>
        <v>0</v>
      </c>
    </row>
    <row r="824" customFormat="false" ht="12.75" hidden="false" customHeight="true" outlineLevel="0" collapsed="false">
      <c r="A824" s="33" t="s">
        <v>934</v>
      </c>
      <c r="B824" s="34" t="n">
        <f aca="false">SUM(B817:B823)</f>
        <v>0</v>
      </c>
      <c r="C824" s="34" t="n">
        <f aca="false">SUM(C817:C823)</f>
        <v>0</v>
      </c>
      <c r="D824" s="35"/>
      <c r="E824" s="35"/>
      <c r="F824" s="3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0" t="n">
        <v>46746</v>
      </c>
      <c r="B829" s="31" t="n">
        <f aca="false">SUMIFS(Report!$U:$U,Report!$T:$T,"&lt;&gt;"&amp;"MERCADORIAS P/REVENDA",Report!$AA:$AA,"SIM",Report!$C:$C,A829)</f>
        <v>0</v>
      </c>
      <c r="C829" s="31" t="n">
        <f aca="false">SUMIFS(Report!$U:$U,Report!$T:$T,"MERCADORIAS P/REVENDA",Report!$AA:$AA,"SIM",Report!$C:$C,A829)</f>
        <v>0</v>
      </c>
      <c r="D829" s="32"/>
      <c r="E829" s="32"/>
      <c r="F829" s="31" t="n">
        <f aca="false">B829+C829</f>
        <v>0</v>
      </c>
    </row>
    <row r="830" customFormat="false" ht="12.75" hidden="false" customHeight="true" outlineLevel="0" collapsed="false">
      <c r="A830" s="30" t="n">
        <v>46747</v>
      </c>
      <c r="B830" s="31" t="n">
        <f aca="false">SUMIFS(Report!$U:$U,Report!$T:$T,"&lt;&gt;"&amp;"MERCADORIAS P/REVENDA",Report!$AA:$AA,"SIM",Report!$C:$C,A830)</f>
        <v>0</v>
      </c>
      <c r="C830" s="31" t="n">
        <f aca="false">SUMIFS(Report!$U:$U,Report!$T:$T,"MERCADORIAS P/REVENDA",Report!$AA:$AA,"SIM",Report!$C:$C,A830)</f>
        <v>0</v>
      </c>
      <c r="D830" s="32"/>
      <c r="E830" s="32"/>
      <c r="F830" s="31" t="n">
        <f aca="false">B830+C830</f>
        <v>0</v>
      </c>
    </row>
    <row r="831" customFormat="false" ht="12.75" hidden="false" customHeight="true" outlineLevel="0" collapsed="false">
      <c r="A831" s="30" t="n">
        <v>46748</v>
      </c>
      <c r="B831" s="31" t="n">
        <f aca="false">SUMIFS(Report!$U:$U,Report!$T:$T,"&lt;&gt;"&amp;"MERCADORIAS P/REVENDA",Report!$AA:$AA,"SIM",Report!$C:$C,A831)</f>
        <v>0</v>
      </c>
      <c r="C831" s="31" t="n">
        <f aca="false">SUMIFS(Report!$U:$U,Report!$T:$T,"MERCADORIAS P/REVENDA",Report!$AA:$AA,"SIM",Report!$C:$C,A831)</f>
        <v>0</v>
      </c>
      <c r="D831" s="32"/>
      <c r="E831" s="32"/>
      <c r="F831" s="31" t="n">
        <f aca="false">B831+C831</f>
        <v>0</v>
      </c>
    </row>
    <row r="832" customFormat="false" ht="12.75" hidden="false" customHeight="true" outlineLevel="0" collapsed="false">
      <c r="A832" s="33" t="s">
        <v>935</v>
      </c>
      <c r="B832" s="34" t="n">
        <f aca="false">SUM(B825:B831)</f>
        <v>0</v>
      </c>
      <c r="C832" s="34" t="n">
        <f aca="false">SUM(C825:C831)</f>
        <v>0</v>
      </c>
      <c r="D832" s="35"/>
      <c r="E832" s="35"/>
      <c r="F832" s="3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3" t="s">
        <v>936</v>
      </c>
      <c r="B837" s="34" t="n">
        <f aca="false">SUM(B833:B836)</f>
        <v>0</v>
      </c>
      <c r="C837" s="34" t="n">
        <f aca="false">SUM(C833:C836)</f>
        <v>0</v>
      </c>
      <c r="D837" s="35"/>
      <c r="E837" s="35"/>
      <c r="F837" s="3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937</v>
      </c>
      <c r="B1" s="36"/>
      <c r="C1" s="36"/>
      <c r="D1" s="36"/>
    </row>
    <row r="2" customFormat="false" ht="12.75" hidden="false" customHeight="true" outlineLevel="0" collapsed="false">
      <c r="A2" s="37" t="s">
        <v>938</v>
      </c>
      <c r="B2" s="37"/>
      <c r="C2" s="37"/>
      <c r="D2" s="37"/>
    </row>
    <row r="4" customFormat="false" ht="24.75" hidden="false" customHeight="true" outlineLevel="0" collapsed="false">
      <c r="A4" s="38" t="s">
        <v>939</v>
      </c>
      <c r="B4" s="38" t="s">
        <v>940</v>
      </c>
      <c r="C4" s="38" t="s">
        <v>941</v>
      </c>
    </row>
    <row r="5" customFormat="false" ht="12.75" hidden="false" customHeight="true" outlineLevel="0" collapsed="false">
      <c r="A5" s="39" t="s">
        <v>785</v>
      </c>
      <c r="B5" s="39" t="n">
        <v>2026</v>
      </c>
      <c r="C5" s="40" t="n">
        <v>306569.53</v>
      </c>
    </row>
    <row r="6" customFormat="false" ht="12.75" hidden="false" customHeight="true" outlineLevel="0" collapsed="false">
      <c r="A6" s="39" t="s">
        <v>786</v>
      </c>
      <c r="B6" s="39" t="n">
        <v>2026</v>
      </c>
      <c r="C6" s="40" t="n">
        <v>298653.71</v>
      </c>
    </row>
    <row r="7" customFormat="false" ht="12.75" hidden="false" customHeight="true" outlineLevel="0" collapsed="false">
      <c r="A7" s="39" t="s">
        <v>787</v>
      </c>
      <c r="B7" s="39" t="n">
        <v>2026</v>
      </c>
      <c r="C7" s="40" t="n">
        <v>344581.2</v>
      </c>
    </row>
    <row r="8" customFormat="false" ht="12.75" hidden="false" customHeight="true" outlineLevel="0" collapsed="false">
      <c r="A8" s="39" t="s">
        <v>788</v>
      </c>
      <c r="B8" s="39" t="n">
        <v>2026</v>
      </c>
      <c r="C8" s="40" t="n">
        <v>333926.29</v>
      </c>
    </row>
    <row r="9" customFormat="false" ht="12.75" hidden="false" customHeight="true" outlineLevel="0" collapsed="false">
      <c r="A9" s="39" t="s">
        <v>789</v>
      </c>
      <c r="B9" s="39" t="n">
        <v>2026</v>
      </c>
      <c r="C9" s="40" t="n">
        <v>363676.33</v>
      </c>
    </row>
    <row r="10" customFormat="false" ht="12.75" hidden="false" customHeight="true" outlineLevel="0" collapsed="false">
      <c r="A10" s="39" t="s">
        <v>790</v>
      </c>
      <c r="B10" s="39" t="n">
        <v>2026</v>
      </c>
      <c r="C10" s="40" t="n">
        <v>352563.43</v>
      </c>
    </row>
    <row r="11" customFormat="false" ht="12.75" hidden="false" customHeight="true" outlineLevel="0" collapsed="false">
      <c r="A11" s="39" t="s">
        <v>791</v>
      </c>
      <c r="B11" s="39" t="n">
        <v>2026</v>
      </c>
      <c r="C11" s="40" t="n">
        <v>332480.59</v>
      </c>
    </row>
    <row r="12" customFormat="false" ht="13.5" hidden="false" customHeight="true" outlineLevel="0" collapsed="false">
      <c r="A12" s="39" t="s">
        <v>792</v>
      </c>
      <c r="B12" s="39" t="n">
        <v>2026</v>
      </c>
      <c r="C12" s="41" t="n">
        <v>0</v>
      </c>
    </row>
    <row r="13" customFormat="false" ht="13.5" hidden="false" customHeight="true" outlineLevel="0" collapsed="false">
      <c r="A13" s="39" t="s">
        <v>793</v>
      </c>
      <c r="B13" s="39" t="n">
        <v>2026</v>
      </c>
      <c r="C13" s="41" t="n">
        <v>0</v>
      </c>
    </row>
    <row r="14" customFormat="false" ht="13.5" hidden="false" customHeight="true" outlineLevel="0" collapsed="false">
      <c r="A14" s="39" t="s">
        <v>794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795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796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942</v>
      </c>
      <c r="B18" s="42"/>
      <c r="C18" s="43" t="n">
        <v>46230</v>
      </c>
    </row>
    <row r="20" customFormat="false" ht="12.75" hidden="false" customHeight="true" outlineLevel="0" collapsed="false">
      <c r="A20" s="37" t="s">
        <v>943</v>
      </c>
      <c r="B20" s="37"/>
      <c r="C20" s="37"/>
      <c r="D20" s="37"/>
      <c r="E20" s="37"/>
      <c r="F20" s="37"/>
      <c r="G20" s="37"/>
      <c r="H20" s="37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4" t="s">
        <v>944</v>
      </c>
    </row>
    <row r="3" customFormat="false" ht="12.75" hidden="false" customHeight="true" outlineLevel="0" collapsed="false">
      <c r="A3" s="25" t="s">
        <v>945</v>
      </c>
      <c r="E3" s="45" t="n">
        <v>0.8871</v>
      </c>
      <c r="F3" s="1" t="s">
        <v>946</v>
      </c>
    </row>
    <row r="6" customFormat="false" ht="12.75" hidden="false" customHeight="true" outlineLevel="0" collapsed="false">
      <c r="A6" s="26" t="s">
        <v>939</v>
      </c>
      <c r="B6" s="23" t="s">
        <v>947</v>
      </c>
      <c r="C6" s="23" t="s">
        <v>948</v>
      </c>
      <c r="D6" s="23" t="s">
        <v>949</v>
      </c>
      <c r="E6" s="23" t="s">
        <v>950</v>
      </c>
    </row>
    <row r="7" customFormat="false" ht="12.75" hidden="false" customHeight="true" outlineLevel="0" collapsed="false">
      <c r="A7" s="25" t="s">
        <v>785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786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787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788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789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790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36907.56</v>
      </c>
      <c r="E12" s="17" t="n">
        <f aca="false">IF(AND(ISNUMBER(C12),D12&gt;0),D12-C12,"")</f>
        <v>-285709.712343</v>
      </c>
    </row>
    <row r="13" customFormat="false" ht="12.75" hidden="false" customHeight="true" outlineLevel="0" collapsed="false">
      <c r="A13" s="25" t="s">
        <v>791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5" t="s">
        <v>792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137422.69</v>
      </c>
      <c r="E14" s="17" t="n">
        <f aca="false">IF(AND(ISNUMBER(C14),D14&gt;0),D14-C14,"")</f>
        <v>-157520.841389</v>
      </c>
    </row>
    <row r="15" customFormat="false" ht="12.75" hidden="false" customHeight="true" outlineLevel="0" collapsed="false">
      <c r="A15" s="25" t="s">
        <v>793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5012.84</v>
      </c>
      <c r="E15" s="17" t="n">
        <f aca="false">IF(AND(ISNUMBER(C15),D15&gt;0),D15-C15,"")</f>
        <v>5012.84</v>
      </c>
    </row>
    <row r="16" customFormat="false" ht="12.75" hidden="false" customHeight="true" outlineLevel="0" collapsed="false">
      <c r="A16" s="25" t="s">
        <v>794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795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796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809</v>
      </c>
      <c r="B19" s="24" t="n">
        <f aca="false">SUM(B7:B18)</f>
        <v>2332451.08</v>
      </c>
      <c r="C19" s="24" t="n">
        <f aca="false">SUM(C7:C18)</f>
        <v>2069117.353068</v>
      </c>
      <c r="D19" s="24" t="n">
        <f aca="false">SUM(D7:D18)</f>
        <v>479399.22</v>
      </c>
      <c r="E19" s="24" t="n">
        <f aca="false">IF(COUNT(E7:E18)=0,"sem dados comparaveis ainda",SUM(E7:E18))</f>
        <v>-450920.602485</v>
      </c>
    </row>
    <row r="21" customFormat="false" ht="12.75" hidden="false" customHeight="true" outlineLevel="0" collapsed="false">
      <c r="A21" s="25" t="s">
        <v>951</v>
      </c>
    </row>
    <row r="23" customFormat="false" ht="12.75" hidden="false" customHeight="true" outlineLevel="0" collapsed="false">
      <c r="A23" s="25" t="s">
        <v>952</v>
      </c>
    </row>
    <row r="25" customFormat="false" ht="12.75" hidden="false" customHeight="true" outlineLevel="0" collapsed="false">
      <c r="A25" s="25" t="s">
        <v>953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954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/>
  <dc:description/>
  <dc:language>pt-BR</dc:language>
  <cp:lastModifiedBy>Mercadinho</cp:lastModifiedBy>
  <dcterms:modified xsi:type="dcterms:W3CDTF">2026-08-05T17:27:08Z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