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<sst xmlns="http://schemas.openxmlformats.org/spreadsheetml/2006/main" count="16230" uniqueCount="1541">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</sst>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5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300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200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46258</v>
      </c>
      <c r="C1288" s="15" t="n">
        <v>46258</v>
      </c>
      <c r="D1288" s="1" t="n">
        <v>48</v>
      </c>
      <c r="E1288" s="1" t="s">
        <v>132</v>
      </c>
      <c r="F1288" s="1" t="n">
        <v>13</v>
      </c>
      <c r="G1288" s="1" t="s">
        <v>133</v>
      </c>
      <c r="H1288" s="1" t="n">
        <v>2110101</v>
      </c>
      <c r="I1288" s="1" t="s">
        <v>33</v>
      </c>
      <c r="J1288" s="1" t="n">
        <v>1595265</v>
      </c>
      <c r="L1288" s="1" t="n">
        <v>2625</v>
      </c>
      <c r="M1288" s="1" t="s">
        <v>83</v>
      </c>
      <c r="N1288" s="1" t="s">
        <v>54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225</v>
      </c>
      <c r="W1288" s="1" t="n">
        <v>0</v>
      </c>
      <c r="X1288" s="1" t="s">
        <v>1210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46013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660421</v>
      </c>
      <c r="L1289" s="1" t="n">
        <v>86128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362.14</v>
      </c>
      <c r="W1289" s="1" t="n">
        <v>0</v>
      </c>
      <c r="X1289" s="1" t="s">
        <v>505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46029</v>
      </c>
      <c r="C1290" s="15" t="n">
        <v>46259</v>
      </c>
      <c r="D1290" s="1" t="n">
        <v>17</v>
      </c>
      <c r="E1290" s="1" t="s">
        <v>436</v>
      </c>
      <c r="F1290" s="1" t="n">
        <v>48</v>
      </c>
      <c r="G1290" s="1" t="s">
        <v>503</v>
      </c>
      <c r="H1290" s="1" t="n">
        <v>2110405</v>
      </c>
      <c r="I1290" s="1" t="s">
        <v>41</v>
      </c>
      <c r="J1290" s="1" t="n">
        <v>660305</v>
      </c>
      <c r="L1290" s="1" t="n">
        <v>86116</v>
      </c>
      <c r="M1290" s="1" t="s">
        <v>596</v>
      </c>
      <c r="N1290" s="1" t="s">
        <v>35</v>
      </c>
      <c r="P1290" s="1" t="n">
        <v>101</v>
      </c>
      <c r="Q1290" s="1" t="s">
        <v>42</v>
      </c>
      <c r="R1290" s="1" t="s">
        <v>43</v>
      </c>
      <c r="S1290" s="1" t="n">
        <v>4220199</v>
      </c>
      <c r="T1290" s="1" t="s">
        <v>44</v>
      </c>
      <c r="U1290" s="17" t="n">
        <v>84.03</v>
      </c>
      <c r="W1290" s="1" t="n">
        <v>0</v>
      </c>
      <c r="X1290" s="1" t="s">
        <v>504</v>
      </c>
      <c r="Z1290" s="1" t="str">
        <f aca="false">IF($T1290="","",IFERROR(INDEX('Resumo Grupos'!$AC$3:$AC$200,MATCH($T1290,'Resumo Grupos'!$AB$3:$AB$200,0)),"n/d"))</f>
        <v>Pagamentos outros não operacionais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46205</v>
      </c>
      <c r="C1291" s="15" t="n">
        <v>46259</v>
      </c>
      <c r="D1291" s="1" t="n">
        <v>1217</v>
      </c>
      <c r="E1291" s="1" t="s">
        <v>690</v>
      </c>
      <c r="F1291" s="1" t="n">
        <v>24</v>
      </c>
      <c r="G1291" s="1" t="s">
        <v>77</v>
      </c>
      <c r="H1291" s="1" t="n">
        <v>2110101</v>
      </c>
      <c r="I1291" s="1" t="s">
        <v>33</v>
      </c>
      <c r="J1291" s="1" t="n">
        <v>1339965</v>
      </c>
      <c r="L1291" s="1" t="n">
        <v>4467</v>
      </c>
      <c r="M1291" s="1" t="s">
        <v>47</v>
      </c>
      <c r="N1291" s="1" t="s">
        <v>54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818.55</v>
      </c>
      <c r="W1291" s="1" t="n">
        <v>0</v>
      </c>
      <c r="X1291" s="1" t="s">
        <v>691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46243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1551938</v>
      </c>
      <c r="L1292" s="1" t="n">
        <v>211786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52.52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46249</v>
      </c>
      <c r="C1293" s="15" t="n">
        <v>46259</v>
      </c>
      <c r="D1293" s="1" t="n">
        <v>17</v>
      </c>
      <c r="E1293" s="1" t="s">
        <v>436</v>
      </c>
      <c r="F1293" s="1" t="n">
        <v>48</v>
      </c>
      <c r="G1293" s="1" t="s">
        <v>503</v>
      </c>
      <c r="H1293" s="1" t="n">
        <v>2110405</v>
      </c>
      <c r="I1293" s="1" t="s">
        <v>41</v>
      </c>
      <c r="J1293" s="1" t="n">
        <v>1551945</v>
      </c>
      <c r="L1293" s="1" t="n">
        <v>211789</v>
      </c>
      <c r="M1293" s="1" t="s">
        <v>83</v>
      </c>
      <c r="N1293" s="1" t="s">
        <v>35</v>
      </c>
      <c r="P1293" s="1" t="n">
        <v>101</v>
      </c>
      <c r="Q1293" s="1" t="s">
        <v>42</v>
      </c>
      <c r="R1293" s="1" t="s">
        <v>43</v>
      </c>
      <c r="S1293" s="1" t="n">
        <v>4220199</v>
      </c>
      <c r="T1293" s="1" t="s">
        <v>44</v>
      </c>
      <c r="U1293" s="17" t="n">
        <v>595.39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46252</v>
      </c>
      <c r="C1294" s="22" t="n">
        <v>46259</v>
      </c>
      <c r="D1294" s="1" t="n">
        <v>1642</v>
      </c>
      <c r="E1294" s="1" t="s">
        <v>210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1566648</v>
      </c>
      <c r="L1294" s="1" t="n">
        <v>213853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512.38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46255</v>
      </c>
      <c r="C1295" s="22" t="n">
        <v>46259</v>
      </c>
      <c r="D1295" s="1" t="n">
        <v>10035</v>
      </c>
      <c r="E1295" s="1" t="s">
        <v>96</v>
      </c>
      <c r="F1295" s="1" t="n">
        <v>34</v>
      </c>
      <c r="G1295" s="1" t="s">
        <v>97</v>
      </c>
      <c r="H1295" s="1" t="n">
        <v>2110405</v>
      </c>
      <c r="I1295" s="1" t="s">
        <v>41</v>
      </c>
      <c r="J1295" s="1" t="n">
        <v>1580974</v>
      </c>
      <c r="L1295" s="1" t="n">
        <v>216250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183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46256</v>
      </c>
      <c r="C1296" s="22" t="n">
        <v>46259</v>
      </c>
      <c r="D1296" s="1" t="n">
        <v>642</v>
      </c>
      <c r="E1296" s="1" t="s">
        <v>130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1585340</v>
      </c>
      <c r="L1296" s="1" t="n">
        <v>216896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240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46023</v>
      </c>
      <c r="C1297" s="22" t="n">
        <v>46260</v>
      </c>
      <c r="D1297" s="1" t="n">
        <v>515</v>
      </c>
      <c r="E1297" s="1" t="s">
        <v>143</v>
      </c>
      <c r="F1297" s="1" t="n">
        <v>34</v>
      </c>
      <c r="G1297" s="1" t="s">
        <v>97</v>
      </c>
      <c r="H1297" s="1" t="n">
        <v>2110405</v>
      </c>
      <c r="I1297" s="1" t="s">
        <v>41</v>
      </c>
      <c r="J1297" s="1" t="n">
        <v>1012266</v>
      </c>
      <c r="L1297" s="1" t="n">
        <v>133812</v>
      </c>
      <c r="M1297" s="1" t="s">
        <v>596</v>
      </c>
      <c r="N1297" s="1" t="s">
        <v>35</v>
      </c>
      <c r="P1297" s="1" t="n">
        <v>101</v>
      </c>
      <c r="Q1297" s="1" t="s">
        <v>42</v>
      </c>
      <c r="R1297" s="1" t="s">
        <v>295</v>
      </c>
      <c r="S1297" s="1" t="n">
        <v>2110901</v>
      </c>
      <c r="T1297" s="1" t="s">
        <v>296</v>
      </c>
      <c r="U1297" s="1" t="n">
        <v>4168.41</v>
      </c>
      <c r="W1297" s="1" t="n">
        <v>0</v>
      </c>
      <c r="X1297" s="1" t="s">
        <v>1216</v>
      </c>
      <c r="Z1297" s="1" t="str">
        <f aca="false">IF($T1297="","",IFERROR(INDEX('Resumo Grupos'!$AC$3:$AC$200,MATCH($T1297,'Resumo Grupos'!$AB$3:$AB$200,0)),"n/d"))</f>
        <v>Empréstimo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46260</v>
      </c>
      <c r="D1298" s="1" t="n">
        <v>1613</v>
      </c>
      <c r="E1298" s="1" t="s">
        <v>94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1513496</v>
      </c>
      <c r="L1298" s="1" t="n">
        <v>205790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1275.53</v>
      </c>
      <c r="W1298" s="1" t="n">
        <v>0</v>
      </c>
      <c r="X1298" s="1" t="s">
        <v>1162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46244</v>
      </c>
      <c r="C1299" s="22" t="n">
        <v>46260</v>
      </c>
      <c r="D1299" s="1" t="n">
        <v>1659</v>
      </c>
      <c r="E1299" s="1" t="s">
        <v>197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1529145</v>
      </c>
      <c r="L1299" s="1" t="n">
        <v>207965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349</v>
      </c>
      <c r="W1299" s="1" t="n">
        <v>0</v>
      </c>
      <c r="X1299" s="1" t="s">
        <v>1163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1608</v>
      </c>
      <c r="E1300" s="1" t="s">
        <v>201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1534791</v>
      </c>
      <c r="L1300" s="1" t="n">
        <v>209426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1279.58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46246</v>
      </c>
      <c r="C1301" s="22" t="n">
        <v>46260</v>
      </c>
      <c r="D1301" s="1" t="n">
        <v>1634</v>
      </c>
      <c r="E1301" s="1" t="s">
        <v>261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1535480</v>
      </c>
      <c r="L1301" s="1" t="n">
        <v>209568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700.7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1635</v>
      </c>
      <c r="E1302" s="1" t="s">
        <v>117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1541010</v>
      </c>
      <c r="L1302" s="1" t="n">
        <v>210258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600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46247</v>
      </c>
      <c r="C1303" s="22" t="n">
        <v>46260</v>
      </c>
      <c r="D1303" s="1" t="n">
        <v>1734</v>
      </c>
      <c r="E1303" s="1" t="s">
        <v>489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1542967</v>
      </c>
      <c r="L1303" s="1" t="n">
        <v>210465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1050.07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46248</v>
      </c>
      <c r="C1304" s="22" t="n">
        <v>46260</v>
      </c>
      <c r="D1304" s="1" t="n">
        <v>1613</v>
      </c>
      <c r="E1304" s="1" t="s">
        <v>94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1547477</v>
      </c>
      <c r="L1304" s="1" t="n">
        <v>211362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1164.76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754</v>
      </c>
      <c r="E1305" s="1" t="s">
        <v>128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1576251</v>
      </c>
      <c r="L1305" s="1" t="n">
        <v>215402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1293.6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46254</v>
      </c>
      <c r="C1306" s="22" t="n">
        <v>46260</v>
      </c>
      <c r="D1306" s="1" t="n">
        <v>48</v>
      </c>
      <c r="E1306" s="1" t="s">
        <v>132</v>
      </c>
      <c r="F1306" s="1" t="n">
        <v>24</v>
      </c>
      <c r="G1306" s="1" t="s">
        <v>77</v>
      </c>
      <c r="H1306" s="1" t="n">
        <v>2110101</v>
      </c>
      <c r="I1306" s="1" t="s">
        <v>33</v>
      </c>
      <c r="J1306" s="1" t="n">
        <v>1576425</v>
      </c>
      <c r="L1306" s="1" t="n">
        <v>2617</v>
      </c>
      <c r="M1306" s="1" t="s">
        <v>83</v>
      </c>
      <c r="N1306" s="1" t="s">
        <v>54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300</v>
      </c>
      <c r="W1306" s="1" t="n">
        <v>0</v>
      </c>
      <c r="X1306" s="1" t="s">
        <v>1223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46258</v>
      </c>
      <c r="C1307" s="22" t="n">
        <v>46260</v>
      </c>
      <c r="D1307" s="1" t="n">
        <v>1899</v>
      </c>
      <c r="E1307" s="1" t="s">
        <v>194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1594459</v>
      </c>
      <c r="L1307" s="1" t="n">
        <v>218092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265.81</v>
      </c>
      <c r="W1307" s="1" t="n">
        <v>0</v>
      </c>
      <c r="X1307" s="1" t="s">
        <v>1224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46240</v>
      </c>
      <c r="C1308" s="22" t="n">
        <v>46261</v>
      </c>
      <c r="D1308" s="1" t="n">
        <v>1815</v>
      </c>
      <c r="E1308" s="1" t="s">
        <v>164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1508981</v>
      </c>
      <c r="L1308" s="1" t="n">
        <v>205093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628.19</v>
      </c>
      <c r="W1308" s="1" t="n">
        <v>0</v>
      </c>
      <c r="X1308" s="1" t="s">
        <v>1111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46241</v>
      </c>
      <c r="C1309" s="22" t="n">
        <v>46261</v>
      </c>
      <c r="D1309" s="1" t="n">
        <v>794</v>
      </c>
      <c r="E1309" s="1" t="s">
        <v>305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1514359</v>
      </c>
      <c r="L1309" s="1" t="n">
        <v>205999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382.62</v>
      </c>
      <c r="W1309" s="1" t="n">
        <v>0</v>
      </c>
      <c r="X1309" s="1" t="s">
        <v>1166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46241</v>
      </c>
      <c r="C1310" s="22" t="n">
        <v>46261</v>
      </c>
      <c r="D1310" s="1" t="n">
        <v>794</v>
      </c>
      <c r="E1310" s="1" t="s">
        <v>305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1514438</v>
      </c>
      <c r="L1310" s="1" t="n">
        <v>206013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56</v>
      </c>
      <c r="S1310" s="1" t="n">
        <v>4210299</v>
      </c>
      <c r="T1310" s="1" t="s">
        <v>115</v>
      </c>
      <c r="U1310" s="1" t="n">
        <v>520.47</v>
      </c>
      <c r="W1310" s="1" t="n">
        <v>0</v>
      </c>
      <c r="X1310" s="1" t="s">
        <v>1167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1608</v>
      </c>
      <c r="E1311" s="1" t="s">
        <v>201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1540761</v>
      </c>
      <c r="L1311" s="1" t="n">
        <v>210177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692.26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1667</v>
      </c>
      <c r="E1312" s="1" t="s">
        <v>82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1540922</v>
      </c>
      <c r="L1312" s="1" t="n">
        <v>210242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668.77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46247</v>
      </c>
      <c r="C1313" s="22" t="n">
        <v>46261</v>
      </c>
      <c r="D1313" s="1" t="n">
        <v>1740</v>
      </c>
      <c r="E1313" s="1" t="s">
        <v>410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1541224</v>
      </c>
      <c r="L1313" s="1" t="n">
        <v>210282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386.74</v>
      </c>
      <c r="W1313" s="1" t="n">
        <v>0</v>
      </c>
      <c r="X1313" s="1" t="s">
        <v>1227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46247</v>
      </c>
      <c r="C1314" s="22" t="n">
        <v>46261</v>
      </c>
      <c r="D1314" s="1" t="n">
        <v>1601</v>
      </c>
      <c r="E1314" s="1" t="s">
        <v>175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1543874</v>
      </c>
      <c r="L1314" s="1" t="n">
        <v>210525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436.02</v>
      </c>
      <c r="W1314" s="1" t="n">
        <v>0</v>
      </c>
      <c r="X1314" s="1" t="s">
        <v>1228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46252</v>
      </c>
      <c r="C1315" s="22" t="n">
        <v>46261</v>
      </c>
      <c r="D1315" s="1" t="n">
        <v>1196</v>
      </c>
      <c r="E1315" s="1" t="s">
        <v>1229</v>
      </c>
      <c r="F1315" s="1" t="n">
        <v>24</v>
      </c>
      <c r="G1315" s="1" t="s">
        <v>77</v>
      </c>
      <c r="H1315" s="1" t="n">
        <v>2110405</v>
      </c>
      <c r="I1315" s="1" t="s">
        <v>41</v>
      </c>
      <c r="J1315" s="1" t="n">
        <v>1566579</v>
      </c>
      <c r="L1315" s="1" t="n">
        <v>213841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855.99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46252</v>
      </c>
      <c r="C1316" s="22" t="n">
        <v>46261</v>
      </c>
      <c r="D1316" s="1" t="n">
        <v>1671</v>
      </c>
      <c r="E1316" s="1" t="s">
        <v>88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1567127</v>
      </c>
      <c r="L1316" s="1" t="n">
        <v>213978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793.82</v>
      </c>
      <c r="W1316" s="1" t="n">
        <v>0</v>
      </c>
      <c r="X1316" s="1" t="s">
        <v>1231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46254</v>
      </c>
      <c r="C1317" s="22" t="n">
        <v>46261</v>
      </c>
      <c r="D1317" s="1" t="n">
        <v>10018</v>
      </c>
      <c r="E1317" s="1" t="s">
        <v>220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1577576</v>
      </c>
      <c r="L1317" s="1" t="n">
        <v>215690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1734.8</v>
      </c>
      <c r="W1317" s="1" t="n">
        <v>0</v>
      </c>
      <c r="X1317" s="1" t="s">
        <v>1232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46244</v>
      </c>
      <c r="C1318" s="22" t="n">
        <v>46262</v>
      </c>
      <c r="D1318" s="1" t="n">
        <v>1666</v>
      </c>
      <c r="E1318" s="1" t="s">
        <v>206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1529119</v>
      </c>
      <c r="L1318" s="1" t="n">
        <v>207951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4605.48</v>
      </c>
      <c r="W1318" s="1" t="n">
        <v>0</v>
      </c>
      <c r="X1318" s="1" t="s">
        <v>1129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1546022</v>
      </c>
      <c r="L1319" s="1" t="n">
        <v>211208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50.85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46248</v>
      </c>
      <c r="C1320" s="22" t="n">
        <v>46262</v>
      </c>
      <c r="D1320" s="1" t="n">
        <v>1705</v>
      </c>
      <c r="E1320" s="1" t="s">
        <v>119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1546035</v>
      </c>
      <c r="L1320" s="1" t="n">
        <v>211216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620.26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46248</v>
      </c>
      <c r="C1321" s="22" t="n">
        <v>46262</v>
      </c>
      <c r="D1321" s="1" t="n">
        <v>1705</v>
      </c>
      <c r="E1321" s="1" t="s">
        <v>119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1546067</v>
      </c>
      <c r="L1321" s="1" t="n">
        <v>211225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2148.12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46252</v>
      </c>
      <c r="C1322" s="22" t="n">
        <v>46262</v>
      </c>
      <c r="D1322" s="1" t="n">
        <v>1699</v>
      </c>
      <c r="E1322" s="1" t="s">
        <v>208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1568208</v>
      </c>
      <c r="L1322" s="1" t="n">
        <v>214137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474.75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46253</v>
      </c>
      <c r="C1323" s="22" t="n">
        <v>46262</v>
      </c>
      <c r="D1323" s="1" t="n">
        <v>1723</v>
      </c>
      <c r="E1323" s="1" t="s">
        <v>332</v>
      </c>
      <c r="F1323" s="1" t="n">
        <v>24</v>
      </c>
      <c r="G1323" s="1" t="s">
        <v>77</v>
      </c>
      <c r="H1323" s="1" t="n">
        <v>2110405</v>
      </c>
      <c r="I1323" s="1" t="s">
        <v>41</v>
      </c>
      <c r="J1323" s="1" t="n">
        <v>1572402</v>
      </c>
      <c r="L1323" s="1" t="n">
        <v>214810</v>
      </c>
      <c r="M1323" s="1" t="s">
        <v>83</v>
      </c>
      <c r="N1323" s="1" t="s">
        <v>35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2334.75</v>
      </c>
      <c r="W1323" s="1" t="n">
        <v>0</v>
      </c>
      <c r="X1323" s="1" t="s">
        <v>1237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46255</v>
      </c>
      <c r="C1324" s="22" t="n">
        <v>46262</v>
      </c>
      <c r="D1324" s="1" t="n">
        <v>1292</v>
      </c>
      <c r="E1324" s="1" t="s">
        <v>188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1580953</v>
      </c>
      <c r="L1324" s="1" t="n">
        <v>216244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814.25</v>
      </c>
      <c r="W1324" s="1" t="n">
        <v>0</v>
      </c>
      <c r="X1324" s="1" t="s">
        <v>1238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46255</v>
      </c>
      <c r="C1325" s="22" t="n">
        <v>46262</v>
      </c>
      <c r="D1325" s="1" t="n">
        <v>48</v>
      </c>
      <c r="E1325" s="1" t="s">
        <v>132</v>
      </c>
      <c r="F1325" s="1" t="n">
        <v>34</v>
      </c>
      <c r="G1325" s="1" t="s">
        <v>97</v>
      </c>
      <c r="H1325" s="1" t="n">
        <v>2110101</v>
      </c>
      <c r="I1325" s="1" t="s">
        <v>33</v>
      </c>
      <c r="J1325" s="1" t="n">
        <v>1582083</v>
      </c>
      <c r="L1325" s="1" t="n">
        <v>2624</v>
      </c>
      <c r="M1325" s="1" t="s">
        <v>83</v>
      </c>
      <c r="N1325" s="1" t="s">
        <v>54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1383</v>
      </c>
      <c r="W1325" s="1" t="n">
        <v>0</v>
      </c>
      <c r="X1325" s="1" t="s">
        <v>392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46256</v>
      </c>
      <c r="C1326" s="22" t="n">
        <v>46262</v>
      </c>
      <c r="D1326" s="1" t="n">
        <v>1666</v>
      </c>
      <c r="E1326" s="1" t="s">
        <v>206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1585290</v>
      </c>
      <c r="L1326" s="1" t="n">
        <v>216888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5860.74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46248</v>
      </c>
      <c r="C1327" s="22" t="n">
        <v>46263</v>
      </c>
      <c r="D1327" s="1" t="n">
        <v>1718</v>
      </c>
      <c r="E1327" s="1" t="s">
        <v>199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1547746</v>
      </c>
      <c r="L1327" s="1" t="n">
        <v>211393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48</v>
      </c>
      <c r="S1327" s="1" t="n">
        <v>1130101</v>
      </c>
      <c r="T1327" s="1" t="s">
        <v>49</v>
      </c>
      <c r="U1327" s="1" t="n">
        <v>706.56</v>
      </c>
      <c r="W1327" s="1" t="n">
        <v>0</v>
      </c>
      <c r="X1327" s="1" t="s">
        <v>1240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46249</v>
      </c>
      <c r="C1328" s="22" t="n">
        <v>46263</v>
      </c>
      <c r="D1328" s="1" t="n">
        <v>1718</v>
      </c>
      <c r="E1328" s="1" t="s">
        <v>199</v>
      </c>
      <c r="F1328" s="1" t="n">
        <v>24</v>
      </c>
      <c r="G1328" s="1" t="s">
        <v>77</v>
      </c>
      <c r="H1328" s="1" t="n">
        <v>2110405</v>
      </c>
      <c r="I1328" s="1" t="s">
        <v>41</v>
      </c>
      <c r="J1328" s="1" t="n">
        <v>1551482</v>
      </c>
      <c r="L1328" s="1" t="n">
        <v>211716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1422.67</v>
      </c>
      <c r="W1328" s="1" t="n">
        <v>0</v>
      </c>
      <c r="X1328" s="1" t="s">
        <v>1241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46258</v>
      </c>
      <c r="C1329" s="22" t="n">
        <v>46263</v>
      </c>
      <c r="D1329" s="1" t="n">
        <v>1625</v>
      </c>
      <c r="E1329" s="1" t="s">
        <v>248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1595567</v>
      </c>
      <c r="L1329" s="1" t="n">
        <v>218336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4164.18</v>
      </c>
      <c r="W1329" s="1" t="n">
        <v>0</v>
      </c>
      <c r="X1329" s="1" t="s">
        <v>828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46165</v>
      </c>
      <c r="C1330" s="22" t="n">
        <v>46264</v>
      </c>
      <c r="D1330" s="1" t="n">
        <v>639</v>
      </c>
      <c r="E1330" s="1" t="s">
        <v>443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1141287</v>
      </c>
      <c r="L1330" s="1" t="n">
        <v>151507</v>
      </c>
      <c r="M1330" s="1" t="s">
        <v>74</v>
      </c>
      <c r="N1330" s="1" t="s">
        <v>35</v>
      </c>
      <c r="P1330" s="1" t="n">
        <v>101</v>
      </c>
      <c r="Q1330" s="1" t="s">
        <v>42</v>
      </c>
      <c r="R1330" s="1" t="s">
        <v>56</v>
      </c>
      <c r="S1330" s="1" t="n">
        <v>4210216</v>
      </c>
      <c r="T1330" s="1" t="s">
        <v>444</v>
      </c>
      <c r="U1330" s="1" t="n">
        <v>420</v>
      </c>
      <c r="W1330" s="1" t="n">
        <v>0</v>
      </c>
      <c r="X1330" s="1" t="s">
        <v>862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46223</v>
      </c>
      <c r="C1331" s="22" t="n">
        <v>46264</v>
      </c>
      <c r="D1331" s="1" t="n">
        <v>607</v>
      </c>
      <c r="E1331" s="1" t="s">
        <v>254</v>
      </c>
      <c r="F1331" s="1" t="n">
        <v>24</v>
      </c>
      <c r="G1331" s="1" t="s">
        <v>77</v>
      </c>
      <c r="H1331" s="1" t="n">
        <v>1110203</v>
      </c>
      <c r="I1331" s="1" t="s">
        <v>108</v>
      </c>
      <c r="J1331" s="1" t="n">
        <v>1424650</v>
      </c>
      <c r="L1331" s="1" t="n">
        <v>190911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446.28</v>
      </c>
      <c r="W1331" s="1" t="n">
        <v>0</v>
      </c>
      <c r="X1331" s="1" t="s">
        <v>1065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46255</v>
      </c>
      <c r="C1332" s="22" t="n">
        <v>46264</v>
      </c>
      <c r="D1332" s="1" t="n">
        <v>1723</v>
      </c>
      <c r="E1332" s="1" t="s">
        <v>332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1581816</v>
      </c>
      <c r="L1332" s="1" t="n">
        <v>216453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3809.5</v>
      </c>
      <c r="W1332" s="1" t="n">
        <v>0</v>
      </c>
      <c r="X1332" s="1" t="s">
        <v>1242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46258</v>
      </c>
      <c r="C1333" s="22" t="n">
        <v>46264</v>
      </c>
      <c r="D1333" s="1" t="n">
        <v>1628</v>
      </c>
      <c r="E1333" s="1" t="s">
        <v>216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1594346</v>
      </c>
      <c r="L1333" s="1" t="n">
        <v>218071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618.65</v>
      </c>
      <c r="W1333" s="1" t="n">
        <v>0</v>
      </c>
      <c r="X1333" s="1" t="s">
        <v>1243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46239</v>
      </c>
      <c r="C1334" s="22" t="n">
        <v>46265</v>
      </c>
      <c r="D1334" s="1" t="n">
        <v>1637</v>
      </c>
      <c r="E1334" s="1" t="s">
        <v>764</v>
      </c>
      <c r="F1334" s="1" t="n">
        <v>24</v>
      </c>
      <c r="G1334" s="1" t="s">
        <v>77</v>
      </c>
      <c r="H1334" s="1" t="n">
        <v>1110203</v>
      </c>
      <c r="I1334" s="1" t="s">
        <v>108</v>
      </c>
      <c r="J1334" s="1" t="n">
        <v>1503906</v>
      </c>
      <c r="L1334" s="1" t="n">
        <v>204194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1220.6</v>
      </c>
      <c r="W1334" s="1" t="n">
        <v>0</v>
      </c>
      <c r="X1334" s="1" t="s">
        <v>1244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46251</v>
      </c>
      <c r="C1335" s="22" t="n">
        <v>46265</v>
      </c>
      <c r="D1335" s="1" t="n">
        <v>1683</v>
      </c>
      <c r="E1335" s="1" t="s">
        <v>369</v>
      </c>
      <c r="F1335" s="1" t="n">
        <v>34</v>
      </c>
      <c r="G1335" s="1" t="s">
        <v>97</v>
      </c>
      <c r="H1335" s="1" t="n">
        <v>2110405</v>
      </c>
      <c r="I1335" s="1" t="s">
        <v>41</v>
      </c>
      <c r="J1335" s="1" t="n">
        <v>1560849</v>
      </c>
      <c r="L1335" s="1" t="n">
        <v>212901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97.5</v>
      </c>
      <c r="W1335" s="1" t="n">
        <v>0</v>
      </c>
      <c r="X1335" s="1" t="s">
        <v>371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46252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1566494</v>
      </c>
      <c r="L1336" s="1" t="n">
        <v>213829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151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46252</v>
      </c>
      <c r="C1337" s="22" t="n">
        <v>46265</v>
      </c>
      <c r="D1337" s="1" t="n">
        <v>1675</v>
      </c>
      <c r="E1337" s="1" t="s">
        <v>263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1566792</v>
      </c>
      <c r="L1337" s="1" t="n">
        <v>213876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470.34</v>
      </c>
      <c r="W1337" s="1" t="n">
        <v>0</v>
      </c>
      <c r="X1337" s="1" t="s">
        <v>1245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46253</v>
      </c>
      <c r="C1338" s="22" t="n">
        <v>46265</v>
      </c>
      <c r="D1338" s="1" t="n">
        <v>1616</v>
      </c>
      <c r="E1338" s="1" t="s">
        <v>80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1570894</v>
      </c>
      <c r="L1338" s="1" t="n">
        <v>214483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431.3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46253</v>
      </c>
      <c r="C1339" s="22" t="n">
        <v>46265</v>
      </c>
      <c r="D1339" s="1" t="n">
        <v>1616</v>
      </c>
      <c r="E1339" s="1" t="s">
        <v>80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1570971</v>
      </c>
      <c r="L1339" s="1" t="n">
        <v>214491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606.55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46254</v>
      </c>
      <c r="C1340" s="22" t="n">
        <v>46265</v>
      </c>
      <c r="D1340" s="1" t="n">
        <v>1683</v>
      </c>
      <c r="E1340" s="1" t="s">
        <v>369</v>
      </c>
      <c r="F1340" s="1" t="n">
        <v>34</v>
      </c>
      <c r="G1340" s="1" t="s">
        <v>97</v>
      </c>
      <c r="H1340" s="1" t="n">
        <v>2110405</v>
      </c>
      <c r="I1340" s="1" t="s">
        <v>41</v>
      </c>
      <c r="J1340" s="1" t="n">
        <v>1576184</v>
      </c>
      <c r="L1340" s="1" t="n">
        <v>215382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156</v>
      </c>
      <c r="W1340" s="1" t="n">
        <v>0</v>
      </c>
      <c r="X1340" s="1" t="s">
        <v>371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46255</v>
      </c>
      <c r="C1341" s="22" t="n">
        <v>46265</v>
      </c>
      <c r="D1341" s="1" t="n">
        <v>1683</v>
      </c>
      <c r="E1341" s="1" t="s">
        <v>369</v>
      </c>
      <c r="F1341" s="1" t="n">
        <v>34</v>
      </c>
      <c r="G1341" s="1" t="s">
        <v>97</v>
      </c>
      <c r="H1341" s="1" t="n">
        <v>2110405</v>
      </c>
      <c r="I1341" s="1" t="s">
        <v>41</v>
      </c>
      <c r="J1341" s="1" t="n">
        <v>1582006</v>
      </c>
      <c r="L1341" s="1" t="n">
        <v>216486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100.5</v>
      </c>
      <c r="W1341" s="1" t="n">
        <v>0</v>
      </c>
      <c r="X1341" s="1" t="s">
        <v>371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46258</v>
      </c>
      <c r="C1342" s="22" t="n">
        <v>46265</v>
      </c>
      <c r="D1342" s="1" t="n">
        <v>1683</v>
      </c>
      <c r="E1342" s="1" t="s">
        <v>369</v>
      </c>
      <c r="F1342" s="1" t="n">
        <v>34</v>
      </c>
      <c r="G1342" s="1" t="s">
        <v>97</v>
      </c>
      <c r="H1342" s="1" t="n">
        <v>2110405</v>
      </c>
      <c r="I1342" s="1" t="s">
        <v>41</v>
      </c>
      <c r="J1342" s="1" t="n">
        <v>1594276</v>
      </c>
      <c r="L1342" s="1" t="n">
        <v>218060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140</v>
      </c>
      <c r="W1342" s="1" t="n">
        <v>0</v>
      </c>
      <c r="X1342" s="1" t="s">
        <v>371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46258</v>
      </c>
      <c r="C1343" s="22" t="n">
        <v>46265</v>
      </c>
      <c r="D1343" s="1" t="n">
        <v>1123</v>
      </c>
      <c r="E1343" s="1" t="s">
        <v>388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1595743</v>
      </c>
      <c r="L1343" s="1" t="n">
        <v>218365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48</v>
      </c>
      <c r="S1343" s="1" t="n">
        <v>1130101</v>
      </c>
      <c r="T1343" s="1" t="s">
        <v>49</v>
      </c>
      <c r="U1343" s="1" t="n">
        <v>460</v>
      </c>
      <c r="W1343" s="1" t="n">
        <v>0</v>
      </c>
      <c r="X1343" s="1" t="s">
        <v>1248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45992</v>
      </c>
      <c r="C1344" s="22" t="n">
        <v>46266</v>
      </c>
      <c r="D1344" s="1" t="n">
        <v>983</v>
      </c>
      <c r="E1344" s="1" t="s">
        <v>31</v>
      </c>
      <c r="F1344" s="1" t="n">
        <v>47</v>
      </c>
      <c r="G1344" s="1" t="s">
        <v>32</v>
      </c>
      <c r="H1344" s="1" t="n">
        <v>2110101</v>
      </c>
      <c r="I1344" s="1" t="s">
        <v>33</v>
      </c>
      <c r="J1344" s="1" t="n">
        <v>361903</v>
      </c>
      <c r="L1344" s="1" t="n">
        <v>47174</v>
      </c>
      <c r="M1344" s="1" t="s">
        <v>1249</v>
      </c>
      <c r="N1344" s="1" t="s">
        <v>35</v>
      </c>
      <c r="P1344" s="1" t="n">
        <v>113</v>
      </c>
      <c r="Q1344" s="1" t="s">
        <v>36</v>
      </c>
      <c r="R1344" s="1" t="s">
        <v>37</v>
      </c>
      <c r="S1344" s="1" t="n">
        <v>1240103</v>
      </c>
      <c r="T1344" s="1" t="s">
        <v>38</v>
      </c>
      <c r="U1344" s="1" t="n">
        <v>1898</v>
      </c>
      <c r="W1344" s="1" t="n">
        <v>0</v>
      </c>
      <c r="X1344" s="1" t="s">
        <v>1250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46055</v>
      </c>
      <c r="C1345" s="22" t="n">
        <v>46266</v>
      </c>
      <c r="D1345" s="1" t="n">
        <v>10039</v>
      </c>
      <c r="E1345" s="1" t="s">
        <v>70</v>
      </c>
      <c r="F1345" s="1" t="n">
        <v>47</v>
      </c>
      <c r="G1345" s="1" t="s">
        <v>32</v>
      </c>
      <c r="H1345" s="1" t="n">
        <v>2110405</v>
      </c>
      <c r="I1345" s="1" t="s">
        <v>41</v>
      </c>
      <c r="J1345" s="1" t="n">
        <v>846832</v>
      </c>
      <c r="L1345" s="1" t="n">
        <v>111506</v>
      </c>
      <c r="M1345" s="1" t="s">
        <v>34</v>
      </c>
      <c r="N1345" s="1" t="s">
        <v>35</v>
      </c>
      <c r="P1345" s="1" t="n">
        <v>113</v>
      </c>
      <c r="Q1345" s="1" t="s">
        <v>36</v>
      </c>
      <c r="R1345" s="1" t="s">
        <v>56</v>
      </c>
      <c r="S1345" s="1" t="n">
        <v>4210227</v>
      </c>
      <c r="T1345" s="1" t="s">
        <v>63</v>
      </c>
      <c r="U1345" s="1" t="n">
        <v>378.82</v>
      </c>
      <c r="W1345" s="1" t="n">
        <v>0</v>
      </c>
      <c r="X1345" s="1" t="s">
        <v>1251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46196</v>
      </c>
      <c r="C1346" s="22" t="n">
        <v>46266</v>
      </c>
      <c r="D1346" s="1" t="n">
        <v>875</v>
      </c>
      <c r="E1346" s="1" t="s">
        <v>73</v>
      </c>
      <c r="F1346" s="1" t="n">
        <v>47</v>
      </c>
      <c r="G1346" s="1" t="s">
        <v>32</v>
      </c>
      <c r="H1346" s="1" t="n">
        <v>2110101</v>
      </c>
      <c r="I1346" s="1" t="s">
        <v>33</v>
      </c>
      <c r="J1346" s="1" t="n">
        <v>1295066</v>
      </c>
      <c r="L1346" s="1" t="n">
        <v>173322</v>
      </c>
      <c r="M1346" s="1" t="s">
        <v>62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1290.16</v>
      </c>
      <c r="W1346" s="1" t="n">
        <v>0</v>
      </c>
      <c r="X1346" s="1" t="s">
        <v>1252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46226</v>
      </c>
      <c r="C1347" s="22" t="n">
        <v>46266</v>
      </c>
      <c r="D1347" s="1" t="n">
        <v>957</v>
      </c>
      <c r="E1347" s="1" t="s">
        <v>554</v>
      </c>
      <c r="F1347" s="1" t="n">
        <v>24</v>
      </c>
      <c r="G1347" s="1" t="s">
        <v>77</v>
      </c>
      <c r="H1347" s="1" t="n">
        <v>1110203</v>
      </c>
      <c r="I1347" s="1" t="s">
        <v>108</v>
      </c>
      <c r="J1347" s="1" t="n">
        <v>1438932</v>
      </c>
      <c r="L1347" s="1" t="n">
        <v>194431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1501.38</v>
      </c>
      <c r="W1347" s="1" t="n">
        <v>0</v>
      </c>
      <c r="X1347" s="1" t="s">
        <v>1097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46226</v>
      </c>
      <c r="C1348" s="22" t="n">
        <v>46266</v>
      </c>
      <c r="D1348" s="1" t="n">
        <v>10011</v>
      </c>
      <c r="E1348" s="1" t="s">
        <v>292</v>
      </c>
      <c r="F1348" s="1" t="n">
        <v>24</v>
      </c>
      <c r="G1348" s="1" t="s">
        <v>77</v>
      </c>
      <c r="H1348" s="1" t="n">
        <v>1110203</v>
      </c>
      <c r="I1348" s="1" t="s">
        <v>108</v>
      </c>
      <c r="J1348" s="1" t="n">
        <v>1438962</v>
      </c>
      <c r="L1348" s="1" t="n">
        <v>194443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591.07</v>
      </c>
      <c r="W1348" s="1" t="n">
        <v>0</v>
      </c>
      <c r="X1348" s="1" t="s">
        <v>1098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46245</v>
      </c>
      <c r="C1349" s="22" t="n">
        <v>46266</v>
      </c>
      <c r="D1349" s="1" t="n">
        <v>1259</v>
      </c>
      <c r="E1349" s="1" t="s">
        <v>1253</v>
      </c>
      <c r="F1349" s="1" t="n">
        <v>47</v>
      </c>
      <c r="G1349" s="1" t="s">
        <v>32</v>
      </c>
      <c r="H1349" s="1" t="n">
        <v>2110405</v>
      </c>
      <c r="I1349" s="1" t="s">
        <v>41</v>
      </c>
      <c r="J1349" s="1" t="n">
        <v>1532317</v>
      </c>
      <c r="L1349" s="1" t="n">
        <v>208731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56</v>
      </c>
      <c r="S1349" s="1" t="n">
        <v>4210209</v>
      </c>
      <c r="T1349" s="1" t="s">
        <v>605</v>
      </c>
      <c r="U1349" s="1" t="n">
        <v>200</v>
      </c>
      <c r="W1349" s="1" t="n">
        <v>0</v>
      </c>
      <c r="X1349" s="1" t="s">
        <v>1254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46246</v>
      </c>
      <c r="C1350" s="22" t="n">
        <v>46266</v>
      </c>
      <c r="D1350" s="1" t="n">
        <v>875</v>
      </c>
      <c r="E1350" s="1" t="s">
        <v>73</v>
      </c>
      <c r="F1350" s="1" t="n">
        <v>47</v>
      </c>
      <c r="G1350" s="1" t="s">
        <v>32</v>
      </c>
      <c r="H1350" s="1" t="n">
        <v>2110405</v>
      </c>
      <c r="I1350" s="1" t="s">
        <v>41</v>
      </c>
      <c r="J1350" s="1" t="n">
        <v>1534947</v>
      </c>
      <c r="L1350" s="1" t="n">
        <v>209452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638.75</v>
      </c>
      <c r="W1350" s="1" t="n">
        <v>0</v>
      </c>
      <c r="X1350" s="1" t="s">
        <v>1255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46251</v>
      </c>
      <c r="C1351" s="22" t="n">
        <v>46266</v>
      </c>
      <c r="D1351" s="1" t="n">
        <v>10017</v>
      </c>
      <c r="E1351" s="1" t="s">
        <v>168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1561240</v>
      </c>
      <c r="L1351" s="1" t="n">
        <v>212990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599.85</v>
      </c>
      <c r="W1351" s="1" t="n">
        <v>0</v>
      </c>
      <c r="X1351" s="1" t="s">
        <v>1256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46252</v>
      </c>
      <c r="C1352" s="22" t="n">
        <v>46266</v>
      </c>
      <c r="D1352" s="1" t="n">
        <v>1697</v>
      </c>
      <c r="E1352" s="1" t="s">
        <v>684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1566723</v>
      </c>
      <c r="L1352" s="1" t="n">
        <v>213866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584.64</v>
      </c>
      <c r="W1352" s="1" t="n">
        <v>0</v>
      </c>
      <c r="X1352" s="1" t="s">
        <v>1257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46266</v>
      </c>
      <c r="D1353" s="1" t="n">
        <v>1705</v>
      </c>
      <c r="E1353" s="1" t="s">
        <v>119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1567586</v>
      </c>
      <c r="L1353" s="1" t="n">
        <v>214037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2351.65</v>
      </c>
      <c r="W1353" s="1" t="n">
        <v>0</v>
      </c>
      <c r="X1353" s="1" t="s">
        <v>1258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46252</v>
      </c>
      <c r="C1354" s="22" t="n">
        <v>46266</v>
      </c>
      <c r="D1354" s="1" t="n">
        <v>1711</v>
      </c>
      <c r="E1354" s="1" t="s">
        <v>1259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1568088</v>
      </c>
      <c r="L1354" s="1" t="n">
        <v>214108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645.72</v>
      </c>
      <c r="W1354" s="1" t="n">
        <v>0</v>
      </c>
      <c r="X1354" s="1" t="s">
        <v>1260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46253</v>
      </c>
      <c r="C1355" s="22" t="n">
        <v>46266</v>
      </c>
      <c r="D1355" s="1" t="n">
        <v>1635</v>
      </c>
      <c r="E1355" s="1" t="s">
        <v>117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1570872</v>
      </c>
      <c r="L1355" s="1" t="n">
        <v>214482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1276.2</v>
      </c>
      <c r="W1355" s="1" t="n">
        <v>0</v>
      </c>
      <c r="X1355" s="1" t="s">
        <v>1261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46253</v>
      </c>
      <c r="C1356" s="22" t="n">
        <v>46266</v>
      </c>
      <c r="D1356" s="1" t="n">
        <v>1708</v>
      </c>
      <c r="E1356" s="1" t="s">
        <v>245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1572967</v>
      </c>
      <c r="L1356" s="1" t="n">
        <v>214926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548.18</v>
      </c>
      <c r="W1356" s="1" t="n">
        <v>0</v>
      </c>
      <c r="X1356" s="1" t="s">
        <v>1262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46254</v>
      </c>
      <c r="C1357" s="22" t="n">
        <v>46266</v>
      </c>
      <c r="D1357" s="1" t="n">
        <v>967</v>
      </c>
      <c r="E1357" s="1" t="s">
        <v>1263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1576159</v>
      </c>
      <c r="L1357" s="1" t="n">
        <v>215377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421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46247</v>
      </c>
      <c r="C1358" s="22" t="n">
        <v>46266</v>
      </c>
      <c r="D1358" s="1" t="n">
        <v>1974</v>
      </c>
      <c r="E1358" s="1" t="s">
        <v>604</v>
      </c>
      <c r="F1358" s="1" t="n">
        <v>47</v>
      </c>
      <c r="G1358" s="1" t="s">
        <v>32</v>
      </c>
      <c r="H1358" s="1" t="n">
        <v>2110405</v>
      </c>
      <c r="I1358" s="1" t="s">
        <v>41</v>
      </c>
      <c r="J1358" s="1" t="n">
        <v>1577528</v>
      </c>
      <c r="L1358" s="1" t="n">
        <v>215681</v>
      </c>
      <c r="M1358" s="1" t="s">
        <v>83</v>
      </c>
      <c r="N1358" s="1" t="s">
        <v>35</v>
      </c>
      <c r="P1358" s="1" t="n">
        <v>101</v>
      </c>
      <c r="Q1358" s="1" t="s">
        <v>42</v>
      </c>
      <c r="R1358" s="1" t="s">
        <v>56</v>
      </c>
      <c r="S1358" s="1" t="n">
        <v>4210209</v>
      </c>
      <c r="T1358" s="1" t="s">
        <v>605</v>
      </c>
      <c r="U1358" s="1" t="n">
        <v>489.15</v>
      </c>
      <c r="W1358" s="1" t="n">
        <v>0</v>
      </c>
      <c r="X1358" s="1" t="s">
        <v>1265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46252</v>
      </c>
      <c r="C1359" s="22" t="n">
        <v>46267</v>
      </c>
      <c r="D1359" s="1" t="n">
        <v>1612</v>
      </c>
      <c r="E1359" s="1" t="s">
        <v>76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1567416</v>
      </c>
      <c r="L1359" s="1" t="n">
        <v>214022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1154.64</v>
      </c>
      <c r="W1359" s="1" t="n">
        <v>0</v>
      </c>
      <c r="X1359" s="1" t="s">
        <v>1266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46246</v>
      </c>
      <c r="C1360" s="22" t="n">
        <v>46267</v>
      </c>
      <c r="D1360" s="1" t="n">
        <v>1608</v>
      </c>
      <c r="E1360" s="1" t="s">
        <v>201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1534795</v>
      </c>
      <c r="L1360" s="1" t="n">
        <v>209428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1279.58</v>
      </c>
      <c r="W1360" s="1" t="n">
        <v>0</v>
      </c>
      <c r="X1360" s="1" t="s">
        <v>1217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46246</v>
      </c>
      <c r="C1361" s="11" t="n">
        <v>46267</v>
      </c>
      <c r="D1361" s="10" t="n">
        <v>1634</v>
      </c>
      <c r="E1361" s="12" t="s">
        <v>261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1535495</v>
      </c>
      <c r="L1361" s="10" t="n">
        <v>209569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700.7</v>
      </c>
      <c r="W1361" s="13" t="n">
        <v>0</v>
      </c>
      <c r="X1361" s="12" t="s">
        <v>1218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46246</v>
      </c>
      <c r="C1362" s="11" t="n">
        <v>46267</v>
      </c>
      <c r="D1362" s="10" t="n">
        <v>10010</v>
      </c>
      <c r="E1362" s="12" t="s">
        <v>728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1537384</v>
      </c>
      <c r="L1362" s="10" t="n">
        <v>209767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205.44</v>
      </c>
      <c r="W1362" s="13" t="n">
        <v>0</v>
      </c>
      <c r="X1362" s="12" t="s">
        <v>1267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46247</v>
      </c>
      <c r="C1363" s="11" t="n">
        <v>46267</v>
      </c>
      <c r="D1363" s="10" t="n">
        <v>1624</v>
      </c>
      <c r="E1363" s="12" t="s">
        <v>300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1543912</v>
      </c>
      <c r="L1363" s="10" t="n">
        <v>210532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830.14</v>
      </c>
      <c r="W1363" s="13" t="n">
        <v>0</v>
      </c>
      <c r="X1363" s="12" t="s">
        <v>1268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46248</v>
      </c>
      <c r="C1364" s="11" t="n">
        <v>46267</v>
      </c>
      <c r="D1364" s="10" t="n">
        <v>1613</v>
      </c>
      <c r="E1364" s="12" t="s">
        <v>94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1547487</v>
      </c>
      <c r="L1364" s="10" t="n">
        <v>211364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1164.76</v>
      </c>
      <c r="W1364" s="13" t="n">
        <v>0</v>
      </c>
      <c r="X1364" s="12" t="s">
        <v>1221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46241</v>
      </c>
      <c r="C1365" s="11" t="n">
        <v>46268</v>
      </c>
      <c r="D1365" s="10" t="n">
        <v>794</v>
      </c>
      <c r="E1365" s="12" t="s">
        <v>305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1514442</v>
      </c>
      <c r="L1365" s="10" t="n">
        <v>206014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56</v>
      </c>
      <c r="S1365" s="10" t="n">
        <v>4210299</v>
      </c>
      <c r="T1365" s="12" t="s">
        <v>115</v>
      </c>
      <c r="U1365" s="13" t="n">
        <v>520.46</v>
      </c>
      <c r="W1365" s="13" t="n">
        <v>0</v>
      </c>
      <c r="X1365" s="12" t="s">
        <v>1167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46241</v>
      </c>
      <c r="C1366" s="11" t="n">
        <v>46268</v>
      </c>
      <c r="D1366" s="10" t="n">
        <v>1705</v>
      </c>
      <c r="E1366" s="12" t="s">
        <v>119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1514117</v>
      </c>
      <c r="L1366" s="10" t="n">
        <v>205956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77.62</v>
      </c>
      <c r="W1366" s="13" t="n">
        <v>0</v>
      </c>
      <c r="X1366" s="12" t="s">
        <v>1269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46247</v>
      </c>
      <c r="C1367" s="11" t="n">
        <v>46268</v>
      </c>
      <c r="D1367" s="10" t="n">
        <v>1608</v>
      </c>
      <c r="E1367" s="12" t="s">
        <v>201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1540762</v>
      </c>
      <c r="L1367" s="10" t="n">
        <v>210179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692.26</v>
      </c>
      <c r="W1367" s="13" t="n">
        <v>0</v>
      </c>
      <c r="X1367" s="12" t="s">
        <v>1225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46247</v>
      </c>
      <c r="C1368" s="11" t="n">
        <v>46268</v>
      </c>
      <c r="D1368" s="10" t="n">
        <v>1667</v>
      </c>
      <c r="E1368" s="12" t="s">
        <v>82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1540925</v>
      </c>
      <c r="L1368" s="10" t="n">
        <v>210243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668.78</v>
      </c>
      <c r="W1368" s="13" t="n">
        <v>0</v>
      </c>
      <c r="X1368" s="12" t="s">
        <v>1226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46248</v>
      </c>
      <c r="C1369" s="11" t="n">
        <v>46268</v>
      </c>
      <c r="D1369" s="10" t="n">
        <v>1720</v>
      </c>
      <c r="E1369" s="12" t="s">
        <v>743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1545774</v>
      </c>
      <c r="L1369" s="10" t="n">
        <v>211087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1130.5</v>
      </c>
      <c r="W1369" s="13" t="n">
        <v>0</v>
      </c>
      <c r="X1369" s="12" t="s">
        <v>1270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46251</v>
      </c>
      <c r="C1370" s="11" t="n">
        <v>46268</v>
      </c>
      <c r="D1370" s="10" t="n">
        <v>1657</v>
      </c>
      <c r="E1370" s="12" t="s">
        <v>1271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1562800</v>
      </c>
      <c r="L1370" s="10" t="n">
        <v>213295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1120.76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46252</v>
      </c>
      <c r="C1371" s="11" t="n">
        <v>46268</v>
      </c>
      <c r="D1371" s="10" t="n">
        <v>1671</v>
      </c>
      <c r="E1371" s="12" t="s">
        <v>88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1567131</v>
      </c>
      <c r="L1371" s="10" t="n">
        <v>213983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793.81</v>
      </c>
      <c r="W1371" s="13" t="n">
        <v>0</v>
      </c>
      <c r="X1371" s="12" t="s">
        <v>1231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46255</v>
      </c>
      <c r="C1372" s="11" t="n">
        <v>46268</v>
      </c>
      <c r="D1372" s="10" t="n">
        <v>1681</v>
      </c>
      <c r="E1372" s="12" t="s">
        <v>1273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1581162</v>
      </c>
      <c r="L1372" s="10" t="n">
        <v>216304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2055.66</v>
      </c>
      <c r="W1372" s="13" t="n">
        <v>0</v>
      </c>
      <c r="X1372" s="12" t="s">
        <v>1274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46268</v>
      </c>
      <c r="D1373" s="10" t="n">
        <v>1745</v>
      </c>
      <c r="E1373" s="12" t="s">
        <v>154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1585070</v>
      </c>
      <c r="L1373" s="10" t="n">
        <v>216839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182.8</v>
      </c>
      <c r="W1373" s="13" t="n">
        <v>0</v>
      </c>
      <c r="X1373" s="12" t="s">
        <v>1275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46209</v>
      </c>
      <c r="C1374" s="11" t="n">
        <v>46269</v>
      </c>
      <c r="D1374" s="10" t="n">
        <v>1768</v>
      </c>
      <c r="E1374" s="12" t="s">
        <v>345</v>
      </c>
      <c r="F1374" s="10" t="n">
        <v>34</v>
      </c>
      <c r="G1374" s="12" t="s">
        <v>97</v>
      </c>
      <c r="H1374" s="10" t="n">
        <v>1110202</v>
      </c>
      <c r="I1374" s="12" t="s">
        <v>346</v>
      </c>
      <c r="J1374" s="10" t="n">
        <v>628286</v>
      </c>
      <c r="L1374" s="10" t="n">
        <v>81552</v>
      </c>
      <c r="M1374" s="12" t="s">
        <v>34</v>
      </c>
      <c r="N1374" s="12" t="s">
        <v>35</v>
      </c>
      <c r="P1374" s="10" t="n">
        <v>102</v>
      </c>
      <c r="Q1374" s="12" t="s">
        <v>282</v>
      </c>
      <c r="R1374" s="12" t="s">
        <v>56</v>
      </c>
      <c r="S1374" s="10" t="n">
        <v>4210202</v>
      </c>
      <c r="T1374" s="12" t="s">
        <v>347</v>
      </c>
      <c r="U1374" s="13" t="n">
        <v>2431.5</v>
      </c>
      <c r="W1374" s="13" t="n">
        <v>0</v>
      </c>
      <c r="X1374" s="12" t="s">
        <v>348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46238</v>
      </c>
      <c r="C1375" s="11" t="n">
        <v>46269</v>
      </c>
      <c r="D1375" s="10" t="n">
        <v>862</v>
      </c>
      <c r="E1375" s="12" t="s">
        <v>284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1498421</v>
      </c>
      <c r="L1375" s="10" t="n">
        <v>202608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4210233</v>
      </c>
      <c r="T1375" s="12" t="s">
        <v>186</v>
      </c>
      <c r="U1375" s="13" t="n">
        <v>270.9</v>
      </c>
      <c r="W1375" s="13" t="n">
        <v>0</v>
      </c>
      <c r="X1375" s="12"/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46247</v>
      </c>
      <c r="C1376" s="11" t="n">
        <v>46269</v>
      </c>
      <c r="D1376" s="10" t="n">
        <v>1136</v>
      </c>
      <c r="E1376" s="12" t="s">
        <v>1011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1543200</v>
      </c>
      <c r="L1376" s="10" t="n">
        <v>210474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1393.49</v>
      </c>
      <c r="W1376" s="13" t="n">
        <v>0</v>
      </c>
      <c r="X1376" s="12" t="s">
        <v>1276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46249</v>
      </c>
      <c r="C1377" s="11" t="n">
        <v>46269</v>
      </c>
      <c r="D1377" s="10" t="n">
        <v>1636</v>
      </c>
      <c r="E1377" s="12" t="s">
        <v>85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1551860</v>
      </c>
      <c r="L1377" s="10" t="n">
        <v>211776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748.32</v>
      </c>
      <c r="W1377" s="13" t="n">
        <v>0</v>
      </c>
      <c r="X1377" s="12" t="s">
        <v>1277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46252</v>
      </c>
      <c r="C1378" s="11" t="n">
        <v>46269</v>
      </c>
      <c r="D1378" s="10" t="n">
        <v>1699</v>
      </c>
      <c r="E1378" s="12" t="s">
        <v>208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1568210</v>
      </c>
      <c r="L1378" s="10" t="n">
        <v>214139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474.75</v>
      </c>
      <c r="W1378" s="13" t="n">
        <v>0</v>
      </c>
      <c r="X1378" s="12" t="s">
        <v>1236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46256</v>
      </c>
      <c r="C1379" s="11" t="n">
        <v>46269</v>
      </c>
      <c r="D1379" s="10" t="n">
        <v>1666</v>
      </c>
      <c r="E1379" s="12" t="s">
        <v>206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1585299</v>
      </c>
      <c r="L1379" s="10" t="n">
        <v>216889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5720.74</v>
      </c>
      <c r="W1379" s="13" t="n">
        <v>0</v>
      </c>
      <c r="X1379" s="12" t="s">
        <v>1239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46244</v>
      </c>
      <c r="C1380" s="11" t="n">
        <v>46270</v>
      </c>
      <c r="D1380" s="10" t="n">
        <v>33</v>
      </c>
      <c r="E1380" s="12" t="s">
        <v>272</v>
      </c>
      <c r="F1380" s="10" t="n">
        <v>34</v>
      </c>
      <c r="G1380" s="12" t="s">
        <v>97</v>
      </c>
      <c r="H1380" s="10" t="n">
        <v>2110405</v>
      </c>
      <c r="I1380" s="12" t="s">
        <v>41</v>
      </c>
      <c r="J1380" s="10" t="n">
        <v>1530158</v>
      </c>
      <c r="L1380" s="10" t="n">
        <v>208205</v>
      </c>
      <c r="M1380" s="12" t="s">
        <v>83</v>
      </c>
      <c r="N1380" s="12" t="s">
        <v>35</v>
      </c>
      <c r="P1380" s="10" t="n">
        <v>101</v>
      </c>
      <c r="Q1380" s="12" t="s">
        <v>42</v>
      </c>
      <c r="R1380" s="12" t="s">
        <v>100</v>
      </c>
      <c r="S1380" s="10" t="n">
        <v>4210301</v>
      </c>
      <c r="T1380" s="12" t="s">
        <v>230</v>
      </c>
      <c r="U1380" s="13" t="n">
        <v>250.1</v>
      </c>
      <c r="W1380" s="13" t="n">
        <v>0</v>
      </c>
      <c r="X1380" s="12" t="s">
        <v>1278</v>
      </c>
      <c r="Z1380" s="1" t="str">
        <f aca="false">IF($T1380="","",IFERROR(INDEX('Resumo Grupos'!$AC$3:$AC$200,MATCH($T1380,'Resumo Grupos'!$AB$3:$AB$200,0)),"n/d"))</f>
        <v>Salários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46270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1547755</v>
      </c>
      <c r="L1381" s="10" t="n">
        <v>211394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706.56</v>
      </c>
      <c r="W1381" s="13" t="n">
        <v>0</v>
      </c>
      <c r="X1381" s="12" t="s">
        <v>1240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46270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1551498</v>
      </c>
      <c r="L1382" s="10" t="n">
        <v>211718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1422.67</v>
      </c>
      <c r="W1382" s="13" t="n">
        <v>0</v>
      </c>
      <c r="X1382" s="12" t="s">
        <v>1241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46232</v>
      </c>
      <c r="C1383" s="11" t="n">
        <v>46272</v>
      </c>
      <c r="D1383" s="10" t="n">
        <v>1932</v>
      </c>
      <c r="E1383" s="12" t="s">
        <v>256</v>
      </c>
      <c r="F1383" s="10" t="n">
        <v>34</v>
      </c>
      <c r="G1383" s="12" t="s">
        <v>97</v>
      </c>
      <c r="H1383" s="10" t="n">
        <v>2110405</v>
      </c>
      <c r="I1383" s="12" t="s">
        <v>41</v>
      </c>
      <c r="J1383" s="10" t="n">
        <v>1469462</v>
      </c>
      <c r="L1383" s="10" t="n">
        <v>199057</v>
      </c>
      <c r="M1383" s="12" t="s">
        <v>74</v>
      </c>
      <c r="N1383" s="12" t="s">
        <v>35</v>
      </c>
      <c r="P1383" s="10" t="n">
        <v>101</v>
      </c>
      <c r="Q1383" s="12" t="s">
        <v>42</v>
      </c>
      <c r="R1383" s="12" t="s">
        <v>100</v>
      </c>
      <c r="S1383" s="10" t="n">
        <v>4210315</v>
      </c>
      <c r="T1383" s="12" t="s">
        <v>257</v>
      </c>
      <c r="U1383" s="13" t="n">
        <v>119.97</v>
      </c>
      <c r="W1383" s="13" t="n">
        <v>0</v>
      </c>
      <c r="X1383" s="12" t="s">
        <v>1043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46246</v>
      </c>
      <c r="C1384" s="11" t="n">
        <v>46272</v>
      </c>
      <c r="D1384" s="10" t="n">
        <v>1668</v>
      </c>
      <c r="E1384" s="12" t="s">
        <v>123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1534508</v>
      </c>
      <c r="L1384" s="10" t="n">
        <v>209393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509.85</v>
      </c>
      <c r="W1384" s="13" t="n">
        <v>0</v>
      </c>
      <c r="X1384" s="12" t="s">
        <v>1279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46247</v>
      </c>
      <c r="C1385" s="11" t="n">
        <v>46272</v>
      </c>
      <c r="D1385" s="10" t="n">
        <v>1671</v>
      </c>
      <c r="E1385" s="12" t="s">
        <v>88</v>
      </c>
      <c r="F1385" s="10" t="n">
        <v>24</v>
      </c>
      <c r="G1385" s="12" t="s">
        <v>77</v>
      </c>
      <c r="H1385" s="10" t="n">
        <v>2110405</v>
      </c>
      <c r="I1385" s="12" t="s">
        <v>41</v>
      </c>
      <c r="J1385" s="10" t="n">
        <v>1543021</v>
      </c>
      <c r="L1385" s="10" t="n">
        <v>210470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271.2</v>
      </c>
      <c r="W1385" s="13" t="n">
        <v>0</v>
      </c>
      <c r="X1385" s="12" t="s">
        <v>1280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46272</v>
      </c>
      <c r="D1386" s="10" t="n">
        <v>1921</v>
      </c>
      <c r="E1386" s="12" t="s">
        <v>166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1562668</v>
      </c>
      <c r="L1386" s="10" t="n">
        <v>213270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691.91</v>
      </c>
      <c r="W1386" s="13" t="n">
        <v>0</v>
      </c>
      <c r="X1386" s="12" t="s">
        <v>1281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46251</v>
      </c>
      <c r="C1387" s="11" t="n">
        <v>46272</v>
      </c>
      <c r="D1387" s="10" t="n">
        <v>1636</v>
      </c>
      <c r="E1387" s="12" t="s">
        <v>85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1562691</v>
      </c>
      <c r="L1387" s="10" t="n">
        <v>213277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1352.12</v>
      </c>
      <c r="W1387" s="13" t="n">
        <v>0</v>
      </c>
      <c r="X1387" s="12" t="s">
        <v>1282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46272</v>
      </c>
      <c r="D1388" s="10" t="n">
        <v>1616</v>
      </c>
      <c r="E1388" s="12" t="s">
        <v>80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1570979</v>
      </c>
      <c r="L1388" s="10" t="n">
        <v>214492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606.56</v>
      </c>
      <c r="W1388" s="13" t="n">
        <v>0</v>
      </c>
      <c r="X1388" s="12" t="s">
        <v>1247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46272</v>
      </c>
      <c r="D1389" s="10" t="n">
        <v>616</v>
      </c>
      <c r="E1389" s="12" t="s">
        <v>818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1572199</v>
      </c>
      <c r="L1389" s="10" t="n">
        <v>214772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983.76</v>
      </c>
      <c r="W1389" s="13" t="n">
        <v>0</v>
      </c>
      <c r="X1389" s="12" t="s">
        <v>1283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46272</v>
      </c>
      <c r="D1390" s="10" t="n">
        <v>10012</v>
      </c>
      <c r="E1390" s="12" t="s">
        <v>160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1577216</v>
      </c>
      <c r="L1390" s="10" t="n">
        <v>215616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521.58</v>
      </c>
      <c r="W1390" s="13" t="n">
        <v>0</v>
      </c>
      <c r="X1390" s="12" t="s">
        <v>1284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46239</v>
      </c>
      <c r="C1391" s="11" t="n">
        <v>46273</v>
      </c>
      <c r="D1391" s="10" t="n">
        <v>1637</v>
      </c>
      <c r="E1391" s="12" t="s">
        <v>764</v>
      </c>
      <c r="F1391" s="10" t="n">
        <v>24</v>
      </c>
      <c r="G1391" s="12" t="s">
        <v>77</v>
      </c>
      <c r="H1391" s="10" t="n">
        <v>1110203</v>
      </c>
      <c r="I1391" s="12" t="s">
        <v>108</v>
      </c>
      <c r="J1391" s="10" t="n">
        <v>1503931</v>
      </c>
      <c r="L1391" s="10" t="n">
        <v>204198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1184.7</v>
      </c>
      <c r="W1391" s="13" t="n">
        <v>0</v>
      </c>
      <c r="X1391" s="12" t="s">
        <v>1285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46251</v>
      </c>
      <c r="C1392" s="11" t="n">
        <v>46273</v>
      </c>
      <c r="D1392" s="10" t="n">
        <v>10017</v>
      </c>
      <c r="E1392" s="12" t="s">
        <v>168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1561245</v>
      </c>
      <c r="L1392" s="10" t="n">
        <v>212996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599.85</v>
      </c>
      <c r="W1392" s="13" t="n">
        <v>0</v>
      </c>
      <c r="X1392" s="12" t="s">
        <v>1256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46273</v>
      </c>
      <c r="D1393" s="10" t="n">
        <v>1697</v>
      </c>
      <c r="E1393" s="12" t="s">
        <v>684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1566729</v>
      </c>
      <c r="L1393" s="10" t="n">
        <v>213867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584.64</v>
      </c>
      <c r="W1393" s="13" t="n">
        <v>0</v>
      </c>
      <c r="X1393" s="12" t="s">
        <v>1257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46273</v>
      </c>
      <c r="D1394" s="10" t="n">
        <v>1711</v>
      </c>
      <c r="E1394" s="12" t="s">
        <v>1259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1568092</v>
      </c>
      <c r="L1394" s="10" t="n">
        <v>214110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645.71</v>
      </c>
      <c r="W1394" s="13" t="n">
        <v>0</v>
      </c>
      <c r="X1394" s="12" t="s">
        <v>1260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46253</v>
      </c>
      <c r="C1395" s="11" t="n">
        <v>46273</v>
      </c>
      <c r="D1395" s="10" t="n">
        <v>1708</v>
      </c>
      <c r="E1395" s="12" t="s">
        <v>245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1572971</v>
      </c>
      <c r="L1395" s="10" t="n">
        <v>214927</v>
      </c>
      <c r="M1395" s="12" t="s">
        <v>83</v>
      </c>
      <c r="N1395" s="12" t="s">
        <v>35</v>
      </c>
      <c r="P1395" s="10" t="n">
        <v>113</v>
      </c>
      <c r="Q1395" s="12" t="s">
        <v>36</v>
      </c>
      <c r="R1395" s="12" t="s">
        <v>48</v>
      </c>
      <c r="S1395" s="10" t="n">
        <v>1130101</v>
      </c>
      <c r="T1395" s="12" t="s">
        <v>49</v>
      </c>
      <c r="U1395" s="13" t="n">
        <v>548.18</v>
      </c>
      <c r="W1395" s="13" t="n">
        <v>0</v>
      </c>
      <c r="X1395" s="12" t="s">
        <v>1262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46254</v>
      </c>
      <c r="C1396" s="11" t="n">
        <v>46273</v>
      </c>
      <c r="D1396" s="10" t="n">
        <v>967</v>
      </c>
      <c r="E1396" s="12" t="s">
        <v>1263</v>
      </c>
      <c r="F1396" s="10" t="n">
        <v>24</v>
      </c>
      <c r="G1396" s="12" t="s">
        <v>77</v>
      </c>
      <c r="H1396" s="10" t="n">
        <v>2110405</v>
      </c>
      <c r="I1396" s="12" t="s">
        <v>41</v>
      </c>
      <c r="J1396" s="10" t="n">
        <v>1576162</v>
      </c>
      <c r="L1396" s="10" t="n">
        <v>215378</v>
      </c>
      <c r="M1396" s="12" t="s">
        <v>83</v>
      </c>
      <c r="N1396" s="12" t="s">
        <v>35</v>
      </c>
      <c r="P1396" s="10" t="n">
        <v>113</v>
      </c>
      <c r="Q1396" s="12" t="s">
        <v>36</v>
      </c>
      <c r="R1396" s="12" t="s">
        <v>48</v>
      </c>
      <c r="S1396" s="10" t="n">
        <v>1130101</v>
      </c>
      <c r="T1396" s="12" t="s">
        <v>49</v>
      </c>
      <c r="U1396" s="13" t="n">
        <v>421</v>
      </c>
      <c r="W1396" s="13" t="n">
        <v>0</v>
      </c>
      <c r="X1396" s="12" t="s">
        <v>1264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46246</v>
      </c>
      <c r="C1397" s="11" t="n">
        <v>46274</v>
      </c>
      <c r="D1397" s="10" t="n">
        <v>1608</v>
      </c>
      <c r="E1397" s="12" t="s">
        <v>201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1534806</v>
      </c>
      <c r="L1397" s="10" t="n">
        <v>209429</v>
      </c>
      <c r="M1397" s="12" t="s">
        <v>83</v>
      </c>
      <c r="N1397" s="12" t="s">
        <v>35</v>
      </c>
      <c r="P1397" s="10" t="n">
        <v>113</v>
      </c>
      <c r="Q1397" s="12" t="s">
        <v>36</v>
      </c>
      <c r="R1397" s="12" t="s">
        <v>48</v>
      </c>
      <c r="S1397" s="10" t="n">
        <v>1130101</v>
      </c>
      <c r="T1397" s="12" t="s">
        <v>49</v>
      </c>
      <c r="U1397" s="13" t="n">
        <v>1279.58</v>
      </c>
      <c r="W1397" s="13" t="n">
        <v>0</v>
      </c>
      <c r="X1397" s="12" t="s">
        <v>1217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46274</v>
      </c>
      <c r="D1398" s="10" t="n">
        <v>1624</v>
      </c>
      <c r="E1398" s="12" t="s">
        <v>300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1543917</v>
      </c>
      <c r="L1398" s="10" t="n">
        <v>210534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830.13</v>
      </c>
      <c r="W1398" s="13" t="n">
        <v>0</v>
      </c>
      <c r="X1398" s="12" t="s">
        <v>1268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46252</v>
      </c>
      <c r="C1399" s="11" t="n">
        <v>46274</v>
      </c>
      <c r="D1399" s="10" t="n">
        <v>1612</v>
      </c>
      <c r="E1399" s="12" t="s">
        <v>76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1567419</v>
      </c>
      <c r="L1399" s="10" t="n">
        <v>214024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1154.65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46191</v>
      </c>
      <c r="C1400" s="11" t="n">
        <v>46275</v>
      </c>
      <c r="D1400" s="10" t="n">
        <v>957</v>
      </c>
      <c r="E1400" s="12" t="s">
        <v>554</v>
      </c>
      <c r="F1400" s="10" t="n">
        <v>24</v>
      </c>
      <c r="G1400" s="12" t="s">
        <v>77</v>
      </c>
      <c r="H1400" s="10" t="n">
        <v>2110101</v>
      </c>
      <c r="I1400" s="12" t="s">
        <v>33</v>
      </c>
      <c r="J1400" s="10" t="n">
        <v>1268715</v>
      </c>
      <c r="L1400" s="10" t="n">
        <v>20440</v>
      </c>
      <c r="M1400" s="12" t="s">
        <v>83</v>
      </c>
      <c r="N1400" s="12" t="s">
        <v>54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128.85</v>
      </c>
      <c r="W1400" s="13" t="n">
        <v>0</v>
      </c>
      <c r="X1400" s="12" t="s">
        <v>1286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46230</v>
      </c>
      <c r="C1401" s="11" t="n">
        <v>46275</v>
      </c>
      <c r="D1401" s="10" t="n">
        <v>513</v>
      </c>
      <c r="E1401" s="12" t="s">
        <v>314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1459285</v>
      </c>
      <c r="L1401" s="10" t="n">
        <v>197498</v>
      </c>
      <c r="M1401" s="12" t="s">
        <v>74</v>
      </c>
      <c r="N1401" s="12" t="s">
        <v>35</v>
      </c>
      <c r="P1401" s="10" t="n">
        <v>101</v>
      </c>
      <c r="Q1401" s="12" t="s">
        <v>42</v>
      </c>
      <c r="R1401" s="12" t="s">
        <v>100</v>
      </c>
      <c r="S1401" s="10" t="n">
        <v>4210315</v>
      </c>
      <c r="T1401" s="12" t="s">
        <v>257</v>
      </c>
      <c r="U1401" s="13" t="n">
        <v>160</v>
      </c>
      <c r="W1401" s="13" t="n">
        <v>0</v>
      </c>
      <c r="X1401" s="12" t="s">
        <v>713</v>
      </c>
      <c r="Z1401" s="1" t="str">
        <f aca="false">IF($T1401="","",IFERROR(INDEX('Resumo Grupos'!$AC$3:$AC$200,MATCH($T1401,'Resumo Grupos'!$AB$3:$AB$200,0)),"n/d"))</f>
        <v>Despesa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46211</v>
      </c>
      <c r="C1402" s="11" t="n">
        <v>46275</v>
      </c>
      <c r="D1402" s="10" t="n">
        <v>33</v>
      </c>
      <c r="E1402" s="12" t="s">
        <v>272</v>
      </c>
      <c r="F1402" s="10" t="n">
        <v>34</v>
      </c>
      <c r="G1402" s="12" t="s">
        <v>97</v>
      </c>
      <c r="H1402" s="10" t="n">
        <v>2110405</v>
      </c>
      <c r="I1402" s="12" t="s">
        <v>41</v>
      </c>
      <c r="J1402" s="10" t="n">
        <v>1370733</v>
      </c>
      <c r="L1402" s="10" t="n">
        <v>184338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56</v>
      </c>
      <c r="S1402" s="10" t="n">
        <v>4210222</v>
      </c>
      <c r="T1402" s="12" t="s">
        <v>1059</v>
      </c>
      <c r="U1402" s="13" t="n">
        <v>666.67</v>
      </c>
      <c r="W1402" s="13" t="n">
        <v>0</v>
      </c>
      <c r="X1402" s="12" t="s">
        <v>1060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46224</v>
      </c>
      <c r="C1403" s="11" t="n">
        <v>46275</v>
      </c>
      <c r="D1403" s="10" t="n">
        <v>1100</v>
      </c>
      <c r="E1403" s="12" t="s">
        <v>290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1427624</v>
      </c>
      <c r="L1403" s="10" t="n">
        <v>190916</v>
      </c>
      <c r="M1403" s="12" t="s">
        <v>74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266.68</v>
      </c>
      <c r="W1403" s="13" t="n">
        <v>0</v>
      </c>
      <c r="X1403" s="12" t="s">
        <v>1287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46247</v>
      </c>
      <c r="C1404" s="11" t="n">
        <v>46275</v>
      </c>
      <c r="D1404" s="10" t="n">
        <v>1608</v>
      </c>
      <c r="E1404" s="12" t="s">
        <v>201</v>
      </c>
      <c r="F1404" s="10" t="n">
        <v>24</v>
      </c>
      <c r="G1404" s="12" t="s">
        <v>77</v>
      </c>
      <c r="H1404" s="10" t="n">
        <v>2110405</v>
      </c>
      <c r="I1404" s="12" t="s">
        <v>41</v>
      </c>
      <c r="J1404" s="10" t="n">
        <v>1540769</v>
      </c>
      <c r="L1404" s="10" t="n">
        <v>210180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48</v>
      </c>
      <c r="S1404" s="10" t="n">
        <v>1130101</v>
      </c>
      <c r="T1404" s="12" t="s">
        <v>49</v>
      </c>
      <c r="U1404" s="13" t="n">
        <v>692.26</v>
      </c>
      <c r="W1404" s="13" t="n">
        <v>0</v>
      </c>
      <c r="X1404" s="12" t="s">
        <v>1225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46248</v>
      </c>
      <c r="C1405" s="11" t="n">
        <v>46275</v>
      </c>
      <c r="D1405" s="10" t="n">
        <v>1678</v>
      </c>
      <c r="E1405" s="12" t="s">
        <v>745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1545805</v>
      </c>
      <c r="L1405" s="10" t="n">
        <v>211100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2153.25</v>
      </c>
      <c r="W1405" s="13" t="n">
        <v>0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46251</v>
      </c>
      <c r="C1406" s="11" t="n">
        <v>46275</v>
      </c>
      <c r="D1406" s="10" t="n">
        <v>1637</v>
      </c>
      <c r="E1406" s="12" t="s">
        <v>764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1561330</v>
      </c>
      <c r="L1406" s="10" t="n">
        <v>213017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561.84</v>
      </c>
      <c r="W1406" s="13" t="n">
        <v>0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46252</v>
      </c>
      <c r="C1407" s="11" t="n">
        <v>46275</v>
      </c>
      <c r="D1407" s="10" t="n">
        <v>1671</v>
      </c>
      <c r="E1407" s="12" t="s">
        <v>88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1567132</v>
      </c>
      <c r="L1407" s="10" t="n">
        <v>213985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793.81</v>
      </c>
      <c r="W1407" s="13" t="n">
        <v>0</v>
      </c>
      <c r="X1407" s="12" t="s">
        <v>1231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46256</v>
      </c>
      <c r="C1408" s="11" t="n">
        <v>46275</v>
      </c>
      <c r="D1408" s="10" t="n">
        <v>1745</v>
      </c>
      <c r="E1408" s="12" t="s">
        <v>154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1585074</v>
      </c>
      <c r="L1408" s="10" t="n">
        <v>216840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182.8</v>
      </c>
      <c r="W1408" s="13" t="n">
        <v>0</v>
      </c>
      <c r="X1408" s="12" t="s">
        <v>1275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46256</v>
      </c>
      <c r="C1409" s="11" t="n">
        <v>46275</v>
      </c>
      <c r="D1409" s="10" t="n">
        <v>1713</v>
      </c>
      <c r="E1409" s="12" t="s">
        <v>61</v>
      </c>
      <c r="F1409" s="10" t="n">
        <v>46</v>
      </c>
      <c r="G1409" s="12" t="s">
        <v>285</v>
      </c>
      <c r="H1409" s="10" t="n">
        <v>2110405</v>
      </c>
      <c r="I1409" s="12" t="s">
        <v>41</v>
      </c>
      <c r="J1409" s="10" t="n">
        <v>1585399</v>
      </c>
      <c r="L1409" s="10" t="n">
        <v>216902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56</v>
      </c>
      <c r="S1409" s="10" t="n">
        <v>4210227</v>
      </c>
      <c r="T1409" s="12" t="s">
        <v>63</v>
      </c>
      <c r="U1409" s="13" t="n">
        <v>79.8</v>
      </c>
      <c r="W1409" s="13" t="n">
        <v>0</v>
      </c>
      <c r="X1409" s="12" t="s">
        <v>1290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46256</v>
      </c>
      <c r="C1410" s="11" t="n">
        <v>46275</v>
      </c>
      <c r="D1410" s="10" t="n">
        <v>10106</v>
      </c>
      <c r="E1410" s="12" t="s">
        <v>1291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1585437</v>
      </c>
      <c r="L1410" s="10" t="n">
        <v>216905</v>
      </c>
      <c r="M1410" s="12" t="s">
        <v>83</v>
      </c>
      <c r="N1410" s="12" t="s">
        <v>35</v>
      </c>
      <c r="P1410" s="10" t="n">
        <v>113</v>
      </c>
      <c r="Q1410" s="12" t="s">
        <v>36</v>
      </c>
      <c r="R1410" s="12" t="s">
        <v>56</v>
      </c>
      <c r="S1410" s="10" t="n">
        <v>4210229</v>
      </c>
      <c r="T1410" s="12" t="s">
        <v>944</v>
      </c>
      <c r="U1410" s="13" t="n">
        <v>203.8</v>
      </c>
      <c r="W1410" s="13" t="n">
        <v>0</v>
      </c>
      <c r="X1410" s="12" t="s">
        <v>1292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46256</v>
      </c>
      <c r="C1411" s="11" t="n">
        <v>46276</v>
      </c>
      <c r="D1411" s="10" t="n">
        <v>1666</v>
      </c>
      <c r="E1411" s="12" t="s">
        <v>206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1585303</v>
      </c>
      <c r="L1411" s="10" t="n">
        <v>216891</v>
      </c>
      <c r="M1411" s="12" t="s">
        <v>83</v>
      </c>
      <c r="N1411" s="12" t="s">
        <v>35</v>
      </c>
      <c r="P1411" s="10" t="n">
        <v>113</v>
      </c>
      <c r="Q1411" s="12" t="s">
        <v>36</v>
      </c>
      <c r="R1411" s="12" t="s">
        <v>48</v>
      </c>
      <c r="S1411" s="10" t="n">
        <v>1130101</v>
      </c>
      <c r="T1411" s="12" t="s">
        <v>49</v>
      </c>
      <c r="U1411" s="13" t="n">
        <v>5894.1</v>
      </c>
      <c r="W1411" s="13" t="n">
        <v>0</v>
      </c>
      <c r="X1411" s="12" t="s">
        <v>1239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46277</v>
      </c>
      <c r="D1412" s="10" t="n">
        <v>1718</v>
      </c>
      <c r="E1412" s="12" t="s">
        <v>199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1547763</v>
      </c>
      <c r="L1412" s="10" t="n">
        <v>211395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706.55</v>
      </c>
      <c r="W1412" s="13" t="n">
        <v>0</v>
      </c>
      <c r="X1412" s="12" t="s">
        <v>1240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46249</v>
      </c>
      <c r="C1413" s="11" t="n">
        <v>46277</v>
      </c>
      <c r="D1413" s="10" t="n">
        <v>1718</v>
      </c>
      <c r="E1413" s="12" t="s">
        <v>199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1551508</v>
      </c>
      <c r="L1413" s="10" t="n">
        <v>211719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1422.68</v>
      </c>
      <c r="W1413" s="13" t="n">
        <v>0</v>
      </c>
      <c r="X1413" s="12" t="s">
        <v>1241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46279</v>
      </c>
      <c r="D1414" s="10" t="n">
        <v>616</v>
      </c>
      <c r="E1414" s="12" t="s">
        <v>818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1572201</v>
      </c>
      <c r="L1414" s="10" t="n">
        <v>214774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983.77</v>
      </c>
      <c r="W1414" s="13" t="n">
        <v>0</v>
      </c>
      <c r="X1414" s="12" t="s">
        <v>1283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46254</v>
      </c>
      <c r="C1415" s="11" t="n">
        <v>46279</v>
      </c>
      <c r="D1415" s="10" t="n">
        <v>10012</v>
      </c>
      <c r="E1415" s="12" t="s">
        <v>160</v>
      </c>
      <c r="F1415" s="10" t="n">
        <v>24</v>
      </c>
      <c r="G1415" s="12" t="s">
        <v>77</v>
      </c>
      <c r="H1415" s="10" t="n">
        <v>2110405</v>
      </c>
      <c r="I1415" s="12" t="s">
        <v>41</v>
      </c>
      <c r="J1415" s="10" t="n">
        <v>1577219</v>
      </c>
      <c r="L1415" s="10" t="n">
        <v>215619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521.58</v>
      </c>
      <c r="W1415" s="13" t="n">
        <v>0</v>
      </c>
      <c r="X1415" s="12" t="s">
        <v>1284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46097</v>
      </c>
      <c r="C1416" s="11" t="n">
        <v>46280</v>
      </c>
      <c r="D1416" s="10" t="n">
        <v>1867</v>
      </c>
      <c r="E1416" s="12" t="s">
        <v>359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808550</v>
      </c>
      <c r="L1416" s="10" t="n">
        <v>2026</v>
      </c>
      <c r="M1416" s="12" t="s">
        <v>34</v>
      </c>
      <c r="N1416" s="12" t="s">
        <v>35</v>
      </c>
      <c r="P1416" s="10" t="n">
        <v>101</v>
      </c>
      <c r="Q1416" s="12" t="s">
        <v>42</v>
      </c>
      <c r="R1416" s="12" t="s">
        <v>360</v>
      </c>
      <c r="S1416" s="10" t="n">
        <v>4210401</v>
      </c>
      <c r="T1416" s="12" t="s">
        <v>361</v>
      </c>
      <c r="U1416" s="13" t="n">
        <v>228.88</v>
      </c>
      <c r="W1416" s="13" t="n">
        <v>0</v>
      </c>
      <c r="X1416" s="12" t="s">
        <v>1293</v>
      </c>
      <c r="Z1416" s="1" t="str">
        <f aca="false">IF($T1416="","",IFERROR(INDEX('Resumo Grupos'!$AC$3:$AC$200,MATCH($T1416,'Resumo Grupos'!$AB$3:$AB$200,0)),"n/d"))</f>
        <v>Impostos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46127</v>
      </c>
      <c r="C1417" s="22" t="n">
        <v>46280</v>
      </c>
      <c r="D1417" s="1" t="n">
        <v>512</v>
      </c>
      <c r="E1417" s="1" t="s">
        <v>363</v>
      </c>
      <c r="F1417" s="1" t="n">
        <v>34</v>
      </c>
      <c r="G1417" s="1" t="s">
        <v>97</v>
      </c>
      <c r="H1417" s="1" t="n">
        <v>2110405</v>
      </c>
      <c r="I1417" s="1" t="s">
        <v>41</v>
      </c>
      <c r="J1417" s="1" t="n">
        <v>954215</v>
      </c>
      <c r="L1417" s="1" t="n">
        <v>126220</v>
      </c>
      <c r="M1417" s="1" t="s">
        <v>47</v>
      </c>
      <c r="N1417" s="1" t="s">
        <v>35</v>
      </c>
      <c r="P1417" s="1" t="n">
        <v>101</v>
      </c>
      <c r="Q1417" s="1" t="s">
        <v>42</v>
      </c>
      <c r="R1417" s="1" t="s">
        <v>364</v>
      </c>
      <c r="S1417" s="1" t="n">
        <v>4210111</v>
      </c>
      <c r="T1417" s="1" t="s">
        <v>365</v>
      </c>
      <c r="U1417" s="1" t="n">
        <v>5700</v>
      </c>
      <c r="W1417" s="1" t="n">
        <v>0</v>
      </c>
      <c r="X1417" s="1" t="s">
        <v>366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46252</v>
      </c>
      <c r="C1418" s="22" t="n">
        <v>46280</v>
      </c>
      <c r="D1418" s="1" t="n">
        <v>1697</v>
      </c>
      <c r="E1418" s="1" t="s">
        <v>684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1566735</v>
      </c>
      <c r="L1418" s="1" t="n">
        <v>213868</v>
      </c>
      <c r="M1418" s="1" t="s">
        <v>83</v>
      </c>
      <c r="N1418" s="1" t="s">
        <v>35</v>
      </c>
      <c r="P1418" s="1" t="n">
        <v>113</v>
      </c>
      <c r="Q1418" s="1" t="s">
        <v>36</v>
      </c>
      <c r="R1418" s="1" t="s">
        <v>48</v>
      </c>
      <c r="S1418" s="1" t="n">
        <v>1130101</v>
      </c>
      <c r="T1418" s="1" t="s">
        <v>49</v>
      </c>
      <c r="U1418" s="1" t="n">
        <v>584.64</v>
      </c>
      <c r="W1418" s="1" t="n">
        <v>0</v>
      </c>
      <c r="X1418" s="1" t="s">
        <v>1257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2</v>
      </c>
      <c r="B1419" s="22" t="n">
        <v>46252</v>
      </c>
      <c r="C1419" s="22" t="n">
        <v>46280</v>
      </c>
      <c r="D1419" s="1" t="n">
        <v>1711</v>
      </c>
      <c r="E1419" s="1" t="s">
        <v>1259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1568100</v>
      </c>
      <c r="L1419" s="1" t="n">
        <v>214112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645.71</v>
      </c>
      <c r="W1419" s="1" t="n">
        <v>0</v>
      </c>
      <c r="X1419" s="1" t="s">
        <v>1260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2</v>
      </c>
      <c r="B1420" s="22" t="n">
        <v>46253</v>
      </c>
      <c r="C1420" s="22" t="n">
        <v>46280</v>
      </c>
      <c r="D1420" s="1" t="n">
        <v>1708</v>
      </c>
      <c r="E1420" s="1" t="s">
        <v>245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1572979</v>
      </c>
      <c r="L1420" s="1" t="n">
        <v>214928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548.18</v>
      </c>
      <c r="W1420" s="1" t="n">
        <v>0</v>
      </c>
      <c r="X1420" s="1" t="s">
        <v>1262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2</v>
      </c>
      <c r="B1421" s="22" t="n">
        <v>46226</v>
      </c>
      <c r="C1421" s="22" t="n">
        <v>46281</v>
      </c>
      <c r="D1421" s="1" t="n">
        <v>957</v>
      </c>
      <c r="E1421" s="1" t="s">
        <v>554</v>
      </c>
      <c r="F1421" s="1" t="n">
        <v>24</v>
      </c>
      <c r="G1421" s="1" t="s">
        <v>77</v>
      </c>
      <c r="H1421" s="1" t="n">
        <v>1110203</v>
      </c>
      <c r="I1421" s="1" t="s">
        <v>108</v>
      </c>
      <c r="J1421" s="1" t="n">
        <v>1438939</v>
      </c>
      <c r="L1421" s="1" t="n">
        <v>194433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1501.38</v>
      </c>
      <c r="W1421" s="1" t="n">
        <v>0</v>
      </c>
      <c r="X1421" s="1" t="s">
        <v>1097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2</v>
      </c>
      <c r="B1422" s="22" t="n">
        <v>46247</v>
      </c>
      <c r="C1422" s="22" t="n">
        <v>46281</v>
      </c>
      <c r="D1422" s="1" t="n">
        <v>1624</v>
      </c>
      <c r="E1422" s="1" t="s">
        <v>300</v>
      </c>
      <c r="F1422" s="1" t="n">
        <v>24</v>
      </c>
      <c r="G1422" s="1" t="s">
        <v>77</v>
      </c>
      <c r="H1422" s="1" t="n">
        <v>2110405</v>
      </c>
      <c r="I1422" s="1" t="s">
        <v>41</v>
      </c>
      <c r="J1422" s="1" t="n">
        <v>1543920</v>
      </c>
      <c r="L1422" s="1" t="n">
        <v>210536</v>
      </c>
      <c r="M1422" s="1" t="s">
        <v>83</v>
      </c>
      <c r="N1422" s="1" t="s">
        <v>35</v>
      </c>
      <c r="P1422" s="1" t="n">
        <v>113</v>
      </c>
      <c r="Q1422" s="1" t="s">
        <v>36</v>
      </c>
      <c r="R1422" s="1" t="s">
        <v>48</v>
      </c>
      <c r="S1422" s="1" t="n">
        <v>1130101</v>
      </c>
      <c r="T1422" s="1" t="s">
        <v>49</v>
      </c>
      <c r="U1422" s="1" t="n">
        <v>830.13</v>
      </c>
      <c r="W1422" s="1" t="n">
        <v>0</v>
      </c>
      <c r="X1422" s="1" t="s">
        <v>1268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2</v>
      </c>
      <c r="B1423" s="22" t="n">
        <v>46252</v>
      </c>
      <c r="C1423" s="22" t="n">
        <v>46281</v>
      </c>
      <c r="D1423" s="1" t="n">
        <v>1612</v>
      </c>
      <c r="E1423" s="1" t="s">
        <v>76</v>
      </c>
      <c r="F1423" s="1" t="n">
        <v>24</v>
      </c>
      <c r="G1423" s="1" t="s">
        <v>77</v>
      </c>
      <c r="H1423" s="1" t="n">
        <v>2110405</v>
      </c>
      <c r="I1423" s="1" t="s">
        <v>41</v>
      </c>
      <c r="J1423" s="1" t="n">
        <v>1567422</v>
      </c>
      <c r="L1423" s="1" t="n">
        <v>214026</v>
      </c>
      <c r="M1423" s="1" t="s">
        <v>83</v>
      </c>
      <c r="N1423" s="1" t="s">
        <v>35</v>
      </c>
      <c r="P1423" s="1" t="n">
        <v>113</v>
      </c>
      <c r="Q1423" s="1" t="s">
        <v>36</v>
      </c>
      <c r="R1423" s="1" t="s">
        <v>48</v>
      </c>
      <c r="S1423" s="1" t="n">
        <v>1130101</v>
      </c>
      <c r="T1423" s="1" t="s">
        <v>49</v>
      </c>
      <c r="U1423" s="1" t="n">
        <v>1154.65</v>
      </c>
      <c r="W1423" s="1" t="n">
        <v>0</v>
      </c>
      <c r="X1423" s="1" t="s">
        <v>1266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2</v>
      </c>
      <c r="B1424" s="22" t="n">
        <v>46253</v>
      </c>
      <c r="C1424" s="22" t="n">
        <v>46281</v>
      </c>
      <c r="D1424" s="1" t="n">
        <v>1830</v>
      </c>
      <c r="E1424" s="1" t="s">
        <v>449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1573122</v>
      </c>
      <c r="L1424" s="1" t="n">
        <v>1308</v>
      </c>
      <c r="M1424" s="1" t="s">
        <v>83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4210319</v>
      </c>
      <c r="T1424" s="1" t="s">
        <v>450</v>
      </c>
      <c r="U1424" s="1" t="n">
        <v>58</v>
      </c>
      <c r="W1424" s="1" t="n">
        <v>0</v>
      </c>
      <c r="X1424" s="1" t="s">
        <v>1294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46248</v>
      </c>
      <c r="C1425" s="22" t="n">
        <v>46282</v>
      </c>
      <c r="D1425" s="1" t="n">
        <v>10011</v>
      </c>
      <c r="E1425" s="1" t="s">
        <v>292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1545976</v>
      </c>
      <c r="L1425" s="1" t="n">
        <v>211185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685.15</v>
      </c>
      <c r="W1425" s="1" t="n">
        <v>0</v>
      </c>
      <c r="X1425" s="1" t="s">
        <v>1295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2</v>
      </c>
      <c r="B1426" s="22" t="n">
        <v>46252</v>
      </c>
      <c r="C1426" s="22" t="n">
        <v>46282</v>
      </c>
      <c r="D1426" s="1" t="n">
        <v>1671</v>
      </c>
      <c r="E1426" s="1" t="s">
        <v>88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1567135</v>
      </c>
      <c r="L1426" s="1" t="n">
        <v>213986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793.81</v>
      </c>
      <c r="W1426" s="1" t="n">
        <v>0</v>
      </c>
      <c r="X1426" s="1" t="s">
        <v>1231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2</v>
      </c>
      <c r="B1427" s="22" t="n">
        <v>46256</v>
      </c>
      <c r="C1427" s="22" t="n">
        <v>46282</v>
      </c>
      <c r="D1427" s="1" t="n">
        <v>1745</v>
      </c>
      <c r="E1427" s="1" t="s">
        <v>154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1585080</v>
      </c>
      <c r="L1427" s="1" t="n">
        <v>216841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48</v>
      </c>
      <c r="S1427" s="1" t="n">
        <v>1130101</v>
      </c>
      <c r="T1427" s="1" t="s">
        <v>49</v>
      </c>
      <c r="U1427" s="1" t="n">
        <v>182.82</v>
      </c>
      <c r="W1427" s="1" t="n">
        <v>0</v>
      </c>
      <c r="X1427" s="1" t="s">
        <v>1275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2</v>
      </c>
      <c r="B1428" s="22" t="n">
        <v>46206</v>
      </c>
      <c r="C1428" s="22" t="n">
        <v>46283</v>
      </c>
      <c r="D1428" s="1" t="n">
        <v>33</v>
      </c>
      <c r="E1428" s="1" t="s">
        <v>272</v>
      </c>
      <c r="F1428" s="1" t="n">
        <v>34</v>
      </c>
      <c r="G1428" s="1" t="s">
        <v>97</v>
      </c>
      <c r="H1428" s="1" t="n">
        <v>2110405</v>
      </c>
      <c r="I1428" s="1" t="s">
        <v>41</v>
      </c>
      <c r="J1428" s="1" t="n">
        <v>1345312</v>
      </c>
      <c r="L1428" s="1" t="n">
        <v>180690</v>
      </c>
      <c r="M1428" s="1" t="s">
        <v>62</v>
      </c>
      <c r="N1428" s="1" t="s">
        <v>35</v>
      </c>
      <c r="P1428" s="1" t="n">
        <v>101</v>
      </c>
      <c r="Q1428" s="1" t="s">
        <v>42</v>
      </c>
      <c r="R1428" s="1" t="s">
        <v>56</v>
      </c>
      <c r="S1428" s="1" t="n">
        <v>4210203</v>
      </c>
      <c r="T1428" s="1" t="s">
        <v>664</v>
      </c>
      <c r="U1428" s="1" t="n">
        <v>247.27</v>
      </c>
      <c r="W1428" s="1" t="n">
        <v>0</v>
      </c>
      <c r="X1428" s="1" t="s">
        <v>815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46223</v>
      </c>
      <c r="C1429" s="22" t="n">
        <v>46285</v>
      </c>
      <c r="D1429" s="1" t="n">
        <v>33</v>
      </c>
      <c r="E1429" s="1" t="s">
        <v>272</v>
      </c>
      <c r="F1429" s="1" t="n">
        <v>34</v>
      </c>
      <c r="G1429" s="1" t="s">
        <v>97</v>
      </c>
      <c r="H1429" s="1" t="n">
        <v>2110405</v>
      </c>
      <c r="I1429" s="1" t="s">
        <v>41</v>
      </c>
      <c r="J1429" s="1" t="n">
        <v>1424244</v>
      </c>
      <c r="L1429" s="1" t="n">
        <v>190900</v>
      </c>
      <c r="M1429" s="1" t="s">
        <v>62</v>
      </c>
      <c r="N1429" s="1" t="s">
        <v>35</v>
      </c>
      <c r="P1429" s="1" t="n">
        <v>101</v>
      </c>
      <c r="Q1429" s="1" t="s">
        <v>42</v>
      </c>
      <c r="R1429" s="1" t="s">
        <v>364</v>
      </c>
      <c r="S1429" s="1" t="n">
        <v>4210107</v>
      </c>
      <c r="T1429" s="1" t="s">
        <v>441</v>
      </c>
      <c r="U1429" s="1" t="n">
        <v>138.3</v>
      </c>
      <c r="W1429" s="1" t="n">
        <v>0</v>
      </c>
      <c r="X1429" s="1" t="s">
        <v>1296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46241</v>
      </c>
      <c r="C1430" s="22" t="n">
        <v>46285</v>
      </c>
      <c r="D1430" s="1" t="n">
        <v>10028</v>
      </c>
      <c r="E1430" s="1" t="s">
        <v>439</v>
      </c>
      <c r="F1430" s="1" t="n">
        <v>24</v>
      </c>
      <c r="G1430" s="1" t="s">
        <v>77</v>
      </c>
      <c r="H1430" s="1" t="n">
        <v>2110405</v>
      </c>
      <c r="I1430" s="1" t="s">
        <v>41</v>
      </c>
      <c r="J1430" s="1" t="n">
        <v>1370757</v>
      </c>
      <c r="L1430" s="1" t="n">
        <v>184341</v>
      </c>
      <c r="M1430" s="1" t="s">
        <v>62</v>
      </c>
      <c r="N1430" s="1" t="s">
        <v>35</v>
      </c>
      <c r="P1430" s="1" t="n">
        <v>101</v>
      </c>
      <c r="Q1430" s="1" t="s">
        <v>42</v>
      </c>
      <c r="R1430" s="1" t="s">
        <v>100</v>
      </c>
      <c r="S1430" s="1" t="n">
        <v>4210315</v>
      </c>
      <c r="T1430" s="1" t="s">
        <v>257</v>
      </c>
      <c r="U1430" s="1" t="n">
        <v>595.9</v>
      </c>
      <c r="W1430" s="1" t="n">
        <v>0</v>
      </c>
      <c r="X1430" s="1" t="s">
        <v>440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46253</v>
      </c>
      <c r="C1431" s="22" t="n">
        <v>46286</v>
      </c>
      <c r="D1431" s="1" t="n">
        <v>616</v>
      </c>
      <c r="E1431" s="1" t="s">
        <v>818</v>
      </c>
      <c r="F1431" s="1" t="n">
        <v>24</v>
      </c>
      <c r="G1431" s="1" t="s">
        <v>77</v>
      </c>
      <c r="H1431" s="1" t="n">
        <v>2110405</v>
      </c>
      <c r="I1431" s="1" t="s">
        <v>41</v>
      </c>
      <c r="J1431" s="1" t="n">
        <v>1572206</v>
      </c>
      <c r="L1431" s="1" t="n">
        <v>214775</v>
      </c>
      <c r="M1431" s="1" t="s">
        <v>83</v>
      </c>
      <c r="N1431" s="1" t="s">
        <v>35</v>
      </c>
      <c r="P1431" s="1" t="n">
        <v>113</v>
      </c>
      <c r="Q1431" s="1" t="s">
        <v>36</v>
      </c>
      <c r="R1431" s="1" t="s">
        <v>48</v>
      </c>
      <c r="S1431" s="1" t="n">
        <v>1130101</v>
      </c>
      <c r="T1431" s="1" t="s">
        <v>49</v>
      </c>
      <c r="U1431" s="1" t="n">
        <v>983.77</v>
      </c>
      <c r="W1431" s="1" t="n">
        <v>0</v>
      </c>
      <c r="X1431" s="1" t="s">
        <v>1283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46254</v>
      </c>
      <c r="C1432" s="22" t="n">
        <v>46286</v>
      </c>
      <c r="D1432" s="1" t="n">
        <v>10012</v>
      </c>
      <c r="E1432" s="1" t="s">
        <v>160</v>
      </c>
      <c r="F1432" s="1" t="n">
        <v>24</v>
      </c>
      <c r="G1432" s="1" t="s">
        <v>77</v>
      </c>
      <c r="H1432" s="1" t="n">
        <v>2110405</v>
      </c>
      <c r="I1432" s="1" t="s">
        <v>41</v>
      </c>
      <c r="J1432" s="1" t="n">
        <v>1577225</v>
      </c>
      <c r="L1432" s="1" t="n">
        <v>215620</v>
      </c>
      <c r="M1432" s="1" t="s">
        <v>83</v>
      </c>
      <c r="N1432" s="1" t="s">
        <v>35</v>
      </c>
      <c r="P1432" s="1" t="n">
        <v>113</v>
      </c>
      <c r="Q1432" s="1" t="s">
        <v>36</v>
      </c>
      <c r="R1432" s="1" t="s">
        <v>48</v>
      </c>
      <c r="S1432" s="1" t="n">
        <v>1130101</v>
      </c>
      <c r="T1432" s="1" t="s">
        <v>49</v>
      </c>
      <c r="U1432" s="1" t="n">
        <v>521.74</v>
      </c>
      <c r="W1432" s="1" t="n">
        <v>0</v>
      </c>
      <c r="X1432" s="1" t="s">
        <v>1284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2</v>
      </c>
      <c r="B1433" s="22" t="n">
        <v>46244</v>
      </c>
      <c r="C1433" s="22" t="n">
        <v>46289</v>
      </c>
      <c r="D1433" s="1" t="n">
        <v>1789</v>
      </c>
      <c r="E1433" s="1" t="s">
        <v>485</v>
      </c>
      <c r="F1433" s="1" t="n">
        <v>24</v>
      </c>
      <c r="G1433" s="1" t="s">
        <v>77</v>
      </c>
      <c r="H1433" s="1" t="n">
        <v>2110405</v>
      </c>
      <c r="I1433" s="1" t="s">
        <v>41</v>
      </c>
      <c r="J1433" s="1" t="n">
        <v>1529685</v>
      </c>
      <c r="L1433" s="1" t="n">
        <v>208126</v>
      </c>
      <c r="M1433" s="1" t="s">
        <v>83</v>
      </c>
      <c r="N1433" s="1" t="s">
        <v>35</v>
      </c>
      <c r="P1433" s="1" t="n">
        <v>113</v>
      </c>
      <c r="Q1433" s="1" t="s">
        <v>36</v>
      </c>
      <c r="R1433" s="1" t="s">
        <v>364</v>
      </c>
      <c r="S1433" s="1" t="n">
        <v>4210112</v>
      </c>
      <c r="T1433" s="1" t="s">
        <v>486</v>
      </c>
      <c r="U1433" s="1" t="n">
        <v>10645.93</v>
      </c>
      <c r="W1433" s="1" t="n">
        <v>0</v>
      </c>
      <c r="X1433" s="1" t="s">
        <v>1297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46013</v>
      </c>
      <c r="C1434" s="22" t="n">
        <v>46290</v>
      </c>
      <c r="D1434" s="1" t="n">
        <v>17</v>
      </c>
      <c r="E1434" s="1" t="s">
        <v>436</v>
      </c>
      <c r="F1434" s="1" t="n">
        <v>48</v>
      </c>
      <c r="G1434" s="1" t="s">
        <v>503</v>
      </c>
      <c r="H1434" s="1" t="n">
        <v>2110405</v>
      </c>
      <c r="I1434" s="1" t="s">
        <v>41</v>
      </c>
      <c r="J1434" s="1" t="n">
        <v>660421</v>
      </c>
      <c r="L1434" s="1" t="n">
        <v>86128</v>
      </c>
      <c r="M1434" s="1" t="s">
        <v>970</v>
      </c>
      <c r="N1434" s="1" t="s">
        <v>35</v>
      </c>
      <c r="P1434" s="1" t="n">
        <v>101</v>
      </c>
      <c r="Q1434" s="1" t="s">
        <v>42</v>
      </c>
      <c r="R1434" s="1" t="s">
        <v>43</v>
      </c>
      <c r="S1434" s="1" t="n">
        <v>4220199</v>
      </c>
      <c r="T1434" s="1" t="s">
        <v>44</v>
      </c>
      <c r="U1434" s="1" t="n">
        <v>362.14</v>
      </c>
      <c r="W1434" s="1" t="n">
        <v>0</v>
      </c>
      <c r="X1434" s="1" t="s">
        <v>505</v>
      </c>
      <c r="Z1434" s="1" t="str">
        <f aca="false">IF($T1434="","",IFERROR(INDEX('Resumo Grupos'!$AC$3:$AC$200,MATCH($T1434,'Resumo Grupos'!$AB$3:$AB$200,0)),"n/d"))</f>
        <v>Pagamentos outros não operacionais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46029</v>
      </c>
      <c r="C1435" s="22" t="n">
        <v>46290</v>
      </c>
      <c r="D1435" s="1" t="n">
        <v>17</v>
      </c>
      <c r="E1435" s="1" t="s">
        <v>436</v>
      </c>
      <c r="F1435" s="1" t="n">
        <v>48</v>
      </c>
      <c r="G1435" s="1" t="s">
        <v>503</v>
      </c>
      <c r="H1435" s="1" t="n">
        <v>2110405</v>
      </c>
      <c r="I1435" s="1" t="s">
        <v>41</v>
      </c>
      <c r="J1435" s="1" t="n">
        <v>660305</v>
      </c>
      <c r="L1435" s="1" t="n">
        <v>86116</v>
      </c>
      <c r="M1435" s="1" t="s">
        <v>970</v>
      </c>
      <c r="N1435" s="1" t="s">
        <v>35</v>
      </c>
      <c r="P1435" s="1" t="n">
        <v>101</v>
      </c>
      <c r="Q1435" s="1" t="s">
        <v>42</v>
      </c>
      <c r="R1435" s="1" t="s">
        <v>43</v>
      </c>
      <c r="S1435" s="1" t="n">
        <v>4220199</v>
      </c>
      <c r="T1435" s="1" t="s">
        <v>44</v>
      </c>
      <c r="U1435" s="1" t="n">
        <v>84.03</v>
      </c>
      <c r="W1435" s="1" t="n">
        <v>0</v>
      </c>
      <c r="X1435" s="1" t="s">
        <v>504</v>
      </c>
      <c r="Z1435" s="1" t="str">
        <f aca="false">IF($T1435="","",IFERROR(INDEX('Resumo Grupos'!$AC$3:$AC$200,MATCH($T1435,'Resumo Grupos'!$AB$3:$AB$200,0)),"n/d"))</f>
        <v>Pagamentos outros não operacionais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46243</v>
      </c>
      <c r="C1436" s="22" t="n">
        <v>46290</v>
      </c>
      <c r="D1436" s="1" t="n">
        <v>17</v>
      </c>
      <c r="E1436" s="1" t="s">
        <v>436</v>
      </c>
      <c r="F1436" s="1" t="n">
        <v>48</v>
      </c>
      <c r="G1436" s="1" t="s">
        <v>503</v>
      </c>
      <c r="H1436" s="1" t="n">
        <v>2110405</v>
      </c>
      <c r="I1436" s="1" t="s">
        <v>41</v>
      </c>
      <c r="J1436" s="1" t="n">
        <v>1551938</v>
      </c>
      <c r="L1436" s="1" t="n">
        <v>211786</v>
      </c>
      <c r="M1436" s="1" t="s">
        <v>74</v>
      </c>
      <c r="N1436" s="1" t="s">
        <v>35</v>
      </c>
      <c r="P1436" s="1" t="n">
        <v>101</v>
      </c>
      <c r="Q1436" s="1" t="s">
        <v>42</v>
      </c>
      <c r="R1436" s="1" t="s">
        <v>43</v>
      </c>
      <c r="S1436" s="1" t="n">
        <v>4220199</v>
      </c>
      <c r="T1436" s="1" t="s">
        <v>44</v>
      </c>
      <c r="U1436" s="1" t="n">
        <v>52.52</v>
      </c>
      <c r="W1436" s="1" t="n">
        <v>0</v>
      </c>
      <c r="X1436" s="1" t="s">
        <v>1298</v>
      </c>
      <c r="Z1436" s="1" t="str">
        <f aca="false">IF($T1436="","",IFERROR(INDEX('Resumo Grupos'!$AC$3:$AC$200,MATCH($T1436,'Resumo Grupos'!$AB$3:$AB$200,0)),"n/d"))</f>
        <v>Pagamentos outros não operacionais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46256</v>
      </c>
      <c r="C1437" s="22" t="n">
        <v>46290</v>
      </c>
      <c r="D1437" s="1" t="n">
        <v>1782</v>
      </c>
      <c r="E1437" s="1" t="s">
        <v>1299</v>
      </c>
      <c r="F1437" s="1" t="n">
        <v>48</v>
      </c>
      <c r="G1437" s="1" t="s">
        <v>503</v>
      </c>
      <c r="H1437" s="1" t="n">
        <v>2110405</v>
      </c>
      <c r="I1437" s="1" t="s">
        <v>41</v>
      </c>
      <c r="J1437" s="1" t="n">
        <v>1595448</v>
      </c>
      <c r="L1437" s="1" t="n">
        <v>2208</v>
      </c>
      <c r="M1437" s="1" t="s">
        <v>83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4210232</v>
      </c>
      <c r="T1437" s="1" t="s">
        <v>286</v>
      </c>
      <c r="U1437" s="1" t="n">
        <v>79.9</v>
      </c>
      <c r="W1437" s="1" t="n">
        <v>0</v>
      </c>
      <c r="X1437" s="1" t="s">
        <v>1300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46023</v>
      </c>
      <c r="C1438" s="22" t="n">
        <v>46293</v>
      </c>
      <c r="D1438" s="1" t="n">
        <v>515</v>
      </c>
      <c r="E1438" s="1" t="s">
        <v>143</v>
      </c>
      <c r="F1438" s="1" t="n">
        <v>34</v>
      </c>
      <c r="G1438" s="1" t="s">
        <v>97</v>
      </c>
      <c r="H1438" s="1" t="n">
        <v>2110405</v>
      </c>
      <c r="I1438" s="1" t="s">
        <v>41</v>
      </c>
      <c r="J1438" s="1" t="n">
        <v>1012266</v>
      </c>
      <c r="L1438" s="1" t="n">
        <v>133812</v>
      </c>
      <c r="M1438" s="1" t="s">
        <v>970</v>
      </c>
      <c r="N1438" s="1" t="s">
        <v>35</v>
      </c>
      <c r="P1438" s="1" t="n">
        <v>101</v>
      </c>
      <c r="Q1438" s="1" t="s">
        <v>42</v>
      </c>
      <c r="R1438" s="1" t="s">
        <v>295</v>
      </c>
      <c r="S1438" s="1" t="n">
        <v>2110901</v>
      </c>
      <c r="T1438" s="1" t="s">
        <v>296</v>
      </c>
      <c r="U1438" s="1" t="n">
        <v>4168.41</v>
      </c>
      <c r="W1438" s="1" t="n">
        <v>0</v>
      </c>
      <c r="X1438" s="1" t="s">
        <v>1301</v>
      </c>
      <c r="Z1438" s="1" t="str">
        <f aca="false">IF($T1438="","",IFERROR(INDEX('Resumo Grupos'!$AC$3:$AC$200,MATCH($T1438,'Resumo Grupos'!$AB$3:$AB$200,0)),"n/d"))</f>
        <v>Empréstimo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46055</v>
      </c>
      <c r="C1439" s="22" t="n">
        <v>46296</v>
      </c>
      <c r="D1439" s="1" t="n">
        <v>10039</v>
      </c>
      <c r="E1439" s="1" t="s">
        <v>70</v>
      </c>
      <c r="F1439" s="1" t="n">
        <v>47</v>
      </c>
      <c r="G1439" s="1" t="s">
        <v>32</v>
      </c>
      <c r="H1439" s="1" t="n">
        <v>2110405</v>
      </c>
      <c r="I1439" s="1" t="s">
        <v>41</v>
      </c>
      <c r="J1439" s="1" t="n">
        <v>846832</v>
      </c>
      <c r="L1439" s="1" t="n">
        <v>111506</v>
      </c>
      <c r="M1439" s="1" t="s">
        <v>596</v>
      </c>
      <c r="N1439" s="1" t="s">
        <v>35</v>
      </c>
      <c r="P1439" s="1" t="n">
        <v>113</v>
      </c>
      <c r="Q1439" s="1" t="s">
        <v>36</v>
      </c>
      <c r="R1439" s="1" t="s">
        <v>56</v>
      </c>
      <c r="S1439" s="1" t="n">
        <v>4210227</v>
      </c>
      <c r="T1439" s="1" t="s">
        <v>63</v>
      </c>
      <c r="U1439" s="1" t="n">
        <v>378.82</v>
      </c>
      <c r="W1439" s="1" t="n">
        <v>0</v>
      </c>
      <c r="X1439" s="1" t="s">
        <v>1302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2</v>
      </c>
      <c r="B1440" s="22" t="n">
        <v>46246</v>
      </c>
      <c r="C1440" s="22" t="n">
        <v>46296</v>
      </c>
      <c r="D1440" s="1" t="n">
        <v>875</v>
      </c>
      <c r="E1440" s="1" t="s">
        <v>73</v>
      </c>
      <c r="F1440" s="1" t="n">
        <v>47</v>
      </c>
      <c r="G1440" s="1" t="s">
        <v>32</v>
      </c>
      <c r="H1440" s="1" t="n">
        <v>2110405</v>
      </c>
      <c r="I1440" s="1" t="s">
        <v>41</v>
      </c>
      <c r="J1440" s="1" t="n">
        <v>1534947</v>
      </c>
      <c r="L1440" s="1" t="n">
        <v>209452</v>
      </c>
      <c r="M1440" s="1" t="s">
        <v>74</v>
      </c>
      <c r="N1440" s="1" t="s">
        <v>35</v>
      </c>
      <c r="P1440" s="1" t="n">
        <v>113</v>
      </c>
      <c r="Q1440" s="1" t="s">
        <v>36</v>
      </c>
      <c r="R1440" s="1" t="s">
        <v>48</v>
      </c>
      <c r="S1440" s="1" t="n">
        <v>1130101</v>
      </c>
      <c r="T1440" s="1" t="s">
        <v>49</v>
      </c>
      <c r="U1440" s="1" t="n">
        <v>638.75</v>
      </c>
      <c r="W1440" s="1" t="n">
        <v>0</v>
      </c>
      <c r="X1440" s="1" t="s">
        <v>1303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2</v>
      </c>
      <c r="B1441" s="22" t="n">
        <v>46238</v>
      </c>
      <c r="C1441" s="22" t="n">
        <v>46299</v>
      </c>
      <c r="D1441" s="1" t="n">
        <v>862</v>
      </c>
      <c r="E1441" s="1" t="s">
        <v>284</v>
      </c>
      <c r="F1441" s="1" t="n">
        <v>24</v>
      </c>
      <c r="G1441" s="1" t="s">
        <v>77</v>
      </c>
      <c r="H1441" s="1" t="n">
        <v>2110405</v>
      </c>
      <c r="I1441" s="1" t="s">
        <v>41</v>
      </c>
      <c r="J1441" s="1" t="n">
        <v>1498421</v>
      </c>
      <c r="L1441" s="1" t="n">
        <v>202608</v>
      </c>
      <c r="M1441" s="1" t="s">
        <v>62</v>
      </c>
      <c r="N1441" s="1" t="s">
        <v>35</v>
      </c>
      <c r="P1441" s="1" t="n">
        <v>101</v>
      </c>
      <c r="Q1441" s="1" t="s">
        <v>42</v>
      </c>
      <c r="R1441" s="1" t="s">
        <v>56</v>
      </c>
      <c r="S1441" s="1" t="n">
        <v>4210233</v>
      </c>
      <c r="T1441" s="1" t="s">
        <v>186</v>
      </c>
      <c r="U1441" s="1" t="n">
        <v>270.9</v>
      </c>
      <c r="W1441" s="1" t="n">
        <v>0</v>
      </c>
      <c r="X1441" s="1"/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46244</v>
      </c>
      <c r="C1442" s="22" t="n">
        <v>46300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1530158</v>
      </c>
      <c r="L1442" s="1" t="n">
        <v>208205</v>
      </c>
      <c r="M1442" s="1" t="s">
        <v>74</v>
      </c>
      <c r="N1442" s="1" t="s">
        <v>35</v>
      </c>
      <c r="P1442" s="1" t="n">
        <v>101</v>
      </c>
      <c r="Q1442" s="1" t="s">
        <v>42</v>
      </c>
      <c r="R1442" s="1" t="s">
        <v>100</v>
      </c>
      <c r="S1442" s="1" t="n">
        <v>4210301</v>
      </c>
      <c r="T1442" s="1" t="s">
        <v>230</v>
      </c>
      <c r="U1442" s="1" t="n">
        <v>250.1</v>
      </c>
      <c r="W1442" s="1" t="n">
        <v>0</v>
      </c>
      <c r="X1442" s="1" t="s">
        <v>1278</v>
      </c>
      <c r="Z1442" s="1" t="str">
        <f aca="false">IF($T1442="","",IFERROR(INDEX('Resumo Grupos'!$AC$3:$AC$200,MATCH($T1442,'Resumo Grupos'!$AB$3:$AB$200,0)),"n/d"))</f>
        <v>Salários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46232</v>
      </c>
      <c r="C1443" s="22" t="n">
        <v>46302</v>
      </c>
      <c r="D1443" s="1" t="n">
        <v>1932</v>
      </c>
      <c r="E1443" s="1" t="s">
        <v>256</v>
      </c>
      <c r="F1443" s="1" t="n">
        <v>34</v>
      </c>
      <c r="G1443" s="1" t="s">
        <v>97</v>
      </c>
      <c r="H1443" s="1" t="n">
        <v>2110405</v>
      </c>
      <c r="I1443" s="1" t="s">
        <v>41</v>
      </c>
      <c r="J1443" s="1" t="n">
        <v>1469462</v>
      </c>
      <c r="L1443" s="1" t="n">
        <v>199057</v>
      </c>
      <c r="M1443" s="1" t="s">
        <v>62</v>
      </c>
      <c r="N1443" s="1" t="s">
        <v>35</v>
      </c>
      <c r="P1443" s="1" t="n">
        <v>101</v>
      </c>
      <c r="Q1443" s="1" t="s">
        <v>42</v>
      </c>
      <c r="R1443" s="1" t="s">
        <v>100</v>
      </c>
      <c r="S1443" s="1" t="n">
        <v>4210315</v>
      </c>
      <c r="T1443" s="1" t="s">
        <v>257</v>
      </c>
      <c r="U1443" s="1" t="n">
        <v>119.97</v>
      </c>
      <c r="W1443" s="1" t="n">
        <v>0</v>
      </c>
      <c r="X1443" s="1" t="s">
        <v>1043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46211</v>
      </c>
      <c r="C1444" s="22" t="n">
        <v>46305</v>
      </c>
      <c r="D1444" s="1" t="n">
        <v>33</v>
      </c>
      <c r="E1444" s="1" t="s">
        <v>272</v>
      </c>
      <c r="F1444" s="1" t="n">
        <v>34</v>
      </c>
      <c r="G1444" s="1" t="s">
        <v>97</v>
      </c>
      <c r="H1444" s="1" t="n">
        <v>2110405</v>
      </c>
      <c r="I1444" s="1" t="s">
        <v>41</v>
      </c>
      <c r="J1444" s="1" t="n">
        <v>1370733</v>
      </c>
      <c r="L1444" s="1" t="n">
        <v>184338</v>
      </c>
      <c r="M1444" s="1" t="s">
        <v>62</v>
      </c>
      <c r="N1444" s="1" t="s">
        <v>35</v>
      </c>
      <c r="P1444" s="1" t="n">
        <v>101</v>
      </c>
      <c r="Q1444" s="1" t="s">
        <v>42</v>
      </c>
      <c r="R1444" s="1" t="s">
        <v>56</v>
      </c>
      <c r="S1444" s="1" t="n">
        <v>4210222</v>
      </c>
      <c r="T1444" s="1" t="s">
        <v>1059</v>
      </c>
      <c r="U1444" s="1" t="n">
        <v>666.67</v>
      </c>
      <c r="W1444" s="1" t="n">
        <v>0</v>
      </c>
      <c r="X1444" s="1" t="s">
        <v>1060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46242</v>
      </c>
      <c r="C1445" s="22" t="n">
        <v>46305</v>
      </c>
      <c r="D1445" s="1" t="n">
        <v>1100</v>
      </c>
      <c r="E1445" s="1" t="s">
        <v>290</v>
      </c>
      <c r="F1445" s="1" t="n">
        <v>46</v>
      </c>
      <c r="G1445" s="1" t="s">
        <v>285</v>
      </c>
      <c r="H1445" s="1" t="n">
        <v>2110405</v>
      </c>
      <c r="I1445" s="1" t="s">
        <v>41</v>
      </c>
      <c r="J1445" s="1" t="n">
        <v>1427624</v>
      </c>
      <c r="L1445" s="1" t="n">
        <v>190916</v>
      </c>
      <c r="M1445" s="1" t="s">
        <v>62</v>
      </c>
      <c r="N1445" s="1" t="s">
        <v>35</v>
      </c>
      <c r="P1445" s="1" t="n">
        <v>101</v>
      </c>
      <c r="Q1445" s="1" t="s">
        <v>42</v>
      </c>
      <c r="R1445" s="1" t="s">
        <v>56</v>
      </c>
      <c r="S1445" s="1" t="n">
        <v>4210227</v>
      </c>
      <c r="T1445" s="1" t="s">
        <v>63</v>
      </c>
      <c r="U1445" s="1" t="n">
        <v>266.68</v>
      </c>
      <c r="W1445" s="1" t="n">
        <v>0</v>
      </c>
      <c r="X1445" s="1" t="s">
        <v>1304</v>
      </c>
      <c r="Z1445" s="1" t="str">
        <f aca="false">IF($T1445="","",IFERROR(INDEX('Resumo Grupos'!$AC$3:$AC$200,MATCH($T1445,'Resumo Grupos'!$AB$3:$AB$200,0)),"n/d"))</f>
        <v>Despesa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2</v>
      </c>
      <c r="B1446" s="22" t="n">
        <v>46254</v>
      </c>
      <c r="C1446" s="22" t="n">
        <v>46308</v>
      </c>
      <c r="D1446" s="1" t="n">
        <v>33</v>
      </c>
      <c r="E1446" s="1" t="s">
        <v>272</v>
      </c>
      <c r="F1446" s="1" t="n">
        <v>34</v>
      </c>
      <c r="G1446" s="1" t="s">
        <v>97</v>
      </c>
      <c r="H1446" s="1" t="n">
        <v>2110405</v>
      </c>
      <c r="I1446" s="1" t="s">
        <v>41</v>
      </c>
      <c r="J1446" s="1" t="n">
        <v>1577428</v>
      </c>
      <c r="L1446" s="1" t="n">
        <v>215659</v>
      </c>
      <c r="M1446" s="1" t="s">
        <v>83</v>
      </c>
      <c r="N1446" s="1" t="s">
        <v>35</v>
      </c>
      <c r="P1446" s="1" t="n">
        <v>101</v>
      </c>
      <c r="Q1446" s="1" t="s">
        <v>42</v>
      </c>
      <c r="R1446" s="1" t="s">
        <v>56</v>
      </c>
      <c r="S1446" s="1" t="n">
        <v>4210222</v>
      </c>
      <c r="T1446" s="1" t="s">
        <v>1059</v>
      </c>
      <c r="U1446" s="1" t="n">
        <v>522.5</v>
      </c>
      <c r="W1446" s="1" t="n">
        <v>0</v>
      </c>
      <c r="X1446" s="1" t="s">
        <v>1305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2</v>
      </c>
      <c r="B1447" s="22" t="n">
        <v>46097</v>
      </c>
      <c r="C1447" s="22" t="n">
        <v>46310</v>
      </c>
      <c r="D1447" s="1" t="n">
        <v>1867</v>
      </c>
      <c r="E1447" s="1" t="s">
        <v>359</v>
      </c>
      <c r="F1447" s="1" t="n">
        <v>24</v>
      </c>
      <c r="G1447" s="1" t="s">
        <v>77</v>
      </c>
      <c r="H1447" s="1" t="n">
        <v>2110405</v>
      </c>
      <c r="I1447" s="1" t="s">
        <v>41</v>
      </c>
      <c r="J1447" s="1" t="n">
        <v>808550</v>
      </c>
      <c r="L1447" s="1" t="n">
        <v>2026</v>
      </c>
      <c r="M1447" s="1" t="s">
        <v>596</v>
      </c>
      <c r="N1447" s="1" t="s">
        <v>35</v>
      </c>
      <c r="P1447" s="1" t="n">
        <v>101</v>
      </c>
      <c r="Q1447" s="1" t="s">
        <v>42</v>
      </c>
      <c r="R1447" s="1" t="s">
        <v>360</v>
      </c>
      <c r="S1447" s="1" t="n">
        <v>4210401</v>
      </c>
      <c r="T1447" s="1" t="s">
        <v>361</v>
      </c>
      <c r="U1447" s="1" t="n">
        <v>228.88</v>
      </c>
      <c r="W1447" s="1" t="n">
        <v>0</v>
      </c>
      <c r="X1447" s="1" t="s">
        <v>1306</v>
      </c>
      <c r="Z1447" s="1" t="str">
        <f aca="false">IF($T1447="","",IFERROR(INDEX('Resumo Grupos'!$AC$3:$AC$200,MATCH($T1447,'Resumo Grupos'!$AB$3:$AB$200,0)),"n/d"))</f>
        <v>Impostos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2</v>
      </c>
      <c r="B1448" s="22" t="n">
        <v>46127</v>
      </c>
      <c r="C1448" s="22" t="n">
        <v>46310</v>
      </c>
      <c r="D1448" s="1" t="n">
        <v>512</v>
      </c>
      <c r="E1448" s="1" t="s">
        <v>363</v>
      </c>
      <c r="F1448" s="1" t="n">
        <v>34</v>
      </c>
      <c r="G1448" s="1" t="s">
        <v>97</v>
      </c>
      <c r="H1448" s="1" t="n">
        <v>2110405</v>
      </c>
      <c r="I1448" s="1" t="s">
        <v>41</v>
      </c>
      <c r="J1448" s="1" t="n">
        <v>954215</v>
      </c>
      <c r="L1448" s="1" t="n">
        <v>126220</v>
      </c>
      <c r="M1448" s="1" t="s">
        <v>34</v>
      </c>
      <c r="N1448" s="1" t="s">
        <v>35</v>
      </c>
      <c r="P1448" s="1" t="n">
        <v>101</v>
      </c>
      <c r="Q1448" s="1" t="s">
        <v>42</v>
      </c>
      <c r="R1448" s="1" t="s">
        <v>364</v>
      </c>
      <c r="S1448" s="1" t="n">
        <v>4210111</v>
      </c>
      <c r="T1448" s="1" t="s">
        <v>365</v>
      </c>
      <c r="U1448" s="1" t="n">
        <v>5700</v>
      </c>
      <c r="W1448" s="1" t="n">
        <v>0</v>
      </c>
      <c r="X1448" s="1" t="s">
        <v>366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2</v>
      </c>
      <c r="B1449" s="22" t="n">
        <v>46206</v>
      </c>
      <c r="C1449" s="22" t="n">
        <v>46313</v>
      </c>
      <c r="D1449" s="1" t="n">
        <v>33</v>
      </c>
      <c r="E1449" s="1" t="s">
        <v>272</v>
      </c>
      <c r="F1449" s="1" t="n">
        <v>34</v>
      </c>
      <c r="G1449" s="1" t="s">
        <v>97</v>
      </c>
      <c r="H1449" s="1" t="n">
        <v>2110405</v>
      </c>
      <c r="I1449" s="1" t="s">
        <v>41</v>
      </c>
      <c r="J1449" s="1" t="n">
        <v>1345312</v>
      </c>
      <c r="L1449" s="1" t="n">
        <v>180690</v>
      </c>
      <c r="M1449" s="1" t="s">
        <v>71</v>
      </c>
      <c r="N1449" s="1" t="s">
        <v>35</v>
      </c>
      <c r="P1449" s="1" t="n">
        <v>101</v>
      </c>
      <c r="Q1449" s="1" t="s">
        <v>42</v>
      </c>
      <c r="R1449" s="1" t="s">
        <v>56</v>
      </c>
      <c r="S1449" s="1" t="n">
        <v>4210203</v>
      </c>
      <c r="T1449" s="1" t="s">
        <v>664</v>
      </c>
      <c r="U1449" s="1" t="n">
        <v>247.27</v>
      </c>
      <c r="W1449" s="1" t="n">
        <v>0</v>
      </c>
      <c r="X1449" s="1" t="s">
        <v>815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2</v>
      </c>
      <c r="B1450" s="22" t="n">
        <v>46013</v>
      </c>
      <c r="C1450" s="22" t="n">
        <v>46320</v>
      </c>
      <c r="D1450" s="1" t="n">
        <v>17</v>
      </c>
      <c r="E1450" s="1" t="s">
        <v>436</v>
      </c>
      <c r="F1450" s="1" t="n">
        <v>48</v>
      </c>
      <c r="G1450" s="1" t="s">
        <v>503</v>
      </c>
      <c r="H1450" s="1" t="n">
        <v>2110405</v>
      </c>
      <c r="I1450" s="1" t="s">
        <v>41</v>
      </c>
      <c r="J1450" s="1" t="n">
        <v>660421</v>
      </c>
      <c r="L1450" s="1" t="n">
        <v>86128</v>
      </c>
      <c r="M1450" s="1" t="s">
        <v>1249</v>
      </c>
      <c r="N1450" s="1" t="s">
        <v>35</v>
      </c>
      <c r="P1450" s="1" t="n">
        <v>101</v>
      </c>
      <c r="Q1450" s="1" t="s">
        <v>42</v>
      </c>
      <c r="R1450" s="1" t="s">
        <v>43</v>
      </c>
      <c r="S1450" s="1" t="n">
        <v>4220199</v>
      </c>
      <c r="T1450" s="1" t="s">
        <v>44</v>
      </c>
      <c r="U1450" s="1" t="n">
        <v>362.14</v>
      </c>
      <c r="W1450" s="1" t="n">
        <v>0</v>
      </c>
      <c r="X1450" s="1" t="s">
        <v>505</v>
      </c>
      <c r="Z1450" s="1" t="str">
        <f aca="false">IF($T1450="","",IFERROR(INDEX('Resumo Grupos'!$AC$3:$AC$200,MATCH($T1450,'Resumo Grupos'!$AB$3:$AB$200,0)),"n/d"))</f>
        <v>Pagamentos outros não operacionais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2</v>
      </c>
      <c r="B1451" s="22" t="n">
        <v>46029</v>
      </c>
      <c r="C1451" s="22" t="n">
        <v>46320</v>
      </c>
      <c r="D1451" s="1" t="n">
        <v>17</v>
      </c>
      <c r="E1451" s="1" t="s">
        <v>436</v>
      </c>
      <c r="F1451" s="1" t="n">
        <v>48</v>
      </c>
      <c r="G1451" s="1" t="s">
        <v>503</v>
      </c>
      <c r="H1451" s="1" t="n">
        <v>2110405</v>
      </c>
      <c r="I1451" s="1" t="s">
        <v>41</v>
      </c>
      <c r="J1451" s="1" t="n">
        <v>660305</v>
      </c>
      <c r="L1451" s="1" t="n">
        <v>86116</v>
      </c>
      <c r="M1451" s="1" t="s">
        <v>1249</v>
      </c>
      <c r="N1451" s="1" t="s">
        <v>35</v>
      </c>
      <c r="P1451" s="1" t="n">
        <v>101</v>
      </c>
      <c r="Q1451" s="1" t="s">
        <v>42</v>
      </c>
      <c r="R1451" s="1" t="s">
        <v>43</v>
      </c>
      <c r="S1451" s="1" t="n">
        <v>4220199</v>
      </c>
      <c r="T1451" s="1" t="s">
        <v>44</v>
      </c>
      <c r="U1451" s="1" t="n">
        <v>84.03</v>
      </c>
      <c r="W1451" s="1" t="n">
        <v>0</v>
      </c>
      <c r="X1451" s="1" t="s">
        <v>504</v>
      </c>
      <c r="Z1451" s="1" t="str">
        <f aca="false">IF($T1451="","",IFERROR(INDEX('Resumo Grupos'!$AC$3:$AC$200,MATCH($T1451,'Resumo Grupos'!$AB$3:$AB$200,0)),"n/d"))</f>
        <v>Pagamentos outros não operacionais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2</v>
      </c>
      <c r="B1452" s="22" t="n">
        <v>46256</v>
      </c>
      <c r="C1452" s="22" t="n">
        <v>46320</v>
      </c>
      <c r="D1452" s="1" t="n">
        <v>1782</v>
      </c>
      <c r="E1452" s="1" t="s">
        <v>1299</v>
      </c>
      <c r="F1452" s="1" t="n">
        <v>48</v>
      </c>
      <c r="G1452" s="1" t="s">
        <v>503</v>
      </c>
      <c r="H1452" s="1" t="n">
        <v>2110405</v>
      </c>
      <c r="I1452" s="1" t="s">
        <v>41</v>
      </c>
      <c r="J1452" s="1" t="n">
        <v>1595448</v>
      </c>
      <c r="L1452" s="1" t="n">
        <v>2208</v>
      </c>
      <c r="M1452" s="1" t="s">
        <v>74</v>
      </c>
      <c r="N1452" s="1" t="s">
        <v>35</v>
      </c>
      <c r="P1452" s="1" t="n">
        <v>101</v>
      </c>
      <c r="Q1452" s="1" t="s">
        <v>42</v>
      </c>
      <c r="R1452" s="1" t="s">
        <v>56</v>
      </c>
      <c r="S1452" s="1" t="n">
        <v>4210232</v>
      </c>
      <c r="T1452" s="1" t="s">
        <v>286</v>
      </c>
      <c r="U1452" s="1" t="n">
        <v>79.9</v>
      </c>
      <c r="W1452" s="1" t="n">
        <v>0</v>
      </c>
      <c r="X1452" s="1" t="s">
        <v>1307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2</v>
      </c>
      <c r="B1453" s="22" t="n">
        <v>46023</v>
      </c>
      <c r="C1453" s="22" t="n">
        <v>46321</v>
      </c>
      <c r="D1453" s="1" t="n">
        <v>515</v>
      </c>
      <c r="E1453" s="1" t="s">
        <v>143</v>
      </c>
      <c r="F1453" s="1" t="n">
        <v>34</v>
      </c>
      <c r="G1453" s="1" t="s">
        <v>97</v>
      </c>
      <c r="H1453" s="1" t="n">
        <v>2110405</v>
      </c>
      <c r="I1453" s="1" t="s">
        <v>41</v>
      </c>
      <c r="J1453" s="1" t="n">
        <v>1012266</v>
      </c>
      <c r="L1453" s="1" t="n">
        <v>133812</v>
      </c>
      <c r="M1453" s="1" t="s">
        <v>1249</v>
      </c>
      <c r="N1453" s="1" t="s">
        <v>35</v>
      </c>
      <c r="P1453" s="1" t="n">
        <v>101</v>
      </c>
      <c r="Q1453" s="1" t="s">
        <v>42</v>
      </c>
      <c r="R1453" s="1" t="s">
        <v>295</v>
      </c>
      <c r="S1453" s="1" t="n">
        <v>2110901</v>
      </c>
      <c r="T1453" s="1" t="s">
        <v>296</v>
      </c>
      <c r="U1453" s="1" t="n">
        <v>4168.41</v>
      </c>
      <c r="W1453" s="1" t="n">
        <v>0</v>
      </c>
      <c r="X1453" s="1" t="s">
        <v>1308</v>
      </c>
      <c r="Z1453" s="1" t="str">
        <f aca="false">IF($T1453="","",IFERROR(INDEX('Resumo Grupos'!$AC$3:$AC$200,MATCH($T1453,'Resumo Grupos'!$AB$3:$AB$200,0)),"n/d"))</f>
        <v>Empréstimo</v>
      </c>
      <c r="AA1453" s="1" t="str">
        <f aca="false">IF($T1453="","",IF(COUNTIF('Resumo Grupos'!$AE$3:$AE$40,$T1453)&gt;0,"NAO","SIM"))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1309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3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3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3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3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3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3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3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3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3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3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3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3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3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3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3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3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3" t="n">
        <f aca="false">Report!C1290</f>
        <v>46259</v>
      </c>
      <c r="B988" s="1" t="str">
        <f aca="false">Report!E1290</f>
        <v>NEYLIANE SILVA DE OLIVEIRA</v>
      </c>
      <c r="C988" s="17" t="n">
        <f aca="false">Report!U1290</f>
        <v>84.03</v>
      </c>
      <c r="D988" s="1" t="str">
        <f aca="false">Report!X1290</f>
        <v>PL NEILA CARTAO MO2 </v>
      </c>
    </row>
    <row r="989" customFormat="false" ht="12.75" hidden="false" customHeight="true" outlineLevel="0" collapsed="false">
      <c r="A989" s="23" t="n">
        <f aca="false">Report!C1293</f>
        <v>46259</v>
      </c>
      <c r="B989" s="1" t="str">
        <f aca="false">Report!E1293</f>
        <v>NEYLIANE SILVA DE OLIVEIRA</v>
      </c>
      <c r="C989" s="17" t="n">
        <f aca="false">Report!U1293</f>
        <v>595.39</v>
      </c>
      <c r="D989" s="1" t="str">
        <f aca="false">Report!X1293</f>
        <v>P NEILA PAG OUTROS COMPRAS CARTAO - KEILA</v>
      </c>
    </row>
    <row r="990" customFormat="false" ht="12.75" hidden="false" customHeight="true" outlineLevel="0" collapsed="false">
      <c r="A990" s="23" t="n">
        <f aca="false">Report!C1294</f>
        <v>46259</v>
      </c>
      <c r="B990" s="1" t="str">
        <f aca="false">Report!E1294</f>
        <v>BROTHERS  INDUSTRIA DE ALIMENTOS LTDA</v>
      </c>
      <c r="C990" s="17" t="n">
        <f aca="false">Report!U1294</f>
        <v>512.38</v>
      </c>
      <c r="D990" s="1" t="str">
        <f aca="false">Report!X1294</f>
        <v>NF 1037278 ELLEN</v>
      </c>
    </row>
    <row r="991" customFormat="false" ht="12.75" hidden="false" customHeight="true" outlineLevel="0" collapsed="false">
      <c r="A991" s="23" t="n">
        <f aca="false">Report!C1295</f>
        <v>46259</v>
      </c>
      <c r="B991" s="1" t="str">
        <f aca="false">Report!E1295</f>
        <v>J W N DOS SANTOS</v>
      </c>
      <c r="C991" s="17" t="n">
        <f aca="false">Report!U1295</f>
        <v>183</v>
      </c>
      <c r="D991" s="1" t="str">
        <f aca="false">Report!X1295</f>
        <v>NF 408 ELLEN</v>
      </c>
    </row>
    <row r="992" customFormat="false" ht="12.75" hidden="false" customHeight="true" outlineLevel="0" collapsed="false">
      <c r="A992" s="23" t="n">
        <f aca="false">Report!C1297</f>
        <v>46260</v>
      </c>
      <c r="B992" s="1" t="str">
        <f aca="false">Report!E1297</f>
        <v>ITAU SA</v>
      </c>
      <c r="C992" s="17" t="n">
        <f aca="false">Report!U1297</f>
        <v>4168.41</v>
      </c>
      <c r="D992" s="1" t="str">
        <f aca="false">Report!X1297</f>
        <v>EMPRESTIMO PARC 33/42 INICIO 26.12.23 A 26.05.27</v>
      </c>
    </row>
    <row r="993" customFormat="false" ht="12.75" hidden="false" customHeight="true" outlineLevel="0" collapsed="false">
      <c r="A993" s="23" t="n">
        <f aca="false">Report!C1298</f>
        <v>46260</v>
      </c>
      <c r="B993" s="1" t="str">
        <f aca="false">Report!E1298</f>
        <v>BRF S A</v>
      </c>
      <c r="C993" s="17" t="n">
        <f aca="false">Report!U1298</f>
        <v>1275.53</v>
      </c>
      <c r="D993" s="1" t="str">
        <f aca="false">Report!X1298</f>
        <v>NF 1616567 ELLEN</v>
      </c>
    </row>
    <row r="994" customFormat="false" ht="12.75" hidden="false" customHeight="true" outlineLevel="0" collapsed="false">
      <c r="A994" s="23" t="n">
        <f aca="false">Report!C1299</f>
        <v>46260</v>
      </c>
      <c r="B994" s="1" t="str">
        <f aca="false">Report!E1299</f>
        <v>ADRIANA DISTRIBUIDORA DE PRODUTOS ALIMEN</v>
      </c>
      <c r="C994" s="17" t="n">
        <f aca="false">Report!U1299</f>
        <v>349</v>
      </c>
      <c r="D994" s="1" t="str">
        <f aca="false">Report!X1299</f>
        <v>NF 889827 ELLEN</v>
      </c>
    </row>
    <row r="995" customFormat="false" ht="12.75" hidden="false" customHeight="true" outlineLevel="0" collapsed="false">
      <c r="A995" s="23" t="n">
        <f aca="false">Report!C1300</f>
        <v>46260</v>
      </c>
      <c r="B995" s="1" t="str">
        <f aca="false">Report!E1300</f>
        <v>DISTRIBUIDORA LOPES LTDA</v>
      </c>
      <c r="C995" s="17" t="n">
        <f aca="false">Report!U1300</f>
        <v>1279.58</v>
      </c>
      <c r="D995" s="1" t="str">
        <f aca="false">Report!X1300</f>
        <v>NF 1709601 ELLEN</v>
      </c>
    </row>
    <row r="996" customFormat="false" ht="12.75" hidden="false" customHeight="true" outlineLevel="0" collapsed="false">
      <c r="A996" s="23" t="n">
        <f aca="false">Report!C1301</f>
        <v>46260</v>
      </c>
      <c r="B996" s="1" t="str">
        <f aca="false">Report!E1301</f>
        <v>FH DISTRIBUIDORA DE ALIM. E BEBIDAS LTDA</v>
      </c>
      <c r="C996" s="17" t="n">
        <f aca="false">Report!U1301</f>
        <v>700.7</v>
      </c>
      <c r="D996" s="1" t="str">
        <f aca="false">Report!X1301</f>
        <v>NF 330057 ELLEN</v>
      </c>
    </row>
    <row r="997" customFormat="false" ht="12.75" hidden="false" customHeight="true" outlineLevel="0" collapsed="false">
      <c r="A997" s="23" t="n">
        <f aca="false">Report!C1302</f>
        <v>46260</v>
      </c>
      <c r="B997" s="1" t="str">
        <f aca="false">Report!E1302</f>
        <v>BONNA VITTA INDUSTRIA E COMERCIO LTDA.</v>
      </c>
      <c r="C997" s="17" t="n">
        <f aca="false">Report!U1302</f>
        <v>600</v>
      </c>
      <c r="D997" s="1" t="str">
        <f aca="false">Report!X1302</f>
        <v>NF 3231 ELLEN</v>
      </c>
    </row>
    <row r="998" customFormat="false" ht="12.75" hidden="false" customHeight="true" outlineLevel="0" collapsed="false">
      <c r="A998" s="23" t="n">
        <f aca="false">Report!C1303</f>
        <v>46260</v>
      </c>
      <c r="B998" s="1" t="str">
        <f aca="false">Report!E1303</f>
        <v>TOYA INDUSTRIA E COMERCIO LTDA.</v>
      </c>
      <c r="C998" s="17" t="n">
        <f aca="false">Report!U1303</f>
        <v>1050.07</v>
      </c>
      <c r="D998" s="1" t="str">
        <f aca="false">Report!X1303</f>
        <v>NF 257600 ELLEN</v>
      </c>
    </row>
    <row r="999" customFormat="false" ht="12.75" hidden="false" customHeight="true" outlineLevel="0" collapsed="false">
      <c r="A999" s="23" t="n">
        <f aca="false">Report!C1304</f>
        <v>46260</v>
      </c>
      <c r="B999" s="1" t="str">
        <f aca="false">Report!E1304</f>
        <v>BRF S A</v>
      </c>
      <c r="C999" s="17" t="n">
        <f aca="false">Report!U1304</f>
        <v>1164.76</v>
      </c>
      <c r="D999" s="1" t="str">
        <f aca="false">Report!X1304</f>
        <v>NF 1619132 ELLEN</v>
      </c>
    </row>
    <row r="1000" customFormat="false" ht="12.75" hidden="false" customHeight="true" outlineLevel="0" collapsed="false">
      <c r="A1000" s="23" t="n">
        <f aca="false">Report!C1305</f>
        <v>46260</v>
      </c>
      <c r="B1000" s="1" t="str">
        <f aca="false">Report!E1305</f>
        <v>SILVA E SANTOS FRIGORIFICO LTDA</v>
      </c>
      <c r="C1000" s="17" t="n">
        <f aca="false">Report!U1305</f>
        <v>1293.6</v>
      </c>
      <c r="D1000" s="1" t="str">
        <f aca="false">Report!X1305</f>
        <v>NF 32564 ELLEN</v>
      </c>
    </row>
    <row r="1001" customFormat="false" ht="12.75" hidden="false" customHeight="true" outlineLevel="0" collapsed="false">
      <c r="A1001" s="23" t="n">
        <f aca="false">Report!C1306</f>
        <v>46260</v>
      </c>
      <c r="B1001" s="1" t="str">
        <f aca="false">Report!E1306</f>
        <v>NEYLIANE S DE OLIVEIRA &amp; CIA LTDA</v>
      </c>
      <c r="C1001" s="17" t="n">
        <f aca="false">Report!U1306</f>
        <v>300</v>
      </c>
      <c r="D1001" s="1" t="str">
        <f aca="false">Report!X1306</f>
        <v>COMPRAS - VISCERAS (BOLETO) - ELLEN</v>
      </c>
    </row>
    <row r="1002" customFormat="false" ht="12.75" hidden="false" customHeight="true" outlineLevel="0" collapsed="false">
      <c r="A1002" s="23" t="n">
        <f aca="false">Report!C1307</f>
        <v>46260</v>
      </c>
      <c r="B1002" s="1" t="str">
        <f aca="false">Report!E1307</f>
        <v>PANIFICADORA E CONFEITARIA REAL MADRI LTDA</v>
      </c>
      <c r="C1002" s="17" t="n">
        <f aca="false">Report!U1307</f>
        <v>265.81</v>
      </c>
      <c r="D1002" s="1" t="str">
        <f aca="false">Report!X1307</f>
        <v>NF 772 ELLEN</v>
      </c>
    </row>
    <row r="1003" customFormat="false" ht="12.75" hidden="false" customHeight="true" outlineLevel="0" collapsed="false">
      <c r="A1003" s="23" t="n">
        <f aca="false">Report!C1309</f>
        <v>46261</v>
      </c>
      <c r="B1003" s="1" t="str">
        <f aca="false">Report!E1309</f>
        <v>EDMARA COMERCIO DE HIGIENE PESSOAL LTDA</v>
      </c>
      <c r="C1003" s="17" t="n">
        <f aca="false">Report!U1309</f>
        <v>382.62</v>
      </c>
      <c r="D1003" s="1" t="str">
        <f aca="false">Report!X1309</f>
        <v>NF 8582 ELLEN</v>
      </c>
    </row>
    <row r="1004" customFormat="false" ht="12.75" hidden="false" customHeight="true" outlineLevel="0" collapsed="false">
      <c r="A1004" s="23" t="n">
        <f aca="false">Report!C1310</f>
        <v>46261</v>
      </c>
      <c r="B1004" s="1" t="str">
        <f aca="false">Report!E1310</f>
        <v>EDMARA COMERCIO DE HIGIENE PESSOAL LTDA</v>
      </c>
      <c r="C1004" s="17" t="n">
        <f aca="false">Report!U1310</f>
        <v>520.47</v>
      </c>
      <c r="D1004" s="1" t="str">
        <f aca="false">Report!X1310</f>
        <v>NF 8583 - DESPESAS-SACOLAS/FILME - ELLEN</v>
      </c>
    </row>
    <row r="1005" customFormat="false" ht="12.75" hidden="false" customHeight="true" outlineLevel="0" collapsed="false">
      <c r="A1005" s="23" t="n">
        <f aca="false">Report!C1311</f>
        <v>46261</v>
      </c>
      <c r="B1005" s="1" t="str">
        <f aca="false">Report!E1311</f>
        <v>DISTRIBUIDORA LOPES LTDA</v>
      </c>
      <c r="C1005" s="17" t="n">
        <f aca="false">Report!U1311</f>
        <v>692.26</v>
      </c>
      <c r="D1005" s="1" t="str">
        <f aca="false">Report!X1311</f>
        <v>NF 1710665 ELLEN</v>
      </c>
    </row>
    <row r="1006" customFormat="false" ht="12.75" hidden="false" customHeight="true" outlineLevel="0" collapsed="false">
      <c r="A1006" s="23" t="n">
        <f aca="false">Report!C1312</f>
        <v>46261</v>
      </c>
      <c r="B1006" s="1" t="str">
        <f aca="false">Report!E1312</f>
        <v>FENNIX BRASIL DISTRIBUIDORA DE PRODUTOS</v>
      </c>
      <c r="C1006" s="17" t="n">
        <f aca="false">Report!U1312</f>
        <v>668.77</v>
      </c>
      <c r="D1006" s="1" t="str">
        <f aca="false">Report!X1312</f>
        <v>NF 398227 ELLEN</v>
      </c>
    </row>
    <row r="1007" customFormat="false" ht="12.75" hidden="false" customHeight="true" outlineLevel="0" collapsed="false">
      <c r="A1007" s="23" t="n">
        <f aca="false">Report!C1313</f>
        <v>46261</v>
      </c>
      <c r="B1007" s="1" t="str">
        <f aca="false">Report!E1313</f>
        <v>OCIDENTAL COMERCIO DE FRIOS LTDA</v>
      </c>
      <c r="C1007" s="17" t="n">
        <f aca="false">Report!U1313</f>
        <v>386.74</v>
      </c>
      <c r="D1007" s="1" t="str">
        <f aca="false">Report!X1313</f>
        <v>NF 1258801 ELLEN</v>
      </c>
    </row>
    <row r="1008" customFormat="false" ht="12.75" hidden="false" customHeight="true" outlineLevel="0" collapsed="false">
      <c r="A1008" s="23" t="n">
        <f aca="false">Report!C1314</f>
        <v>46261</v>
      </c>
      <c r="B1008" s="1" t="str">
        <f aca="false">Report!E1314</f>
        <v>CB COMERCIO E DISTRIBUIDORA DE ALIMENTOS</v>
      </c>
      <c r="C1008" s="17" t="n">
        <f aca="false">Report!U1314</f>
        <v>436.02</v>
      </c>
      <c r="D1008" s="1" t="str">
        <f aca="false">Report!X1314</f>
        <v>NF 862791 ELLEN</v>
      </c>
    </row>
    <row r="1009" customFormat="false" ht="12.75" hidden="false" customHeight="true" outlineLevel="0" collapsed="false">
      <c r="A1009" s="23" t="n">
        <f aca="false">Report!C1315</f>
        <v>46261</v>
      </c>
      <c r="B1009" s="1" t="str">
        <f aca="false">Report!E1315</f>
        <v>VICTORIA COMERCIO INTERNACIONAL DE ALIME</v>
      </c>
      <c r="C1009" s="17" t="n">
        <f aca="false">Report!U1315</f>
        <v>855.99</v>
      </c>
      <c r="D1009" s="1" t="str">
        <f aca="false">Report!X1315</f>
        <v>NF 12793 ELLEN</v>
      </c>
    </row>
    <row r="1010" customFormat="false" ht="12.75" hidden="false" customHeight="true" outlineLevel="0" collapsed="false">
      <c r="A1010" s="23" t="n">
        <f aca="false">Report!C1316</f>
        <v>46261</v>
      </c>
      <c r="B1010" s="1" t="str">
        <f aca="false">Report!E1316</f>
        <v>TAPAJOS COM DE PERFUMARIA COSMETICOS E G</v>
      </c>
      <c r="C1010" s="17" t="n">
        <f aca="false">Report!U1316</f>
        <v>793.82</v>
      </c>
      <c r="D1010" s="1" t="str">
        <f aca="false">Report!X1316</f>
        <v>NF 586415 ELLEN</v>
      </c>
    </row>
    <row r="1011" customFormat="false" ht="12.75" hidden="false" customHeight="true" outlineLevel="0" collapsed="false">
      <c r="A1011" s="23" t="n">
        <f aca="false">Report!C1317</f>
        <v>46261</v>
      </c>
      <c r="B1011" s="1" t="str">
        <f aca="false">Report!E1317</f>
        <v>ADRIANO FEITOSA OLIVEIRA LTDA</v>
      </c>
      <c r="C1011" s="17" t="n">
        <f aca="false">Report!U1317</f>
        <v>1734.8</v>
      </c>
      <c r="D1011" s="1" t="str">
        <f aca="false">Report!X1317</f>
        <v>NF 368 ELLEN</v>
      </c>
    </row>
    <row r="1012" customFormat="false" ht="12.75" hidden="false" customHeight="true" outlineLevel="0" collapsed="false">
      <c r="A1012" s="23" t="n">
        <f aca="false">Report!C1318</f>
        <v>46262</v>
      </c>
      <c r="B1012" s="1" t="str">
        <f aca="false">Report!E1318</f>
        <v>SOUZA CRUZ LTDA.</v>
      </c>
      <c r="C1012" s="17" t="n">
        <f aca="false">Report!U1318</f>
        <v>4605.48</v>
      </c>
      <c r="D1012" s="1" t="str">
        <f aca="false">Report!X1318</f>
        <v>NF 569335 ELLEN</v>
      </c>
    </row>
    <row r="1013" customFormat="false" ht="12.75" hidden="false" customHeight="true" outlineLevel="0" collapsed="false">
      <c r="A1013" s="23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50.85</v>
      </c>
      <c r="D1013" s="1" t="str">
        <f aca="false">Report!X1319</f>
        <v>NF 1246872 ELLEN</v>
      </c>
    </row>
    <row r="1014" customFormat="false" ht="12.75" hidden="false" customHeight="true" outlineLevel="0" collapsed="false">
      <c r="A1014" s="23" t="n">
        <f aca="false">Report!C1320</f>
        <v>46262</v>
      </c>
      <c r="B1014" s="1" t="str">
        <f aca="false">Report!E1320</f>
        <v>BRASIL NORTE BEBIDAS S/A</v>
      </c>
      <c r="C1014" s="17" t="n">
        <f aca="false">Report!U1320</f>
        <v>620.26</v>
      </c>
      <c r="D1014" s="1" t="str">
        <f aca="false">Report!X1320</f>
        <v>NF 1246873 ELLEN</v>
      </c>
    </row>
    <row r="1015" customFormat="false" ht="12.75" hidden="false" customHeight="true" outlineLevel="0" collapsed="false">
      <c r="A1015" s="23" t="n">
        <f aca="false">Report!C1321</f>
        <v>46262</v>
      </c>
      <c r="B1015" s="1" t="str">
        <f aca="false">Report!E1321</f>
        <v>BRASIL NORTE BEBIDAS S/A</v>
      </c>
      <c r="C1015" s="17" t="n">
        <f aca="false">Report!U1321</f>
        <v>2148.12</v>
      </c>
      <c r="D1015" s="1" t="str">
        <f aca="false">Report!X1321</f>
        <v>NF 1986776 ELLEN</v>
      </c>
    </row>
    <row r="1016" customFormat="false" ht="12.75" hidden="false" customHeight="true" outlineLevel="0" collapsed="false">
      <c r="A1016" s="23" t="n">
        <f aca="false">Report!C1322</f>
        <v>46262</v>
      </c>
      <c r="B1016" s="1" t="str">
        <f aca="false">Report!E1322</f>
        <v>L S M COMERCIO DE ALIMENTOS E NAVEGACAO</v>
      </c>
      <c r="C1016" s="17" t="n">
        <f aca="false">Report!U1322</f>
        <v>474.75</v>
      </c>
      <c r="D1016" s="1" t="str">
        <f aca="false">Report!X1322</f>
        <v>NF 311351 ELLEN</v>
      </c>
    </row>
    <row r="1017" customFormat="false" ht="12.75" hidden="false" customHeight="true" outlineLevel="0" collapsed="false">
      <c r="A1017" s="23" t="n">
        <f aca="false">Report!C1323</f>
        <v>46262</v>
      </c>
      <c r="B1017" s="1" t="str">
        <f aca="false">Report!E1323</f>
        <v>COMERCIO DE FRIOS MANAUS LTDA</v>
      </c>
      <c r="C1017" s="17" t="n">
        <f aca="false">Report!U1323</f>
        <v>2334.75</v>
      </c>
      <c r="D1017" s="1" t="str">
        <f aca="false">Report!X1323</f>
        <v>NF 175038 ELLEN</v>
      </c>
    </row>
    <row r="1018" customFormat="false" ht="12.75" hidden="false" customHeight="true" outlineLevel="0" collapsed="false">
      <c r="A1018" s="23" t="n">
        <f aca="false">Report!C1324</f>
        <v>46262</v>
      </c>
      <c r="B1018" s="1" t="str">
        <f aca="false">Report!E1324</f>
        <v>SAO JOSE COMERCIO DE LATICINIOS E FRIOS</v>
      </c>
      <c r="C1018" s="17" t="n">
        <f aca="false">Report!U1324</f>
        <v>814.25</v>
      </c>
      <c r="D1018" s="1" t="str">
        <f aca="false">Report!X1324</f>
        <v>NF 3877 ELLEN</v>
      </c>
    </row>
    <row r="1019" customFormat="false" ht="12.75" hidden="false" customHeight="true" outlineLevel="0" collapsed="false">
      <c r="A1019" s="23" t="n">
        <f aca="false">Report!C1325</f>
        <v>46262</v>
      </c>
      <c r="B1019" s="1" t="str">
        <f aca="false">Report!E1325</f>
        <v>NEYLIANE S DE OLIVEIRA &amp; CIA LTDA</v>
      </c>
      <c r="C1019" s="17" t="n">
        <f aca="false">Report!U1325</f>
        <v>1383</v>
      </c>
      <c r="D1019" s="1" t="str">
        <f aca="false">Report!X1325</f>
        <v>COMPRAS - FARINHA CRUZEIRO - ELLEN</v>
      </c>
    </row>
    <row r="1020" customFormat="false" ht="12.75" hidden="false" customHeight="true" outlineLevel="0" collapsed="false">
      <c r="A1020" s="23" t="n">
        <f aca="false">Report!C1326</f>
        <v>46262</v>
      </c>
      <c r="B1020" s="1" t="str">
        <f aca="false">Report!E1326</f>
        <v>SOUZA CRUZ LTDA.</v>
      </c>
      <c r="C1020" s="17" t="n">
        <f aca="false">Report!U1326</f>
        <v>5860.74</v>
      </c>
      <c r="D1020" s="1" t="str">
        <f aca="false">Report!X1326</f>
        <v>NF 570907 ELLEN</v>
      </c>
    </row>
    <row r="1021" customFormat="false" ht="12.75" hidden="false" customHeight="true" outlineLevel="0" collapsed="false">
      <c r="A1021" s="23" t="n">
        <f aca="false">Report!C1328</f>
        <v>46263</v>
      </c>
      <c r="B1021" s="1" t="str">
        <f aca="false">Report!E1328</f>
        <v>DISTRIBUIDORA FARIAS LTDA.</v>
      </c>
      <c r="C1021" s="17" t="n">
        <f aca="false">Report!U1328</f>
        <v>1422.67</v>
      </c>
      <c r="D1021" s="1" t="str">
        <f aca="false">Report!X1328</f>
        <v>NF 689224 ELLEN</v>
      </c>
    </row>
    <row r="1022" customFormat="false" ht="12.75" hidden="false" customHeight="true" outlineLevel="0" collapsed="false">
      <c r="A1022" s="23" t="n">
        <f aca="false">Report!C1329</f>
        <v>46263</v>
      </c>
      <c r="B1022" s="1" t="str">
        <f aca="false">Report!E1329</f>
        <v>MAXFRI DISTRIUIDORA LTDA</v>
      </c>
      <c r="C1022" s="17" t="n">
        <f aca="false">Report!U1329</f>
        <v>4164.18</v>
      </c>
      <c r="D1022" s="1" t="str">
        <f aca="false">Report!X1329</f>
        <v>NF 15127 ELLEN</v>
      </c>
    </row>
    <row r="1023" customFormat="false" ht="12.75" hidden="false" customHeight="true" outlineLevel="0" collapsed="false">
      <c r="A1023" s="23" t="n">
        <f aca="false">Report!C1330</f>
        <v>46264</v>
      </c>
      <c r="B1023" s="1" t="str">
        <f aca="false">Report!E1330</f>
        <v>EMOPS CONTROLE AMBIENTAL EIRELI</v>
      </c>
      <c r="C1023" s="17" t="n">
        <f aca="false">Report!U1330</f>
        <v>420</v>
      </c>
      <c r="D1023" s="1" t="str">
        <f aca="false">Report!X1330</f>
        <v>MENSALIDADE DEDETIZACAO MO2 - KEILA</v>
      </c>
    </row>
    <row r="1024" customFormat="false" ht="12.75" hidden="false" customHeight="true" outlineLevel="0" collapsed="false">
      <c r="A1024" s="23" t="n">
        <f aca="false">Report!C1331</f>
        <v>46264</v>
      </c>
      <c r="B1024" s="1" t="str">
        <f aca="false">Report!E1331</f>
        <v>PRIME PET DISTRIBUIDORA LTDA</v>
      </c>
      <c r="C1024" s="17" t="n">
        <f aca="false">Report!U1331</f>
        <v>446.28</v>
      </c>
      <c r="D1024" s="1" t="str">
        <f aca="false">Report!X1331</f>
        <v>NF 11173 ELLEN</v>
      </c>
    </row>
    <row r="1025" customFormat="false" ht="12.75" hidden="false" customHeight="true" outlineLevel="0" collapsed="false">
      <c r="A1025" s="23" t="n">
        <f aca="false">Report!C1332</f>
        <v>46264</v>
      </c>
      <c r="B1025" s="1" t="str">
        <f aca="false">Report!E1332</f>
        <v>COMERCIO DE FRIOS MANAUS LTDA</v>
      </c>
      <c r="C1025" s="17" t="n">
        <f aca="false">Report!U1332</f>
        <v>3809.5</v>
      </c>
      <c r="D1025" s="1" t="str">
        <f aca="false">Report!X1332</f>
        <v>NF 175169 ELLEN</v>
      </c>
    </row>
    <row r="1026" customFormat="false" ht="12.75" hidden="false" customHeight="true" outlineLevel="0" collapsed="false">
      <c r="A1026" s="23" t="n">
        <f aca="false">Report!C1333</f>
        <v>46264</v>
      </c>
      <c r="B1026" s="1" t="str">
        <f aca="false">Report!E1333</f>
        <v>AMAZON DISTRIBUIDORA DE PRODUTOS ALIMENT</v>
      </c>
      <c r="C1026" s="17" t="n">
        <f aca="false">Report!U1333</f>
        <v>618.65</v>
      </c>
      <c r="D1026" s="1" t="str">
        <f aca="false">Report!X1333</f>
        <v>NF 91661 ELLEN</v>
      </c>
    </row>
    <row r="1027" customFormat="false" ht="12.75" hidden="false" customHeight="true" outlineLevel="0" collapsed="false">
      <c r="A1027" s="23" t="n">
        <f aca="false">Report!C1334</f>
        <v>46265</v>
      </c>
      <c r="B1027" s="1" t="str">
        <f aca="false">Report!E1334</f>
        <v>ATACADAO S.A.</v>
      </c>
      <c r="C1027" s="17" t="n">
        <f aca="false">Report!U1334</f>
        <v>1220.6</v>
      </c>
      <c r="D1027" s="1" t="str">
        <f aca="false">Report!X1334</f>
        <v>NF 1915875 ELLEN</v>
      </c>
    </row>
    <row r="1028" customFormat="false" ht="12.75" hidden="false" customHeight="true" outlineLevel="0" collapsed="false">
      <c r="A1028" s="23" t="n">
        <f aca="false">Report!C1335</f>
        <v>46265</v>
      </c>
      <c r="B1028" s="1" t="str">
        <f aca="false">Report!E1335</f>
        <v>EDSON AGUIAR DE SOUZA</v>
      </c>
      <c r="C1028" s="17" t="n">
        <f aca="false">Report!U1335</f>
        <v>97.5</v>
      </c>
      <c r="D1028" s="1" t="str">
        <f aca="false">Report!X1335</f>
        <v>COMPRAS - CHEIRO-VERDE - ELLEN</v>
      </c>
    </row>
    <row r="1029" customFormat="false" ht="12.75" hidden="false" customHeight="true" outlineLevel="0" collapsed="false">
      <c r="A1029" s="23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151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3" t="n">
        <f aca="false">Report!C1337</f>
        <v>46265</v>
      </c>
      <c r="B1030" s="1" t="str">
        <f aca="false">Report!E1337</f>
        <v>MARQUES &amp; MELO LTDA - FILIAL</v>
      </c>
      <c r="C1030" s="17" t="n">
        <f aca="false">Report!U1337</f>
        <v>470.34</v>
      </c>
      <c r="D1030" s="1" t="str">
        <f aca="false">Report!X1337</f>
        <v>NF 508442 ELLEN</v>
      </c>
    </row>
    <row r="1031" customFormat="false" ht="12.75" hidden="false" customHeight="true" outlineLevel="0" collapsed="false">
      <c r="A1031" s="23" t="n">
        <f aca="false">Report!C1340</f>
        <v>46265</v>
      </c>
      <c r="B1031" s="1" t="str">
        <f aca="false">Report!E1340</f>
        <v>EDSON AGUIAR DE SOUZA</v>
      </c>
      <c r="C1031" s="17" t="n">
        <f aca="false">Report!U1340</f>
        <v>156</v>
      </c>
      <c r="D1031" s="1" t="str">
        <f aca="false">Report!X1340</f>
        <v>COMPRAS - CHEIRO-VERDE - ELLEN</v>
      </c>
    </row>
    <row r="1032" customFormat="false" ht="12.75" hidden="false" customHeight="true" outlineLevel="0" collapsed="false">
      <c r="A1032" s="23" t="n">
        <f aca="false">Report!C1341</f>
        <v>46265</v>
      </c>
      <c r="B1032" s="1" t="str">
        <f aca="false">Report!E1341</f>
        <v>EDSON AGUIAR DE SOUZA</v>
      </c>
      <c r="C1032" s="17" t="n">
        <f aca="false">Report!U1341</f>
        <v>100.5</v>
      </c>
      <c r="D1032" s="1" t="str">
        <f aca="false">Report!X1341</f>
        <v>COMPRAS - CHEIRO-VERDE - ELLEN</v>
      </c>
    </row>
    <row r="1033" customFormat="false" ht="12.75" hidden="false" customHeight="true" outlineLevel="0" collapsed="false">
      <c r="A1033" s="15" t="n">
        <f aca="false">Report!C1342</f>
        <v>46265</v>
      </c>
      <c r="B1033" s="1" t="str">
        <f aca="false">Report!E1342</f>
        <v>EDSON AGUIAR DE SOUZA</v>
      </c>
      <c r="C1033" s="17" t="n">
        <f aca="false">Report!U1342</f>
        <v>140</v>
      </c>
      <c r="D1033" s="1" t="str">
        <f aca="false">Report!X1342</f>
        <v>COMPRAS - CHEIRO-VERDE -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PANAMERICAN ELETRIC DO BRASIL LTDA</v>
      </c>
      <c r="C1034" s="17" t="n">
        <f aca="false">Report!U1344</f>
        <v>1898</v>
      </c>
      <c r="D1034" s="1" t="str">
        <f aca="false">Report!X1344</f>
        <v>NF 17382 DESPESA-AR CONDICIONADOS-CT DIA 1 PARC10/10-ELLEN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L S C DA SILVA PRADO LTDA</v>
      </c>
      <c r="C1035" s="17" t="n">
        <f aca="false">Report!U1345</f>
        <v>378.82</v>
      </c>
      <c r="D1035" s="1" t="str">
        <f aca="false">Report!X1345</f>
        <v>NF 258 DESPESAS - CT DIA 1 - PARC 7/12 -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A. CORREA JUNIOR</v>
      </c>
      <c r="C1036" s="17" t="n">
        <f aca="false">Report!U1346</f>
        <v>1290.16</v>
      </c>
      <c r="D1036" s="1" t="str">
        <f aca="false">Report!X1346</f>
        <v>NF 1829 CARTÃO DIA 1 PARC 3/3 -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FUNNY PET DISTRIBUIDORA DE ALIMENTOS PAR</v>
      </c>
      <c r="C1037" s="17" t="n">
        <f aca="false">Report!U1347</f>
        <v>1501.38</v>
      </c>
      <c r="D1037" s="1" t="str">
        <f aca="false">Report!X1347</f>
        <v>NF 21189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OPPORTUNITY ALIMENTOS PARA ANIMAIS LTDA</v>
      </c>
      <c r="C1038" s="17" t="n">
        <f aca="false">Report!U1348</f>
        <v>591.07</v>
      </c>
      <c r="D1038" s="1" t="str">
        <f aca="false">Report!X1348</f>
        <v>NF 34738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AUTO POSTO AMAZON</v>
      </c>
      <c r="C1039" s="17" t="n">
        <f aca="false">Report!U1349</f>
        <v>200</v>
      </c>
      <c r="D1039" s="1" t="str">
        <f aca="false">Report!X1349</f>
        <v>COMBUSTIVEL SR RENATO - CT DIA 1 -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A. CORREA JUNIOR</v>
      </c>
      <c r="C1040" s="17" t="n">
        <f aca="false">Report!U1350</f>
        <v>638.75</v>
      </c>
      <c r="D1040" s="1" t="str">
        <f aca="false">Report!X1350</f>
        <v>NF 1898 CT DIA 1 - PARC 1/2 -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PIARARA COMERCIO, IMPORTACAO E EXPORTACAO LTDA</v>
      </c>
      <c r="C1041" s="17" t="n">
        <f aca="false">Report!U1351</f>
        <v>599.85</v>
      </c>
      <c r="D1041" s="1" t="str">
        <f aca="false">Report!X1351</f>
        <v>NF 195597 ELLEN</v>
      </c>
    </row>
    <row r="1042" customFormat="false" ht="12.75" hidden="false" customHeight="true" outlineLevel="0" collapsed="false">
      <c r="A1042" s="15" t="n">
        <f aca="false">Report!C1353</f>
        <v>46266</v>
      </c>
      <c r="B1042" s="1" t="str">
        <f aca="false">Report!E1353</f>
        <v>BRASIL NORTE BEBIDAS S/A</v>
      </c>
      <c r="C1042" s="17" t="n">
        <f aca="false">Report!U1353</f>
        <v>2351.65</v>
      </c>
      <c r="D1042" s="1" t="str">
        <f aca="false">Report!X1353</f>
        <v>NF 1993231 ELLEN</v>
      </c>
    </row>
    <row r="1043" customFormat="false" ht="12.75" hidden="false" customHeight="true" outlineLevel="0" collapsed="false">
      <c r="A1043" s="15" t="n">
        <f aca="false">Report!C1354</f>
        <v>46266</v>
      </c>
      <c r="B1043" s="1" t="str">
        <f aca="false">Report!E1354</f>
        <v>J. A. F. DE LIMA</v>
      </c>
      <c r="C1043" s="17" t="n">
        <f aca="false">Report!U1354</f>
        <v>645.72</v>
      </c>
      <c r="D1043" s="1" t="str">
        <f aca="false">Report!X1354</f>
        <v>NF 160332 ELLEN</v>
      </c>
    </row>
    <row r="1044" customFormat="false" ht="12.75" hidden="false" customHeight="true" outlineLevel="0" collapsed="false">
      <c r="A1044" s="15" t="n">
        <f aca="false">Report!C1355</f>
        <v>46266</v>
      </c>
      <c r="B1044" s="1" t="str">
        <f aca="false">Report!E1355</f>
        <v>BONNA VITTA INDUSTRIA E COMERCIO LTDA.</v>
      </c>
      <c r="C1044" s="17" t="n">
        <f aca="false">Report!U1355</f>
        <v>1276.2</v>
      </c>
      <c r="D1044" s="1" t="str">
        <f aca="false">Report!X1355</f>
        <v>NF 3745 ELLEN</v>
      </c>
    </row>
    <row r="1045" customFormat="false" ht="12.75" hidden="false" customHeight="true" outlineLevel="0" collapsed="false">
      <c r="A1045" s="15" t="n">
        <f aca="false">Report!C1356</f>
        <v>46266</v>
      </c>
      <c r="B1045" s="1" t="str">
        <f aca="false">Report!E1356</f>
        <v>SUPER CANCUN COMERCIO DE PRODUTOS ALIMEN</v>
      </c>
      <c r="C1045" s="17" t="n">
        <f aca="false">Report!U1356</f>
        <v>548.18</v>
      </c>
      <c r="D1045" s="1" t="str">
        <f aca="false">Report!X1356</f>
        <v>NF 265359 ELLEN</v>
      </c>
    </row>
    <row r="1046" customFormat="false" ht="12.75" hidden="false" customHeight="true" outlineLevel="0" collapsed="false">
      <c r="A1046" s="15" t="n">
        <f aca="false">Report!C1357</f>
        <v>46266</v>
      </c>
      <c r="B1046" s="1" t="str">
        <f aca="false">Report!E1357</f>
        <v>L. J. DA SILVA LTDA</v>
      </c>
      <c r="C1046" s="17" t="n">
        <f aca="false">Report!U1357</f>
        <v>421</v>
      </c>
      <c r="D1046" s="1" t="str">
        <f aca="false">Report!X1357</f>
        <v>NF 37213 ELLEN</v>
      </c>
    </row>
    <row r="1047" customFormat="false" ht="12.75" hidden="false" customHeight="true" outlineLevel="0" collapsed="false">
      <c r="A1047" s="15" t="n">
        <f aca="false">Report!C1358</f>
        <v>46266</v>
      </c>
      <c r="B1047" s="1" t="str">
        <f aca="false">Report!E1358</f>
        <v>AUTO POSTO FILIAL</v>
      </c>
      <c r="C1047" s="17" t="n">
        <f aca="false">Report!U1358</f>
        <v>489.15</v>
      </c>
      <c r="D1047" s="1" t="str">
        <f aca="false">Report!X1358</f>
        <v>COMBUSTIVEL S10 RENATO MO2 - KEILA</v>
      </c>
    </row>
    <row r="1048" customFormat="false" ht="12.75" hidden="false" customHeight="true" outlineLevel="0" collapsed="false">
      <c r="A1048" s="15" t="n">
        <f aca="false">Report!C1360</f>
        <v>46267</v>
      </c>
      <c r="B1048" s="1" t="str">
        <f aca="false">Report!E1360</f>
        <v>DISTRIBUIDORA LOPES LTDA</v>
      </c>
      <c r="C1048" s="17" t="n">
        <f aca="false">Report!U1360</f>
        <v>1279.58</v>
      </c>
      <c r="D1048" s="1" t="str">
        <f aca="false">Report!X1360</f>
        <v>NF 1709601 ELLEN</v>
      </c>
    </row>
    <row r="1049" customFormat="false" ht="12.75" hidden="false" customHeight="true" outlineLevel="0" collapsed="false">
      <c r="A1049" s="15" t="n">
        <f aca="false">Report!C1361</f>
        <v>46267</v>
      </c>
      <c r="B1049" s="1" t="str">
        <f aca="false">Report!E1361</f>
        <v>FH DISTRIBUIDORA DE ALIM. E BEBIDAS LTDA</v>
      </c>
      <c r="C1049" s="17" t="n">
        <f aca="false">Report!U1361</f>
        <v>700.7</v>
      </c>
      <c r="D1049" s="1" t="str">
        <f aca="false">Report!X1361</f>
        <v>NF 330057 ELLEN</v>
      </c>
    </row>
    <row r="1050" customFormat="false" ht="12.75" hidden="false" customHeight="true" outlineLevel="0" collapsed="false">
      <c r="A1050" s="15" t="n">
        <f aca="false">Report!C1362</f>
        <v>46267</v>
      </c>
      <c r="B1050" s="1" t="str">
        <f aca="false">Report!E1362</f>
        <v>VIA CERTA INDUSTRIA E COMERCIO DE SANEANTES LTDA</v>
      </c>
      <c r="C1050" s="17" t="n">
        <f aca="false">Report!U1362</f>
        <v>205.44</v>
      </c>
      <c r="D1050" s="1" t="str">
        <f aca="false">Report!X1362</f>
        <v>NF 44054 ELLEN</v>
      </c>
    </row>
    <row r="1051" customFormat="false" ht="12.75" hidden="false" customHeight="true" outlineLevel="0" collapsed="false">
      <c r="A1051" s="15" t="n">
        <f aca="false">Report!C1363</f>
        <v>46267</v>
      </c>
      <c r="B1051" s="1" t="str">
        <f aca="false">Report!E1363</f>
        <v>RISADINHA LTDA</v>
      </c>
      <c r="C1051" s="17" t="n">
        <f aca="false">Report!U1363</f>
        <v>830.14</v>
      </c>
      <c r="D1051" s="1" t="str">
        <f aca="false">Report!X1363</f>
        <v>NF 668739 ELLEN</v>
      </c>
    </row>
    <row r="1052" customFormat="false" ht="12.75" hidden="false" customHeight="true" outlineLevel="0" collapsed="false">
      <c r="A1052" s="15" t="n">
        <f aca="false">Report!C1364</f>
        <v>46267</v>
      </c>
      <c r="B1052" s="1" t="str">
        <f aca="false">Report!E1364</f>
        <v>BRF S A</v>
      </c>
      <c r="C1052" s="17" t="n">
        <f aca="false">Report!U1364</f>
        <v>1164.76</v>
      </c>
      <c r="D1052" s="1" t="str">
        <f aca="false">Report!X1364</f>
        <v>NF 1619132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EDMARA COMERCIO DE HIGIENE PESSOAL LTDA</v>
      </c>
      <c r="C1053" s="17" t="n">
        <f aca="false">Report!U1365</f>
        <v>520.46</v>
      </c>
      <c r="D1053" s="1" t="str">
        <f aca="false">Report!X1365</f>
        <v>NF 8583 - DESPESAS-SACOLAS/FILME -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BRASIL NORTE BEBIDAS S/A</v>
      </c>
      <c r="C1054" s="17" t="n">
        <f aca="false">Report!U1366</f>
        <v>77.62</v>
      </c>
      <c r="D1054" s="1" t="str">
        <f aca="false">Report!X1366</f>
        <v>NF 1236492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DISTRIBUIDORA LOPES LTDA</v>
      </c>
      <c r="C1055" s="17" t="n">
        <f aca="false">Report!U1367</f>
        <v>692.26</v>
      </c>
      <c r="D1055" s="1" t="str">
        <f aca="false">Report!X1367</f>
        <v>NF 1710665 ELLEN</v>
      </c>
    </row>
    <row r="1056" customFormat="false" ht="12.75" hidden="false" customHeight="true" outlineLevel="0" collapsed="false">
      <c r="A1056" s="15" t="n">
        <f aca="false">Report!C1370</f>
        <v>46268</v>
      </c>
      <c r="B1056" s="1" t="str">
        <f aca="false">Report!E1370</f>
        <v>IRMÃOS LIMA  ATACADO  DE ALIMENTOS LTDA</v>
      </c>
      <c r="C1056" s="17" t="n">
        <f aca="false">Report!U1370</f>
        <v>1120.76</v>
      </c>
      <c r="D1056" s="1" t="str">
        <f aca="false">Report!X1370</f>
        <v>NF 297321 ELLEN</v>
      </c>
    </row>
    <row r="1057" customFormat="false" ht="12.75" hidden="false" customHeight="true" outlineLevel="0" collapsed="false">
      <c r="A1057" s="15" t="n">
        <f aca="false">Report!C1371</f>
        <v>46268</v>
      </c>
      <c r="B1057" s="1" t="str">
        <f aca="false">Report!E1371</f>
        <v>TAPAJOS COM DE PERFUMARIA COSMETICOS E G</v>
      </c>
      <c r="C1057" s="17" t="n">
        <f aca="false">Report!U1371</f>
        <v>793.81</v>
      </c>
      <c r="D1057" s="1" t="str">
        <f aca="false">Report!X1371</f>
        <v>NF 586415 ELLEN</v>
      </c>
    </row>
    <row r="1058" customFormat="false" ht="12.75" hidden="false" customHeight="true" outlineLevel="0" collapsed="false">
      <c r="A1058" s="15" t="n">
        <f aca="false">Report!C1372</f>
        <v>46268</v>
      </c>
      <c r="B1058" s="1" t="str">
        <f aca="false">Report!E1372</f>
        <v>FRIOTRANS COMERCIO E TRANSPORTES DE CARGAS LTDA</v>
      </c>
      <c r="C1058" s="17" t="n">
        <f aca="false">Report!U1372</f>
        <v>2055.66</v>
      </c>
      <c r="D1058" s="1" t="str">
        <f aca="false">Report!X1372</f>
        <v>NF 39521 ELLEN</v>
      </c>
    </row>
    <row r="1059" customFormat="false" ht="12.75" hidden="false" customHeight="true" outlineLevel="0" collapsed="false">
      <c r="A1059" s="15" t="n">
        <f aca="false">Report!C1373</f>
        <v>46268</v>
      </c>
      <c r="B1059" s="1" t="str">
        <f aca="false">Report!E1373</f>
        <v>TRES CORACOES ALIMENTOS S.A.</v>
      </c>
      <c r="C1059" s="17" t="n">
        <f aca="false">Report!U1373</f>
        <v>182.8</v>
      </c>
      <c r="D1059" s="1" t="str">
        <f aca="false">Report!X1373</f>
        <v>NF 357892 ELLEN</v>
      </c>
    </row>
    <row r="1060" customFormat="false" ht="12.75" hidden="false" customHeight="true" outlineLevel="0" collapsed="false">
      <c r="A1060" s="15" t="n">
        <f aca="false">Report!C1375</f>
        <v>46269</v>
      </c>
      <c r="B1060" s="1" t="str">
        <f aca="false">Report!E1375</f>
        <v>ACL REPARACAO E TECNOLOGIA DA INFORMACAO LTDA</v>
      </c>
      <c r="C1060" s="17" t="n">
        <f aca="false">Report!U1375</f>
        <v>270.9</v>
      </c>
      <c r="D1060" s="1" t="n">
        <f aca="false">Report!X1375</f>
        <v>0</v>
      </c>
    </row>
    <row r="1061" customFormat="false" ht="12.75" hidden="false" customHeight="true" outlineLevel="0" collapsed="false">
      <c r="A1061" s="15" t="n">
        <f aca="false">Report!C1376</f>
        <v>46269</v>
      </c>
      <c r="B1061" s="1" t="str">
        <f aca="false">Report!E1376</f>
        <v>VIA CERTA IMPORTACAO E DISTRIBUICAO DE A</v>
      </c>
      <c r="C1061" s="17" t="n">
        <f aca="false">Report!U1376</f>
        <v>1393.49</v>
      </c>
      <c r="D1061" s="1" t="str">
        <f aca="false">Report!X1376</f>
        <v>NF 53859 ELLEN</v>
      </c>
    </row>
    <row r="1062" customFormat="false" ht="12.75" hidden="false" customHeight="true" outlineLevel="0" collapsed="false">
      <c r="A1062" s="15" t="n">
        <f aca="false">Report!C1378</f>
        <v>46269</v>
      </c>
      <c r="B1062" s="1" t="str">
        <f aca="false">Report!E1378</f>
        <v>L S M COMERCIO DE ALIMENTOS E NAVEGACAO</v>
      </c>
      <c r="C1062" s="17" t="n">
        <f aca="false">Report!U1378</f>
        <v>474.75</v>
      </c>
      <c r="D1062" s="1" t="str">
        <f aca="false">Report!X1378</f>
        <v>NF 311351 ELLEN</v>
      </c>
    </row>
    <row r="1063" customFormat="false" ht="12.75" hidden="false" customHeight="true" outlineLevel="0" collapsed="false">
      <c r="A1063" s="15" t="n">
        <f aca="false">Report!C1379</f>
        <v>46269</v>
      </c>
      <c r="B1063" s="1" t="str">
        <f aca="false">Report!E1379</f>
        <v>SOUZA CRUZ LTDA.</v>
      </c>
      <c r="C1063" s="17" t="n">
        <f aca="false">Report!U1379</f>
        <v>5720.74</v>
      </c>
      <c r="D1063" s="1" t="str">
        <f aca="false">Report!X1379</f>
        <v>NF 570907 ELLEN</v>
      </c>
    </row>
    <row r="1064" customFormat="false" ht="12.75" hidden="false" customHeight="true" outlineLevel="0" collapsed="false">
      <c r="A1064" s="15" t="n">
        <f aca="false">Report!C1380</f>
        <v>46270</v>
      </c>
      <c r="B1064" s="1" t="str">
        <f aca="false">Report!E1380</f>
        <v>RENATO DE O AZEVEDO E CIA LTDA - EPP</v>
      </c>
      <c r="C1064" s="17" t="n">
        <f aca="false">Report!U1380</f>
        <v>250.1</v>
      </c>
      <c r="D1064" s="1" t="str">
        <f aca="false">Report!X1380</f>
        <v>SALARIO ELIANA MO2 PARTE ESO</v>
      </c>
    </row>
    <row r="1065" customFormat="false" ht="12.75" hidden="false" customHeight="true" outlineLevel="0" collapsed="false">
      <c r="A1065" s="15" t="n">
        <f aca="false">Report!C1381</f>
        <v>46270</v>
      </c>
      <c r="B1065" s="1" t="str">
        <f aca="false">Report!E1381</f>
        <v>DISTRIBUIDORA FARIAS LTDA.</v>
      </c>
      <c r="C1065" s="17" t="n">
        <f aca="false">Report!U1381</f>
        <v>706.56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46270</v>
      </c>
      <c r="B1066" s="1" t="str">
        <f aca="false">Report!E1382</f>
        <v>DISTRIBUIDORA FARIAS LTDA.</v>
      </c>
      <c r="C1066" s="17" t="n">
        <f aca="false">Report!U1382</f>
        <v>1422.67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OI S.A</v>
      </c>
      <c r="C1067" s="17" t="n">
        <f aca="false">Report!U1383</f>
        <v>119.97</v>
      </c>
      <c r="D1067" s="1" t="str">
        <f aca="false">Report!X1383</f>
        <v>MENS INTERNET OI MO2 - KEILA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NATUREZA COMERCIO DE DESCARTAVEIS LTDA</v>
      </c>
      <c r="C1068" s="17" t="n">
        <f aca="false">Report!U1384</f>
        <v>509.85</v>
      </c>
      <c r="D1068" s="1" t="str">
        <f aca="false">Report!X1384</f>
        <v>NF 747704 ELLEN</v>
      </c>
    </row>
    <row r="1069" customFormat="false" ht="12.75" hidden="false" customHeight="true" outlineLevel="0" collapsed="false">
      <c r="A1069" s="15" t="n">
        <f aca="false">Report!C1385</f>
        <v>46272</v>
      </c>
      <c r="B1069" s="1" t="str">
        <f aca="false">Report!E1385</f>
        <v>TAPAJOS COM DE PERFUMARIA COSMETICOS E G</v>
      </c>
      <c r="C1069" s="17" t="n">
        <f aca="false">Report!U1385</f>
        <v>271.2</v>
      </c>
      <c r="D1069" s="1" t="str">
        <f aca="false">Report!X1385</f>
        <v>NF 586317 ELLEN</v>
      </c>
    </row>
    <row r="1070" customFormat="false" ht="12.75" hidden="false" customHeight="true" outlineLevel="0" collapsed="false">
      <c r="A1070" s="15" t="n">
        <f aca="false">Report!C1386</f>
        <v>46272</v>
      </c>
      <c r="B1070" s="1" t="str">
        <f aca="false">Report!E1386</f>
        <v>BF COMERCIO DE ALIMENTOS REPRESENTACAO L</v>
      </c>
      <c r="C1070" s="17" t="n">
        <f aca="false">Report!U1386</f>
        <v>691.91</v>
      </c>
      <c r="D1070" s="1" t="str">
        <f aca="false">Report!X1386</f>
        <v>NF 21279 ELLEN</v>
      </c>
    </row>
    <row r="1071" customFormat="false" ht="12.75" hidden="false" customHeight="true" outlineLevel="0" collapsed="false">
      <c r="A1071" s="15" t="n">
        <f aca="false">Report!C1387</f>
        <v>46272</v>
      </c>
      <c r="B1071" s="1" t="str">
        <f aca="false">Report!E1387</f>
        <v>DUNORTE DISTRIBUIDORA DE PRODUTOS DE CONSUMO LTDA</v>
      </c>
      <c r="C1071" s="17" t="n">
        <f aca="false">Report!U1387</f>
        <v>1352.12</v>
      </c>
      <c r="D1071" s="1" t="str">
        <f aca="false">Report!X1387</f>
        <v>NF 3237634 ELLEN</v>
      </c>
    </row>
    <row r="1072" customFormat="false" ht="12.75" hidden="false" customHeight="true" outlineLevel="0" collapsed="false">
      <c r="A1072" s="15" t="n">
        <f aca="false">Report!C1388</f>
        <v>46272</v>
      </c>
      <c r="B1072" s="1" t="str">
        <f aca="false">Report!E1388</f>
        <v>DURAES DISTRIBUIDORA DE ESTIVAS LTDA</v>
      </c>
      <c r="C1072" s="17" t="n">
        <f aca="false">Report!U1388</f>
        <v>606.56</v>
      </c>
      <c r="D1072" s="1" t="str">
        <f aca="false">Report!X1388</f>
        <v>NF 654907 ELLEN</v>
      </c>
    </row>
    <row r="1073" customFormat="false" ht="12.75" hidden="false" customHeight="true" outlineLevel="0" collapsed="false">
      <c r="A1073" s="15" t="n">
        <f aca="false">Report!C1389</f>
        <v>46272</v>
      </c>
      <c r="B1073" s="1" t="str">
        <f aca="false">Report!E1389</f>
        <v>MAXPEL COMERCIAL LTDA</v>
      </c>
      <c r="C1073" s="17" t="n">
        <f aca="false">Report!U1389</f>
        <v>983.76</v>
      </c>
      <c r="D1073" s="1" t="str">
        <f aca="false">Report!X1389</f>
        <v>NFS 319296/319297 - ELLEN</v>
      </c>
    </row>
    <row r="1074" customFormat="false" ht="12.75" hidden="false" customHeight="true" outlineLevel="0" collapsed="false">
      <c r="A1074" s="15" t="n">
        <f aca="false">Report!C1390</f>
        <v>46272</v>
      </c>
      <c r="B1074" s="1" t="str">
        <f aca="false">Report!E1390</f>
        <v>SB COMERCIO LTDA</v>
      </c>
      <c r="C1074" s="17" t="n">
        <f aca="false">Report!U1390</f>
        <v>521.58</v>
      </c>
      <c r="D1074" s="1" t="str">
        <f aca="false">Report!X1390</f>
        <v>NF 1966312 ELLEN</v>
      </c>
    </row>
    <row r="1075" customFormat="false" ht="12.75" hidden="false" customHeight="true" outlineLevel="0" collapsed="false">
      <c r="A1075" s="15" t="n">
        <f aca="false">Report!C1391</f>
        <v>46273</v>
      </c>
      <c r="B1075" s="1" t="str">
        <f aca="false">Report!E1391</f>
        <v>ATACADAO S.A.</v>
      </c>
      <c r="C1075" s="17" t="n">
        <f aca="false">Report!U1391</f>
        <v>1184.7</v>
      </c>
      <c r="D1075" s="1" t="str">
        <f aca="false">Report!X1391</f>
        <v>NF 1915876 ELLEN</v>
      </c>
    </row>
    <row r="1076" customFormat="false" ht="12.75" hidden="false" customHeight="true" outlineLevel="0" collapsed="false">
      <c r="A1076" s="15" t="n">
        <f aca="false">Report!C1392</f>
        <v>46273</v>
      </c>
      <c r="B1076" s="1" t="str">
        <f aca="false">Report!E1392</f>
        <v>PIARARA COMERCIO, IMPORTACAO E EXPORTACAO LTDA</v>
      </c>
      <c r="C1076" s="17" t="n">
        <f aca="false">Report!U1392</f>
        <v>599.85</v>
      </c>
      <c r="D1076" s="1" t="str">
        <f aca="false">Report!X1392</f>
        <v>NF 195597 ELLEN</v>
      </c>
    </row>
    <row r="1077" customFormat="false" ht="12.75" hidden="false" customHeight="true" outlineLevel="0" collapsed="false">
      <c r="A1077" s="15" t="n">
        <f aca="false">Report!C1393</f>
        <v>46273</v>
      </c>
      <c r="B1077" s="1" t="str">
        <f aca="false">Report!E1393</f>
        <v>ROCHA E PAIVA LTDA</v>
      </c>
      <c r="C1077" s="17" t="n">
        <f aca="false">Report!U1393</f>
        <v>584.64</v>
      </c>
      <c r="D1077" s="1" t="str">
        <f aca="false">Report!X1393</f>
        <v>NF 211355 ELLEN</v>
      </c>
    </row>
    <row r="1078" customFormat="false" ht="12.75" hidden="false" customHeight="true" outlineLevel="0" collapsed="false">
      <c r="A1078" s="23" t="n">
        <f aca="false">Report!C1394</f>
        <v>46273</v>
      </c>
      <c r="B1078" s="1" t="str">
        <f aca="false">Report!E1394</f>
        <v>J. A. F. DE LIMA</v>
      </c>
      <c r="C1078" s="17" t="n">
        <f aca="false">Report!U1394</f>
        <v>645.71</v>
      </c>
      <c r="D1078" s="1" t="str">
        <f aca="false">Report!X1394</f>
        <v>NF 160332 ELLEN</v>
      </c>
    </row>
    <row r="1079" customFormat="false" ht="12.75" hidden="false" customHeight="true" outlineLevel="0" collapsed="false">
      <c r="A1079" s="23" t="n">
        <f aca="false">Report!C1398</f>
        <v>46274</v>
      </c>
      <c r="B1079" s="1" t="str">
        <f aca="false">Report!E1398</f>
        <v>RISADINHA LTDA</v>
      </c>
      <c r="C1079" s="17" t="n">
        <f aca="false">Report!U1398</f>
        <v>830.13</v>
      </c>
      <c r="D1079" s="1" t="str">
        <f aca="false">Report!X1398</f>
        <v>NF 668739 ELLEN</v>
      </c>
    </row>
    <row r="1080" customFormat="false" ht="12.75" hidden="false" customHeight="true" outlineLevel="0" collapsed="false">
      <c r="A1080" s="23" t="n">
        <f aca="false">Report!C1399</f>
        <v>46274</v>
      </c>
      <c r="B1080" s="1" t="str">
        <f aca="false">Report!E1399</f>
        <v>EMPRESA BRASILEIRA DE DISTRIBUICAO LTDA</v>
      </c>
      <c r="C1080" s="17" t="n">
        <f aca="false">Report!U1399</f>
        <v>1154.65</v>
      </c>
      <c r="D1080" s="1" t="str">
        <f aca="false">Report!X1399</f>
        <v>NF 2310769 ELLEN</v>
      </c>
    </row>
    <row r="1081" customFormat="false" ht="12.75" hidden="false" customHeight="true" outlineLevel="0" collapsed="false">
      <c r="A1081" s="23" t="n">
        <f aca="false">Report!C1400</f>
        <v>46275</v>
      </c>
      <c r="B1081" s="1" t="str">
        <f aca="false">Report!E1400</f>
        <v>FUNNY PET DISTRIBUIDORA DE ALIMENTOS PAR</v>
      </c>
      <c r="C1081" s="17" t="n">
        <f aca="false">Report!U1400</f>
        <v>128.85</v>
      </c>
      <c r="D1081" s="1" t="str">
        <f aca="false">Report!X1400</f>
        <v>NF 20440 ELLEN</v>
      </c>
    </row>
    <row r="1082" customFormat="false" ht="12.75" hidden="false" customHeight="true" outlineLevel="0" collapsed="false">
      <c r="A1082" s="23" t="n">
        <f aca="false">Report!C1401</f>
        <v>46275</v>
      </c>
      <c r="B1082" s="1" t="str">
        <f aca="false">Report!E1401</f>
        <v>NET CLARO</v>
      </c>
      <c r="C1082" s="17" t="n">
        <f aca="false">Report!U1401</f>
        <v>160</v>
      </c>
      <c r="D1082" s="1" t="str">
        <f aca="false">Report!X1401</f>
        <v>INTERNET MO2 - KEILA</v>
      </c>
    </row>
    <row r="1083" customFormat="false" ht="12.75" hidden="false" customHeight="true" outlineLevel="0" collapsed="false">
      <c r="A1083" s="23" t="n">
        <f aca="false">Report!C1402</f>
        <v>46275</v>
      </c>
      <c r="B1083" s="1" t="str">
        <f aca="false">Report!E1402</f>
        <v>RENATO DE O AZEVEDO E CIA LTDA - EPP</v>
      </c>
      <c r="C1083" s="17" t="n">
        <f aca="false">Report!U1402</f>
        <v>666.67</v>
      </c>
      <c r="D1083" s="1" t="str">
        <f aca="false">Report!X1402</f>
        <v>MENSALIDADE CONSULTORIA CISS PARTE MO2 - KELA</v>
      </c>
    </row>
    <row r="1084" customFormat="false" ht="12.75" hidden="false" customHeight="true" outlineLevel="0" collapsed="false">
      <c r="A1084" s="23" t="n">
        <f aca="false">Report!C1405</f>
        <v>46275</v>
      </c>
      <c r="B1084" s="1" t="str">
        <f aca="false">Report!E1405</f>
        <v>AGM COMERCIO E DISTRIBUIDORA DE MATERIAS DE PERFUMARIA E LIMPEZA LTDA</v>
      </c>
      <c r="C1084" s="17" t="n">
        <f aca="false">Report!U1405</f>
        <v>2153.25</v>
      </c>
      <c r="D1084" s="1" t="str">
        <f aca="false">Report!X1405</f>
        <v>NF 163912 ELLEN</v>
      </c>
    </row>
    <row r="1085" customFormat="false" ht="12.75" hidden="false" customHeight="true" outlineLevel="0" collapsed="false">
      <c r="A1085" s="23" t="n">
        <f aca="false">Report!C1406</f>
        <v>46275</v>
      </c>
      <c r="B1085" s="1" t="str">
        <f aca="false">Report!E1406</f>
        <v>ATACADAO S.A.</v>
      </c>
      <c r="C1085" s="17" t="n">
        <f aca="false">Report!U1406</f>
        <v>561.84</v>
      </c>
      <c r="D1085" s="1" t="str">
        <f aca="false">Report!X1406</f>
        <v>NF 1919900 ELLEN</v>
      </c>
    </row>
    <row r="1086" customFormat="false" ht="12.75" hidden="false" customHeight="true" outlineLevel="0" collapsed="false">
      <c r="A1086" s="23" t="n">
        <f aca="false">Report!C1407</f>
        <v>46275</v>
      </c>
      <c r="B1086" s="1" t="str">
        <f aca="false">Report!E1407</f>
        <v>TAPAJOS COM DE PERFUMARIA COSMETICOS E G</v>
      </c>
      <c r="C1086" s="17" t="n">
        <f aca="false">Report!U1407</f>
        <v>793.81</v>
      </c>
      <c r="D1086" s="1" t="str">
        <f aca="false">Report!X1407</f>
        <v>NF 586415 ELLEN</v>
      </c>
    </row>
    <row r="1087" customFormat="false" ht="12.75" hidden="false" customHeight="true" outlineLevel="0" collapsed="false">
      <c r="A1087" s="23" t="n">
        <f aca="false">Report!C1408</f>
        <v>46275</v>
      </c>
      <c r="B1087" s="1" t="str">
        <f aca="false">Report!E1408</f>
        <v>TRES CORACOES ALIMENTOS S.A.</v>
      </c>
      <c r="C1087" s="17" t="n">
        <f aca="false">Report!U1408</f>
        <v>182.8</v>
      </c>
      <c r="D1087" s="1" t="str">
        <f aca="false">Report!X1408</f>
        <v>NF 357892 ELLEN</v>
      </c>
    </row>
    <row r="1088" customFormat="false" ht="12.75" hidden="false" customHeight="true" outlineLevel="0" collapsed="false">
      <c r="A1088" s="23" t="n">
        <f aca="false">Report!C1409</f>
        <v>46275</v>
      </c>
      <c r="B1088" s="1" t="str">
        <f aca="false">Report!E1409</f>
        <v>ROBSON DE SOUSA MORAES</v>
      </c>
      <c r="C1088" s="17" t="n">
        <f aca="false">Report!U1409</f>
        <v>79.8</v>
      </c>
      <c r="D1088" s="1" t="str">
        <f aca="false">Report!X1409</f>
        <v>NF 13976 DESPESA-BARRA/ARRUELA - CT DIA 10 - ELLEN</v>
      </c>
    </row>
    <row r="1089" customFormat="false" ht="12.75" hidden="false" customHeight="true" outlineLevel="0" collapsed="false">
      <c r="A1089" s="23" t="n">
        <f aca="false">Report!C1412</f>
        <v>46277</v>
      </c>
      <c r="B1089" s="1" t="str">
        <f aca="false">Report!E1412</f>
        <v>DISTRIBUIDORA FARIAS LTDA.</v>
      </c>
      <c r="C1089" s="17" t="n">
        <f aca="false">Report!U1412</f>
        <v>706.55</v>
      </c>
      <c r="D1089" s="1" t="str">
        <f aca="false">Report!X1412</f>
        <v>NF 689222 ELLEN</v>
      </c>
    </row>
    <row r="1090" customFormat="false" ht="12.75" hidden="false" customHeight="true" outlineLevel="0" collapsed="false">
      <c r="A1090" s="23" t="n">
        <f aca="false">Report!C1413</f>
        <v>46277</v>
      </c>
      <c r="B1090" s="1" t="str">
        <f aca="false">Report!E1413</f>
        <v>DISTRIBUIDORA FARIAS LTDA.</v>
      </c>
      <c r="C1090" s="17" t="n">
        <f aca="false">Report!U1413</f>
        <v>1422.68</v>
      </c>
      <c r="D1090" s="1" t="str">
        <f aca="false">Report!X1413</f>
        <v>NF 689224 ELLEN</v>
      </c>
    </row>
    <row r="1091" customFormat="false" ht="12.75" hidden="false" customHeight="true" outlineLevel="0" collapsed="false">
      <c r="A1091" s="23" t="n">
        <f aca="false">Report!C1414</f>
        <v>46279</v>
      </c>
      <c r="B1091" s="1" t="str">
        <f aca="false">Report!E1414</f>
        <v>MAXPEL COMERCIAL LTDA</v>
      </c>
      <c r="C1091" s="17" t="n">
        <f aca="false">Report!U1414</f>
        <v>983.77</v>
      </c>
      <c r="D1091" s="1" t="str">
        <f aca="false">Report!X1414</f>
        <v>NFS 319296/319297 - ELLEN</v>
      </c>
    </row>
    <row r="1092" customFormat="false" ht="12.75" hidden="false" customHeight="true" outlineLevel="0" collapsed="false">
      <c r="A1092" s="23" t="n">
        <f aca="false">Report!C1415</f>
        <v>46279</v>
      </c>
      <c r="B1092" s="1" t="str">
        <f aca="false">Report!E1415</f>
        <v>SB COMERCIO LTDA</v>
      </c>
      <c r="C1092" s="17" t="n">
        <f aca="false">Report!U1415</f>
        <v>521.58</v>
      </c>
      <c r="D1092" s="1" t="str">
        <f aca="false">Report!X1415</f>
        <v>NF 1966312 ELLEN</v>
      </c>
    </row>
    <row r="1093" customFormat="false" ht="12.75" hidden="false" customHeight="true" outlineLevel="0" collapsed="false">
      <c r="A1093" s="23" t="n">
        <f aca="false">Report!C1416</f>
        <v>46280</v>
      </c>
      <c r="B1093" s="1" t="str">
        <f aca="false">Report!E1416</f>
        <v>PREFEITURA MUNICIPAL DE MANAUS - IPTU</v>
      </c>
      <c r="C1093" s="17" t="n">
        <f aca="false">Report!U1416</f>
        <v>228.88</v>
      </c>
      <c r="D1093" s="1" t="str">
        <f aca="false">Report!X1416</f>
        <v>PARC 07/10 MATR 101674 IPTU MO2 - KEILA</v>
      </c>
    </row>
    <row r="1094" customFormat="false" ht="12.75" hidden="false" customHeight="true" outlineLevel="0" collapsed="false">
      <c r="A1094" s="23" t="n">
        <f aca="false">Report!C1417</f>
        <v>46280</v>
      </c>
      <c r="B1094" s="1" t="str">
        <f aca="false">Report!E1417</f>
        <v>SOLANGE MARIA DE QUEIROZ</v>
      </c>
      <c r="C1094" s="17" t="n">
        <f aca="false">Report!U1417</f>
        <v>5700</v>
      </c>
      <c r="D1094" s="1" t="str">
        <f aca="false">Report!X1417</f>
        <v>ALUGUEL MO2 - KEILA</v>
      </c>
    </row>
    <row r="1095" customFormat="false" ht="12.75" hidden="false" customHeight="true" outlineLevel="0" collapsed="false">
      <c r="A1095" s="23" t="n">
        <f aca="false">Report!C1419</f>
        <v>46280</v>
      </c>
      <c r="B1095" s="1" t="str">
        <f aca="false">Report!E1419</f>
        <v>J. A. F. DE LIMA</v>
      </c>
      <c r="C1095" s="17" t="n">
        <f aca="false">Report!U1419</f>
        <v>645.71</v>
      </c>
      <c r="D1095" s="1" t="str">
        <f aca="false">Report!X1419</f>
        <v>NF 160332 ELLEN</v>
      </c>
    </row>
    <row r="1096" customFormat="false" ht="12.75" hidden="false" customHeight="true" outlineLevel="0" collapsed="false">
      <c r="A1096" s="23" t="n">
        <f aca="false">Report!C1420</f>
        <v>46280</v>
      </c>
      <c r="B1096" s="1" t="str">
        <f aca="false">Report!E1420</f>
        <v>SUPER CANCUN COMERCIO DE PRODUTOS ALIMEN</v>
      </c>
      <c r="C1096" s="17" t="n">
        <f aca="false">Report!U1420</f>
        <v>548.18</v>
      </c>
      <c r="D1096" s="1" t="str">
        <f aca="false">Report!X1420</f>
        <v>NF 265359 ELLEN</v>
      </c>
    </row>
    <row r="1097" customFormat="false" ht="12.75" hidden="false" customHeight="true" outlineLevel="0" collapsed="false">
      <c r="A1097" s="23" t="n">
        <f aca="false">Report!C1421</f>
        <v>46281</v>
      </c>
      <c r="B1097" s="1" t="str">
        <f aca="false">Report!E1421</f>
        <v>FUNNY PET DISTRIBUIDORA DE ALIMENTOS PAR</v>
      </c>
      <c r="C1097" s="17" t="n">
        <f aca="false">Report!U1421</f>
        <v>1501.38</v>
      </c>
      <c r="D1097" s="1" t="str">
        <f aca="false">Report!X1421</f>
        <v>NF 21189 ELLEN</v>
      </c>
    </row>
    <row r="1098" customFormat="false" ht="12.75" hidden="false" customHeight="true" outlineLevel="0" collapsed="false">
      <c r="A1098" s="23" t="n">
        <f aca="false">Report!C1425</f>
        <v>46282</v>
      </c>
      <c r="B1098" s="1" t="str">
        <f aca="false">Report!E1425</f>
        <v>OPPORTUNITY ALIMENTOS PARA ANIMAIS LTDA</v>
      </c>
      <c r="C1098" s="17" t="n">
        <f aca="false">Report!U1425</f>
        <v>685.15</v>
      </c>
      <c r="D1098" s="1" t="str">
        <f aca="false">Report!X1425</f>
        <v>NF 35161 ELLEN</v>
      </c>
    </row>
    <row r="1099" customFormat="false" ht="12.75" hidden="false" customHeight="true" outlineLevel="0" collapsed="false">
      <c r="A1099" s="23" t="n">
        <f aca="false">Report!C1426</f>
        <v>46282</v>
      </c>
      <c r="B1099" s="1" t="str">
        <f aca="false">Report!E1426</f>
        <v>TAPAJOS COM DE PERFUMARIA COSMETICOS E G</v>
      </c>
      <c r="C1099" s="17" t="n">
        <f aca="false">Report!U1426</f>
        <v>793.81</v>
      </c>
      <c r="D1099" s="1" t="str">
        <f aca="false">Report!X1426</f>
        <v>NF 586415 ELLEN</v>
      </c>
    </row>
    <row r="1100" customFormat="false" ht="12.75" hidden="false" customHeight="true" outlineLevel="0" collapsed="false">
      <c r="A1100" s="23" t="n">
        <f aca="false">Report!C1433</f>
        <v>46289</v>
      </c>
      <c r="B1100" s="1" t="str">
        <f aca="false">Report!E1433</f>
        <v>AMAZONAS ENERGIA S/A</v>
      </c>
      <c r="C1100" s="17" t="n">
        <f aca="false">Report!U1433</f>
        <v>10645.93</v>
      </c>
      <c r="D1100" s="1" t="str">
        <f aca="false">Report!X1433</f>
        <v>PREVIA ENERGIA SETEMBRO MO2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1310</v>
      </c>
      <c r="B1" s="26" t="s">
        <v>1311</v>
      </c>
      <c r="C1" s="26" t="s">
        <v>1312</v>
      </c>
      <c r="D1" s="26" t="s">
        <v>1313</v>
      </c>
    </row>
    <row r="2" customFormat="false" ht="12.75" hidden="false" customHeight="true" outlineLevel="0" collapsed="false">
      <c r="A2" s="27" t="s">
        <v>1314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1315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1316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1317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1318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1319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1320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1321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274405.05</v>
      </c>
      <c r="D9" s="17" t="n">
        <f aca="false">B9+C9</f>
        <v>340108.01</v>
      </c>
    </row>
    <row r="10" customFormat="false" ht="12.75" hidden="false" customHeight="true" outlineLevel="0" collapsed="false">
      <c r="A10" s="27" t="s">
        <v>1322</v>
      </c>
      <c r="B10" s="17" t="n">
        <f aca="false">SUMIFS(Report!$U:$U,Report!$T:$T,"&lt;&gt;"&amp;"MERCADORIAS P/REVENDA",Report!$AA:$AA,"SIM",Report!$C:$C,"&gt;="&amp;DATE(2026,9,1),Report!$C:$C,"&lt;="&amp;DATE(2026,9,30))</f>
        <v>30297.13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97928.6</v>
      </c>
    </row>
    <row r="11" customFormat="false" ht="12.75" hidden="false" customHeight="true" outlineLevel="0" collapsed="false">
      <c r="A11" s="27" t="s">
        <v>1323</v>
      </c>
      <c r="B11" s="17" t="n">
        <f aca="false">SUMIFS(Report!$U:$U,Report!$T:$T,"&lt;&gt;"&amp;"MERCADORIAS P/REVENDA",Report!$AA:$AA,"SIM",Report!$C:$C,"&gt;="&amp;DATE(2026,10,1),Report!$C:$C,"&lt;="&amp;DATE(2026,10,31))</f>
        <v>13346.27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13985.02</v>
      </c>
    </row>
    <row r="12" customFormat="false" ht="12.75" hidden="false" customHeight="true" outlineLevel="0" collapsed="false">
      <c r="A12" s="27" t="s">
        <v>1324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1325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1326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1327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1328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1329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1330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1331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1332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1333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1334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1335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1336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1337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1338</v>
      </c>
      <c r="B26" s="30" t="n">
        <f aca="false">SUM(B2:B25)</f>
        <v>314542.2</v>
      </c>
      <c r="C26" s="30" t="n">
        <f aca="false">SUM(C2:C25)</f>
        <v>920624.08</v>
      </c>
      <c r="D26" s="30" t="n">
        <f aca="false">SUM(D2:D25)</f>
        <v>1235166.28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1339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1313</v>
      </c>
      <c r="AA2" s="32"/>
      <c r="AB2" s="33" t="s">
        <v>1340</v>
      </c>
      <c r="AC2" s="33" t="s">
        <v>1341</v>
      </c>
      <c r="AE2" s="33" t="s">
        <v>1342</v>
      </c>
    </row>
    <row r="3" customFormat="false" ht="12.75" hidden="false" customHeight="true" outlineLevel="0" collapsed="false">
      <c r="A3" s="34" t="s">
        <v>1343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340108.01</v>
      </c>
      <c r="J3" s="30" t="n">
        <f aca="false">SUMIFS(Report!$U:$U,Report!$AA:$AA,"SIM",Report!$C:$C,"&gt;="&amp;DATE(2026,9,1),Report!$C:$C,"&lt;="&amp;DATE(2026,9,30))</f>
        <v>97928.6</v>
      </c>
      <c r="K3" s="30" t="n">
        <f aca="false">SUMIFS(Report!$U:$U,Report!$AA:$AA,"SIM",Report!$C:$C,"&gt;="&amp;DATE(2026,10,1),Report!$C:$C,"&lt;="&amp;DATE(2026,10,31))</f>
        <v>13985.02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1235166.28</v>
      </c>
      <c r="AB3" s="1" t="s">
        <v>192</v>
      </c>
      <c r="AC3" s="1" t="s">
        <v>1344</v>
      </c>
      <c r="AE3" s="1" t="s">
        <v>1345</v>
      </c>
    </row>
    <row r="4" customFormat="false" ht="12.75" hidden="false" customHeight="true" outlineLevel="0" collapsed="false">
      <c r="A4" s="1" t="s">
        <v>1344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25093.05</v>
      </c>
      <c r="K4" s="17" t="n">
        <f aca="false">SUMIFS(Report!$U:$U,Report!$Z:$Z,"Despesa",Report!$AA:$AA,"SIM",Report!$C:$C,"&gt;="&amp;DATE(2026,10,1),Report!$C:$C,"&lt;="&amp;DATE(2026,10,31))</f>
        <v>8252.71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162266.32</v>
      </c>
      <c r="AB4" s="1" t="s">
        <v>136</v>
      </c>
      <c r="AC4" s="1" t="s">
        <v>1344</v>
      </c>
    </row>
    <row r="5" customFormat="false" ht="12.75" hidden="false" customHeight="true" outlineLevel="0" collapsed="false">
      <c r="A5" s="1" t="s">
        <v>1346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1344</v>
      </c>
    </row>
    <row r="6" customFormat="false" ht="12.75" hidden="false" customHeight="true" outlineLevel="0" collapsed="false">
      <c r="A6" s="1" t="s">
        <v>1347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1344</v>
      </c>
    </row>
    <row r="7" customFormat="false" ht="12.75" hidden="false" customHeight="true" outlineLevel="0" collapsed="false">
      <c r="A7" s="1" t="s">
        <v>1348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274405.05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920624.08</v>
      </c>
      <c r="AB7" s="1" t="s">
        <v>450</v>
      </c>
      <c r="AC7" s="1" t="s">
        <v>1349</v>
      </c>
    </row>
    <row r="8" customFormat="false" ht="12.75" hidden="false" customHeight="true" outlineLevel="0" collapsed="false">
      <c r="A8" s="1" t="s">
        <v>1350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1344</v>
      </c>
    </row>
    <row r="9" customFormat="false" ht="12.75" hidden="false" customHeight="true" outlineLevel="0" collapsed="false">
      <c r="A9" s="1" t="s">
        <v>1349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1344</v>
      </c>
    </row>
    <row r="10" customFormat="false" ht="12.75" hidden="false" customHeight="true" outlineLevel="0" collapsed="false">
      <c r="A10" s="34" t="s">
        <v>1351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1344</v>
      </c>
    </row>
    <row r="11" customFormat="false" ht="12.75" hidden="false" customHeight="true" outlineLevel="0" collapsed="false">
      <c r="AB11" s="1" t="s">
        <v>444</v>
      </c>
      <c r="AC11" s="1" t="s">
        <v>1344</v>
      </c>
    </row>
    <row r="12" customFormat="false" ht="12.75" hidden="false" customHeight="true" outlineLevel="0" collapsed="false">
      <c r="A12" s="1" t="s">
        <v>1352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1344</v>
      </c>
    </row>
    <row r="13" customFormat="false" ht="12.75" hidden="false" customHeight="true" outlineLevel="0" collapsed="false">
      <c r="A13" s="1" t="s">
        <v>1353</v>
      </c>
      <c r="AB13" s="1" t="s">
        <v>944</v>
      </c>
      <c r="AC13" s="1" t="s">
        <v>1344</v>
      </c>
    </row>
    <row r="14" customFormat="false" ht="12.75" hidden="false" customHeight="true" outlineLevel="0" collapsed="false">
      <c r="AB14" s="1" t="s">
        <v>149</v>
      </c>
      <c r="AC14" s="1" t="s">
        <v>1344</v>
      </c>
    </row>
    <row r="15" customFormat="false" ht="12.75" hidden="false" customHeight="true" outlineLevel="0" collapsed="false">
      <c r="AB15" s="1" t="s">
        <v>63</v>
      </c>
      <c r="AC15" s="1" t="s">
        <v>1344</v>
      </c>
    </row>
    <row r="16" customFormat="false" ht="12.75" hidden="false" customHeight="true" outlineLevel="0" collapsed="false">
      <c r="AB16" s="1" t="s">
        <v>590</v>
      </c>
      <c r="AC16" s="1" t="s">
        <v>1349</v>
      </c>
    </row>
    <row r="17" customFormat="false" ht="12.75" hidden="false" customHeight="true" outlineLevel="0" collapsed="false">
      <c r="AB17" s="1" t="s">
        <v>296</v>
      </c>
      <c r="AC17" s="1" t="s">
        <v>1346</v>
      </c>
    </row>
    <row r="18" customFormat="false" ht="12.75" hidden="false" customHeight="true" outlineLevel="0" collapsed="false">
      <c r="AB18" s="1" t="s">
        <v>486</v>
      </c>
      <c r="AC18" s="1" t="s">
        <v>1344</v>
      </c>
    </row>
    <row r="19" customFormat="false" ht="12.75" hidden="false" customHeight="true" outlineLevel="0" collapsed="false">
      <c r="AB19" s="1" t="s">
        <v>748</v>
      </c>
      <c r="AC19" s="1" t="s">
        <v>1349</v>
      </c>
    </row>
    <row r="20" customFormat="false" ht="12.75" hidden="false" customHeight="true" outlineLevel="0" collapsed="false">
      <c r="AB20" s="1" t="s">
        <v>963</v>
      </c>
      <c r="AC20" s="1" t="s">
        <v>1349</v>
      </c>
    </row>
    <row r="21" customFormat="false" ht="12.75" hidden="false" customHeight="true" outlineLevel="0" collapsed="false">
      <c r="AB21" s="1" t="s">
        <v>429</v>
      </c>
      <c r="AC21" s="1" t="s">
        <v>1347</v>
      </c>
    </row>
    <row r="22" customFormat="false" ht="12.75" hidden="false" customHeight="true" outlineLevel="0" collapsed="false">
      <c r="AB22" s="1" t="s">
        <v>33</v>
      </c>
      <c r="AC22" s="1" t="s">
        <v>1344</v>
      </c>
    </row>
    <row r="23" customFormat="false" ht="12.75" hidden="false" customHeight="true" outlineLevel="0" collapsed="false">
      <c r="AB23" s="1" t="s">
        <v>347</v>
      </c>
      <c r="AC23" s="1" t="s">
        <v>1344</v>
      </c>
    </row>
    <row r="24" customFormat="false" ht="12.75" hidden="false" customHeight="true" outlineLevel="0" collapsed="false">
      <c r="AB24" s="1" t="s">
        <v>664</v>
      </c>
      <c r="AC24" s="1" t="s">
        <v>1344</v>
      </c>
    </row>
    <row r="25" customFormat="false" ht="12.75" hidden="false" customHeight="true" outlineLevel="0" collapsed="false">
      <c r="AB25" s="1" t="s">
        <v>1354</v>
      </c>
      <c r="AC25" s="1" t="s">
        <v>1347</v>
      </c>
    </row>
    <row r="26" customFormat="false" ht="12.75" hidden="false" customHeight="true" outlineLevel="0" collapsed="false">
      <c r="AB26" s="1" t="s">
        <v>682</v>
      </c>
      <c r="AC26" s="1" t="s">
        <v>1344</v>
      </c>
    </row>
    <row r="27" customFormat="false" ht="12.75" hidden="false" customHeight="true" outlineLevel="0" collapsed="false">
      <c r="AB27" s="1" t="s">
        <v>427</v>
      </c>
      <c r="AC27" s="1" t="s">
        <v>1347</v>
      </c>
    </row>
    <row r="28" customFormat="false" ht="12.75" hidden="false" customHeight="true" outlineLevel="0" collapsed="false">
      <c r="AB28" s="1" t="s">
        <v>257</v>
      </c>
      <c r="AC28" s="1" t="s">
        <v>1344</v>
      </c>
    </row>
    <row r="29" customFormat="false" ht="12.75" hidden="false" customHeight="true" outlineLevel="0" collapsed="false">
      <c r="AB29" s="1" t="s">
        <v>145</v>
      </c>
      <c r="AC29" s="1" t="s">
        <v>1344</v>
      </c>
    </row>
    <row r="30" customFormat="false" ht="12.75" hidden="false" customHeight="true" outlineLevel="0" collapsed="false">
      <c r="AB30" s="1" t="s">
        <v>361</v>
      </c>
      <c r="AC30" s="1" t="s">
        <v>1347</v>
      </c>
    </row>
    <row r="31" customFormat="false" ht="12.75" hidden="false" customHeight="true" outlineLevel="0" collapsed="false">
      <c r="AB31" s="1" t="s">
        <v>938</v>
      </c>
      <c r="AC31" s="1" t="s">
        <v>1344</v>
      </c>
    </row>
    <row r="32" customFormat="false" ht="12.75" hidden="false" customHeight="true" outlineLevel="0" collapsed="false">
      <c r="AB32" s="1" t="s">
        <v>243</v>
      </c>
      <c r="AC32" s="1" t="s">
        <v>1346</v>
      </c>
    </row>
    <row r="33" customFormat="false" ht="12.75" hidden="false" customHeight="true" outlineLevel="0" collapsed="false">
      <c r="AB33" s="1" t="s">
        <v>651</v>
      </c>
      <c r="AC33" s="1" t="s">
        <v>1344</v>
      </c>
    </row>
    <row r="34" customFormat="false" ht="12.75" hidden="false" customHeight="true" outlineLevel="0" collapsed="false">
      <c r="AB34" s="1" t="s">
        <v>286</v>
      </c>
      <c r="AC34" s="1" t="s">
        <v>1344</v>
      </c>
    </row>
    <row r="35" customFormat="false" ht="12.75" hidden="false" customHeight="true" outlineLevel="0" collapsed="false">
      <c r="AB35" s="1" t="s">
        <v>38</v>
      </c>
      <c r="AC35" s="1" t="s">
        <v>1344</v>
      </c>
    </row>
    <row r="36" customFormat="false" ht="12.75" hidden="false" customHeight="true" outlineLevel="0" collapsed="false">
      <c r="AB36" s="1" t="s">
        <v>57</v>
      </c>
      <c r="AC36" s="1" t="s">
        <v>1344</v>
      </c>
    </row>
    <row r="37" customFormat="false" ht="12.75" hidden="false" customHeight="true" outlineLevel="0" collapsed="false">
      <c r="AB37" s="1" t="s">
        <v>538</v>
      </c>
      <c r="AC37" s="1" t="s">
        <v>1344</v>
      </c>
    </row>
    <row r="38" customFormat="false" ht="12.75" hidden="false" customHeight="true" outlineLevel="0" collapsed="false">
      <c r="AB38" s="1" t="s">
        <v>186</v>
      </c>
      <c r="AC38" s="1" t="s">
        <v>1344</v>
      </c>
    </row>
    <row r="39" customFormat="false" ht="12.75" hidden="false" customHeight="true" outlineLevel="0" collapsed="false">
      <c r="AB39" s="1" t="s">
        <v>49</v>
      </c>
      <c r="AC39" s="1" t="s">
        <v>1348</v>
      </c>
    </row>
    <row r="40" customFormat="false" ht="12.75" hidden="false" customHeight="true" outlineLevel="0" collapsed="false">
      <c r="AB40" s="1" t="s">
        <v>434</v>
      </c>
      <c r="AC40" s="1" t="s">
        <v>1344</v>
      </c>
    </row>
    <row r="41" customFormat="false" ht="12.75" hidden="false" customHeight="true" outlineLevel="0" collapsed="false">
      <c r="AB41" s="1" t="s">
        <v>44</v>
      </c>
      <c r="AC41" s="1" t="s">
        <v>1350</v>
      </c>
    </row>
    <row r="42" customFormat="false" ht="12.75" hidden="false" customHeight="true" outlineLevel="0" collapsed="false">
      <c r="AB42" s="1" t="s">
        <v>940</v>
      </c>
      <c r="AC42" s="1" t="s">
        <v>1344</v>
      </c>
    </row>
    <row r="43" customFormat="false" ht="12.75" hidden="false" customHeight="true" outlineLevel="0" collapsed="false">
      <c r="AB43" s="1" t="s">
        <v>405</v>
      </c>
      <c r="AC43" s="1" t="s">
        <v>1349</v>
      </c>
    </row>
    <row r="44" customFormat="false" ht="12.75" hidden="false" customHeight="true" outlineLevel="0" collapsed="false">
      <c r="AB44" s="1" t="s">
        <v>441</v>
      </c>
      <c r="AC44" s="1" t="s">
        <v>1344</v>
      </c>
    </row>
    <row r="45" customFormat="false" ht="12.75" hidden="false" customHeight="true" outlineLevel="0" collapsed="false">
      <c r="AB45" s="1" t="s">
        <v>225</v>
      </c>
      <c r="AC45" s="1" t="s">
        <v>1349</v>
      </c>
    </row>
    <row r="46" customFormat="false" ht="12.75" hidden="false" customHeight="true" outlineLevel="0" collapsed="false">
      <c r="AB46" s="1" t="s">
        <v>230</v>
      </c>
      <c r="AC46" s="1" t="s">
        <v>1349</v>
      </c>
    </row>
    <row r="47" customFormat="false" ht="12.75" hidden="false" customHeight="true" outlineLevel="0" collapsed="false">
      <c r="AB47" s="1" t="s">
        <v>455</v>
      </c>
      <c r="AC47" s="1" t="s">
        <v>1347</v>
      </c>
    </row>
    <row r="48" customFormat="false" ht="12.75" hidden="false" customHeight="true" outlineLevel="0" collapsed="false">
      <c r="AB48" s="1" t="s">
        <v>110</v>
      </c>
      <c r="AC48" s="1" t="s">
        <v>1344</v>
      </c>
    </row>
    <row r="49" customFormat="false" ht="12.75" hidden="false" customHeight="true" outlineLevel="0" collapsed="false">
      <c r="AB49" s="1" t="s">
        <v>1059</v>
      </c>
      <c r="AC49" s="1" t="s">
        <v>1344</v>
      </c>
    </row>
    <row r="50" customFormat="false" ht="12.75" hidden="false" customHeight="true" outlineLevel="0" collapsed="false">
      <c r="AB50" s="1" t="s">
        <v>101</v>
      </c>
      <c r="AC50" s="1" t="s">
        <v>1349</v>
      </c>
    </row>
    <row r="51" customFormat="false" ht="12.75" hidden="false" customHeight="true" outlineLevel="0" collapsed="false">
      <c r="AB51" s="1" t="s">
        <v>1191</v>
      </c>
      <c r="AC51" s="1" t="s">
        <v>1344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1355</v>
      </c>
      <c r="B1" s="25" t="s">
        <v>1339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1313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1354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79.9</v>
      </c>
      <c r="L33" s="17" t="n">
        <f aca="false">SUMIFS(Report!$U:$U,Report!$T:$T,$A33,Report!$C:$C,"&gt;="&amp;DATE(2026,10,1),Report!$C:$C,"&lt;="&amp;DATE(2026,10,31))</f>
        <v>79.9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3971.58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274405.05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920624.08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5" hidden="false" customHeight="true" outlineLevel="0" collapsed="false">
      <c r="A51" s="34" t="s">
        <v>1338</v>
      </c>
      <c r="B51" s="34"/>
      <c r="C51" s="30" t="n">
        <f aca="false">SUM(C2:C50)</f>
        <v>0</v>
      </c>
      <c r="D51" s="30" t="n">
        <f aca="false">SUM(D2:D50)</f>
        <v>0</v>
      </c>
      <c r="E51" s="30" t="n">
        <f aca="false">SUM(E2:E50)</f>
        <v>0</v>
      </c>
      <c r="F51" s="30" t="n">
        <f aca="false">SUM(F2:F50)</f>
        <v>0</v>
      </c>
      <c r="G51" s="30" t="n">
        <f aca="false">SUM(G2:G50)</f>
        <v>0</v>
      </c>
      <c r="H51" s="30" t="n">
        <f aca="false">SUM(H2:H50)</f>
        <v>392835.65</v>
      </c>
      <c r="I51" s="30" t="n">
        <f aca="false">SUM(I2:I50)</f>
        <v>390309</v>
      </c>
      <c r="J51" s="30" t="n">
        <f aca="false">SUM(J2:J50)</f>
        <v>340108.01</v>
      </c>
      <c r="K51" s="30" t="n">
        <f aca="false">SUM(K2:K50)</f>
        <v>97928.6</v>
      </c>
      <c r="L51" s="30" t="n">
        <f aca="false">SUM(L2:L50)</f>
        <v>13985.02</v>
      </c>
      <c r="M51" s="30" t="n">
        <f aca="false">SUM(M2:M50)</f>
        <v>0</v>
      </c>
      <c r="N51" s="30" t="n">
        <f aca="false">SUM(N2:N50)</f>
        <v>0</v>
      </c>
      <c r="O51" s="30" t="n">
        <f aca="false">SUM(O2:O50)</f>
        <v>0</v>
      </c>
      <c r="P51" s="30" t="n">
        <f aca="false">SUM(P2:P50)</f>
        <v>0</v>
      </c>
      <c r="Q51" s="30" t="n">
        <f aca="false">SUM(Q2:Q50)</f>
        <v>0</v>
      </c>
      <c r="R51" s="30" t="n">
        <f aca="false">SUM(R2:R50)</f>
        <v>0</v>
      </c>
      <c r="S51" s="30" t="n">
        <f aca="false">SUM(S2:S50)</f>
        <v>0</v>
      </c>
      <c r="T51" s="30" t="n">
        <f aca="false">SUM(T2:T50)</f>
        <v>0</v>
      </c>
      <c r="U51" s="30" t="n">
        <f aca="false">SUM(U2:U50)</f>
        <v>0</v>
      </c>
      <c r="V51" s="30" t="n">
        <f aca="false">SUM(V2:V50)</f>
        <v>0</v>
      </c>
      <c r="W51" s="30" t="n">
        <f aca="false">SUM(W2:W50)</f>
        <v>0</v>
      </c>
      <c r="X51" s="30" t="n">
        <f aca="false">SUM(X2:X50)</f>
        <v>0</v>
      </c>
      <c r="Y51" s="30" t="n">
        <f aca="false">SUM(Y2:Y50)</f>
        <v>0</v>
      </c>
      <c r="Z51" s="30" t="n">
        <f aca="false">SUM(Z2:Z50)</f>
        <v>0</v>
      </c>
      <c r="AA51" s="30" t="n">
        <f aca="false">SUM(AA2:AA50)</f>
        <v>1235016.11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1356</v>
      </c>
      <c r="B1" s="37" t="n">
        <f aca="false">SUMIFS(Report!$U:$U,Report!$T:$T,"&lt;&gt;"&amp;"MERCADORIAS P/REVENDA",Report!$AA:$AA,"SIM",Report!$C:$C,"&gt;="&amp;DATE(2026,1,1),Report!$C:$C,"&lt;="&amp;DATE(2027,12,31))</f>
        <v>314542.2</v>
      </c>
      <c r="C1" s="37" t="n">
        <f aca="false">SUMIFS(Report!$U:$U,Report!$T:$T,"MERCADORIAS P/REVENDA",Report!$AA:$AA,"SIM",Report!$C:$C,"&gt;="&amp;DATE(2026,1,1),Report!$C:$C,"&lt;="&amp;DATE(2027,12,31))</f>
        <v>920624.08</v>
      </c>
      <c r="D1" s="38" t="s">
        <v>1357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1235166.28</v>
      </c>
      <c r="H1" s="1"/>
      <c r="I1" s="17"/>
    </row>
    <row r="2" customFormat="false" ht="12.75" hidden="false" customHeight="true" outlineLevel="0" collapsed="false">
      <c r="A2" s="24" t="s">
        <v>1358</v>
      </c>
      <c r="B2" s="26" t="s">
        <v>1311</v>
      </c>
      <c r="C2" s="26" t="s">
        <v>1312</v>
      </c>
      <c r="D2" s="38" t="s">
        <v>1359</v>
      </c>
      <c r="E2" s="37" t="n">
        <f aca="false">F1+E1</f>
        <v>1235166.28</v>
      </c>
      <c r="F2" s="26" t="s">
        <v>1360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8996.62</v>
      </c>
      <c r="D271" s="41"/>
      <c r="E271" s="41"/>
      <c r="F271" s="40" t="n">
        <f aca="false">B271+C271</f>
        <v>19752.41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20023.97</v>
      </c>
      <c r="C272" s="30" t="n">
        <f aca="false">SUM(C265:C271)</f>
        <v>51222.35</v>
      </c>
      <c r="D272" s="34"/>
      <c r="E272" s="34"/>
      <c r="F272" s="30" t="n">
        <f aca="false">B272+C272</f>
        <v>71246.32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8279.05</v>
      </c>
      <c r="F274" s="17" t="n">
        <f aca="false">B274+C274</f>
        <v>12447.46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6293.41</v>
      </c>
      <c r="D277" s="41"/>
      <c r="E277" s="41"/>
      <c r="F277" s="40" t="n">
        <f aca="false">B277+C277</f>
        <v>6293.41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4874.43</v>
      </c>
      <c r="D278" s="41"/>
      <c r="E278" s="41"/>
      <c r="F278" s="40" t="n">
        <f aca="false">B278+C278</f>
        <v>5294.43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3833.79</v>
      </c>
      <c r="D279" s="41"/>
      <c r="E279" s="41"/>
      <c r="F279" s="40" t="n">
        <f aca="false">B279+C279</f>
        <v>3833.79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49906.02</v>
      </c>
      <c r="D280" s="34"/>
      <c r="E280" s="34"/>
      <c r="F280" s="30" t="n">
        <f aca="false">B280+C280</f>
        <v>56108.98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4936.98</v>
      </c>
      <c r="D287" s="41"/>
      <c r="E287" s="41"/>
      <c r="F287" s="40" t="n">
        <f aca="false">B287+C287</f>
        <v>5056.95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6558.9</v>
      </c>
      <c r="C288" s="30" t="n">
        <f aca="false">SUM(C281:C287)</f>
        <v>37909.56</v>
      </c>
      <c r="D288" s="34"/>
      <c r="E288" s="34"/>
      <c r="F288" s="30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1505.35</v>
      </c>
      <c r="D295" s="41"/>
      <c r="E295" s="41"/>
      <c r="F295" s="40" t="n">
        <f aca="false">B295+C295</f>
        <v>1505.35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1376.95</v>
      </c>
      <c r="C296" s="30" t="n">
        <f aca="false">SUM(C289:C295)</f>
        <v>21289.93</v>
      </c>
      <c r="D296" s="34"/>
      <c r="E296" s="34"/>
      <c r="F296" s="30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1505.51</v>
      </c>
      <c r="D303" s="41"/>
      <c r="E303" s="41"/>
      <c r="F303" s="40" t="n">
        <f aca="false">B303+C303</f>
        <v>1505.51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8431.98</v>
      </c>
      <c r="D304" s="34"/>
      <c r="E304" s="34"/>
      <c r="F304" s="30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578.59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578.59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15392.93</v>
      </c>
      <c r="C312" s="30" t="n">
        <f aca="false">SUM(C305:C311)</f>
        <v>0</v>
      </c>
      <c r="D312" s="34"/>
      <c r="E312" s="34"/>
      <c r="F312" s="30" t="n">
        <f aca="false">B312+C312</f>
        <v>15392.93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6698.65</v>
      </c>
      <c r="C336" s="30" t="n">
        <f aca="false">SUM(C329:C335)</f>
        <v>0</v>
      </c>
      <c r="D336" s="34"/>
      <c r="E336" s="34"/>
      <c r="F336" s="30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526.07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526.07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4694.48</v>
      </c>
      <c r="C344" s="30" t="n">
        <f aca="false">SUM(C337:C343)</f>
        <v>0</v>
      </c>
      <c r="D344" s="34"/>
      <c r="E344" s="34"/>
      <c r="F344" s="30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1361</v>
      </c>
      <c r="B1" s="43"/>
      <c r="C1" s="43"/>
      <c r="D1" s="43"/>
    </row>
    <row r="2" customFormat="false" ht="12.75" hidden="false" customHeight="true" outlineLevel="0" collapsed="false">
      <c r="A2" s="44" t="s">
        <v>1362</v>
      </c>
      <c r="B2" s="44"/>
      <c r="C2" s="44"/>
      <c r="D2" s="44"/>
    </row>
    <row r="4" customFormat="false" ht="24.75" hidden="false" customHeight="true" outlineLevel="0" collapsed="false">
      <c r="A4" s="45" t="s">
        <v>1310</v>
      </c>
      <c r="B4" s="45" t="s">
        <v>1363</v>
      </c>
      <c r="C4" s="45" t="s">
        <v>1364</v>
      </c>
    </row>
    <row r="5" customFormat="false" ht="12.75" hidden="false" customHeight="true" outlineLevel="0" collapsed="false">
      <c r="A5" s="46" t="s">
        <v>1314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1315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1316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1317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1318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1319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1320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1321</v>
      </c>
      <c r="B12" s="46" t="n">
        <v>2026</v>
      </c>
      <c r="C12" s="48" t="n">
        <v>305591.57</v>
      </c>
    </row>
    <row r="13" customFormat="false" ht="13.5" hidden="false" customHeight="true" outlineLevel="0" collapsed="false">
      <c r="A13" s="46" t="s">
        <v>1322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1323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1324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1325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1365</v>
      </c>
      <c r="B18" s="49"/>
      <c r="C18" s="50" t="n">
        <v>46259</v>
      </c>
    </row>
    <row r="19" customFormat="false" ht="12.75" hidden="false" customHeight="true" outlineLevel="0" collapsed="false">
      <c r="A19" s="1" t="s">
        <v>1366</v>
      </c>
      <c r="C19" s="51" t="n">
        <f aca="false">IF(ISNUMBER(C12),(C12/DAY(C18))*31,"")</f>
        <v>378933.5468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1367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1368</v>
      </c>
    </row>
    <row r="3" customFormat="false" ht="12.75" hidden="false" customHeight="true" outlineLevel="0" collapsed="false">
      <c r="A3" s="27" t="s">
        <v>1369</v>
      </c>
      <c r="E3" s="55" t="n">
        <v>0.8871</v>
      </c>
      <c r="F3" s="56" t="s">
        <v>1370</v>
      </c>
      <c r="G3" s="56" t="s">
        <v>1371</v>
      </c>
      <c r="H3" s="56" t="s">
        <v>1372</v>
      </c>
      <c r="I3" s="56" t="s">
        <v>1373</v>
      </c>
      <c r="J3" s="56" t="s">
        <v>1374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1310</v>
      </c>
      <c r="B6" s="32" t="s">
        <v>1375</v>
      </c>
      <c r="C6" s="32" t="s">
        <v>1376</v>
      </c>
      <c r="D6" s="32" t="s">
        <v>1377</v>
      </c>
      <c r="E6" s="32" t="s">
        <v>1378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1314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1315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271957.830063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1316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0.974179364792059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OK</v>
      </c>
      <c r="I9" s="62" t="n">
        <f aca="false">IF(C9="","",IF(AND(F9&lt;&gt;"",F9&lt;1),C9*F9,C9))</f>
        <v>258094.897919175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1317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1.15378174943817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305677.98252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1318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0.969078667089209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287066.308729472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1319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57" t="n">
        <f aca="false">IF(AND(ISNUMBER(B11),ISNUMBER(B10),B10&lt;&gt;0),B11/B10,"")</f>
        <v>1.0890916375587</v>
      </c>
      <c r="G12" s="57" t="n">
        <f aca="false">IF(AND(ISNUMBER(D12),ISNUMBER(B12),B12&lt;&gt;0),(D12/B12)*30,"")</f>
        <v>23.6461858792331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322617.272343</v>
      </c>
      <c r="J12" s="59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1320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60" t="n">
        <f aca="false">IF(AND(ISNUMBER(B12),ISNUMBER(B11),B11&lt;&gt;0),B12/B11,"")</f>
        <v>0.969442883456287</v>
      </c>
      <c r="G13" s="60" t="n">
        <f aca="false">IF(AND(ISNUMBER(D13),ISNUMBER(B13),B13&lt;&gt;0),(D13/B13)*30,"")</f>
        <v>23.0252663467418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303202.004966867</v>
      </c>
      <c r="J13" s="62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1321</v>
      </c>
      <c r="B14" s="17" t="n">
        <f aca="false">IFERROR(INDEX('Venda Anual (Base)'!$C$5:$C$16,MATCH($A14,'Venda Anual (Base)'!$A$5:$A$16,0)),"")</f>
        <v>305591.57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274405.05</v>
      </c>
      <c r="E14" s="17" t="n">
        <f aca="false">IF(AND(ISNUMBER(C14),D14&gt;0),D14-C14,"")</f>
        <v>-72405.000639</v>
      </c>
      <c r="F14" s="57" t="n">
        <f aca="false">IF(AND(ISNUMBER(B13),ISNUMBER(B12),B12&lt;&gt;0),B13/B12,"")</f>
        <v>1.10887306150839</v>
      </c>
      <c r="G14" s="57" t="n">
        <f aca="false">IF(AND(ISNUMBER(D14),ISNUMBER(B14),B14&lt;&gt;0),(D14/B14)*30,"")</f>
        <v>26.9384116191425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346810.050639</v>
      </c>
      <c r="J14" s="59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1322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271090.281747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-203458.811747</v>
      </c>
      <c r="F15" s="60" t="n">
        <f aca="false">IF(AND(ISNUMBER(B14),ISNUMBER(B13),B13&lt;&gt;0),B14/B13,"")</f>
        <v>0.781667893555894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211902.569496651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1323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2307328.91667717</v>
      </c>
      <c r="J16" s="68" t="n">
        <f aca="false">SUM(J4:J15)</f>
        <v>794813.44</v>
      </c>
    </row>
    <row r="17" customFormat="false" ht="12.75" hidden="false" customHeight="true" outlineLevel="0" collapsed="false">
      <c r="A17" s="27" t="s">
        <v>1324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1325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1338</v>
      </c>
      <c r="B19" s="35" t="n">
        <f aca="false">SUM(B7:B18)</f>
        <v>2696510.15</v>
      </c>
      <c r="C19" s="35" t="n">
        <f aca="false">SUM(C7:C18)</f>
        <v>2392074.154065</v>
      </c>
      <c r="D19" s="35" t="n">
        <f aca="false">SUM(D7:D18)</f>
        <v>920624.08</v>
      </c>
      <c r="E19" s="35" t="n">
        <f aca="false">IF(COUNT(E7:E18)=0,"sem dados comparaveis ainda",SUM(E7:E18))</f>
        <v>-332652.543482</v>
      </c>
      <c r="F19" s="35" t="n">
        <f aca="false">SUM(F7:F18)</f>
        <v>7.04611525739871</v>
      </c>
    </row>
    <row r="21" customFormat="false" ht="12.75" hidden="false" customHeight="true" outlineLevel="0" collapsed="false">
      <c r="A21" s="27" t="s">
        <v>1379</v>
      </c>
    </row>
    <row r="23" customFormat="false" ht="12.75" hidden="false" customHeight="true" outlineLevel="0" collapsed="false">
      <c r="A23" s="27" t="s">
        <v>1380</v>
      </c>
    </row>
    <row r="25" customFormat="false" ht="12.75" hidden="false" customHeight="true" outlineLevel="0" collapsed="false">
      <c r="A25" s="27" t="s">
        <v>1381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1383</v>
      </c>
      <c r="B1" s="1" t="s">
        <v>1384</v>
      </c>
      <c r="C1" s="1" t="s">
        <v>1385</v>
      </c>
      <c r="D1" s="1" t="s">
        <v>1386</v>
      </c>
      <c r="E1" s="1" t="s">
        <v>1387</v>
      </c>
      <c r="F1" s="1" t="s">
        <v>1388</v>
      </c>
      <c r="G1" s="1" t="s">
        <v>1389</v>
      </c>
      <c r="H1" s="1" t="s">
        <v>1390</v>
      </c>
      <c r="I1" s="1" t="s">
        <v>1391</v>
      </c>
      <c r="J1" s="1" t="s">
        <v>1392</v>
      </c>
      <c r="K1" s="1" t="s">
        <v>1393</v>
      </c>
      <c r="N1" s="69" t="s">
        <v>1358</v>
      </c>
      <c r="O1" s="69" t="s">
        <v>1394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1395</v>
      </c>
      <c r="D2" s="1" t="s">
        <v>1396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1397</v>
      </c>
      <c r="K2" s="51" t="n">
        <v>672.85</v>
      </c>
      <c r="N2" s="15" t="n">
        <v>46174</v>
      </c>
      <c r="O2" s="51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1398</v>
      </c>
      <c r="D3" s="1" t="s">
        <v>1399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1397</v>
      </c>
      <c r="K3" s="51" t="n">
        <v>305.12</v>
      </c>
      <c r="N3" s="15" t="n">
        <v>46175</v>
      </c>
      <c r="O3" s="51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1400</v>
      </c>
      <c r="D4" s="1" t="s">
        <v>1399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1397</v>
      </c>
      <c r="K4" s="51" t="n">
        <v>319.14</v>
      </c>
      <c r="N4" s="15" t="n">
        <v>46176</v>
      </c>
      <c r="O4" s="51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1400</v>
      </c>
      <c r="D5" s="1" t="s">
        <v>1399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1397</v>
      </c>
      <c r="K5" s="51" t="n">
        <v>225.8</v>
      </c>
      <c r="N5" s="15" t="n">
        <v>46177</v>
      </c>
      <c r="O5" s="51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1401</v>
      </c>
      <c r="D6" s="1" t="s">
        <v>1402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1397</v>
      </c>
      <c r="K6" s="51" t="n">
        <v>172</v>
      </c>
      <c r="N6" s="15" t="n">
        <v>46178</v>
      </c>
      <c r="O6" s="51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1403</v>
      </c>
      <c r="D7" s="1" t="s">
        <v>1404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1397</v>
      </c>
      <c r="K7" s="51" t="n">
        <v>3329</v>
      </c>
      <c r="N7" s="15" t="n">
        <v>46179</v>
      </c>
      <c r="O7" s="51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1395</v>
      </c>
      <c r="D8" s="1" t="s">
        <v>1405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1397</v>
      </c>
      <c r="K8" s="51" t="n">
        <v>334.6</v>
      </c>
      <c r="N8" s="15" t="n">
        <v>46180</v>
      </c>
      <c r="O8" s="51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1403</v>
      </c>
      <c r="D9" s="1" t="s">
        <v>1406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1397</v>
      </c>
      <c r="K9" s="51" t="n">
        <v>449.5</v>
      </c>
      <c r="N9" s="15" t="n">
        <v>46181</v>
      </c>
      <c r="O9" s="51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1403</v>
      </c>
      <c r="D10" s="1" t="s">
        <v>1407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1397</v>
      </c>
      <c r="K10" s="51" t="n">
        <v>374.01</v>
      </c>
      <c r="N10" s="15" t="n">
        <v>46182</v>
      </c>
      <c r="O10" s="51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1403</v>
      </c>
      <c r="D11" s="1" t="s">
        <v>1408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1397</v>
      </c>
      <c r="K11" s="51" t="n">
        <v>180</v>
      </c>
      <c r="N11" s="15" t="n">
        <v>46183</v>
      </c>
      <c r="O11" s="51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1403</v>
      </c>
      <c r="D12" s="1" t="s">
        <v>1409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1397</v>
      </c>
      <c r="K12" s="51" t="n">
        <v>570</v>
      </c>
      <c r="N12" s="15" t="n">
        <v>46184</v>
      </c>
      <c r="O12" s="51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1403</v>
      </c>
      <c r="D13" s="1" t="s">
        <v>1410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1397</v>
      </c>
      <c r="K13" s="51" t="n">
        <v>337.08</v>
      </c>
      <c r="N13" s="15" t="n">
        <v>46185</v>
      </c>
      <c r="O13" s="51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1403</v>
      </c>
      <c r="D14" s="1" t="s">
        <v>1411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1397</v>
      </c>
      <c r="K14" s="51" t="n">
        <v>342.59</v>
      </c>
      <c r="N14" s="15" t="n">
        <v>46186</v>
      </c>
      <c r="O14" s="51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1401</v>
      </c>
      <c r="D15" s="1" t="s">
        <v>1402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1397</v>
      </c>
      <c r="K15" s="51" t="n">
        <v>130.5</v>
      </c>
      <c r="N15" s="15" t="n">
        <v>46187</v>
      </c>
      <c r="O15" s="51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1395</v>
      </c>
      <c r="D16" s="1" t="s">
        <v>1412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1397</v>
      </c>
      <c r="K16" s="51" t="n">
        <v>140</v>
      </c>
      <c r="N16" s="15" t="n">
        <v>46188</v>
      </c>
      <c r="O16" s="51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1403</v>
      </c>
      <c r="D17" s="1" t="s">
        <v>1413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1397</v>
      </c>
      <c r="K17" s="51" t="n">
        <v>195</v>
      </c>
      <c r="N17" s="15" t="n">
        <v>46189</v>
      </c>
      <c r="O17" s="51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1403</v>
      </c>
      <c r="D18" s="1" t="s">
        <v>1413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1397</v>
      </c>
      <c r="K18" s="51" t="n">
        <v>1465.86</v>
      </c>
      <c r="N18" s="15" t="n">
        <v>46190</v>
      </c>
      <c r="O18" s="51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1403</v>
      </c>
      <c r="D19" s="1" t="s">
        <v>1413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1397</v>
      </c>
      <c r="K19" s="51" t="n">
        <v>195</v>
      </c>
      <c r="N19" s="15" t="n">
        <v>46191</v>
      </c>
      <c r="O19" s="51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1403</v>
      </c>
      <c r="D20" s="1" t="s">
        <v>1413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1397</v>
      </c>
      <c r="K20" s="51" t="n">
        <v>1465.86</v>
      </c>
      <c r="N20" s="15" t="n">
        <v>46192</v>
      </c>
      <c r="O20" s="51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1403</v>
      </c>
      <c r="D21" s="1" t="s">
        <v>1414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1397</v>
      </c>
      <c r="K21" s="51" t="n">
        <v>209.7</v>
      </c>
      <c r="N21" s="15" t="n">
        <v>46193</v>
      </c>
      <c r="O21" s="51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1403</v>
      </c>
      <c r="D22" s="1" t="s">
        <v>1415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1397</v>
      </c>
      <c r="K22" s="51" t="n">
        <v>431.22</v>
      </c>
      <c r="N22" s="15" t="n">
        <v>46194</v>
      </c>
      <c r="O22" s="51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1398</v>
      </c>
      <c r="D23" s="1" t="s">
        <v>1399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1397</v>
      </c>
      <c r="K23" s="51" t="n">
        <v>552.17</v>
      </c>
      <c r="N23" s="15" t="n">
        <v>46195</v>
      </c>
      <c r="O23" s="51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1400</v>
      </c>
      <c r="D24" s="1" t="s">
        <v>1399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1397</v>
      </c>
      <c r="K24" s="51" t="n">
        <v>182.54</v>
      </c>
      <c r="N24" s="15" t="n">
        <v>46196</v>
      </c>
      <c r="O24" s="51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1400</v>
      </c>
      <c r="D25" s="1" t="s">
        <v>1399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1397</v>
      </c>
      <c r="K25" s="51" t="n">
        <v>953.47</v>
      </c>
      <c r="N25" s="15" t="n">
        <v>46197</v>
      </c>
      <c r="O25" s="51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1403</v>
      </c>
      <c r="D26" s="1" t="s">
        <v>1416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1397</v>
      </c>
      <c r="K26" s="51" t="n">
        <v>2264.85</v>
      </c>
      <c r="N26" s="15" t="n">
        <v>46198</v>
      </c>
      <c r="O26" s="51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1403</v>
      </c>
      <c r="D27" s="1" t="s">
        <v>1417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1397</v>
      </c>
      <c r="K27" s="51" t="n">
        <v>199</v>
      </c>
      <c r="N27" s="15" t="n">
        <v>46199</v>
      </c>
      <c r="O27" s="51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1403</v>
      </c>
      <c r="D28" s="1" t="s">
        <v>1409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1397</v>
      </c>
      <c r="K28" s="51" t="n">
        <v>950</v>
      </c>
      <c r="N28" s="15" t="n">
        <v>46200</v>
      </c>
      <c r="O28" s="51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1403</v>
      </c>
      <c r="D29" s="1" t="s">
        <v>1418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1397</v>
      </c>
      <c r="K29" s="51" t="n">
        <v>1600.8</v>
      </c>
      <c r="N29" s="15" t="n">
        <v>46201</v>
      </c>
      <c r="O29" s="51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1403</v>
      </c>
      <c r="D30" s="1" t="s">
        <v>1419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1397</v>
      </c>
      <c r="K30" s="51" t="n">
        <v>618.56</v>
      </c>
      <c r="N30" s="15" t="n">
        <v>46202</v>
      </c>
      <c r="O30" s="51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1401</v>
      </c>
      <c r="D31" s="1" t="s">
        <v>1402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1397</v>
      </c>
      <c r="K31" s="51" t="n">
        <v>133.5</v>
      </c>
      <c r="N31" s="15" t="n">
        <v>46203</v>
      </c>
      <c r="O31" s="51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1401</v>
      </c>
      <c r="D32" s="1" t="s">
        <v>1402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1397</v>
      </c>
      <c r="K32" s="51" t="n">
        <v>90</v>
      </c>
      <c r="N32" s="15" t="n">
        <v>46204</v>
      </c>
      <c r="O32" s="51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1401</v>
      </c>
      <c r="D33" s="1" t="s">
        <v>1402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1397</v>
      </c>
      <c r="K33" s="51" t="n">
        <v>81.5</v>
      </c>
      <c r="N33" s="15" t="n">
        <v>46205</v>
      </c>
      <c r="O33" s="51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1403</v>
      </c>
      <c r="D34" s="1" t="s">
        <v>1420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1397</v>
      </c>
      <c r="K34" s="51" t="n">
        <v>1169.23</v>
      </c>
      <c r="N34" s="15" t="n">
        <v>46206</v>
      </c>
      <c r="O34" s="51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1403</v>
      </c>
      <c r="D35" s="1" t="s">
        <v>1421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1397</v>
      </c>
      <c r="K35" s="51" t="n">
        <v>161</v>
      </c>
      <c r="N35" s="15" t="n">
        <v>46207</v>
      </c>
      <c r="O35" s="51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1395</v>
      </c>
      <c r="D36" s="1" t="s">
        <v>1412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1397</v>
      </c>
      <c r="K36" s="51" t="n">
        <v>140</v>
      </c>
      <c r="N36" s="15" t="n">
        <v>46208</v>
      </c>
      <c r="O36" s="51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1403</v>
      </c>
      <c r="D37" s="1" t="s">
        <v>1413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1397</v>
      </c>
      <c r="K37" s="51" t="n">
        <v>1281.95</v>
      </c>
      <c r="N37" s="15" t="n">
        <v>46209</v>
      </c>
      <c r="O37" s="51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1403</v>
      </c>
      <c r="D38" s="1" t="s">
        <v>1413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1397</v>
      </c>
      <c r="K38" s="51" t="n">
        <v>247</v>
      </c>
      <c r="N38" s="15" t="n">
        <v>46210</v>
      </c>
      <c r="O38" s="51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1403</v>
      </c>
      <c r="D39" s="1" t="s">
        <v>1413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1397</v>
      </c>
      <c r="K39" s="51" t="n">
        <v>1281.95</v>
      </c>
      <c r="N39" s="15" t="n">
        <v>46211</v>
      </c>
      <c r="O39" s="51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1403</v>
      </c>
      <c r="D40" s="1" t="s">
        <v>1413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1397</v>
      </c>
      <c r="K40" s="51" t="n">
        <v>247</v>
      </c>
      <c r="N40" s="15" t="n">
        <v>46212</v>
      </c>
      <c r="O40" s="51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1403</v>
      </c>
      <c r="D41" s="1" t="s">
        <v>1414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1397</v>
      </c>
      <c r="K41" s="51" t="n">
        <v>126.04</v>
      </c>
      <c r="N41" s="15" t="n">
        <v>46213</v>
      </c>
      <c r="O41" s="51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1395</v>
      </c>
      <c r="D42" s="1" t="s">
        <v>1405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1397</v>
      </c>
      <c r="K42" s="51" t="n">
        <v>282.25</v>
      </c>
      <c r="N42" s="15" t="n">
        <v>46214</v>
      </c>
      <c r="O42" s="51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1403</v>
      </c>
      <c r="D43" s="1" t="s">
        <v>1408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1397</v>
      </c>
      <c r="K43" s="51" t="n">
        <v>180</v>
      </c>
      <c r="N43" s="15" t="n">
        <v>46215</v>
      </c>
      <c r="O43" s="51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1400</v>
      </c>
      <c r="D44" s="1" t="s">
        <v>1399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1397</v>
      </c>
      <c r="K44" s="51" t="n">
        <v>219.97</v>
      </c>
      <c r="N44" s="15" t="n">
        <v>46216</v>
      </c>
      <c r="O44" s="51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1400</v>
      </c>
      <c r="D45" s="1" t="s">
        <v>1399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1397</v>
      </c>
      <c r="K45" s="51" t="n">
        <v>1134.74</v>
      </c>
      <c r="N45" s="15" t="n">
        <v>46217</v>
      </c>
      <c r="O45" s="51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1403</v>
      </c>
      <c r="D46" s="1" t="s">
        <v>1416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1397</v>
      </c>
      <c r="K46" s="51" t="n">
        <v>1068</v>
      </c>
      <c r="N46" s="15" t="n">
        <v>46218</v>
      </c>
      <c r="O46" s="51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1403</v>
      </c>
      <c r="D47" s="1" t="s">
        <v>1411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1397</v>
      </c>
      <c r="K47" s="51" t="n">
        <v>333.54</v>
      </c>
      <c r="N47" s="15" t="n">
        <v>46219</v>
      </c>
      <c r="O47" s="51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1401</v>
      </c>
      <c r="D48" s="1" t="s">
        <v>1402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1397</v>
      </c>
      <c r="K48" s="51" t="n">
        <v>232</v>
      </c>
      <c r="N48" s="15" t="n">
        <v>46220</v>
      </c>
      <c r="O48" s="51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1401</v>
      </c>
      <c r="D49" s="1" t="s">
        <v>1402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1397</v>
      </c>
      <c r="K49" s="51" t="n">
        <v>72</v>
      </c>
      <c r="N49" s="15" t="n">
        <v>46221</v>
      </c>
      <c r="O49" s="51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1403</v>
      </c>
      <c r="D50" s="1" t="s">
        <v>1422</v>
      </c>
      <c r="E50" s="15" t="n">
        <v>46181</v>
      </c>
      <c r="F50" s="15" t="n">
        <v>46180</v>
      </c>
      <c r="G50" s="1" t="s">
        <v>1423</v>
      </c>
      <c r="H50" s="1" t="n">
        <v>1223267</v>
      </c>
      <c r="I50" s="1" t="n">
        <v>1</v>
      </c>
      <c r="J50" s="1" t="s">
        <v>1397</v>
      </c>
      <c r="K50" s="51" t="n">
        <v>688.3</v>
      </c>
      <c r="N50" s="15" t="n">
        <v>46222</v>
      </c>
      <c r="O50" s="51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1403</v>
      </c>
      <c r="D51" s="1" t="s">
        <v>1424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1397</v>
      </c>
      <c r="K51" s="51" t="n">
        <v>1049.39</v>
      </c>
      <c r="N51" s="15" t="n">
        <v>46223</v>
      </c>
      <c r="O51" s="51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1403</v>
      </c>
      <c r="D52" s="1" t="s">
        <v>1425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1397</v>
      </c>
      <c r="K52" s="51" t="n">
        <v>5728.5</v>
      </c>
      <c r="N52" s="15" t="n">
        <v>46224</v>
      </c>
      <c r="O52" s="51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1395</v>
      </c>
      <c r="D53" s="1" t="s">
        <v>1412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1397</v>
      </c>
      <c r="K53" s="51" t="n">
        <v>140</v>
      </c>
      <c r="N53" s="15" t="n">
        <v>46225</v>
      </c>
      <c r="O53" s="51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1403</v>
      </c>
      <c r="D54" s="1" t="s">
        <v>1413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1397</v>
      </c>
      <c r="K54" s="51" t="n">
        <v>180</v>
      </c>
      <c r="N54" s="15" t="n">
        <v>46226</v>
      </c>
      <c r="O54" s="51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1403</v>
      </c>
      <c r="D55" s="1" t="s">
        <v>1413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1397</v>
      </c>
      <c r="K55" s="51" t="n">
        <v>195</v>
      </c>
      <c r="N55" s="15" t="n">
        <v>46227</v>
      </c>
      <c r="O55" s="51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1403</v>
      </c>
      <c r="D56" s="1" t="s">
        <v>1413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1397</v>
      </c>
      <c r="K56" s="51" t="n">
        <v>180</v>
      </c>
      <c r="N56" s="15" t="n">
        <v>46228</v>
      </c>
      <c r="O56" s="51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1403</v>
      </c>
      <c r="D57" s="1" t="s">
        <v>1413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1397</v>
      </c>
      <c r="K57" s="51" t="n">
        <v>195</v>
      </c>
      <c r="N57" s="15" t="n">
        <v>46229</v>
      </c>
      <c r="O57" s="51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1395</v>
      </c>
      <c r="D58" s="1" t="s">
        <v>1405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1397</v>
      </c>
      <c r="K58" s="51" t="n">
        <v>307.2</v>
      </c>
      <c r="N58" s="15" t="n">
        <v>46230</v>
      </c>
      <c r="O58" s="51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1403</v>
      </c>
      <c r="D59" s="1" t="s">
        <v>1406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1397</v>
      </c>
      <c r="K59" s="51" t="n">
        <v>561.5</v>
      </c>
      <c r="N59" s="15" t="n">
        <v>46231</v>
      </c>
      <c r="O59" s="51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1403</v>
      </c>
      <c r="D60" s="1" t="s">
        <v>1418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1397</v>
      </c>
      <c r="K60" s="51" t="n">
        <v>3840</v>
      </c>
      <c r="N60" s="15" t="n">
        <v>46232</v>
      </c>
      <c r="O60" s="51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1403</v>
      </c>
      <c r="D61" s="1" t="s">
        <v>1408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1397</v>
      </c>
      <c r="K61" s="51" t="n">
        <v>180</v>
      </c>
      <c r="N61" s="15" t="n">
        <v>46233</v>
      </c>
      <c r="O61" s="51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1403</v>
      </c>
      <c r="D62" s="1" t="s">
        <v>1426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1397</v>
      </c>
      <c r="K62" s="51" t="n">
        <v>909.57</v>
      </c>
      <c r="N62" s="15" t="n">
        <v>46234</v>
      </c>
      <c r="O62" s="51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1395</v>
      </c>
      <c r="D63" s="1" t="s">
        <v>1427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1397</v>
      </c>
      <c r="K63" s="51" t="n">
        <v>796.16</v>
      </c>
      <c r="N63" s="15" t="n">
        <v>46235</v>
      </c>
      <c r="O63" s="51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1403</v>
      </c>
      <c r="D64" s="1" t="s">
        <v>1413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1397</v>
      </c>
      <c r="K64" s="51" t="n">
        <v>1926.18</v>
      </c>
      <c r="N64" s="15" t="n">
        <v>46236</v>
      </c>
      <c r="O64" s="51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1403</v>
      </c>
      <c r="D65" s="1" t="s">
        <v>1413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1397</v>
      </c>
      <c r="K65" s="51" t="n">
        <v>1926.18</v>
      </c>
      <c r="N65" s="15" t="n">
        <v>46237</v>
      </c>
      <c r="O65" s="51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1403</v>
      </c>
      <c r="D66" s="1" t="s">
        <v>1428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1397</v>
      </c>
      <c r="K66" s="51" t="n">
        <v>460</v>
      </c>
      <c r="N66" s="15" t="n">
        <v>46238</v>
      </c>
      <c r="O66" s="51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1403</v>
      </c>
      <c r="D67" s="1" t="s">
        <v>1414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1397</v>
      </c>
      <c r="K67" s="51" t="n">
        <v>186.94</v>
      </c>
      <c r="N67" s="15" t="n">
        <v>46239</v>
      </c>
      <c r="O67" s="51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1403</v>
      </c>
      <c r="D68" s="1" t="s">
        <v>1429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1397</v>
      </c>
      <c r="K68" s="51" t="n">
        <v>1377</v>
      </c>
      <c r="N68" s="15" t="n">
        <v>46240</v>
      </c>
      <c r="O68" s="51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1403</v>
      </c>
      <c r="D69" s="1" t="s">
        <v>1430</v>
      </c>
      <c r="E69" s="15" t="n">
        <v>46183</v>
      </c>
      <c r="F69" s="15" t="n">
        <v>46179</v>
      </c>
      <c r="G69" s="1" t="s">
        <v>1431</v>
      </c>
      <c r="H69" s="1" t="n">
        <v>1231085</v>
      </c>
      <c r="I69" s="1" t="n">
        <v>1</v>
      </c>
      <c r="J69" s="1" t="s">
        <v>1397</v>
      </c>
      <c r="K69" s="51" t="n">
        <v>190.5</v>
      </c>
      <c r="N69" s="15" t="n">
        <v>46241</v>
      </c>
      <c r="O69" s="51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1403</v>
      </c>
      <c r="D70" s="1" t="s">
        <v>1432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1397</v>
      </c>
      <c r="K70" s="51" t="n">
        <v>338</v>
      </c>
      <c r="N70" s="15" t="n">
        <v>46242</v>
      </c>
      <c r="O70" s="51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1403</v>
      </c>
      <c r="D71" s="1" t="s">
        <v>1415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1397</v>
      </c>
      <c r="K71" s="51" t="n">
        <v>1927.2</v>
      </c>
      <c r="N71" s="15" t="n">
        <v>46243</v>
      </c>
      <c r="O71" s="51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1403</v>
      </c>
      <c r="D72" s="1" t="s">
        <v>1433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1397</v>
      </c>
      <c r="K72" s="51" t="n">
        <v>715.2</v>
      </c>
      <c r="N72" s="15" t="n">
        <v>46244</v>
      </c>
      <c r="O72" s="51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1401</v>
      </c>
      <c r="D73" s="1" t="s">
        <v>1402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1397</v>
      </c>
      <c r="K73" s="51" t="n">
        <v>171.5</v>
      </c>
      <c r="N73" s="15" t="n">
        <v>46245</v>
      </c>
      <c r="O73" s="51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1434</v>
      </c>
      <c r="D74" s="1" t="s">
        <v>1435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1397</v>
      </c>
      <c r="K74" s="51" t="n">
        <v>1101.98</v>
      </c>
      <c r="N74" s="15" t="n">
        <v>46246</v>
      </c>
      <c r="O74" s="51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1436</v>
      </c>
      <c r="D75" s="1" t="s">
        <v>1435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1397</v>
      </c>
      <c r="K75" s="51" t="n">
        <v>1844.15</v>
      </c>
      <c r="N75" s="15" t="n">
        <v>46247</v>
      </c>
      <c r="O75" s="51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1403</v>
      </c>
      <c r="D76" s="1" t="s">
        <v>1424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1397</v>
      </c>
      <c r="K76" s="51" t="n">
        <v>1474.13</v>
      </c>
      <c r="N76" s="15" t="n">
        <v>46248</v>
      </c>
      <c r="O76" s="51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1403</v>
      </c>
      <c r="D77" s="1" t="s">
        <v>1437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1397</v>
      </c>
      <c r="K77" s="51" t="n">
        <v>250</v>
      </c>
      <c r="N77" s="15" t="n">
        <v>46249</v>
      </c>
      <c r="O77" s="51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1403</v>
      </c>
      <c r="D78" s="1" t="s">
        <v>1438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1397</v>
      </c>
      <c r="K78" s="51" t="n">
        <v>160.32</v>
      </c>
      <c r="N78" s="15" t="n">
        <v>46250</v>
      </c>
      <c r="O78" s="51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1395</v>
      </c>
      <c r="D79" s="1" t="s">
        <v>1412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1397</v>
      </c>
      <c r="K79" s="51" t="n">
        <v>200</v>
      </c>
      <c r="N79" s="15" t="n">
        <v>46251</v>
      </c>
      <c r="O79" s="51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1403</v>
      </c>
      <c r="D80" s="1" t="s">
        <v>1439</v>
      </c>
      <c r="E80" s="15" t="n">
        <v>46183</v>
      </c>
      <c r="F80" s="15" t="n">
        <v>46182</v>
      </c>
      <c r="G80" s="1" t="s">
        <v>1440</v>
      </c>
      <c r="H80" s="1" t="n">
        <v>1232476</v>
      </c>
      <c r="I80" s="1" t="n">
        <v>1</v>
      </c>
      <c r="J80" s="1" t="s">
        <v>1397</v>
      </c>
      <c r="K80" s="51" t="n">
        <v>1837.1</v>
      </c>
      <c r="N80" s="15" t="n">
        <v>46252</v>
      </c>
      <c r="O80" s="51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1403</v>
      </c>
      <c r="D81" s="1" t="s">
        <v>1404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1397</v>
      </c>
      <c r="K81" s="51" t="n">
        <v>4433</v>
      </c>
      <c r="N81" s="15" t="n">
        <v>46253</v>
      </c>
      <c r="O81" s="51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1403</v>
      </c>
      <c r="D82" s="1" t="s">
        <v>1413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1397</v>
      </c>
      <c r="K82" s="51" t="n">
        <v>1094</v>
      </c>
      <c r="N82" s="15" t="n">
        <v>46254</v>
      </c>
      <c r="O82" s="51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1403</v>
      </c>
      <c r="D83" s="1" t="s">
        <v>1413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1397</v>
      </c>
      <c r="K83" s="51" t="n">
        <v>600</v>
      </c>
      <c r="N83" s="15" t="n">
        <v>46255</v>
      </c>
      <c r="O83" s="51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1403</v>
      </c>
      <c r="D84" s="1" t="s">
        <v>1413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1397</v>
      </c>
      <c r="K84" s="51" t="n">
        <v>1800</v>
      </c>
      <c r="N84" s="15" t="n">
        <v>46256</v>
      </c>
      <c r="O84" s="51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1403</v>
      </c>
      <c r="D85" s="1" t="s">
        <v>1413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1397</v>
      </c>
      <c r="K85" s="51" t="n">
        <v>195</v>
      </c>
      <c r="N85" s="15" t="n">
        <v>46257</v>
      </c>
      <c r="O85" s="51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1403</v>
      </c>
      <c r="D86" s="1" t="s">
        <v>1413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1397</v>
      </c>
      <c r="K86" s="51" t="n">
        <v>1094</v>
      </c>
      <c r="N86" s="15" t="n">
        <v>46258</v>
      </c>
      <c r="O86" s="51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1403</v>
      </c>
      <c r="D87" s="1" t="s">
        <v>1413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1397</v>
      </c>
      <c r="K87" s="51" t="n">
        <v>195</v>
      </c>
      <c r="N87" s="15" t="n">
        <v>46259</v>
      </c>
      <c r="O87" s="51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1403</v>
      </c>
      <c r="D88" s="1" t="s">
        <v>1413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1397</v>
      </c>
      <c r="K88" s="51" t="n">
        <v>600</v>
      </c>
      <c r="N88" s="15" t="n">
        <v>46260</v>
      </c>
      <c r="O88" s="51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1403</v>
      </c>
      <c r="D89" s="1" t="s">
        <v>1413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1397</v>
      </c>
      <c r="K89" s="51" t="n">
        <v>1800</v>
      </c>
      <c r="N89" s="15" t="n">
        <v>46261</v>
      </c>
      <c r="O89" s="51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1441</v>
      </c>
      <c r="D90" s="1" t="s">
        <v>1442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1397</v>
      </c>
      <c r="K90" s="51" t="n">
        <v>18322.09</v>
      </c>
      <c r="N90" s="15" t="n">
        <v>46262</v>
      </c>
      <c r="O90" s="51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1403</v>
      </c>
      <c r="D91" s="1" t="s">
        <v>1443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1397</v>
      </c>
      <c r="K91" s="51" t="n">
        <v>3870.5</v>
      </c>
      <c r="N91" s="15" t="n">
        <v>46263</v>
      </c>
      <c r="O91" s="51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1444</v>
      </c>
      <c r="D92" s="1" t="s">
        <v>1445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1397</v>
      </c>
      <c r="K92" s="51" t="n">
        <v>2512.45</v>
      </c>
      <c r="N92" s="15" t="n">
        <v>46264</v>
      </c>
      <c r="O92" s="51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1403</v>
      </c>
      <c r="D93" s="1" t="s">
        <v>1446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1397</v>
      </c>
      <c r="K93" s="51" t="n">
        <v>433.35</v>
      </c>
      <c r="N93" s="15" t="n">
        <v>46265</v>
      </c>
      <c r="O93" s="51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1403</v>
      </c>
      <c r="D94" s="1" t="s">
        <v>1446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1397</v>
      </c>
      <c r="K94" s="51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1403</v>
      </c>
      <c r="D95" s="1" t="s">
        <v>1411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1397</v>
      </c>
      <c r="K95" s="51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1403</v>
      </c>
      <c r="D96" s="1" t="s">
        <v>1447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1397</v>
      </c>
      <c r="K96" s="51" t="n">
        <v>3312.16</v>
      </c>
      <c r="N96" s="33" t="s">
        <v>1448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1403</v>
      </c>
      <c r="D97" s="1" t="s">
        <v>1449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1397</v>
      </c>
      <c r="K97" s="51" t="n">
        <v>345.7</v>
      </c>
      <c r="N97" s="69" t="s">
        <v>1310</v>
      </c>
      <c r="O97" s="69" t="s">
        <v>1450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1434</v>
      </c>
      <c r="D98" s="1" t="s">
        <v>1451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1397</v>
      </c>
      <c r="K98" s="51" t="n">
        <v>278</v>
      </c>
      <c r="N98" s="1" t="s">
        <v>1319</v>
      </c>
      <c r="O98" s="51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1403</v>
      </c>
      <c r="D99" s="1" t="s">
        <v>1452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1397</v>
      </c>
      <c r="K99" s="51" t="n">
        <v>734.33</v>
      </c>
      <c r="N99" s="1" t="s">
        <v>1320</v>
      </c>
      <c r="O99" s="51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1403</v>
      </c>
      <c r="D100" s="1" t="s">
        <v>1453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1397</v>
      </c>
      <c r="K100" s="51" t="n">
        <v>1366.12</v>
      </c>
      <c r="N100" s="1" t="s">
        <v>1321</v>
      </c>
      <c r="O100" s="51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1398</v>
      </c>
      <c r="D101" s="1" t="s">
        <v>1399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1397</v>
      </c>
      <c r="K101" s="51" t="n">
        <v>192.43</v>
      </c>
      <c r="N101" s="70" t="s">
        <v>1338</v>
      </c>
      <c r="O101" s="71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1398</v>
      </c>
      <c r="D102" s="1" t="s">
        <v>1399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1397</v>
      </c>
      <c r="K102" s="51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1400</v>
      </c>
      <c r="D103" s="1" t="s">
        <v>1399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1397</v>
      </c>
      <c r="K103" s="51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1400</v>
      </c>
      <c r="D104" s="1" t="s">
        <v>1399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1397</v>
      </c>
      <c r="K104" s="51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1403</v>
      </c>
      <c r="D105" s="1" t="s">
        <v>1454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1397</v>
      </c>
      <c r="K105" s="51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1403</v>
      </c>
      <c r="D106" s="1" t="s">
        <v>1410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1397</v>
      </c>
      <c r="K106" s="51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1403</v>
      </c>
      <c r="D107" s="1" t="s">
        <v>1411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1397</v>
      </c>
      <c r="K107" s="51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1403</v>
      </c>
      <c r="D108" s="1" t="s">
        <v>1455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1397</v>
      </c>
      <c r="K108" s="51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1403</v>
      </c>
      <c r="D109" s="1" t="s">
        <v>1456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1397</v>
      </c>
      <c r="K109" s="51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1403</v>
      </c>
      <c r="D110" s="1" t="s">
        <v>1417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1397</v>
      </c>
      <c r="K110" s="51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1403</v>
      </c>
      <c r="D111" s="1" t="s">
        <v>1413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1397</v>
      </c>
      <c r="K111" s="51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1403</v>
      </c>
      <c r="D112" s="1" t="s">
        <v>1413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1397</v>
      </c>
      <c r="K112" s="51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1403</v>
      </c>
      <c r="D113" s="1" t="s">
        <v>1413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1397</v>
      </c>
      <c r="K113" s="51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1403</v>
      </c>
      <c r="D114" s="1" t="s">
        <v>1413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1397</v>
      </c>
      <c r="K114" s="51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1403</v>
      </c>
      <c r="D115" s="1" t="s">
        <v>1414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1397</v>
      </c>
      <c r="K115" s="51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1403</v>
      </c>
      <c r="D116" s="1" t="s">
        <v>1457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1397</v>
      </c>
      <c r="K116" s="51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1395</v>
      </c>
      <c r="D117" s="1" t="s">
        <v>1405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1397</v>
      </c>
      <c r="K117" s="51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1403</v>
      </c>
      <c r="D118" s="1" t="s">
        <v>1408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1397</v>
      </c>
      <c r="K118" s="51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1403</v>
      </c>
      <c r="D119" s="1" t="s">
        <v>1409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1397</v>
      </c>
      <c r="K119" s="51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1403</v>
      </c>
      <c r="D120" s="1" t="s">
        <v>1447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1397</v>
      </c>
      <c r="K120" s="51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1401</v>
      </c>
      <c r="D121" s="1" t="s">
        <v>1402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1397</v>
      </c>
      <c r="K121" s="51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1403</v>
      </c>
      <c r="D122" s="1" t="s">
        <v>1458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1397</v>
      </c>
      <c r="K122" s="51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1403</v>
      </c>
      <c r="D123" s="1" t="s">
        <v>1459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1397</v>
      </c>
      <c r="K123" s="51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1460</v>
      </c>
      <c r="D124" s="1" t="s">
        <v>1461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1397</v>
      </c>
      <c r="K124" s="51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1460</v>
      </c>
      <c r="D125" s="1" t="s">
        <v>1462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1397</v>
      </c>
      <c r="K125" s="51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1441</v>
      </c>
      <c r="D126" s="1" t="s">
        <v>1442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1397</v>
      </c>
      <c r="K126" s="51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1403</v>
      </c>
      <c r="D127" s="1" t="s">
        <v>1463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1397</v>
      </c>
      <c r="K127" s="51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1403</v>
      </c>
      <c r="D128" s="1" t="s">
        <v>1463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1397</v>
      </c>
      <c r="K128" s="51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1403</v>
      </c>
      <c r="D129" s="1" t="s">
        <v>1416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1397</v>
      </c>
      <c r="K129" s="51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1464</v>
      </c>
      <c r="D130" s="1" t="s">
        <v>1465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1397</v>
      </c>
      <c r="K130" s="51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1460</v>
      </c>
      <c r="D131" s="1" t="s">
        <v>1466</v>
      </c>
      <c r="E131" s="15" t="n">
        <v>46188</v>
      </c>
      <c r="F131" s="15" t="n">
        <v>46178</v>
      </c>
      <c r="G131" s="1" t="s">
        <v>1467</v>
      </c>
      <c r="H131" s="1" t="n">
        <v>1255758</v>
      </c>
      <c r="I131" s="1" t="n">
        <v>11</v>
      </c>
      <c r="J131" s="1" t="s">
        <v>1397</v>
      </c>
      <c r="K131" s="51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1401</v>
      </c>
      <c r="D132" s="1" t="s">
        <v>1402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1397</v>
      </c>
      <c r="K132" s="51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1401</v>
      </c>
      <c r="D133" s="1" t="s">
        <v>1402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1397</v>
      </c>
      <c r="K133" s="51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1403</v>
      </c>
      <c r="D134" s="1" t="s">
        <v>1468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1397</v>
      </c>
      <c r="K134" s="51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1469</v>
      </c>
      <c r="D135" s="1" t="s">
        <v>1470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1397</v>
      </c>
      <c r="K135" s="51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1403</v>
      </c>
      <c r="D136" s="1" t="s">
        <v>1459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1397</v>
      </c>
      <c r="K136" s="51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1403</v>
      </c>
      <c r="D137" s="1" t="s">
        <v>1459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1397</v>
      </c>
      <c r="K137" s="51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1403</v>
      </c>
      <c r="D138" s="1" t="s">
        <v>1459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1397</v>
      </c>
      <c r="K138" s="51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1403</v>
      </c>
      <c r="D139" s="1" t="s">
        <v>1459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1397</v>
      </c>
      <c r="K139" s="51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1403</v>
      </c>
      <c r="D140" s="1" t="s">
        <v>1459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1397</v>
      </c>
      <c r="K140" s="51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1403</v>
      </c>
      <c r="D141" s="1" t="s">
        <v>1413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1397</v>
      </c>
      <c r="K141" s="51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1403</v>
      </c>
      <c r="D142" s="1" t="s">
        <v>1413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1397</v>
      </c>
      <c r="K142" s="51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1398</v>
      </c>
      <c r="D143" s="1" t="s">
        <v>1399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1397</v>
      </c>
      <c r="K143" s="51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1398</v>
      </c>
      <c r="D144" s="1" t="s">
        <v>1399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1397</v>
      </c>
      <c r="K144" s="51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1398</v>
      </c>
      <c r="D145" s="1" t="s">
        <v>1399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1397</v>
      </c>
      <c r="K145" s="51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1400</v>
      </c>
      <c r="D146" s="1" t="s">
        <v>1399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1397</v>
      </c>
      <c r="K146" s="51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1460</v>
      </c>
      <c r="D147" s="1" t="s">
        <v>1471</v>
      </c>
      <c r="E147" s="15" t="n">
        <v>46189</v>
      </c>
      <c r="F147" s="15" t="n">
        <v>46136</v>
      </c>
      <c r="G147" s="1" t="s">
        <v>1472</v>
      </c>
      <c r="H147" s="1" t="n">
        <v>1261713</v>
      </c>
      <c r="I147" s="1" t="n">
        <v>11</v>
      </c>
      <c r="J147" s="1" t="s">
        <v>1397</v>
      </c>
      <c r="K147" s="51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1403</v>
      </c>
      <c r="D148" s="1" t="s">
        <v>1447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1397</v>
      </c>
      <c r="K148" s="51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1403</v>
      </c>
      <c r="D149" s="1" t="s">
        <v>1447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1397</v>
      </c>
      <c r="K149" s="51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1444</v>
      </c>
      <c r="D150" s="1" t="s">
        <v>1473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1397</v>
      </c>
      <c r="K150" s="51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1444</v>
      </c>
      <c r="D151" s="1" t="s">
        <v>1474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1397</v>
      </c>
      <c r="K151" s="51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1403</v>
      </c>
      <c r="D152" s="1" t="s">
        <v>1413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1397</v>
      </c>
      <c r="K152" s="51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1403</v>
      </c>
      <c r="D153" s="1" t="s">
        <v>1413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1397</v>
      </c>
      <c r="K153" s="51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1403</v>
      </c>
      <c r="D154" s="1" t="s">
        <v>1414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1397</v>
      </c>
      <c r="K154" s="51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1403</v>
      </c>
      <c r="D155" s="1" t="s">
        <v>1475</v>
      </c>
      <c r="E155" s="15" t="n">
        <v>46189</v>
      </c>
      <c r="F155" s="15" t="n">
        <v>46139</v>
      </c>
      <c r="G155" s="1" t="s">
        <v>1476</v>
      </c>
      <c r="H155" s="1" t="n">
        <v>1261588</v>
      </c>
      <c r="I155" s="1" t="n">
        <v>39</v>
      </c>
      <c r="J155" s="1" t="s">
        <v>1397</v>
      </c>
      <c r="K155" s="51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1403</v>
      </c>
      <c r="D156" s="1" t="s">
        <v>1477</v>
      </c>
      <c r="E156" s="15" t="n">
        <v>46189</v>
      </c>
      <c r="F156" s="15" t="n">
        <v>46142</v>
      </c>
      <c r="G156" s="1" t="s">
        <v>1478</v>
      </c>
      <c r="H156" s="1" t="n">
        <v>1261842</v>
      </c>
      <c r="I156" s="1" t="n">
        <v>39</v>
      </c>
      <c r="J156" s="1" t="s">
        <v>1397</v>
      </c>
      <c r="K156" s="51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1403</v>
      </c>
      <c r="D157" s="1" t="s">
        <v>1479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1397</v>
      </c>
      <c r="K157" s="51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1403</v>
      </c>
      <c r="D158" s="1" t="s">
        <v>1480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1397</v>
      </c>
      <c r="K158" s="51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1403</v>
      </c>
      <c r="D159" s="1" t="s">
        <v>1409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1397</v>
      </c>
      <c r="K159" s="51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1403</v>
      </c>
      <c r="D160" s="1" t="s">
        <v>1415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1397</v>
      </c>
      <c r="K160" s="51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1464</v>
      </c>
      <c r="D161" s="1" t="s">
        <v>1465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1397</v>
      </c>
      <c r="K161" s="51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1401</v>
      </c>
      <c r="D162" s="1" t="s">
        <v>1402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1397</v>
      </c>
      <c r="K162" s="51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1434</v>
      </c>
      <c r="D163" s="1" t="s">
        <v>1435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1397</v>
      </c>
      <c r="K163" s="51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1403</v>
      </c>
      <c r="D164" s="1" t="s">
        <v>1481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1397</v>
      </c>
      <c r="K164" s="51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1482</v>
      </c>
      <c r="D165" s="1" t="s">
        <v>1483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1397</v>
      </c>
      <c r="K165" s="51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1403</v>
      </c>
      <c r="D166" s="1" t="s">
        <v>1413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1397</v>
      </c>
      <c r="K166" s="51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1403</v>
      </c>
      <c r="D167" s="1" t="s">
        <v>1413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1397</v>
      </c>
      <c r="K167" s="51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1460</v>
      </c>
      <c r="D168" s="1" t="s">
        <v>1484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1397</v>
      </c>
      <c r="K168" s="51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1460</v>
      </c>
      <c r="D169" s="1" t="s">
        <v>1461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1397</v>
      </c>
      <c r="K169" s="51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1395</v>
      </c>
      <c r="D170" s="1" t="s">
        <v>1405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1397</v>
      </c>
      <c r="K170" s="51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1403</v>
      </c>
      <c r="D171" s="1" t="s">
        <v>1406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1397</v>
      </c>
      <c r="K171" s="51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1395</v>
      </c>
      <c r="D172" s="1" t="s">
        <v>1485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1397</v>
      </c>
      <c r="K172" s="51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1434</v>
      </c>
      <c r="D173" s="1" t="s">
        <v>1486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1397</v>
      </c>
      <c r="K173" s="51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1403</v>
      </c>
      <c r="D174" s="1" t="s">
        <v>1487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1397</v>
      </c>
      <c r="K174" s="51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1398</v>
      </c>
      <c r="D175" s="1" t="s">
        <v>1399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1397</v>
      </c>
      <c r="K175" s="51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1400</v>
      </c>
      <c r="D176" s="1" t="s">
        <v>1399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1397</v>
      </c>
      <c r="K176" s="51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1403</v>
      </c>
      <c r="D177" s="1" t="s">
        <v>1488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1397</v>
      </c>
      <c r="K177" s="51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1403</v>
      </c>
      <c r="D178" s="1" t="s">
        <v>1433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1397</v>
      </c>
      <c r="K178" s="51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1403</v>
      </c>
      <c r="D179" s="1" t="s">
        <v>1433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1397</v>
      </c>
      <c r="K179" s="51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1403</v>
      </c>
      <c r="D180" s="1" t="s">
        <v>1489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1397</v>
      </c>
      <c r="K180" s="51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1403</v>
      </c>
      <c r="D181" s="1" t="s">
        <v>1490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1397</v>
      </c>
      <c r="K181" s="51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1444</v>
      </c>
      <c r="D182" s="1" t="s">
        <v>1473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1397</v>
      </c>
      <c r="K182" s="51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1403</v>
      </c>
      <c r="D183" s="1" t="s">
        <v>1424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1397</v>
      </c>
      <c r="K183" s="51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1403</v>
      </c>
      <c r="D184" s="1" t="s">
        <v>1417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1397</v>
      </c>
      <c r="K184" s="51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1403</v>
      </c>
      <c r="D185" s="1" t="s">
        <v>1404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1397</v>
      </c>
      <c r="K185" s="51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1469</v>
      </c>
      <c r="D186" s="1" t="s">
        <v>1491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1397</v>
      </c>
      <c r="K186" s="51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1469</v>
      </c>
      <c r="D187" s="1" t="s">
        <v>1491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1397</v>
      </c>
      <c r="K187" s="51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1403</v>
      </c>
      <c r="D188" s="1" t="s">
        <v>1492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1397</v>
      </c>
      <c r="K188" s="51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1403</v>
      </c>
      <c r="D189" s="1" t="s">
        <v>1430</v>
      </c>
      <c r="E189" s="15" t="n">
        <v>46195</v>
      </c>
      <c r="F189" s="15" t="n">
        <v>46192</v>
      </c>
      <c r="G189" s="1" t="s">
        <v>1431</v>
      </c>
      <c r="H189" s="1" t="n">
        <v>1289205</v>
      </c>
      <c r="I189" s="1" t="n">
        <v>1</v>
      </c>
      <c r="J189" s="1" t="s">
        <v>1397</v>
      </c>
      <c r="K189" s="51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1403</v>
      </c>
      <c r="D190" s="1" t="s">
        <v>1408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1397</v>
      </c>
      <c r="K190" s="51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1403</v>
      </c>
      <c r="D191" s="1" t="s">
        <v>1409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1397</v>
      </c>
      <c r="K191" s="51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1403</v>
      </c>
      <c r="D192" s="1" t="s">
        <v>1493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1397</v>
      </c>
      <c r="K192" s="51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1403</v>
      </c>
      <c r="D193" s="1" t="s">
        <v>1494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1397</v>
      </c>
      <c r="K193" s="51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1403</v>
      </c>
      <c r="D194" s="1" t="s">
        <v>1495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1397</v>
      </c>
      <c r="K194" s="51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1444</v>
      </c>
      <c r="D195" s="1" t="s">
        <v>1445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1397</v>
      </c>
      <c r="K195" s="51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1398</v>
      </c>
      <c r="D196" s="1" t="s">
        <v>1399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1397</v>
      </c>
      <c r="K196" s="51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1398</v>
      </c>
      <c r="D197" s="1" t="s">
        <v>1399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1397</v>
      </c>
      <c r="K197" s="51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1398</v>
      </c>
      <c r="D198" s="1" t="s">
        <v>1399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1397</v>
      </c>
      <c r="K198" s="51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1400</v>
      </c>
      <c r="D199" s="1" t="s">
        <v>1399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1397</v>
      </c>
      <c r="K199" s="51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1400</v>
      </c>
      <c r="D200" s="1" t="s">
        <v>1399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1397</v>
      </c>
      <c r="K200" s="51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1400</v>
      </c>
      <c r="D201" s="1" t="s">
        <v>1399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1397</v>
      </c>
      <c r="K201" s="51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1403</v>
      </c>
      <c r="D202" s="1" t="s">
        <v>1454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1397</v>
      </c>
      <c r="K202" s="51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1403</v>
      </c>
      <c r="D203" s="1" t="s">
        <v>1410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1397</v>
      </c>
      <c r="K203" s="51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1403</v>
      </c>
      <c r="D204" s="1" t="s">
        <v>1411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1397</v>
      </c>
      <c r="K204" s="51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1403</v>
      </c>
      <c r="D205" s="1" t="s">
        <v>1411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1397</v>
      </c>
      <c r="K205" s="51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1403</v>
      </c>
      <c r="D206" s="1" t="s">
        <v>1411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1397</v>
      </c>
      <c r="K206" s="51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1403</v>
      </c>
      <c r="D207" s="1" t="s">
        <v>1420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1397</v>
      </c>
      <c r="K207" s="51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1403</v>
      </c>
      <c r="D208" s="1" t="s">
        <v>1422</v>
      </c>
      <c r="E208" s="15" t="n">
        <v>46195</v>
      </c>
      <c r="F208" s="15" t="n">
        <v>46192</v>
      </c>
      <c r="G208" s="1" t="s">
        <v>1423</v>
      </c>
      <c r="H208" s="1" t="n">
        <v>1289146</v>
      </c>
      <c r="I208" s="1" t="n">
        <v>1</v>
      </c>
      <c r="J208" s="1" t="s">
        <v>1397</v>
      </c>
      <c r="K208" s="51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1403</v>
      </c>
      <c r="D209" s="1" t="s">
        <v>1421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1397</v>
      </c>
      <c r="K209" s="51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1403</v>
      </c>
      <c r="D210" s="1" t="s">
        <v>1413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1397</v>
      </c>
      <c r="K210" s="51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1403</v>
      </c>
      <c r="D211" s="1" t="s">
        <v>1413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1397</v>
      </c>
      <c r="K211" s="51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1403</v>
      </c>
      <c r="D212" s="1" t="s">
        <v>1413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1397</v>
      </c>
      <c r="K212" s="51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1403</v>
      </c>
      <c r="D213" s="1" t="s">
        <v>1413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1397</v>
      </c>
      <c r="K213" s="51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1460</v>
      </c>
      <c r="D214" s="1" t="s">
        <v>1484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1397</v>
      </c>
      <c r="K214" s="51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1403</v>
      </c>
      <c r="D215" s="1" t="s">
        <v>1496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1397</v>
      </c>
      <c r="K215" s="51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1403</v>
      </c>
      <c r="D216" s="1" t="s">
        <v>1497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1397</v>
      </c>
      <c r="K216" s="51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1403</v>
      </c>
      <c r="D217" s="1" t="s">
        <v>1406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1397</v>
      </c>
      <c r="K217" s="51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1403</v>
      </c>
      <c r="D218" s="1" t="s">
        <v>1498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1397</v>
      </c>
      <c r="K218" s="51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1403</v>
      </c>
      <c r="D219" s="1" t="s">
        <v>1418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1397</v>
      </c>
      <c r="K219" s="51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1403</v>
      </c>
      <c r="D220" s="1" t="s">
        <v>1418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1397</v>
      </c>
      <c r="K220" s="51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1403</v>
      </c>
      <c r="D221" s="1" t="s">
        <v>1499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1397</v>
      </c>
      <c r="K221" s="51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1403</v>
      </c>
      <c r="D222" s="1" t="s">
        <v>1407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1397</v>
      </c>
      <c r="K222" s="51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1403</v>
      </c>
      <c r="D223" s="1" t="s">
        <v>1408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1397</v>
      </c>
      <c r="K223" s="51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1464</v>
      </c>
      <c r="D224" s="1" t="s">
        <v>1465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1397</v>
      </c>
      <c r="K224" s="51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1403</v>
      </c>
      <c r="D225" s="1" t="s">
        <v>1455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1397</v>
      </c>
      <c r="K225" s="51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1403</v>
      </c>
      <c r="D226" s="1" t="s">
        <v>1500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1397</v>
      </c>
      <c r="K226" s="51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1401</v>
      </c>
      <c r="D227" s="1" t="s">
        <v>1402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1397</v>
      </c>
      <c r="K227" s="51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1401</v>
      </c>
      <c r="D228" s="1" t="s">
        <v>1402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1397</v>
      </c>
      <c r="K228" s="51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1401</v>
      </c>
      <c r="D229" s="1" t="s">
        <v>1402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1397</v>
      </c>
      <c r="K229" s="51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1403</v>
      </c>
      <c r="D230" s="1" t="s">
        <v>1413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1397</v>
      </c>
      <c r="K230" s="51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1403</v>
      </c>
      <c r="D231" s="1" t="s">
        <v>1413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1397</v>
      </c>
      <c r="K231" s="51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1403</v>
      </c>
      <c r="D232" s="1" t="s">
        <v>1414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1397</v>
      </c>
      <c r="K232" s="51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1403</v>
      </c>
      <c r="D233" s="1" t="s">
        <v>1501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1397</v>
      </c>
      <c r="K233" s="51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1403</v>
      </c>
      <c r="D234" s="1" t="s">
        <v>1502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1397</v>
      </c>
      <c r="K234" s="51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1403</v>
      </c>
      <c r="D235" s="1" t="s">
        <v>1502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1397</v>
      </c>
      <c r="K235" s="51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1403</v>
      </c>
      <c r="D236" s="1" t="s">
        <v>1502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1397</v>
      </c>
      <c r="K236" s="51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1403</v>
      </c>
      <c r="D237" s="1" t="s">
        <v>1502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1397</v>
      </c>
      <c r="K237" s="51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1403</v>
      </c>
      <c r="D238" s="1" t="s">
        <v>1415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1397</v>
      </c>
      <c r="K238" s="51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1403</v>
      </c>
      <c r="D239" s="1" t="s">
        <v>1503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1397</v>
      </c>
      <c r="K239" s="51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1403</v>
      </c>
      <c r="D240" s="1" t="s">
        <v>1424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1397</v>
      </c>
      <c r="K240" s="51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1403</v>
      </c>
      <c r="D241" s="1" t="s">
        <v>1439</v>
      </c>
      <c r="E241" s="15" t="n">
        <v>46197</v>
      </c>
      <c r="F241" s="15" t="n">
        <v>46196</v>
      </c>
      <c r="G241" s="1" t="s">
        <v>1440</v>
      </c>
      <c r="H241" s="1" t="n">
        <v>1299327</v>
      </c>
      <c r="I241" s="1" t="n">
        <v>1</v>
      </c>
      <c r="J241" s="1" t="s">
        <v>1397</v>
      </c>
      <c r="K241" s="51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1403</v>
      </c>
      <c r="D242" s="1" t="s">
        <v>1504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1397</v>
      </c>
      <c r="K242" s="51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1460</v>
      </c>
      <c r="D243" s="1" t="s">
        <v>1505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1397</v>
      </c>
      <c r="K243" s="51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1395</v>
      </c>
      <c r="D244" s="1" t="s">
        <v>1405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1397</v>
      </c>
      <c r="K244" s="51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1395</v>
      </c>
      <c r="D245" s="1" t="s">
        <v>1405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1397</v>
      </c>
      <c r="K245" s="51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1403</v>
      </c>
      <c r="D246" s="1" t="s">
        <v>1506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1397</v>
      </c>
      <c r="K246" s="51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1403</v>
      </c>
      <c r="D247" s="1" t="s">
        <v>1502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1397</v>
      </c>
      <c r="K247" s="51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1398</v>
      </c>
      <c r="D248" s="1" t="s">
        <v>1399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1397</v>
      </c>
      <c r="K248" s="51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1400</v>
      </c>
      <c r="D249" s="1" t="s">
        <v>1399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1397</v>
      </c>
      <c r="K249" s="51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1403</v>
      </c>
      <c r="D250" s="1" t="s">
        <v>1416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1397</v>
      </c>
      <c r="K250" s="51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1403</v>
      </c>
      <c r="D251" s="1" t="s">
        <v>1411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1397</v>
      </c>
      <c r="K251" s="51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1403</v>
      </c>
      <c r="D252" s="1" t="s">
        <v>1507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1397</v>
      </c>
      <c r="K252" s="51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1401</v>
      </c>
      <c r="D253" s="1" t="s">
        <v>1402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1397</v>
      </c>
      <c r="K253" s="51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1403</v>
      </c>
      <c r="D254" s="1" t="s">
        <v>1508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1397</v>
      </c>
      <c r="K254" s="51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1403</v>
      </c>
      <c r="D255" s="1" t="s">
        <v>1509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1397</v>
      </c>
      <c r="K255" s="51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1460</v>
      </c>
      <c r="D256" s="1" t="s">
        <v>1461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1397</v>
      </c>
      <c r="K256" s="51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1434</v>
      </c>
      <c r="D257" s="1" t="s">
        <v>1451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1397</v>
      </c>
      <c r="K257" s="51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1403</v>
      </c>
      <c r="D258" s="1" t="s">
        <v>1454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1397</v>
      </c>
      <c r="K258" s="51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1403</v>
      </c>
      <c r="D259" s="1" t="s">
        <v>1410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1397</v>
      </c>
      <c r="K259" s="51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1403</v>
      </c>
      <c r="D260" s="1" t="s">
        <v>1425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1397</v>
      </c>
      <c r="K260" s="51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1403</v>
      </c>
      <c r="D261" s="1" t="s">
        <v>1417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1397</v>
      </c>
      <c r="K261" s="51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1403</v>
      </c>
      <c r="D262" s="1" t="s">
        <v>1459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1397</v>
      </c>
      <c r="K262" s="51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1403</v>
      </c>
      <c r="D263" s="1" t="s">
        <v>1459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1397</v>
      </c>
      <c r="K263" s="51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1403</v>
      </c>
      <c r="D264" s="1" t="s">
        <v>1413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1397</v>
      </c>
      <c r="K264" s="51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1403</v>
      </c>
      <c r="D265" s="1" t="s">
        <v>1413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1397</v>
      </c>
      <c r="K265" s="51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1403</v>
      </c>
      <c r="D266" s="1" t="s">
        <v>1413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1397</v>
      </c>
      <c r="K266" s="51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1403</v>
      </c>
      <c r="D267" s="1" t="s">
        <v>1413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1397</v>
      </c>
      <c r="K267" s="51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1395</v>
      </c>
      <c r="D268" s="1" t="s">
        <v>1405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1397</v>
      </c>
      <c r="K268" s="51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1403</v>
      </c>
      <c r="D269" s="1" t="s">
        <v>1430</v>
      </c>
      <c r="E269" s="15" t="n">
        <v>46200</v>
      </c>
      <c r="F269" s="15" t="n">
        <v>46185</v>
      </c>
      <c r="G269" s="1" t="s">
        <v>1431</v>
      </c>
      <c r="H269" s="1" t="n">
        <v>1312808</v>
      </c>
      <c r="I269" s="1" t="n">
        <v>1</v>
      </c>
      <c r="J269" s="1" t="s">
        <v>1397</v>
      </c>
      <c r="K269" s="51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1403</v>
      </c>
      <c r="D270" s="1" t="s">
        <v>1430</v>
      </c>
      <c r="E270" s="15" t="n">
        <v>46200</v>
      </c>
      <c r="F270" s="15" t="n">
        <v>46199</v>
      </c>
      <c r="G270" s="1" t="s">
        <v>1431</v>
      </c>
      <c r="H270" s="1" t="n">
        <v>1312818</v>
      </c>
      <c r="I270" s="1" t="n">
        <v>1</v>
      </c>
      <c r="J270" s="1" t="s">
        <v>1397</v>
      </c>
      <c r="K270" s="51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1403</v>
      </c>
      <c r="D271" s="1" t="s">
        <v>1409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1397</v>
      </c>
      <c r="K271" s="51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1403</v>
      </c>
      <c r="D272" s="1" t="s">
        <v>1510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1397</v>
      </c>
      <c r="K272" s="51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1444</v>
      </c>
      <c r="D273" s="1" t="s">
        <v>1445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1397</v>
      </c>
      <c r="K273" s="51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1401</v>
      </c>
      <c r="D274" s="1" t="s">
        <v>1402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1397</v>
      </c>
      <c r="K274" s="51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1403</v>
      </c>
      <c r="D275" s="1" t="s">
        <v>1422</v>
      </c>
      <c r="E275" s="15" t="n">
        <v>46200</v>
      </c>
      <c r="F275" s="15" t="n">
        <v>46200</v>
      </c>
      <c r="G275" s="1" t="s">
        <v>1423</v>
      </c>
      <c r="H275" s="1" t="n">
        <v>1312583</v>
      </c>
      <c r="I275" s="1" t="n">
        <v>1</v>
      </c>
      <c r="J275" s="1" t="s">
        <v>1397</v>
      </c>
      <c r="K275" s="51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1403</v>
      </c>
      <c r="D276" s="1" t="s">
        <v>1404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1397</v>
      </c>
      <c r="K276" s="51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1441</v>
      </c>
      <c r="D277" s="1" t="s">
        <v>1442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1397</v>
      </c>
      <c r="K277" s="51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1403</v>
      </c>
      <c r="D278" s="1" t="s">
        <v>1408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1397</v>
      </c>
      <c r="K278" s="51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1398</v>
      </c>
      <c r="D279" s="1" t="s">
        <v>1399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1397</v>
      </c>
      <c r="K279" s="51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1400</v>
      </c>
      <c r="D280" s="1" t="s">
        <v>1399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1397</v>
      </c>
      <c r="K280" s="51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1400</v>
      </c>
      <c r="D281" s="1" t="s">
        <v>1399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1397</v>
      </c>
      <c r="K281" s="51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1464</v>
      </c>
      <c r="D282" s="1" t="s">
        <v>1465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1397</v>
      </c>
      <c r="K282" s="51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1401</v>
      </c>
      <c r="D283" s="1" t="s">
        <v>1402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1397</v>
      </c>
      <c r="K283" s="51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1403</v>
      </c>
      <c r="D284" s="1" t="s">
        <v>1424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1397</v>
      </c>
      <c r="K284" s="51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1403</v>
      </c>
      <c r="D285" s="1" t="s">
        <v>1404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1397</v>
      </c>
      <c r="K285" s="51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1403</v>
      </c>
      <c r="D286" s="1" t="s">
        <v>1413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1397</v>
      </c>
      <c r="K286" s="51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1403</v>
      </c>
      <c r="D287" s="1" t="s">
        <v>1413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1397</v>
      </c>
      <c r="K287" s="51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1403</v>
      </c>
      <c r="D288" s="1" t="s">
        <v>1408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1397</v>
      </c>
      <c r="K288" s="51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1401</v>
      </c>
      <c r="D289" s="1" t="s">
        <v>1402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1397</v>
      </c>
      <c r="K289" s="51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1403</v>
      </c>
      <c r="D290" s="1" t="s">
        <v>1421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1397</v>
      </c>
      <c r="K290" s="51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1403</v>
      </c>
      <c r="D291" s="1" t="s">
        <v>1413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1397</v>
      </c>
      <c r="K291" s="51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1403</v>
      </c>
      <c r="D292" s="1" t="s">
        <v>1413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1397</v>
      </c>
      <c r="K292" s="51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1469</v>
      </c>
      <c r="D293" s="1" t="s">
        <v>1470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1397</v>
      </c>
      <c r="K293" s="51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1403</v>
      </c>
      <c r="D294" s="1" t="s">
        <v>1413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1397</v>
      </c>
      <c r="K294" s="51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1403</v>
      </c>
      <c r="D295" s="1" t="s">
        <v>1413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1397</v>
      </c>
      <c r="K295" s="51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1403</v>
      </c>
      <c r="D296" s="1" t="s">
        <v>1414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1397</v>
      </c>
      <c r="K296" s="51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1395</v>
      </c>
      <c r="D297" s="1" t="s">
        <v>1405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1397</v>
      </c>
      <c r="K297" s="51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1403</v>
      </c>
      <c r="D298" s="1" t="s">
        <v>1406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1397</v>
      </c>
      <c r="K298" s="51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1403</v>
      </c>
      <c r="D299" s="1" t="s">
        <v>1418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1397</v>
      </c>
      <c r="K299" s="51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1403</v>
      </c>
      <c r="D300" s="1" t="s">
        <v>1511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1397</v>
      </c>
      <c r="K300" s="51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1403</v>
      </c>
      <c r="D301" s="1" t="s">
        <v>1419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1397</v>
      </c>
      <c r="K301" s="51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1401</v>
      </c>
      <c r="D302" s="1" t="s">
        <v>1402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1397</v>
      </c>
      <c r="K302" s="51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1403</v>
      </c>
      <c r="D303" s="1" t="s">
        <v>1512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1397</v>
      </c>
      <c r="K303" s="51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1403</v>
      </c>
      <c r="D304" s="1" t="s">
        <v>1424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1397</v>
      </c>
      <c r="K304" s="51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1403</v>
      </c>
      <c r="D305" s="1" t="s">
        <v>1452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1397</v>
      </c>
      <c r="K305" s="51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1403</v>
      </c>
      <c r="D306" s="1" t="s">
        <v>1430</v>
      </c>
      <c r="E306" s="15" t="n">
        <v>46206</v>
      </c>
      <c r="F306" s="15" t="n">
        <v>46206</v>
      </c>
      <c r="G306" s="1" t="s">
        <v>1431</v>
      </c>
      <c r="H306" s="1" t="n">
        <v>1344684</v>
      </c>
      <c r="I306" s="1" t="n">
        <v>1</v>
      </c>
      <c r="J306" s="1" t="s">
        <v>1397</v>
      </c>
      <c r="K306" s="51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1403</v>
      </c>
      <c r="D307" s="1" t="s">
        <v>1409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1397</v>
      </c>
      <c r="K307" s="51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1444</v>
      </c>
      <c r="D308" s="1" t="s">
        <v>1445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1397</v>
      </c>
      <c r="K308" s="51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1403</v>
      </c>
      <c r="D309" s="1" t="s">
        <v>1410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1397</v>
      </c>
      <c r="K309" s="51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1464</v>
      </c>
      <c r="D310" s="1" t="s">
        <v>1465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1397</v>
      </c>
      <c r="K310" s="51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1403</v>
      </c>
      <c r="D311" s="1" t="s">
        <v>1411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1397</v>
      </c>
      <c r="K311" s="51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1401</v>
      </c>
      <c r="D312" s="1" t="s">
        <v>1402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1397</v>
      </c>
      <c r="K312" s="51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1395</v>
      </c>
      <c r="D313" s="1" t="s">
        <v>1427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1397</v>
      </c>
      <c r="K313" s="51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1395</v>
      </c>
      <c r="D314" s="1" t="s">
        <v>1513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1397</v>
      </c>
      <c r="K314" s="51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1403</v>
      </c>
      <c r="D315" s="1" t="s">
        <v>1422</v>
      </c>
      <c r="E315" s="15" t="n">
        <v>46206</v>
      </c>
      <c r="F315" s="15" t="n">
        <v>46206</v>
      </c>
      <c r="G315" s="1" t="s">
        <v>1423</v>
      </c>
      <c r="H315" s="1" t="n">
        <v>1344581</v>
      </c>
      <c r="I315" s="1" t="n">
        <v>1</v>
      </c>
      <c r="J315" s="1" t="s">
        <v>1397</v>
      </c>
      <c r="K315" s="51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1403</v>
      </c>
      <c r="D316" s="1" t="s">
        <v>1439</v>
      </c>
      <c r="E316" s="15" t="n">
        <v>46206</v>
      </c>
      <c r="F316" s="15" t="n">
        <v>46205</v>
      </c>
      <c r="G316" s="1" t="s">
        <v>1440</v>
      </c>
      <c r="H316" s="1" t="n">
        <v>1344368</v>
      </c>
      <c r="I316" s="1" t="n">
        <v>1</v>
      </c>
      <c r="J316" s="1" t="s">
        <v>1397</v>
      </c>
      <c r="K316" s="51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1403</v>
      </c>
      <c r="D317" s="1" t="s">
        <v>1413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1397</v>
      </c>
      <c r="K317" s="51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1403</v>
      </c>
      <c r="D318" s="1" t="s">
        <v>1413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1397</v>
      </c>
      <c r="K318" s="51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1403</v>
      </c>
      <c r="D319" s="1" t="s">
        <v>1413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1397</v>
      </c>
      <c r="K319" s="51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1403</v>
      </c>
      <c r="D320" s="1" t="s">
        <v>1413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1397</v>
      </c>
      <c r="K320" s="51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1403</v>
      </c>
      <c r="D321" s="1" t="s">
        <v>1428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1397</v>
      </c>
      <c r="K321" s="51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1403</v>
      </c>
      <c r="D322" s="1" t="s">
        <v>1408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1397</v>
      </c>
      <c r="K322" s="51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1403</v>
      </c>
      <c r="D323" s="1" t="s">
        <v>1404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1397</v>
      </c>
      <c r="K323" s="51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1395</v>
      </c>
      <c r="D324" s="1" t="s">
        <v>1405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1397</v>
      </c>
      <c r="K324" s="51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1398</v>
      </c>
      <c r="D325" s="1" t="s">
        <v>1399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1397</v>
      </c>
      <c r="K325" s="51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1398</v>
      </c>
      <c r="D326" s="1" t="s">
        <v>1399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1397</v>
      </c>
      <c r="K326" s="51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1400</v>
      </c>
      <c r="D327" s="1" t="s">
        <v>1399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1397</v>
      </c>
      <c r="K327" s="51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1400</v>
      </c>
      <c r="D328" s="1" t="s">
        <v>1399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1397</v>
      </c>
      <c r="K328" s="51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1403</v>
      </c>
      <c r="D329" s="1" t="s">
        <v>1416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1397</v>
      </c>
      <c r="K329" s="51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1401</v>
      </c>
      <c r="D330" s="1" t="s">
        <v>1402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1397</v>
      </c>
      <c r="K330" s="51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1403</v>
      </c>
      <c r="D331" s="1" t="s">
        <v>1421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1397</v>
      </c>
      <c r="K331" s="51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1403</v>
      </c>
      <c r="D332" s="1" t="s">
        <v>1438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1397</v>
      </c>
      <c r="K332" s="51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1403</v>
      </c>
      <c r="D333" s="1" t="s">
        <v>1413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1397</v>
      </c>
      <c r="K333" s="51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1403</v>
      </c>
      <c r="D334" s="1" t="s">
        <v>1413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1397</v>
      </c>
      <c r="K334" s="51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1403</v>
      </c>
      <c r="D335" s="1" t="s">
        <v>1514</v>
      </c>
      <c r="E335" s="15" t="n">
        <v>46210</v>
      </c>
      <c r="F335" s="15" t="n">
        <v>46206</v>
      </c>
      <c r="G335" s="1" t="s">
        <v>1515</v>
      </c>
      <c r="H335" s="1" t="n">
        <v>1366133</v>
      </c>
      <c r="I335" s="1" t="n">
        <v>11</v>
      </c>
      <c r="J335" s="1" t="s">
        <v>1397</v>
      </c>
      <c r="K335" s="51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1403</v>
      </c>
      <c r="D336" s="1" t="s">
        <v>1454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1397</v>
      </c>
      <c r="K336" s="51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1403</v>
      </c>
      <c r="D337" s="1" t="s">
        <v>1410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1397</v>
      </c>
      <c r="K337" s="51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1401</v>
      </c>
      <c r="D338" s="1" t="s">
        <v>1402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1397</v>
      </c>
      <c r="K338" s="51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1403</v>
      </c>
      <c r="D339" s="1" t="s">
        <v>1516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1397</v>
      </c>
      <c r="K339" s="51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1403</v>
      </c>
      <c r="D340" s="1" t="s">
        <v>1413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1397</v>
      </c>
      <c r="K340" s="51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1403</v>
      </c>
      <c r="D341" s="1" t="s">
        <v>1413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1397</v>
      </c>
      <c r="K341" s="51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1403</v>
      </c>
      <c r="D342" s="1" t="s">
        <v>1414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1397</v>
      </c>
      <c r="K342" s="51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1403</v>
      </c>
      <c r="D343" s="1" t="s">
        <v>1408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1397</v>
      </c>
      <c r="K343" s="51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1403</v>
      </c>
      <c r="D344" s="1" t="s">
        <v>1426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1397</v>
      </c>
      <c r="K344" s="51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1398</v>
      </c>
      <c r="D345" s="1" t="s">
        <v>1399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1397</v>
      </c>
      <c r="K345" s="51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1398</v>
      </c>
      <c r="D346" s="1" t="s">
        <v>1399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1397</v>
      </c>
      <c r="K346" s="51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1398</v>
      </c>
      <c r="D347" s="1" t="s">
        <v>1399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1397</v>
      </c>
      <c r="K347" s="51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1400</v>
      </c>
      <c r="D348" s="1" t="s">
        <v>1399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1397</v>
      </c>
      <c r="K348" s="51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1400</v>
      </c>
      <c r="D349" s="1" t="s">
        <v>1399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1397</v>
      </c>
      <c r="K349" s="51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1400</v>
      </c>
      <c r="D350" s="1" t="s">
        <v>1399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1397</v>
      </c>
      <c r="K350" s="51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1401</v>
      </c>
      <c r="D351" s="1" t="s">
        <v>1402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1397</v>
      </c>
      <c r="K351" s="51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1403</v>
      </c>
      <c r="D352" s="1" t="s">
        <v>1517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1397</v>
      </c>
      <c r="K352" s="51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1403</v>
      </c>
      <c r="D353" s="1" t="s">
        <v>1413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1397</v>
      </c>
      <c r="K353" s="51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1403</v>
      </c>
      <c r="D354" s="1" t="s">
        <v>1413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1397</v>
      </c>
      <c r="K354" s="51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1395</v>
      </c>
      <c r="D355" s="1" t="s">
        <v>1405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1397</v>
      </c>
      <c r="K355" s="51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1403</v>
      </c>
      <c r="D356" s="1" t="s">
        <v>1406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1397</v>
      </c>
      <c r="K356" s="51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1403</v>
      </c>
      <c r="D357" s="1" t="s">
        <v>1418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1397</v>
      </c>
      <c r="K357" s="51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1403</v>
      </c>
      <c r="D358" s="1" t="s">
        <v>1409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1397</v>
      </c>
      <c r="K358" s="51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1398</v>
      </c>
      <c r="D359" s="1" t="s">
        <v>1399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1397</v>
      </c>
      <c r="K359" s="51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1398</v>
      </c>
      <c r="D360" s="1" t="s">
        <v>1399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1397</v>
      </c>
      <c r="K360" s="51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1400</v>
      </c>
      <c r="D361" s="1" t="s">
        <v>1399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1397</v>
      </c>
      <c r="K361" s="51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1403</v>
      </c>
      <c r="D362" s="1" t="s">
        <v>1446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1397</v>
      </c>
      <c r="K362" s="51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1403</v>
      </c>
      <c r="D363" s="1" t="s">
        <v>1433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1397</v>
      </c>
      <c r="K363" s="51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1403</v>
      </c>
      <c r="D364" s="1" t="s">
        <v>1411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1397</v>
      </c>
      <c r="K364" s="51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1403</v>
      </c>
      <c r="D365" s="1" t="s">
        <v>1518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1397</v>
      </c>
      <c r="K365" s="51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1403</v>
      </c>
      <c r="D366" s="1" t="s">
        <v>1518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1397</v>
      </c>
      <c r="K366" s="51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1403</v>
      </c>
      <c r="D367" s="1" t="s">
        <v>1458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1397</v>
      </c>
      <c r="K367" s="51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1403</v>
      </c>
      <c r="D368" s="1" t="s">
        <v>1417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1397</v>
      </c>
      <c r="K368" s="51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1403</v>
      </c>
      <c r="D369" s="1" t="s">
        <v>1413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1397</v>
      </c>
      <c r="K369" s="51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1403</v>
      </c>
      <c r="D370" s="1" t="s">
        <v>1413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1397</v>
      </c>
      <c r="K370" s="51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1403</v>
      </c>
      <c r="D371" s="1" t="s">
        <v>1449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1397</v>
      </c>
      <c r="K371" s="51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1403</v>
      </c>
      <c r="D372" s="1" t="s">
        <v>1418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1397</v>
      </c>
      <c r="K372" s="51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1403</v>
      </c>
      <c r="D373" s="1" t="s">
        <v>1430</v>
      </c>
      <c r="E373" s="15" t="n">
        <v>46213</v>
      </c>
      <c r="F373" s="15" t="n">
        <v>46213</v>
      </c>
      <c r="G373" s="1" t="s">
        <v>1431</v>
      </c>
      <c r="H373" s="1" t="n">
        <v>1377076</v>
      </c>
      <c r="I373" s="1" t="n">
        <v>1</v>
      </c>
      <c r="J373" s="1" t="s">
        <v>1397</v>
      </c>
      <c r="K373" s="51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1403</v>
      </c>
      <c r="D374" s="1" t="s">
        <v>1519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1397</v>
      </c>
      <c r="K374" s="51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1403</v>
      </c>
      <c r="D375" s="1" t="s">
        <v>1409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1397</v>
      </c>
      <c r="K375" s="51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1403</v>
      </c>
      <c r="D376" s="1" t="s">
        <v>1454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1397</v>
      </c>
      <c r="K376" s="51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1403</v>
      </c>
      <c r="D377" s="1" t="s">
        <v>1410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1397</v>
      </c>
      <c r="K377" s="51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1403</v>
      </c>
      <c r="D378" s="1" t="s">
        <v>1520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1397</v>
      </c>
      <c r="K378" s="51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1464</v>
      </c>
      <c r="D379" s="1" t="s">
        <v>1465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1397</v>
      </c>
      <c r="K379" s="51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1403</v>
      </c>
      <c r="D380" s="1" t="s">
        <v>1456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1397</v>
      </c>
      <c r="K380" s="51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1403</v>
      </c>
      <c r="D381" s="1" t="s">
        <v>1422</v>
      </c>
      <c r="E381" s="15" t="n">
        <v>46213</v>
      </c>
      <c r="F381" s="15" t="n">
        <v>46213</v>
      </c>
      <c r="G381" s="1" t="s">
        <v>1423</v>
      </c>
      <c r="H381" s="1" t="n">
        <v>1376630</v>
      </c>
      <c r="I381" s="1" t="n">
        <v>1</v>
      </c>
      <c r="J381" s="1" t="s">
        <v>1397</v>
      </c>
      <c r="K381" s="51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1403</v>
      </c>
      <c r="D382" s="1" t="s">
        <v>1521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1397</v>
      </c>
      <c r="K382" s="51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1403</v>
      </c>
      <c r="D383" s="1" t="s">
        <v>1413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1397</v>
      </c>
      <c r="K383" s="51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1460</v>
      </c>
      <c r="D384" s="1" t="s">
        <v>1484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1397</v>
      </c>
      <c r="K384" s="51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1434</v>
      </c>
      <c r="D385" s="1" t="s">
        <v>1451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1397</v>
      </c>
      <c r="K385" s="51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1403</v>
      </c>
      <c r="D386" s="1" t="s">
        <v>1480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1397</v>
      </c>
      <c r="K386" s="51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1403</v>
      </c>
      <c r="D387" s="1" t="s">
        <v>1452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1397</v>
      </c>
      <c r="K387" s="51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1403</v>
      </c>
      <c r="D388" s="1" t="s">
        <v>1408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1397</v>
      </c>
      <c r="K388" s="51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1401</v>
      </c>
      <c r="D389" s="1" t="s">
        <v>1402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1397</v>
      </c>
      <c r="K389" s="51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1403</v>
      </c>
      <c r="D390" s="1" t="s">
        <v>1522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1397</v>
      </c>
      <c r="K390" s="51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1403</v>
      </c>
      <c r="D391" s="1" t="s">
        <v>1457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1397</v>
      </c>
      <c r="K391" s="51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1395</v>
      </c>
      <c r="D392" s="1" t="s">
        <v>1405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1397</v>
      </c>
      <c r="K392" s="51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1441</v>
      </c>
      <c r="D393" s="1" t="s">
        <v>1442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1397</v>
      </c>
      <c r="K393" s="51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1398</v>
      </c>
      <c r="D394" s="1" t="s">
        <v>1399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1397</v>
      </c>
      <c r="K394" s="51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1398</v>
      </c>
      <c r="D395" s="1" t="s">
        <v>1399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1397</v>
      </c>
      <c r="K395" s="51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1400</v>
      </c>
      <c r="D396" s="1" t="s">
        <v>1399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1397</v>
      </c>
      <c r="K396" s="51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1403</v>
      </c>
      <c r="D397" s="1" t="s">
        <v>1447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1397</v>
      </c>
      <c r="K397" s="51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1401</v>
      </c>
      <c r="D398" s="1" t="s">
        <v>1402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1397</v>
      </c>
      <c r="K398" s="51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1403</v>
      </c>
      <c r="D399" s="1" t="s">
        <v>1420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1397</v>
      </c>
      <c r="K399" s="51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1403</v>
      </c>
      <c r="D400" s="1" t="s">
        <v>1437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1397</v>
      </c>
      <c r="K400" s="51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1403</v>
      </c>
      <c r="D401" s="1" t="s">
        <v>1523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1397</v>
      </c>
      <c r="K401" s="51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1403</v>
      </c>
      <c r="D402" s="1" t="s">
        <v>1413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1397</v>
      </c>
      <c r="K402" s="51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1395</v>
      </c>
      <c r="D403" s="1" t="s">
        <v>1405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1397</v>
      </c>
      <c r="K403" s="51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1403</v>
      </c>
      <c r="D404" s="1" t="s">
        <v>1498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1397</v>
      </c>
      <c r="K404" s="51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1403</v>
      </c>
      <c r="D405" s="1" t="s">
        <v>1432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1397</v>
      </c>
      <c r="K405" s="51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1403</v>
      </c>
      <c r="D406" s="1" t="s">
        <v>1410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1397</v>
      </c>
      <c r="K406" s="51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1401</v>
      </c>
      <c r="D407" s="1" t="s">
        <v>1402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1397</v>
      </c>
      <c r="K407" s="51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1403</v>
      </c>
      <c r="D408" s="1" t="s">
        <v>1518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1397</v>
      </c>
      <c r="K408" s="51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1469</v>
      </c>
      <c r="D409" s="1" t="s">
        <v>1470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1397</v>
      </c>
      <c r="K409" s="51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1469</v>
      </c>
      <c r="D410" s="1" t="s">
        <v>1470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1397</v>
      </c>
      <c r="K410" s="51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1403</v>
      </c>
      <c r="D411" s="1" t="s">
        <v>1404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1397</v>
      </c>
      <c r="K411" s="51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1403</v>
      </c>
      <c r="D412" s="1" t="s">
        <v>1413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1397</v>
      </c>
      <c r="K412" s="51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1403</v>
      </c>
      <c r="D413" s="1" t="s">
        <v>1413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1397</v>
      </c>
      <c r="K413" s="51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1403</v>
      </c>
      <c r="D414" s="1" t="s">
        <v>1414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1397</v>
      </c>
      <c r="K414" s="51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1403</v>
      </c>
      <c r="D415" s="1" t="s">
        <v>1407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1397</v>
      </c>
      <c r="K415" s="51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1403</v>
      </c>
      <c r="D416" s="1" t="s">
        <v>1524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1397</v>
      </c>
      <c r="K416" s="51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1403</v>
      </c>
      <c r="D417" s="1" t="s">
        <v>1495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1397</v>
      </c>
      <c r="K417" s="51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1403</v>
      </c>
      <c r="D418" s="1" t="s">
        <v>1495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1397</v>
      </c>
      <c r="K418" s="51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1403</v>
      </c>
      <c r="D419" s="1" t="s">
        <v>1495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1397</v>
      </c>
      <c r="K419" s="51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1403</v>
      </c>
      <c r="D420" s="1" t="s">
        <v>1411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1397</v>
      </c>
      <c r="K420" s="51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1403</v>
      </c>
      <c r="D421" s="1" t="s">
        <v>1447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1397</v>
      </c>
      <c r="K421" s="51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1403</v>
      </c>
      <c r="D422" s="1" t="s">
        <v>1447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1397</v>
      </c>
      <c r="K422" s="51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1401</v>
      </c>
      <c r="D423" s="1" t="s">
        <v>1402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1397</v>
      </c>
      <c r="K423" s="51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1403</v>
      </c>
      <c r="D424" s="1" t="s">
        <v>1424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1397</v>
      </c>
      <c r="K424" s="51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1403</v>
      </c>
      <c r="D425" s="1" t="s">
        <v>1525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1397</v>
      </c>
      <c r="K425" s="51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1395</v>
      </c>
      <c r="D426" s="1" t="s">
        <v>1526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1397</v>
      </c>
      <c r="K426" s="51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1434</v>
      </c>
      <c r="D427" s="1" t="s">
        <v>1486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1397</v>
      </c>
      <c r="K427" s="51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1398</v>
      </c>
      <c r="D428" s="1" t="s">
        <v>1399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1397</v>
      </c>
      <c r="K428" s="51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1400</v>
      </c>
      <c r="D429" s="1" t="s">
        <v>1399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1397</v>
      </c>
      <c r="K429" s="51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1403</v>
      </c>
      <c r="D430" s="1" t="s">
        <v>1433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1397</v>
      </c>
      <c r="K430" s="51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1403</v>
      </c>
      <c r="D431" s="1" t="s">
        <v>1447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1397</v>
      </c>
      <c r="K431" s="51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1403</v>
      </c>
      <c r="D432" s="1" t="s">
        <v>1455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1397</v>
      </c>
      <c r="K432" s="51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1403</v>
      </c>
      <c r="D433" s="1" t="s">
        <v>1456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1397</v>
      </c>
      <c r="K433" s="51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1403</v>
      </c>
      <c r="D434" s="1" t="s">
        <v>1425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1397</v>
      </c>
      <c r="K434" s="51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1403</v>
      </c>
      <c r="D435" s="1" t="s">
        <v>1404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1397</v>
      </c>
      <c r="K435" s="51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1403</v>
      </c>
      <c r="D436" s="1" t="s">
        <v>1459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1397</v>
      </c>
      <c r="K436" s="51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1403</v>
      </c>
      <c r="D437" s="1" t="s">
        <v>1449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1397</v>
      </c>
      <c r="K437" s="51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1460</v>
      </c>
      <c r="D438" s="1" t="s">
        <v>1461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1397</v>
      </c>
      <c r="K438" s="51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1403</v>
      </c>
      <c r="D439" s="1" t="s">
        <v>1406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1397</v>
      </c>
      <c r="K439" s="51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1403</v>
      </c>
      <c r="D440" s="1" t="s">
        <v>1430</v>
      </c>
      <c r="E440" s="15" t="n">
        <v>46220</v>
      </c>
      <c r="F440" s="15" t="n">
        <v>46220</v>
      </c>
      <c r="G440" s="1" t="s">
        <v>1431</v>
      </c>
      <c r="H440" s="1" t="n">
        <v>1411966</v>
      </c>
      <c r="I440" s="1" t="n">
        <v>11</v>
      </c>
      <c r="J440" s="1" t="s">
        <v>1397</v>
      </c>
      <c r="K440" s="51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1403</v>
      </c>
      <c r="D441" s="1" t="s">
        <v>1409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1397</v>
      </c>
      <c r="K441" s="51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1403</v>
      </c>
      <c r="D442" s="1" t="s">
        <v>1454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1397</v>
      </c>
      <c r="K442" s="51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1403</v>
      </c>
      <c r="D443" s="1" t="s">
        <v>1410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1397</v>
      </c>
      <c r="K443" s="51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1403</v>
      </c>
      <c r="D444" s="1" t="s">
        <v>1411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1397</v>
      </c>
      <c r="K444" s="51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1403</v>
      </c>
      <c r="D445" s="1" t="s">
        <v>1527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1397</v>
      </c>
      <c r="K445" s="51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1403</v>
      </c>
      <c r="D446" s="1" t="s">
        <v>1527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1397</v>
      </c>
      <c r="K446" s="51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1403</v>
      </c>
      <c r="D447" s="1" t="s">
        <v>1527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1397</v>
      </c>
      <c r="K447" s="51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1403</v>
      </c>
      <c r="D448" s="1" t="s">
        <v>1527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1397</v>
      </c>
      <c r="K448" s="51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1403</v>
      </c>
      <c r="D449" s="1" t="s">
        <v>1527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1397</v>
      </c>
      <c r="K449" s="51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1403</v>
      </c>
      <c r="D450" s="1" t="s">
        <v>1527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1397</v>
      </c>
      <c r="K450" s="51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1403</v>
      </c>
      <c r="D451" s="1" t="s">
        <v>1527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1397</v>
      </c>
      <c r="K451" s="51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1403</v>
      </c>
      <c r="D452" s="1" t="s">
        <v>1527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1397</v>
      </c>
      <c r="K452" s="51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1403</v>
      </c>
      <c r="D453" s="1" t="s">
        <v>1421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1397</v>
      </c>
      <c r="K453" s="51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1403</v>
      </c>
      <c r="D454" s="1" t="s">
        <v>1523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1397</v>
      </c>
      <c r="K454" s="51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1403</v>
      </c>
      <c r="D455" s="1" t="s">
        <v>1404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1397</v>
      </c>
      <c r="K455" s="51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1403</v>
      </c>
      <c r="D456" s="1" t="s">
        <v>1413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1397</v>
      </c>
      <c r="K456" s="51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1403</v>
      </c>
      <c r="D457" s="1" t="s">
        <v>1413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1397</v>
      </c>
      <c r="K457" s="51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1395</v>
      </c>
      <c r="D458" s="1" t="s">
        <v>1405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1397</v>
      </c>
      <c r="K458" s="51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1434</v>
      </c>
      <c r="D459" s="1" t="s">
        <v>1451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1397</v>
      </c>
      <c r="K459" s="51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1403</v>
      </c>
      <c r="D460" s="1" t="s">
        <v>1492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1397</v>
      </c>
      <c r="K460" s="51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1403</v>
      </c>
      <c r="D461" s="1" t="s">
        <v>1511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1397</v>
      </c>
      <c r="K461" s="51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1403</v>
      </c>
      <c r="D462" s="1" t="s">
        <v>1511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1397</v>
      </c>
      <c r="K462" s="51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1403</v>
      </c>
      <c r="D463" s="1" t="s">
        <v>1511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1397</v>
      </c>
      <c r="K463" s="51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1403</v>
      </c>
      <c r="D464" s="1" t="s">
        <v>1408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1397</v>
      </c>
      <c r="K464" s="51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1403</v>
      </c>
      <c r="D465" s="1" t="s">
        <v>1447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1397</v>
      </c>
      <c r="K465" s="51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1401</v>
      </c>
      <c r="D466" s="1" t="s">
        <v>1402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1397</v>
      </c>
      <c r="K466" s="51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1403</v>
      </c>
      <c r="D467" s="1" t="s">
        <v>1527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1397</v>
      </c>
      <c r="K467" s="51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1403</v>
      </c>
      <c r="D468" s="1" t="s">
        <v>1511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1397</v>
      </c>
      <c r="K468" s="51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1403</v>
      </c>
      <c r="D469" s="1" t="s">
        <v>1528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1397</v>
      </c>
      <c r="K469" s="51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1398</v>
      </c>
      <c r="D470" s="1" t="s">
        <v>1399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1397</v>
      </c>
      <c r="K470" s="51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1398</v>
      </c>
      <c r="D471" s="1" t="s">
        <v>1399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1397</v>
      </c>
      <c r="K471" s="51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1400</v>
      </c>
      <c r="D472" s="1" t="s">
        <v>1399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1397</v>
      </c>
      <c r="K472" s="51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1403</v>
      </c>
      <c r="D473" s="1" t="s">
        <v>1446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1397</v>
      </c>
      <c r="K473" s="51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1401</v>
      </c>
      <c r="D474" s="1" t="s">
        <v>1402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1397</v>
      </c>
      <c r="K474" s="51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1403</v>
      </c>
      <c r="D475" s="1" t="s">
        <v>1527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1397</v>
      </c>
      <c r="K475" s="51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1403</v>
      </c>
      <c r="D476" s="1" t="s">
        <v>1527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1397</v>
      </c>
      <c r="K476" s="51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1403</v>
      </c>
      <c r="D477" s="1" t="s">
        <v>1417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1397</v>
      </c>
      <c r="K477" s="51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1403</v>
      </c>
      <c r="D478" s="1" t="s">
        <v>1404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1397</v>
      </c>
      <c r="K478" s="51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1403</v>
      </c>
      <c r="D479" s="1" t="s">
        <v>1413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1397</v>
      </c>
      <c r="K479" s="51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1403</v>
      </c>
      <c r="D480" s="1" t="s">
        <v>1413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1397</v>
      </c>
      <c r="K480" s="51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1403</v>
      </c>
      <c r="D481" s="1" t="s">
        <v>1506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1397</v>
      </c>
      <c r="K481" s="51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1403</v>
      </c>
      <c r="D482" s="1" t="s">
        <v>1479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1397</v>
      </c>
      <c r="K482" s="51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1403</v>
      </c>
      <c r="D483" s="1" t="s">
        <v>1498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1397</v>
      </c>
      <c r="K483" s="51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1403</v>
      </c>
      <c r="D484" s="1" t="s">
        <v>1529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1397</v>
      </c>
      <c r="K484" s="51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1401</v>
      </c>
      <c r="D485" s="1" t="s">
        <v>1402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1397</v>
      </c>
      <c r="K485" s="51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1403</v>
      </c>
      <c r="D486" s="1" t="s">
        <v>1421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1397</v>
      </c>
      <c r="K486" s="51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1403</v>
      </c>
      <c r="D487" s="1" t="s">
        <v>1413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1397</v>
      </c>
      <c r="K487" s="51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1403</v>
      </c>
      <c r="D488" s="1" t="s">
        <v>1413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1397</v>
      </c>
      <c r="K488" s="51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1403</v>
      </c>
      <c r="D489" s="1" t="s">
        <v>1413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1397</v>
      </c>
      <c r="K489" s="51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1403</v>
      </c>
      <c r="D490" s="1" t="s">
        <v>1414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1397</v>
      </c>
      <c r="K490" s="51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1395</v>
      </c>
      <c r="D491" s="1" t="s">
        <v>1405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1397</v>
      </c>
      <c r="K491" s="51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1460</v>
      </c>
      <c r="D492" s="1" t="s">
        <v>1415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1397</v>
      </c>
      <c r="K492" s="51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1398</v>
      </c>
      <c r="D493" s="1" t="s">
        <v>1399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1397</v>
      </c>
      <c r="K493" s="51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1400</v>
      </c>
      <c r="D494" s="1" t="s">
        <v>1399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1397</v>
      </c>
      <c r="K494" s="51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1403</v>
      </c>
      <c r="D495" s="1" t="s">
        <v>1503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1397</v>
      </c>
      <c r="K495" s="51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1403</v>
      </c>
      <c r="D496" s="1" t="s">
        <v>1411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1397</v>
      </c>
      <c r="K496" s="51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1403</v>
      </c>
      <c r="D497" s="1" t="s">
        <v>1527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1397</v>
      </c>
      <c r="K497" s="51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1403</v>
      </c>
      <c r="D498" s="1" t="s">
        <v>1422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1397</v>
      </c>
      <c r="K498" s="51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1403</v>
      </c>
      <c r="D499" s="1" t="s">
        <v>1424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1397</v>
      </c>
      <c r="K499" s="51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1403</v>
      </c>
      <c r="D500" s="1" t="s">
        <v>1439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1397</v>
      </c>
      <c r="K500" s="51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1469</v>
      </c>
      <c r="D501" s="1" t="s">
        <v>1491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1397</v>
      </c>
      <c r="K501" s="51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1403</v>
      </c>
      <c r="D502" s="1" t="s">
        <v>1413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1397</v>
      </c>
      <c r="K502" s="51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1403</v>
      </c>
      <c r="D503" s="1" t="s">
        <v>1463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1397</v>
      </c>
      <c r="K503" s="51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1403</v>
      </c>
      <c r="D504" s="1" t="s">
        <v>1416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1397</v>
      </c>
      <c r="K504" s="51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1403</v>
      </c>
      <c r="D505" s="1" t="s">
        <v>1411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1397</v>
      </c>
      <c r="K505" s="51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1403</v>
      </c>
      <c r="D506" s="1" t="s">
        <v>1455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1397</v>
      </c>
      <c r="K506" s="51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1401</v>
      </c>
      <c r="D507" s="1" t="s">
        <v>1402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1397</v>
      </c>
      <c r="K507" s="51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1444</v>
      </c>
      <c r="D508" s="1" t="s">
        <v>1473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1397</v>
      </c>
      <c r="K508" s="51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1403</v>
      </c>
      <c r="D509" s="1" t="s">
        <v>1530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1397</v>
      </c>
      <c r="K509" s="51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1460</v>
      </c>
      <c r="D510" s="1" t="s">
        <v>1505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1397</v>
      </c>
      <c r="K510" s="51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1395</v>
      </c>
      <c r="D511" s="1" t="s">
        <v>1405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1397</v>
      </c>
      <c r="K511" s="51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1434</v>
      </c>
      <c r="D512" s="1" t="s">
        <v>1451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1397</v>
      </c>
      <c r="K512" s="51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1403</v>
      </c>
      <c r="D513" s="1" t="s">
        <v>1426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1397</v>
      </c>
      <c r="K513" s="51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1403</v>
      </c>
      <c r="D514" s="1" t="s">
        <v>1454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1397</v>
      </c>
      <c r="K514" s="51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1403</v>
      </c>
      <c r="D515" s="1" t="s">
        <v>1410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1397</v>
      </c>
      <c r="K515" s="51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1403</v>
      </c>
      <c r="D516" s="1" t="s">
        <v>1411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1397</v>
      </c>
      <c r="K516" s="51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1403</v>
      </c>
      <c r="D517" s="1" t="s">
        <v>1411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1397</v>
      </c>
      <c r="K517" s="51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1401</v>
      </c>
      <c r="D518" s="1" t="s">
        <v>1402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1397</v>
      </c>
      <c r="K518" s="51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1403</v>
      </c>
      <c r="D519" s="1" t="s">
        <v>1522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1397</v>
      </c>
      <c r="K519" s="51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1403</v>
      </c>
      <c r="D520" s="1" t="s">
        <v>1430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1397</v>
      </c>
      <c r="K520" s="51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1460</v>
      </c>
      <c r="D521" s="1" t="s">
        <v>1531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1397</v>
      </c>
      <c r="K521" s="51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1403</v>
      </c>
      <c r="D522" s="1" t="s">
        <v>1413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1397</v>
      </c>
      <c r="K522" s="51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1403</v>
      </c>
      <c r="D523" s="1" t="s">
        <v>1413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1397</v>
      </c>
      <c r="K523" s="51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1441</v>
      </c>
      <c r="D524" s="1" t="s">
        <v>1442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1397</v>
      </c>
      <c r="K524" s="51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1403</v>
      </c>
      <c r="D525" s="1" t="s">
        <v>1408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1397</v>
      </c>
      <c r="K525" s="51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1460</v>
      </c>
      <c r="D526" s="1" t="s">
        <v>1415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1397</v>
      </c>
      <c r="K526" s="51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1403</v>
      </c>
      <c r="D527" s="1" t="s">
        <v>1413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1397</v>
      </c>
      <c r="K527" s="51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1395</v>
      </c>
      <c r="D528" s="1" t="s">
        <v>1405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1397</v>
      </c>
      <c r="K528" s="51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1403</v>
      </c>
      <c r="D529" s="1" t="s">
        <v>1499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1397</v>
      </c>
      <c r="K529" s="51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1403</v>
      </c>
      <c r="D530" s="1" t="s">
        <v>1409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1397</v>
      </c>
      <c r="K530" s="51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1398</v>
      </c>
      <c r="D531" s="1" t="s">
        <v>1399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1397</v>
      </c>
      <c r="K531" s="51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1400</v>
      </c>
      <c r="D532" s="1" t="s">
        <v>1399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1397</v>
      </c>
      <c r="K532" s="51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1464</v>
      </c>
      <c r="D533" s="1" t="s">
        <v>1465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1397</v>
      </c>
      <c r="K533" s="51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1403</v>
      </c>
      <c r="D534" s="1" t="s">
        <v>1532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1397</v>
      </c>
      <c r="K534" s="51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1401</v>
      </c>
      <c r="D535" s="1" t="s">
        <v>1402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1397</v>
      </c>
      <c r="K535" s="51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1403</v>
      </c>
      <c r="D536" s="1" t="s">
        <v>1527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1397</v>
      </c>
      <c r="K536" s="51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1403</v>
      </c>
      <c r="D537" s="1" t="s">
        <v>1421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1397</v>
      </c>
      <c r="K537" s="51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1403</v>
      </c>
      <c r="D538" s="1" t="s">
        <v>1404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1397</v>
      </c>
      <c r="K538" s="51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1403</v>
      </c>
      <c r="D539" s="1" t="s">
        <v>1413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1397</v>
      </c>
      <c r="K539" s="51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1403</v>
      </c>
      <c r="D540" s="1" t="s">
        <v>1418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1397</v>
      </c>
      <c r="K540" s="51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1403</v>
      </c>
      <c r="D541" s="1" t="s">
        <v>1407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1397</v>
      </c>
      <c r="K541" s="51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1403</v>
      </c>
      <c r="D542" s="1" t="s">
        <v>1410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1397</v>
      </c>
      <c r="K542" s="51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1403</v>
      </c>
      <c r="D543" s="1" t="s">
        <v>1416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1397</v>
      </c>
      <c r="K543" s="51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1401</v>
      </c>
      <c r="D544" s="1" t="s">
        <v>1402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1397</v>
      </c>
      <c r="K544" s="51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1403</v>
      </c>
      <c r="D545" s="1" t="s">
        <v>1413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1397</v>
      </c>
      <c r="K545" s="51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1403</v>
      </c>
      <c r="D546" s="1" t="s">
        <v>1414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1397</v>
      </c>
      <c r="K546" s="51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1403</v>
      </c>
      <c r="D547" s="1" t="s">
        <v>1406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1397</v>
      </c>
      <c r="K547" s="51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1460</v>
      </c>
      <c r="D548" s="1" t="s">
        <v>1415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1397</v>
      </c>
      <c r="K548" s="51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1401</v>
      </c>
      <c r="D549" s="1" t="s">
        <v>1402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1397</v>
      </c>
      <c r="K549" s="51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1403</v>
      </c>
      <c r="D550" s="1" t="s">
        <v>1533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1397</v>
      </c>
      <c r="K550" s="51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1403</v>
      </c>
      <c r="D551" s="1" t="s">
        <v>1534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1397</v>
      </c>
      <c r="K551" s="51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1403</v>
      </c>
      <c r="D552" s="1" t="s">
        <v>1408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1397</v>
      </c>
      <c r="K552" s="51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1403</v>
      </c>
      <c r="D553" s="1" t="s">
        <v>1409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1397</v>
      </c>
      <c r="K553" s="51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1403</v>
      </c>
      <c r="D554" s="1" t="s">
        <v>1419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1397</v>
      </c>
      <c r="K554" s="51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1403</v>
      </c>
      <c r="D555" s="1" t="s">
        <v>1422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1397</v>
      </c>
      <c r="K555" s="51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1403</v>
      </c>
      <c r="D556" s="1" t="s">
        <v>1438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1397</v>
      </c>
      <c r="K556" s="51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1403</v>
      </c>
      <c r="D557" s="1" t="s">
        <v>1404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1397</v>
      </c>
      <c r="K557" s="51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1403</v>
      </c>
      <c r="D558" s="1" t="s">
        <v>1413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1397</v>
      </c>
      <c r="K558" s="51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1403</v>
      </c>
      <c r="D559" s="1" t="s">
        <v>1413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1397</v>
      </c>
      <c r="K559" s="51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1403</v>
      </c>
      <c r="D560" s="1" t="s">
        <v>1449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1397</v>
      </c>
      <c r="K560" s="51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1395</v>
      </c>
      <c r="D561" s="1" t="s">
        <v>1405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1397</v>
      </c>
      <c r="K561" s="51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1403</v>
      </c>
      <c r="D562" s="1" t="s">
        <v>1452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1397</v>
      </c>
      <c r="K562" s="51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1398</v>
      </c>
      <c r="D563" s="1" t="s">
        <v>1399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1397</v>
      </c>
      <c r="K563" s="51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1398</v>
      </c>
      <c r="D564" s="1" t="s">
        <v>1399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1397</v>
      </c>
      <c r="K564" s="51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1400</v>
      </c>
      <c r="D565" s="1" t="s">
        <v>1399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1397</v>
      </c>
      <c r="K565" s="51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1400</v>
      </c>
      <c r="D566" s="1" t="s">
        <v>1399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1397</v>
      </c>
      <c r="K566" s="51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1400</v>
      </c>
      <c r="D567" s="1" t="s">
        <v>1399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1397</v>
      </c>
      <c r="K567" s="51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1403</v>
      </c>
      <c r="D568" s="1" t="s">
        <v>1454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1397</v>
      </c>
      <c r="K568" s="51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1403</v>
      </c>
      <c r="D569" s="1" t="s">
        <v>1410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1397</v>
      </c>
      <c r="K569" s="51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1464</v>
      </c>
      <c r="D570" s="1" t="s">
        <v>1465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1397</v>
      </c>
      <c r="K570" s="51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1403</v>
      </c>
      <c r="D571" s="1" t="s">
        <v>1411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1397</v>
      </c>
      <c r="K571" s="51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1401</v>
      </c>
      <c r="D572" s="1" t="s">
        <v>1402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1397</v>
      </c>
      <c r="K572" s="51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1403</v>
      </c>
      <c r="D573" s="1" t="s">
        <v>1527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1397</v>
      </c>
      <c r="K573" s="51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1403</v>
      </c>
      <c r="D574" s="1" t="s">
        <v>1430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1397</v>
      </c>
      <c r="K574" s="51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1403</v>
      </c>
      <c r="D575" s="1" t="s">
        <v>1417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1397</v>
      </c>
      <c r="K575" s="51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1403</v>
      </c>
      <c r="D576" s="1" t="s">
        <v>1413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1397</v>
      </c>
      <c r="K576" s="51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1403</v>
      </c>
      <c r="D577" s="1" t="s">
        <v>1408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1397</v>
      </c>
      <c r="K577" s="51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1403</v>
      </c>
      <c r="D578" s="1" t="s">
        <v>1416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1397</v>
      </c>
      <c r="K578" s="51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1460</v>
      </c>
      <c r="D579" s="1" t="s">
        <v>1461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1397</v>
      </c>
      <c r="K579" s="51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1395</v>
      </c>
      <c r="D580" s="1" t="s">
        <v>1405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1397</v>
      </c>
      <c r="K580" s="51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1444</v>
      </c>
      <c r="D581" s="1" t="s">
        <v>1445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1397</v>
      </c>
      <c r="K581" s="51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1401</v>
      </c>
      <c r="D582" s="1" t="s">
        <v>1402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1397</v>
      </c>
      <c r="K582" s="51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1403</v>
      </c>
      <c r="D583" s="1" t="s">
        <v>1420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1397</v>
      </c>
      <c r="K583" s="51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1403</v>
      </c>
      <c r="D584" s="1" t="s">
        <v>1424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1397</v>
      </c>
      <c r="K584" s="51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1403</v>
      </c>
      <c r="D585" s="1" t="s">
        <v>1413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1397</v>
      </c>
      <c r="K585" s="51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1403</v>
      </c>
      <c r="D586" s="1" t="s">
        <v>1413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1397</v>
      </c>
      <c r="K586" s="51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1403</v>
      </c>
      <c r="D587" s="1" t="s">
        <v>1418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1397</v>
      </c>
      <c r="K587" s="51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1403</v>
      </c>
      <c r="D588" s="1" t="s">
        <v>1408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1397</v>
      </c>
      <c r="K588" s="51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1401</v>
      </c>
      <c r="D589" s="1" t="s">
        <v>1402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1397</v>
      </c>
      <c r="K589" s="51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1403</v>
      </c>
      <c r="D590" s="1" t="s">
        <v>1413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1397</v>
      </c>
      <c r="K590" s="51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1403</v>
      </c>
      <c r="D591" s="1" t="s">
        <v>1414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1397</v>
      </c>
      <c r="K591" s="51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1403</v>
      </c>
      <c r="D592" s="1" t="s">
        <v>1495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1397</v>
      </c>
      <c r="K592" s="51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1403</v>
      </c>
      <c r="D593" s="1" t="s">
        <v>1495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1397</v>
      </c>
      <c r="K593" s="51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1403</v>
      </c>
      <c r="D594" s="1" t="s">
        <v>1495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1397</v>
      </c>
      <c r="K594" s="51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1403</v>
      </c>
      <c r="D595" s="1" t="s">
        <v>1416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1397</v>
      </c>
      <c r="K595" s="51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1464</v>
      </c>
      <c r="D596" s="1" t="s">
        <v>1465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1397</v>
      </c>
      <c r="K596" s="51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1395</v>
      </c>
      <c r="D597" s="1" t="s">
        <v>1427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1397</v>
      </c>
      <c r="K597" s="51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1403</v>
      </c>
      <c r="D598" s="1" t="s">
        <v>1527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1397</v>
      </c>
      <c r="K598" s="51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1403</v>
      </c>
      <c r="D599" s="1" t="s">
        <v>1421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1397</v>
      </c>
      <c r="K599" s="51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1403</v>
      </c>
      <c r="D600" s="1" t="s">
        <v>1535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1397</v>
      </c>
      <c r="K600" s="51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1403</v>
      </c>
      <c r="D601" s="1" t="s">
        <v>1413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1397</v>
      </c>
      <c r="K601" s="51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1395</v>
      </c>
      <c r="D602" s="1" t="s">
        <v>1405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1397</v>
      </c>
      <c r="K602" s="51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1460</v>
      </c>
      <c r="D603" s="1" t="s">
        <v>1415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1397</v>
      </c>
      <c r="K603" s="51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1401</v>
      </c>
      <c r="D604" s="1" t="s">
        <v>1402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1397</v>
      </c>
      <c r="K604" s="51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1403</v>
      </c>
      <c r="D605" s="1" t="s">
        <v>1424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1397</v>
      </c>
      <c r="K605" s="51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1403</v>
      </c>
      <c r="D606" s="1" t="s">
        <v>1517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1397</v>
      </c>
      <c r="K606" s="51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1403</v>
      </c>
      <c r="D607" s="1" t="s">
        <v>1413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1397</v>
      </c>
      <c r="K607" s="51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1403</v>
      </c>
      <c r="D608" s="1" t="s">
        <v>1428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1397</v>
      </c>
      <c r="K608" s="51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1434</v>
      </c>
      <c r="D609" s="1" t="s">
        <v>1451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1397</v>
      </c>
      <c r="K609" s="51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1403</v>
      </c>
      <c r="D610" s="1" t="s">
        <v>1406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1397</v>
      </c>
      <c r="K610" s="51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1403</v>
      </c>
      <c r="D611" s="1" t="s">
        <v>1409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1397</v>
      </c>
      <c r="K611" s="51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1398</v>
      </c>
      <c r="D612" s="1" t="s">
        <v>1399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1397</v>
      </c>
      <c r="K612" s="51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1398</v>
      </c>
      <c r="D613" s="1" t="s">
        <v>1399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1397</v>
      </c>
      <c r="K613" s="51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1398</v>
      </c>
      <c r="D614" s="1" t="s">
        <v>1399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1397</v>
      </c>
      <c r="K614" s="51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1398</v>
      </c>
      <c r="D615" s="1" t="s">
        <v>1399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1397</v>
      </c>
      <c r="K615" s="51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1400</v>
      </c>
      <c r="D616" s="1" t="s">
        <v>1399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1397</v>
      </c>
      <c r="K616" s="51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1400</v>
      </c>
      <c r="D617" s="1" t="s">
        <v>1399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1397</v>
      </c>
      <c r="K617" s="51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1403</v>
      </c>
      <c r="D618" s="1" t="s">
        <v>1454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1397</v>
      </c>
      <c r="K618" s="51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1403</v>
      </c>
      <c r="D619" s="1" t="s">
        <v>1410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1397</v>
      </c>
      <c r="K619" s="51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1403</v>
      </c>
      <c r="D620" s="1" t="s">
        <v>1500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1397</v>
      </c>
      <c r="K620" s="51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1403</v>
      </c>
      <c r="D621" s="1" t="s">
        <v>1500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1397</v>
      </c>
      <c r="K621" s="51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1434</v>
      </c>
      <c r="D622" s="1" t="s">
        <v>1435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1397</v>
      </c>
      <c r="K622" s="51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1403</v>
      </c>
      <c r="D623" s="1" t="s">
        <v>1430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1397</v>
      </c>
      <c r="K623" s="51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1403</v>
      </c>
      <c r="D624" s="1" t="s">
        <v>1437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1397</v>
      </c>
      <c r="K624" s="51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1403</v>
      </c>
      <c r="D625" s="1" t="s">
        <v>1404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1397</v>
      </c>
      <c r="K625" s="51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1403</v>
      </c>
      <c r="D626" s="1" t="s">
        <v>1413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1397</v>
      </c>
      <c r="K626" s="51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1403</v>
      </c>
      <c r="D627" s="1" t="s">
        <v>1413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1397</v>
      </c>
      <c r="K627" s="51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1403</v>
      </c>
      <c r="D628" s="1" t="s">
        <v>1413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1397</v>
      </c>
      <c r="K628" s="51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1403</v>
      </c>
      <c r="D629" s="1" t="s">
        <v>1413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1397</v>
      </c>
      <c r="K629" s="51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1395</v>
      </c>
      <c r="D630" s="1" t="s">
        <v>1405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1397</v>
      </c>
      <c r="K630" s="51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1403</v>
      </c>
      <c r="D631" s="1" t="s">
        <v>1527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1397</v>
      </c>
      <c r="K631" s="51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1403</v>
      </c>
      <c r="D632" s="1" t="s">
        <v>1408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1397</v>
      </c>
      <c r="K632" s="51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1403</v>
      </c>
      <c r="D633" s="1" t="s">
        <v>1463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1397</v>
      </c>
      <c r="K633" s="51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1464</v>
      </c>
      <c r="D634" s="1" t="s">
        <v>1465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1397</v>
      </c>
      <c r="K634" s="51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1401</v>
      </c>
      <c r="D635" s="1" t="s">
        <v>1402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1397</v>
      </c>
      <c r="K635" s="51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1401</v>
      </c>
      <c r="D636" s="1" t="s">
        <v>1402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1397</v>
      </c>
      <c r="K636" s="51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1403</v>
      </c>
      <c r="D637" s="1" t="s">
        <v>1417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1397</v>
      </c>
      <c r="K637" s="51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1403</v>
      </c>
      <c r="D638" s="1" t="s">
        <v>1404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1397</v>
      </c>
      <c r="K638" s="51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1403</v>
      </c>
      <c r="D639" s="1" t="s">
        <v>1413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1397</v>
      </c>
      <c r="K639" s="51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1403</v>
      </c>
      <c r="D640" s="1" t="s">
        <v>1449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1397</v>
      </c>
      <c r="K640" s="51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1403</v>
      </c>
      <c r="D641" s="1" t="s">
        <v>1418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1397</v>
      </c>
      <c r="K641" s="51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1441</v>
      </c>
      <c r="D642" s="1" t="s">
        <v>1442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1397</v>
      </c>
      <c r="K642" s="51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1403</v>
      </c>
      <c r="D643" s="1" t="s">
        <v>1407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1397</v>
      </c>
      <c r="K643" s="51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1403</v>
      </c>
      <c r="D644" s="1" t="s">
        <v>1443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1397</v>
      </c>
      <c r="K644" s="51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1403</v>
      </c>
      <c r="D645" s="1" t="s">
        <v>1458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1397</v>
      </c>
      <c r="K645" s="51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1403</v>
      </c>
      <c r="D646" s="1" t="s">
        <v>1439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1397</v>
      </c>
      <c r="K646" s="51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1403</v>
      </c>
      <c r="D647" s="1" t="s">
        <v>1413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1397</v>
      </c>
      <c r="K647" s="51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1403</v>
      </c>
      <c r="D648" s="1" t="s">
        <v>1413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1397</v>
      </c>
      <c r="K648" s="51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1403</v>
      </c>
      <c r="D649" s="1" t="s">
        <v>1414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1397</v>
      </c>
      <c r="K649" s="51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1403</v>
      </c>
      <c r="D650" s="1" t="s">
        <v>1536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1397</v>
      </c>
      <c r="K650" s="51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1403</v>
      </c>
      <c r="D651" s="1" t="s">
        <v>1408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1397</v>
      </c>
      <c r="K651" s="51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1403</v>
      </c>
      <c r="D652" s="1" t="s">
        <v>1411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1397</v>
      </c>
      <c r="K652" s="51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1403</v>
      </c>
      <c r="D653" s="1" t="s">
        <v>1489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1397</v>
      </c>
      <c r="K653" s="51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1403</v>
      </c>
      <c r="D654" s="1" t="s">
        <v>1527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1397</v>
      </c>
      <c r="K654" s="51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1469</v>
      </c>
      <c r="D655" s="1" t="s">
        <v>1491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1397</v>
      </c>
      <c r="K655" s="51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1403</v>
      </c>
      <c r="D656" s="1" t="s">
        <v>1536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1397</v>
      </c>
      <c r="K656" s="51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1434</v>
      </c>
      <c r="D657" s="1" t="s">
        <v>1486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1397</v>
      </c>
      <c r="K657" s="51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1460</v>
      </c>
      <c r="D658" s="1" t="s">
        <v>1415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1397</v>
      </c>
      <c r="K658" s="51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1403</v>
      </c>
      <c r="D659" s="1" t="s">
        <v>1446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1397</v>
      </c>
      <c r="K659" s="51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1403</v>
      </c>
      <c r="D660" s="1" t="s">
        <v>1416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1397</v>
      </c>
      <c r="K660" s="51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1403</v>
      </c>
      <c r="D661" s="1" t="s">
        <v>1411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1397</v>
      </c>
      <c r="K661" s="51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1403</v>
      </c>
      <c r="D662" s="1" t="s">
        <v>1456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1397</v>
      </c>
      <c r="K662" s="51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1403</v>
      </c>
      <c r="D663" s="1" t="s">
        <v>1527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1397</v>
      </c>
      <c r="K663" s="51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1403</v>
      </c>
      <c r="D664" s="1" t="s">
        <v>1449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1397</v>
      </c>
      <c r="K664" s="51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1395</v>
      </c>
      <c r="D665" s="1" t="s">
        <v>1405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1397</v>
      </c>
      <c r="K665" s="51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1434</v>
      </c>
      <c r="D666" s="1" t="s">
        <v>1451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1397</v>
      </c>
      <c r="K666" s="51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1403</v>
      </c>
      <c r="D667" s="1" t="s">
        <v>1479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1397</v>
      </c>
      <c r="K667" s="51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1403</v>
      </c>
      <c r="D668" s="1" t="s">
        <v>1511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1397</v>
      </c>
      <c r="K668" s="51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1403</v>
      </c>
      <c r="D669" s="1" t="s">
        <v>1452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1397</v>
      </c>
      <c r="K669" s="51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1395</v>
      </c>
      <c r="D670" s="1" t="s">
        <v>1526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1397</v>
      </c>
      <c r="K670" s="51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1403</v>
      </c>
      <c r="D671" s="1" t="s">
        <v>1493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1397</v>
      </c>
      <c r="K671" s="51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1403</v>
      </c>
      <c r="D672" s="1" t="s">
        <v>1494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1397</v>
      </c>
      <c r="K672" s="51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1398</v>
      </c>
      <c r="D673" s="1" t="s">
        <v>1399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1397</v>
      </c>
      <c r="K673" s="51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1398</v>
      </c>
      <c r="D674" s="1" t="s">
        <v>1399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1397</v>
      </c>
      <c r="K674" s="51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1400</v>
      </c>
      <c r="D675" s="1" t="s">
        <v>1399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1397</v>
      </c>
      <c r="K675" s="51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1403</v>
      </c>
      <c r="D676" s="1" t="s">
        <v>1454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1397</v>
      </c>
      <c r="K676" s="51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1464</v>
      </c>
      <c r="D677" s="1" t="s">
        <v>1465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1397</v>
      </c>
      <c r="K677" s="51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1403</v>
      </c>
      <c r="D678" s="1" t="s">
        <v>1503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1397</v>
      </c>
      <c r="K678" s="51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1403</v>
      </c>
      <c r="D679" s="1" t="s">
        <v>1433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1397</v>
      </c>
      <c r="K679" s="51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1403</v>
      </c>
      <c r="D680" s="1" t="s">
        <v>1411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1397</v>
      </c>
      <c r="K680" s="51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1401</v>
      </c>
      <c r="D681" s="1" t="s">
        <v>1402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1397</v>
      </c>
      <c r="K681" s="51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1401</v>
      </c>
      <c r="D682" s="1" t="s">
        <v>1402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1397</v>
      </c>
      <c r="K682" s="51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1395</v>
      </c>
      <c r="D683" s="1" t="s">
        <v>1427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1397</v>
      </c>
      <c r="K683" s="51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1403</v>
      </c>
      <c r="D684" s="1" t="s">
        <v>1422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1397</v>
      </c>
      <c r="K684" s="51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1403</v>
      </c>
      <c r="D685" s="1" t="s">
        <v>1430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1397</v>
      </c>
      <c r="K685" s="51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1403</v>
      </c>
      <c r="D686" s="1" t="s">
        <v>1417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1397</v>
      </c>
      <c r="K686" s="51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1403</v>
      </c>
      <c r="D687" s="1" t="s">
        <v>1413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1397</v>
      </c>
      <c r="K687" s="51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1403</v>
      </c>
      <c r="D688" s="1" t="s">
        <v>1413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1397</v>
      </c>
      <c r="K688" s="51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1403</v>
      </c>
      <c r="D689" s="1" t="s">
        <v>1413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1397</v>
      </c>
      <c r="K689" s="51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1403</v>
      </c>
      <c r="D690" s="1" t="s">
        <v>1428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1397</v>
      </c>
      <c r="K690" s="51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1460</v>
      </c>
      <c r="D691" s="1" t="s">
        <v>1505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1397</v>
      </c>
      <c r="K691" s="51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1403</v>
      </c>
      <c r="D692" s="1" t="s">
        <v>1409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1397</v>
      </c>
      <c r="K692" s="51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1403</v>
      </c>
      <c r="D693" s="1" t="s">
        <v>1433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1397</v>
      </c>
      <c r="K693" s="51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1403</v>
      </c>
      <c r="D694" s="1" t="s">
        <v>1447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1397</v>
      </c>
      <c r="K694" s="51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1403</v>
      </c>
      <c r="D695" s="1" t="s">
        <v>1527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1397</v>
      </c>
      <c r="K695" s="51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1403</v>
      </c>
      <c r="D696" s="1" t="s">
        <v>1424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1397</v>
      </c>
      <c r="K696" s="51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1403</v>
      </c>
      <c r="D697" s="1" t="s">
        <v>1413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1397</v>
      </c>
      <c r="K697" s="51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1403</v>
      </c>
      <c r="D698" s="1" t="s">
        <v>1495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1397</v>
      </c>
      <c r="K698" s="51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1403</v>
      </c>
      <c r="D699" s="1" t="s">
        <v>1426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1397</v>
      </c>
      <c r="K699" s="51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1403</v>
      </c>
      <c r="D700" s="1" t="s">
        <v>1447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1397</v>
      </c>
      <c r="K700" s="51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1401</v>
      </c>
      <c r="D701" s="1" t="s">
        <v>1402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1397</v>
      </c>
      <c r="K701" s="51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1403</v>
      </c>
      <c r="D702" s="1" t="s">
        <v>1527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1397</v>
      </c>
      <c r="K702" s="51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1403</v>
      </c>
      <c r="D703" s="1" t="s">
        <v>1537</v>
      </c>
      <c r="E703" s="15" t="n">
        <v>46251</v>
      </c>
      <c r="F703" s="15" t="n">
        <v>46246</v>
      </c>
      <c r="G703" s="1" t="s">
        <v>1271</v>
      </c>
      <c r="H703" s="1" t="n">
        <v>1562787</v>
      </c>
      <c r="I703" s="1" t="n">
        <v>11</v>
      </c>
      <c r="J703" s="1" t="s">
        <v>1397</v>
      </c>
      <c r="K703" s="51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1403</v>
      </c>
      <c r="D704" s="1" t="s">
        <v>1421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1397</v>
      </c>
      <c r="K704" s="51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1403</v>
      </c>
      <c r="D705" s="1" t="s">
        <v>1425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1397</v>
      </c>
      <c r="K705" s="51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1403</v>
      </c>
      <c r="D706" s="1" t="s">
        <v>1404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1397</v>
      </c>
      <c r="K706" s="51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1403</v>
      </c>
      <c r="D707" s="1" t="s">
        <v>1413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1397</v>
      </c>
      <c r="K707" s="51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1460</v>
      </c>
      <c r="D708" s="1" t="s">
        <v>1462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1397</v>
      </c>
      <c r="K708" s="51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1403</v>
      </c>
      <c r="D709" s="1" t="s">
        <v>1408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1397</v>
      </c>
      <c r="K709" s="51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1400</v>
      </c>
      <c r="D710" s="1" t="s">
        <v>1399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1397</v>
      </c>
      <c r="K710" s="51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1403</v>
      </c>
      <c r="D711" s="1" t="s">
        <v>1410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1397</v>
      </c>
      <c r="K711" s="51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1401</v>
      </c>
      <c r="D712" s="1" t="s">
        <v>1402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1397</v>
      </c>
      <c r="K712" s="51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1403</v>
      </c>
      <c r="D713" s="1" t="s">
        <v>1518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1397</v>
      </c>
      <c r="K713" s="51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1444</v>
      </c>
      <c r="D714" s="1" t="s">
        <v>1538</v>
      </c>
      <c r="E714" s="15" t="n">
        <v>46252</v>
      </c>
      <c r="F714" s="15" t="n">
        <v>46248</v>
      </c>
      <c r="G714" s="1" t="s">
        <v>1259</v>
      </c>
      <c r="H714" s="1" t="n">
        <v>1568081</v>
      </c>
      <c r="I714" s="1" t="n">
        <v>11</v>
      </c>
      <c r="J714" s="1" t="s">
        <v>1397</v>
      </c>
      <c r="K714" s="51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1403</v>
      </c>
      <c r="D715" s="1" t="s">
        <v>1425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1397</v>
      </c>
      <c r="K715" s="51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1403</v>
      </c>
      <c r="D716" s="1" t="s">
        <v>1523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1397</v>
      </c>
      <c r="K716" s="51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1403</v>
      </c>
      <c r="D717" s="1" t="s">
        <v>1413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1397</v>
      </c>
      <c r="K717" s="51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1403</v>
      </c>
      <c r="D718" s="1" t="s">
        <v>1413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1397</v>
      </c>
      <c r="K718" s="51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1403</v>
      </c>
      <c r="D719" s="1" t="s">
        <v>1414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1397</v>
      </c>
      <c r="K719" s="51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1395</v>
      </c>
      <c r="D720" s="1" t="s">
        <v>1405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1397</v>
      </c>
      <c r="K720" s="51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1403</v>
      </c>
      <c r="D721" s="1" t="s">
        <v>1497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1397</v>
      </c>
      <c r="K721" s="51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1403</v>
      </c>
      <c r="D722" s="1" t="s">
        <v>1511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1397</v>
      </c>
      <c r="K722" s="51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1460</v>
      </c>
      <c r="D723" s="1" t="s">
        <v>1539</v>
      </c>
      <c r="E723" s="15" t="n">
        <v>46252</v>
      </c>
      <c r="F723" s="15" t="n">
        <v>46245</v>
      </c>
      <c r="G723" s="1" t="s">
        <v>1229</v>
      </c>
      <c r="H723" s="1" t="n">
        <v>1566577</v>
      </c>
      <c r="I723" s="1" t="n">
        <v>11</v>
      </c>
      <c r="J723" s="1" t="s">
        <v>1397</v>
      </c>
      <c r="K723" s="51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1460</v>
      </c>
      <c r="D724" s="1" t="s">
        <v>1415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1397</v>
      </c>
      <c r="K724" s="51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1403</v>
      </c>
      <c r="D725" s="1" t="s">
        <v>1416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1397</v>
      </c>
      <c r="K725" s="51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1403</v>
      </c>
      <c r="D726" s="1" t="s">
        <v>1455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1397</v>
      </c>
      <c r="K726" s="51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1403</v>
      </c>
      <c r="D727" s="1" t="s">
        <v>1455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1397</v>
      </c>
      <c r="K727" s="51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1403</v>
      </c>
      <c r="D728" s="1" t="s">
        <v>1504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1397</v>
      </c>
      <c r="K728" s="51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1403</v>
      </c>
      <c r="D729" s="1" t="s">
        <v>1504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1397</v>
      </c>
      <c r="K729" s="51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1403</v>
      </c>
      <c r="D730" s="1" t="s">
        <v>1413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1397</v>
      </c>
      <c r="K730" s="51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1403</v>
      </c>
      <c r="D731" s="1" t="s">
        <v>1480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1397</v>
      </c>
      <c r="K731" s="51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1401</v>
      </c>
      <c r="D732" s="1" t="s">
        <v>1402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1397</v>
      </c>
      <c r="K732" s="51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1403</v>
      </c>
      <c r="D733" s="1" t="s">
        <v>1540</v>
      </c>
      <c r="E733" s="15" t="n">
        <v>46254</v>
      </c>
      <c r="F733" s="15" t="n">
        <v>46252</v>
      </c>
      <c r="G733" s="1" t="s">
        <v>1263</v>
      </c>
      <c r="H733" s="1" t="n">
        <v>1576139</v>
      </c>
      <c r="I733" s="1" t="n">
        <v>11</v>
      </c>
      <c r="J733" s="1" t="s">
        <v>1397</v>
      </c>
      <c r="K733" s="51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1403</v>
      </c>
      <c r="D734" s="1" t="s">
        <v>1413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1397</v>
      </c>
      <c r="K734" s="51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1403</v>
      </c>
      <c r="D735" s="1" t="s">
        <v>1418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1397</v>
      </c>
      <c r="K735" s="51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2026-08-25T18:19:11Z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