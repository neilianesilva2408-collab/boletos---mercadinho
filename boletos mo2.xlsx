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<sst xmlns="http://schemas.openxmlformats.org/spreadsheetml/2006/main" count="45068" uniqueCount="4701">
  <si>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</si>
  <si>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</si>
  <si>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</si>
  <si>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</si>
  <si>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</si>
  <si>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</si>
  <si>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</si>
  <si>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</si>
  <si>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</si>
  <si>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</si>
  <si>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</si>
  <si>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</si>
  <si>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</si>
  <si>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</si>
  <si>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</si>
  <si>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</si>
  <si>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</si>
  <si>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</si>
  <si>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</si>
  <si>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</si>
  <si>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</si>
  <si>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</si>
  <si>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</si>
  <si>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</si>
  <si>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</si>
  <si>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</si>
  <si>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</si>
  <si>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</si>
  <si>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</si>
  <si>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</si>
  <si>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</si>
  <si>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</si>
  <si>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</si>
  <si>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</si>
  <si>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</si>
  <si>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</si>
  <si>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</si>
  <si>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</si>
  <si>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</si>
  <si>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</si>
  <si>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</si>
  <si>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</si>
  <si>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</si>
  <si>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</si>
  <si>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</si>
  <si>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</si>
  <si>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</si>
  <si>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</si>
  <si>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</si>
  <si>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</si>
  <si>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</si>
  <si>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</si>
  <si>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</si>
  <si>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</si>
  <si>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</si>
  <si>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</si>
  <si>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</si>
  <si>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</si>
  <si>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</si>
  <si>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</si>
  <si>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</si>
  <si>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</si>
  <si>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</si>
  <si>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</si>
  <si>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</si>
  <si>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</si>
  <si>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</si>
  <si>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</si>
  <si>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</si>
  <si>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</si>
  <si>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</si>
  <si>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</si>
  <si>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</si>
  <si>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</si>
  <si>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</si>
  <si>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</si>
  <si>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</si>
  <si>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</si>
  <si>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</si>
  <si>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</si>
  <si>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</si>
  <si>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</si>
  <si>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</si>
  <si>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</si>
  <si>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</si>
  <si>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</si>
  <si>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</si>
  <si>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</si>
  <si>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</si>
  <si>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</si>
  <si>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</si>
  <si>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</si>
  <si>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</si>
  <si>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</si>
  <si>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</si>
  <si>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</si>
  <si>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</si>
  <si>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</si>
  <si>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</si>
  <si>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</si>
  <si>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</si>
  <si>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</si>
  <si>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</si>
  <si>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</si>
  <si>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</si>
  <si>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</si>
  <si>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</si>
  <si>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</si>
  <si>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</si>
  <si>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</si>
  <si>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</si>
  <si>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</si>
  <si>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</si>
  <si>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</si>
  <si>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</si>
  <si>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</si>
  <si>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</si>
  <si>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</si>
  <si>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</si>
  <si>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</si>
  <si>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</si>
  <si>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</si>
  <si>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</si>
  <si>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</si>
  <si>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</si>
  <si>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</si>
  <si>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</si>
  <si>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</si>
  <si>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</si>
  <si>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</si>
  <si>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</si>
  <si>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</si>
  <si>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</si>
  <si>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</si>
  <si>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</si>
  <si>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</si>
  <si>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</si>
  <si>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</si>
  <si>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</si>
  <si>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</si>
  <si>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</si>
  <si>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</si>
  <si>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</si>
  <si>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</si>
  <si>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</si>
  <si>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</si>
  <si>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</si>
  <si>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</si>
  <si>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</si>
  <si>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</si>
  <si>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</si>
  <si>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</si>
  <si>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</si>
  <si>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</si>
  <si>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</si>
  <si>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</si>
  <si>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</si>
  <si>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</si>
  <si>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</si>
  <si>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</si>
  <si>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</si>
  <si>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</si>
  <si>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</si>
  <si>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</si>
  <si>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</si>
  <si>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</si>
  <si>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</si>
  <si>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</si>
  <si>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</si>
  <si>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</si>
  <si>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</si>
  <si>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</si>
  <si>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</si>
  <si>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</si>
  <si>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</si>
  <si>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</si>
  <si>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</si>
  <si>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</si>
  <si>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</si>
  <si>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</si>
  <si>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</si>
  <si>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</si>
  <si>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</si>
  <si>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</si>
  <si>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</si>
  <si>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</si>
  <si>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</si>
  <si>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</si>
  <si>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</si>
  <si>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</si>
  <si>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</si>
  <si>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</si>
  <si>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</si>
  <si>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</si>
  <si>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</si>
  <si>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</si>
  <si>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</si>
  <si>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</si>
  <si>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</si>
  <si>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</si>
  <si>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</si>
  <si>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</si>
  <si>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</si>
  <si>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</si>
  <si>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</si>
  <si>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</si>
  <si>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</si>
  <si>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</si>
  <si>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</si>
  <si>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</si>
  <si>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</si>
  <si>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</si>
  <si>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</si>
  <si>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</si>
  <si>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</si>
  <si>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</si>
  <si>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</si>
  <si>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</si>
  <si>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</si>
  <si>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</si>
  <si>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</si>
  <si>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</si>
  <si>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</si>
  <si>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</si>
  <si>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</si>
  <si>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</si>
  <si>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</si>
  <si>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</si>
  <si>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</si>
  <si>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</si>
  <si>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</si>
  <si>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</si>
  <si>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</si>
  <si>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</si>
  <si>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</si>
  <si>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</si>
  <si>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</si>
  <si>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</si>
  <si>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</si>
  <si>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</si>
  <si>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</si>
  <si>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</si>
  <si>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</si>
  <si>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</si>
  <si>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</si>
  <si>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</si>
  <si>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</si>
  <si>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</si>
  <si>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</si>
  <si>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</si>
  <si>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</si>
  <si>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</si>
  <si>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</si>
  <si>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</si>
  <si>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</si>
  <si>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</si>
  <si>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</si>
  <si>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</si>
  <si>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</si>
  <si>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</si>
  <si>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</si>
  <si>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</si>
  <si>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</si>
  <si>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</si>
  <si>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</si>
  <si>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</si>
  <si>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</si>
  <si>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</si>
  <si>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</si>
  <si>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</si>
  <si>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</si>
  <si>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</si>
  <si>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</si>
  <si>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</si>
  <si>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</si>
  <si>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</si>
  <si>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</si>
  <si>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</si>
  <si>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</si>
  <si>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</si>
  <si>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</si>
  <si>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</si>
  <si>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</si>
  <si>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</si>
  <si>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</si>
  <si>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</si>
  <si>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</si>
  <si>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</si>
  <si>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</si>
  <si>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</si>
  <si>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</si>
  <si>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</si>
  <si>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</si>
  <si>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</si>
  <si>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</si>
  <si>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</si>
  <si>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</si>
  <si>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</si>
  <si>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</si>
  <si>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</si>
  <si>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</si>
  <si>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</si>
  <si>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</si>
  <si>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</si>
  <si>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</si>
  <si>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</si>
  <si>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</si>
  <si>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</si>
  <si>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</si>
  <si>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</si>
  <si>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</si>
  <si>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</si>
  <si>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</si>
  <si>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</si>
  <si>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</si>
  <si>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</si>
  <si>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</si>
  <si>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</si>
  <si>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</si>
  <si>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</si>
  <si>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</si>
  <si>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</si>
  <si>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</si>
  <si>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</si>
  <si>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</si>
  <si>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</si>
  <si>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</si>
  <si>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</si>
  <si>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</si>
  <si>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</si>
  <si>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</si>
  <si>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</si>
  <si>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</si>
  <si>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</si>
  <si>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</si>
  <si>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</si>
  <si>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</si>
  <si>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</si>
  <si>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</si>
  <si>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</si>
  <si>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</si>
  <si>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</si>
  <si>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</si>
  <si>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</si>
  <si>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</si>
  <si>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</si>
  <si>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</si>
  <si>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</si>
  <si>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</si>
  <si>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</si>
  <si>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</si>
  <si>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</si>
  <si>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</si>
  <si>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</si>
  <si>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</si>
  <si>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</si>
  <si>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</si>
  <si>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</si>
  <si>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</si>
  <si>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</si>
  <si>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</si>
  <si>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</si>
  <si>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</si>
  <si>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</si>
  <si>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</si>
  <si>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</si>
  <si>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</si>
  <si>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</si>
  <si>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</si>
  <si>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</si>
  <si>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</si>
  <si>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</si>
  <si>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</si>
  <si>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</si>
  <si>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</si>
  <si>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</si>
  <si>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</si>
  <si>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</si>
  <si>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</si>
  <si>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</si>
  <si>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</si>
  <si>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</si>
  <si>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</si>
  <si>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</si>
  <si>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</si>
  <si>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</si>
  <si>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</si>
  <si>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</si>
  <si>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</si>
  <si>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</si>
  <si>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</si>
  <si>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</si>
  <si>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</si>
  <si>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</si>
  <si>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</si>
  <si>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</si>
  <si>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</si>
  <si>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</si>
  <si>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</si>
  <si>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</si>
  <si>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</si>
  <si>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</si>
  <si>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</si>
  <si>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</si>
  <si>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</si>
  <si>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</si>
  <si>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</si>
  <si>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</si>
  <si>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</si>
  <si>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</si>
  <si>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</si>
  <si>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</si>
  <si>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</si>
  <si>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</si>
  <si>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</si>
  <si>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</si>
  <si>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</si>
  <si>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</si>
  <si>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</si>
  <si>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</si>
  <si>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</si>
  <si>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</si>
  <si>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</si>
  <si>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</si>
  <si>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</si>
  <si>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</si>
  <si>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</si>
  <si>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</si>
  <si>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</si>
  <si>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</si>
  <si>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</si>
  <si>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</si>
  <si>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</si>
  <si>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</si>
  <si>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</si>
  <si>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</si>
  <si>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</si>
  <si>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</si>
  <si>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</si>
  <si>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</si>
  <si>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</si>
  <si>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</si>
  <si>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</si>
  <si>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</si>
  <si>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</si>
  <si>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</si>
  <si>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</si>
  <si>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</si>
  <si>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</si>
  <si>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</si>
  <si>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</si>
  <si>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</si>
  <si>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</si>
  <si>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</si>
  <si>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</si>
  <si>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</si>
  <si>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</si>
  <si>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</si>
  <si>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</si>
  <si>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</si>
  <si>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</si>
  <si>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</si>
  <si>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</si>
  <si>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</si>
  <si>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</si>
  <si>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</si>
  <si>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</si>
  <si>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</si>
  <si>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</si>
  <si>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</si>
  <si>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</si>
  <si>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</si>
  <si>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</si>
  <si>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</si>
  <si>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</si>
  <si>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</si>
  <si>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</si>
  <si>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</si>
  <si>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</si>
  <si>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</si>
  <si>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</si>
  <si>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</si>
  <si>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</si>
  <si>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</si>
  <si>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</si>
  <si>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</si>
  <si>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</si>
  <si>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</si>
  <si>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</si>
  <si>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</si>
  <si>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</si>
  <si>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</si>
  <si>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</si>
  <si>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</si>
  <si>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</si>
  <si>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</si>
  <si>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</si>
  <si>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</si>
  <si>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</si>
  <si>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</si>
  <si>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</si>
  <si>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</si>
  <si>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</si>
  <si>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</si>
  <si>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</si>
  <si>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</si>
  <si>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</si>
  <si>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</si>
  <si>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</si>
  <si>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</si>
  <si>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</si>
  <si>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</si>
  <si>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</si>
  <si>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</si>
  <si>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</si>
  <si>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</si>
  <si>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</si>
  <si>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</si>
  <si>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</si>
  <si>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</si>
  <si>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</si>
  <si>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</si>
  <si>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</si>
  <si>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</si>
  <si>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</si>
  <si>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</si>
  <si>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</si>
  <si>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</si>
  <si>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</si>
  <si>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</si>
  <si>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</si>
  <si>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</si>
  <si>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</si>
  <si>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</si>
  <si>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</si>
  <si>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</si>
  <si>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</si>
  <si>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</si>
  <si>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</si>
  <si>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</si>
  <si>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</si>
  <si>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</si>
  <si>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</si>
  <si>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</si>
  <si>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</si>
  <si>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</si>
  <si>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</si>
  <si>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</si>
  <si>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</si>
  <si>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</si>
  <si>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</si>
  <si>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</si>
  <si>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</si>
  <si>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</si>
  <si>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</si>
  <si>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</si>
  <si>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</si>
  <si>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</si>
  <si>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</si>
  <si>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</si>
  <si>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</si>
  <si>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</si>
  <si>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</si>
  <si>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</si>
  <si>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</si>
  <si>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</si>
  <si>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</si>
  <si>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</si>
  <si>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</si>
  <si>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</si>
  <si>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</si>
  <si>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</si>
  <si>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</si>
  <si>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</si>
  <si>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</si>
  <si>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</si>
  <si>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</si>
  <si>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</si>
  <si>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</si>
  <si>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</si>
  <si>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</si>
  <si>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</si>
  <si>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</si>
  <si>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</si>
  <si>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</si>
  <si>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</si>
  <si>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</si>
  <si>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</si>
  <si>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</si>
  <si>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</si>
  <si>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</si>
  <si>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</si>
  <si>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</si>
  <si>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</si>
  <si>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</si>
  <si>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</si>
  <si>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</si>
  <si>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</si>
  <si>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</si>
  <si>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</si>
  <si>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</si>
  <si>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</si>
  <si>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</si>
  <si>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</si>
  <si>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</si>
  <si>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</si>
  <si>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</si>
  <si>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</si>
  <si>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</si>
  <si>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</si>
  <si>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</si>
  <si>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</si>
  <si>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</si>
  <si>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</si>
  <si>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</si>
  <si>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</si>
  <si>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</si>
  <si>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</si>
  <si>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</si>
  <si>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</si>
  <si>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</si>
  <si>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</si>
  <si>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</si>
  <si>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</si>
  <si>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</si>
  <si>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</si>
  <si>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</si>
  <si>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</si>
  <si>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</si>
  <si>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</si>
  <si>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</si>
  <si>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</si>
  <si>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</si>
  <si>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</si>
  <si>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</si>
  <si>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</si>
  <si>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</si>
  <si>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</si>
  <si>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</si>
  <si>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</si>
  <si>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</si>
  <si>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</si>
  <si>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</si>
  <si>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</si>
  <si>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</si>
  <si>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</si>
  <si>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</si>
  <si>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</si>
  <si>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</si>
  <si>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</si>
  <si>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</si>
  <si>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</si>
  <si>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</si>
  <si>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</si>
  <si>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</si>
  <si>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</si>
  <si>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</si>
  <si>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</si>
  <si>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</si>
  <si>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</si>
  <si>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</si>
  <si>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</si>
  <si>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</si>
  <si>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</si>
  <si>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</si>
  <si>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</si>
  <si>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</si>
  <si>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</si>
  <si>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</si>
  <si>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</si>
  <si>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</si>
  <si>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</si>
  <si>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</si>
  <si>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</si>
  <si>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</si>
  <si>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</si>
  <si>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</si>
  <si>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</si>
  <si>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</si>
  <si>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</si>
  <si>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</si>
  <si>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</si>
  <si>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</si>
  <si>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</si>
  <si>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</si>
  <si>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</si>
  <si>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</si>
  <si>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</si>
  <si>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</si>
  <si>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</si>
  <si>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</si>
  <si>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</si>
  <si>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</si>
  <si>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</si>
  <si>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</si>
  <si>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</si>
  <si>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</si>
  <si>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</si>
  <si>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</si>
  <si>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</si>
  <si>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</si>
  <si>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</si>
  <si>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</si>
  <si>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</si>
  <si>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</si>
  <si>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</si>
  <si>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</si>
  <si>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</si>
  <si>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</si>
  <si>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</si>
  <si>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</si>
  <si>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</si>
  <si>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</si>
  <si>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</si>
  <si>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</si>
  <si>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</si>
  <si>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</si>
  <si>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</si>
  <si>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</si>
  <si>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</si>
  <si>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</si>
  <si>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</si>
  <si>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</si>
  <si>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</si>
  <si>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</si>
  <si>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</si>
  <si>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</si>
  <si>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</si>
  <si>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</si>
  <si>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</si>
  <si>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</si>
  <si>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</si>
  <si>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</si>
  <si>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</si>
  <si>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</si>
  <si>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</si>
  <si>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</si>
  <si>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</si>
  <si>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</si>
  <si>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</si>
  <si>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</si>
  <si>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</si>
  <si>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</si>
  <si>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</si>
  <si>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</si>
  <si>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</si>
  <si>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</si>
  <si>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</si>
  <si>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</si>
  <si>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</si>
  <si>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</si>
  <si>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</si>
  <si>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</si>
  <si>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</si>
  <si>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</si>
  <si>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</si>
  <si>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</si>
  <si>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</si>
  <si>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</si>
  <si>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</si>
  <si>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</si>
  <si>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</si>
  <si>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</si>
  <si>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</si>
  <si>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</si>
  <si>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</si>
  <si>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</si>
  <si>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</si>
  <si>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</si>
  <si>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</si>
  <si>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</si>
  <si>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</si>
  <si>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</si>
  <si>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</si>
  <si>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</si>
  <si>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</si>
  <si>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</si>
  <si>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</si>
  <si>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</si>
  <si>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</si>
  <si>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</si>
  <si>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</si>
  <si>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</si>
  <si>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</si>
  <si>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</si>
  <si>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</si>
  <si>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</si>
  <si>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</si>
  <si>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</si>
  <si>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</si>
  <si>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</si>
  <si>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</si>
  <si>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</si>
  <si>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</si>
  <si>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</si>
  <si>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</si>
  <si>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</si>
  <si>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</si>
  <si>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</si>
  <si>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</si>
  <si>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</si>
  <si>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</si>
  <si>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</si>
  <si>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</si>
  <si>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</si>
  <si>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</si>
  <si>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</si>
  <si>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</si>
  <si>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</si>
  <si>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</si>
  <si>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</si>
  <si>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</si>
  <si>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</si>
  <si>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</si>
  <si>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</si>
  <si>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</si>
  <si>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</si>
  <si>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</si>
  <si>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</si>
  <si>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</si>
  <si>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</si>
  <si>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</si>
  <si>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</si>
  <si>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</si>
  <si>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</si>
  <si>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</si>
  <si>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</si>
  <si>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</si>
  <si>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</si>
  <si>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</si>
  <si>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</si>
  <si>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</si>
  <si>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</si>
  <si>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</si>
  <si>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</si>
  <si>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</si>
  <si>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</si>
  <si>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</si>
  <si>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</si>
  <si>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</si>
  <si>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</si>
  <si>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</si>
  <si>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</si>
  <si>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</si>
  <si>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</si>
  <si>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</si>
  <si>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</si>
  <si>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</si>
  <si>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</si>
  <si>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</si>
  <si>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</si>
  <si>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</si>
  <si>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</si>
  <si>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</si>
  <si>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</si>
  <si>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</si>
  <si>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</si>
  <si>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</si>
  <si>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</si>
  <si>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</si>
  <si>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</si>
  <si>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</si>
  <si>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</si>
  <si>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</si>
  <si>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</si>
  <si>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</si>
  <si>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</si>
  <si>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</si>
  <si>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</si>
  <si>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</si>
  <si>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</si>
  <si>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</si>
  <si>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</si>
  <si>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</si>
  <si>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</si>
  <si>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</si>
  <si>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</si>
  <si>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</si>
  <si>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</si>
  <si>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</si>
  <si>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</si>
  <si>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</si>
  <si>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</si>
  <si>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</si>
  <si>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</si>
  <si>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</si>
  <si>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</si>
  <si>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</si>
  <si>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</si>
  <si>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</si>
  <si>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</si>
  <si>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</si>
  <si>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</si>
  <si>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</si>
  <si>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</si>
  <si>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</si>
  <si>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</si>
  <si>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</si>
  <si>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</si>
  <si>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</si>
  <si>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</si>
  <si>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</si>
  <si>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</si>
  <si>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</si>
  <si>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</si>
  <si>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</si>
  <si>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</si>
  <si>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</si>
  <si>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</si>
  <si>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</si>
  <si>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</si>
  <si>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</si>
  <si>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</si>
  <si>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</si>
  <si>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</si>
  <si>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</si>
  <si>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</si>
  <si>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</si>
  <si>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</si>
  <si>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</si>
  <si>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</si>
  <si>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</si>
  <si>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</si>
  <si>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</si>
  <si>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</si>
  <si>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</si>
  <si>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</si>
  <si>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</si>
  <si>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</si>
  <si>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</si>
  <si>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</si>
  <si>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</si>
  <si>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</si>
  <si>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</si>
  <si>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</si>
  <si>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</si>
  <si>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</si>
  <si>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</si>
  <si>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</si>
  <si>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</si>
  <si>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</si>
  <si>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</si>
  <si>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</si>
  <si>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</si>
  <si>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</si>
  <si>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</si>
  <si>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</si>
  <si>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</si>
  <si>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</si>
  <si>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</si>
  <si>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</si>
  <si>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</si>
  <si>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</si>
  <si>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</si>
  <si>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</si>
  <si>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</si>
  <si>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</si>
  <si>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</si>
  <si>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</si>
  <si>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</si>
  <si>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</si>
  <si>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</si>
  <si>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</si>
  <si>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</si>
  <si>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</si>
  <si>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</si>
  <si>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</si>
  <si>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</si>
  <si>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</si>
  <si>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</si>
  <si>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</si>
  <si>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</si>
  <si>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</si>
  <si>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</si>
  <si>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</si>
  <si>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</si>
  <si>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</si>
  <si>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</si>
  <si>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</si>
  <si>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</si>
  <si>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</si>
  <si>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</si>
  <si>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</si>
  <si>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</si>
  <si>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</si>
  <si>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</si>
  <si>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</si>
  <si>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</si>
  <si>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</si>
  <si>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</si>
  <si>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</si>
  <si>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</si>
  <si>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</si>
  <si>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</si>
  <si>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</si>
  <si>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</si>
  <si>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</si>
  <si>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</si>
  <si>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</si>
  <si>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</si>
  <si>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</si>
  <si>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</si>
  <si>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</si>
  <si>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</si>
  <si>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</si>
  <si>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</si>
  <si>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</si>
  <si>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</si>
  <si>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</si>
  <si>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</si>
  <si>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</si>
  <si>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</si>
  <si>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</si>
  <si>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</si>
  <si>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</si>
  <si>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</si>
  <si>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</si>
  <si>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</si>
  <si>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</si>
  <si>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</si>
  <si>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</si>
  <si>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</si>
  <si>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</si>
  <si>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</si>
  <si>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</si>
  <si>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</si>
  <si>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</si>
  <si>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</si>
  <si>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</si>
  <si>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</si>
  <si>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</si>
  <si>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</si>
  <si>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</si>
  <si>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</si>
  <si>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</si>
  <si>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</si>
  <si>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</si>
  <si>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</si>
  <si>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</si>
  <si>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</si>
  <si>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</si>
  <si>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</si>
  <si>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</si>
  <si>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</si>
  <si>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</si>
  <si>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</si>
  <si>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</si>
  <si>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</si>
  <si>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</si>
  <si>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</si>
  <si>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</si>
  <si>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</si>
  <si>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</si>
  <si>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</si>
  <si>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</si>
  <si>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</si>
  <si>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</si>
  <si>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</si>
  <si>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</si>
  <si>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</si>
  <si>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</si>
  <si>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</si>
  <si>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</si>
  <si>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</si>
  <si>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</si>
  <si>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</si>
  <si>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</si>
  <si>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</si>
  <si>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</si>
  <si>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</si>
  <si>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</si>
  <si>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</si>
  <si>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</si>
  <si>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</si>
  <si>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</si>
  <si>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</si>
  <si>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</si>
  <si>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</si>
  <si>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</si>
  <si>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</si>
  <si>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</si>
  <si>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</si>
  <si>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</si>
  <si>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</si>
  <si>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</si>
  <si>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</si>
  <si>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</si>
  <si>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</si>
  <si>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</si>
  <si>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</si>
  <si>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</si>
  <si>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</si>
  <si>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</si>
  <si>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</si>
  <si>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</si>
  <si>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</si>
  <si>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</si>
  <si>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</si>
  <si>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</si>
  <si>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</si>
  <si>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</si>
  <si>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</si>
  <si>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</si>
  <si>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</si>
  <si>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</si>
  <si>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</si>
  <si>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</si>
  <si>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</si>
  <si>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</si>
  <si>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</si>
  <si>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</si>
  <si>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</si>
  <si>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</si>
  <si>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</si>
  <si>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</si>
  <si>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</si>
  <si>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</si>
  <si>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</si>
  <si>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</si>
  <si>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</si>
  <si>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</si>
  <si>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</si>
  <si>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</si>
  <si>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</si>
  <si>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</si>
  <si>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</si>
  <si>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</si>
  <si>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</si>
  <si>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</si>
  <si>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</si>
  <si>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</si>
  <si>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</si>
  <si>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</si>
  <si>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</si>
  <si>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</si>
  <si>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</si>
  <si>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</si>
  <si>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</si>
  <si>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</si>
  <si>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</si>
  <si>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</si>
  <si>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</si>
  <si>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</si>
  <si>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</si>
  <si>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</si>
  <si>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</si>
  <si>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</si>
  <si>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</si>
  <si>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</si>
  <si>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</si>
  <si>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</si>
  <si>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</si>
  <si>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</si>
  <si>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</si>
  <si>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</si>
  <si>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</si>
  <si>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</si>
  <si>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</si>
  <si>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</si>
  <si>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</si>
  <si>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</si>
  <si>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</si>
  <si>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</si>
  <si>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</si>
  <si>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</si>
  <si>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</si>
  <si>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</si>
  <si>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</si>
  <si>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</si>
  <si>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</si>
  <si>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</si>
  <si>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</si>
  <si>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</si>
  <si>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</si>
  <si>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</si>
  <si>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</si>
  <si>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</si>
  <si>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</si>
  <si>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</si>
  <si>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</si>
  <si>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</si>
  <si>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</si>
  <si>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</si>
  <si>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</si>
  <si>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</si>
  <si>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</si>
  <si>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</si>
  <si>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</si>
  <si>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</si>
  <si>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</si>
  <si>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</si>
  <si>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</si>
  <si>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</si>
  <si>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</si>
  <si>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</si>
  <si>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</si>
  <si>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</si>
  <si>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</si>
  <si>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</si>
  <si>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</si>
  <si>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</si>
  <si>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</si>
  <si>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</si>
  <si>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</si>
  <si>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</si>
  <si>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</si>
  <si>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</si>
  <si>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</si>
  <si>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</si>
  <si>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</si>
  <si>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</si>
  <si>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</si>
  <si>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</si>
  <si>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</si>
  <si>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</si>
  <si>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</si>
  <si>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</si>
  <si>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</si>
  <si>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</si>
  <si>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</si>
  <si>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</si>
  <si>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</si>
  <si>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</si>
  <si>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</si>
  <si>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</si>
  <si>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</si>
  <si>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</si>
  <si>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</si>
  <si>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</si>
  <si>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</si>
  <si>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</si>
  <si>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</si>
  <si>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</si>
  <si>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</si>
  <si>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</si>
  <si>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</si>
  <si>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</si>
  <si>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</si>
  <si>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</si>
  <si>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</si>
  <si>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</si>
  <si>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</si>
  <si>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</si>
  <si>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</si>
  <si>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</si>
  <si>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</si>
  <si>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</si>
  <si>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</si>
  <si>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</si>
  <si>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</si>
  <si>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</si>
  <si>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</si>
  <si>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</si>
  <si>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</si>
  <si>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</si>
  <si>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</si>
  <si>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</si>
  <si>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</si>
  <si>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</si>
  <si>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</si>
  <si>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</si>
  <si>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</si>
  <si>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</si>
  <si>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</si>
  <si>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</si>
  <si>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</si>
  <si>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</si>
  <si>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</si>
  <si>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</si>
  <si>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</si>
  <si>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</si>
  <si>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</si>
  <si>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</si>
  <si>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</si>
  <si>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</si>
  <si>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</si>
  <si>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</si>
  <si>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</si>
  <si>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</si>
  <si>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</si>
  <si>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</si>
  <si>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</si>
  <si>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</si>
  <si>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</si>
  <si>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</si>
  <si>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</si>
  <si>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</si>
  <si>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</si>
  <si>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</si>
  <si>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</si>
  <si>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</si>
  <si>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</si>
  <si>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</si>
  <si>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</si>
  <si>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</si>
  <si>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</si>
  <si>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</si>
  <si>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</si>
  <si>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</si>
  <si>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</si>
  <si>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</si>
  <si>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</si>
  <si>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</si>
  <si>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</si>
  <si>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</si>
  <si>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</si>
  <si>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</si>
  <si>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</si>
  <si>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</si>
  <si>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</si>
  <si>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</si>
  <si>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</si>
  <si>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</si>
  <si>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</si>
  <si>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</si>
  <si>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</si>
  <si>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</si>
  <si>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</si>
  <si>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</si>
  <si>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</si>
  <si>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</si>
  <si>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</si>
  <si>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</si>
  <si>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</si>
  <si>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</si>
  <si>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</si>
  <si>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</si>
  <si>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</si>
  <si>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</si>
  <si>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</si>
  <si>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</si>
  <si>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</si>
  <si>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</si>
  <si>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</si>
  <si>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</si>
  <si>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</si>
  <si>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</si>
  <si>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</si>
  <si>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</si>
  <si>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</si>
  <si>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</si>
  <si>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</si>
  <si>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</si>
  <si>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</si>
  <si>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</si>
  <si>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</si>
  <si>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</si>
  <si>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</si>
  <si>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</si>
  <si>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</si>
  <si>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</si>
  <si>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</si>
  <si>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</si>
  <si>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</si>
  <si>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</si>
  <si>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</si>
  <si>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</si>
  <si>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</si>
  <si>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</si>
  <si>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</si>
  <si>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</si>
  <si>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</si>
  <si>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</si>
  <si>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</si>
  <si>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</si>
  <si>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</si>
  <si>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</si>
  <si>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</si>
  <si>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</si>
  <si>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</si>
  <si>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</si>
  <si>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</si>
  <si>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</si>
  <si>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</si>
  <si>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</si>
  <si>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</si>
  <si>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</si>
  <si>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</si>
  <si>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</si>
  <si>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</si>
  <si>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</si>
  <si>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</si>
  <si>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</si>
  <si>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</si>
  <si>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</si>
  <si>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</si>
  <si>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</si>
  <si>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</si>
  <si>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</si>
  <si>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</si>
  <si>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</si>
  <si>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</si>
  <si>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</si>
  <si>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</si>
  <si>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</si>
  <si>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</si>
  <si>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</si>
  <si>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</si>
  <si>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</si>
  <si>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</si>
  <si>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</si>
  <si>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</si>
  <si>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</si>
  <si>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</si>
  <si>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</si>
  <si>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</si>
  <si>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</si>
  <si>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</si>
  <si>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</si>
  <si>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</si>
  <si>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</si>
  <si>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</si>
  <si>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</si>
  <si>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</si>
  <si>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</si>
  <si>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</si>
  <si>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</si>
  <si>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</si>
  <si>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</si>
  <si>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</si>
  <si>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</si>
  <si>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</si>
  <si>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</si>
  <si>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</si>
  <si>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</si>
  <si>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</si>
  <si>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</si>
  <si>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</si>
  <si>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</si>
  <si>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</si>
  <si>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</si>
  <si>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</si>
  <si>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</si>
  <si>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</si>
  <si>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</si>
  <si>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</si>
  <si>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</si>
  <si>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</si>
  <si>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</si>
  <si>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</si>
  <si>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</si>
  <si>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</si>
  <si>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</si>
  <si>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</si>
  <si>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</si>
  <si>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</si>
  <si>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</si>
  <si>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</si>
  <si>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</si>
  <si>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</si>
  <si>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</si>
  <si>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</si>
  <si>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</si>
  <si>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</si>
  <si>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</si>
  <si>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</si>
  <si>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</si>
  <si>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</si>
  <si>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</si>
  <si>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</si>
  <si>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</si>
  <si>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</si>
  <si>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</si>
  <si>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</si>
  <si>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</si>
  <si>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</si>
  <si>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</si>
  <si>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</si>
  <si>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</si>
  <si>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</si>
  <si>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</si>
  <si>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</si>
  <si>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</si>
  <si>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</si>
  <si>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</si>
  <si>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</si>
  <si>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</si>
  <si>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</si>
  <si>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</si>
  <si>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</si>
  <si>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</si>
  <si>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</si>
  <si>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</si>
  <si>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</si>
  <si>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</si>
  <si>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</si>
  <si>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</si>
  <si>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</si>
  <si>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</si>
  <si>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</si>
  <si>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</si>
  <si>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</si>
  <si>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</si>
  <si>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</si>
  <si>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</si>
  <si>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</si>
  <si>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</si>
  <si>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</si>
  <si>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</si>
  <si>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</si>
  <si>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</si>
  <si>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</si>
  <si>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</si>
  <si>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</si>
  <si>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</si>
  <si>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</si>
  <si>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</si>
  <si>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</si>
  <si>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</si>
  <si>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</si>
  <si>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</si>
  <si>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</si>
  <si>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</si>
  <si>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</si>
  <si>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</si>
  <si>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</si>
  <si>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</si>
  <si>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</si>
  <si>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</si>
  <si>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</si>
  <si>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</si>
  <si>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</si>
  <si>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</si>
  <si>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</si>
  <si>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</si>
  <si>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</si>
  <si>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</si>
  <si>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</si>
  <si>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</si>
  <si>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</si>
  <si>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</si>
  <si>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</si>
  <si>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</si>
  <si>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</si>
  <si>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</si>
  <si>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</si>
  <si>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</si>
  <si>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</si>
  <si>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</si>
  <si>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</si>
  <si>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</si>
  <si>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</si>
  <si>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</si>
  <si>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</si>
  <si>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</si>
  <si>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</si>
  <si>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</si>
  <si>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</si>
  <si>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</si>
  <si>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</si>
  <si>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</si>
  <si>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</si>
  <si>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</si>
  <si>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</si>
  <si>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</si>
  <si>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</si>
  <si>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</si>
  <si>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</si>
  <si>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</si>
  <si>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</si>
  <si>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</si>
  <si>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</si>
  <si>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</si>
  <si>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</si>
  <si>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</si>
  <si>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</si>
  <si>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</si>
  <si>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</si>
  <si>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</si>
  <si>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</si>
  <si>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</si>
  <si>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</si>
  <si>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</si>
  <si>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</si>
  <si>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</si>
  <si>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</si>
  <si>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</si>
  <si>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</si>
  <si>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</si>
  <si>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</si>
  <si>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</si>
  <si>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</si>
  <si>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</si>
  <si>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</si>
  <si>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</si>
  <si>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</si>
  <si>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</si>
  <si>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</si>
  <si>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</si>
  <si>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</si>
  <si>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</si>
  <si>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</si>
  <si>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</si>
  <si>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</si>
  <si>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</si>
  <si>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</si>
  <si>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</si>
  <si>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</si>
  <si>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</si>
  <si>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</si>
  <si>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</si>
  <si>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</si>
  <si>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3867 ELLEN</t>
  </si>
  <si>
    <t xml:space="preserve">NF 378 ELLEN</t>
  </si>
  <si>
    <t xml:space="preserve">NF 15256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</si>
  <si>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</si>
  <si>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</si>
  <si>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</si>
  <si>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</si>
  <si>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</si>
  <si>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</si>
  <si>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</si>
  <si>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</si>
  <si>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</si>
  <si>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ICMS S/ VENDAS</t>
  </si>
  <si>
    <t xml:space="preserve">Título originado pela GIA</t>
  </si>
  <si>
    <t xml:space="preserve">NF 588254 ELLEN</t>
  </si>
  <si>
    <t xml:space="preserve">NF 894544 ELLEN</t>
  </si>
  <si>
    <t xml:space="preserve">NF 1442200 ELLEN</t>
  </si>
  <si>
    <t xml:space="preserve">NF 1442668 ELLEN</t>
  </si>
  <si>
    <t xml:space="preserve">NF 8802 - DESPESAS-SACOLAS - ELLEN</t>
  </si>
  <si>
    <t xml:space="preserve">NF'S 1796899/1796900 ELLEN</t>
  </si>
  <si>
    <t xml:space="preserve">NF 993555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</si>
  <si>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</si>
  <si>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</si>
  <si>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</si>
  <si>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</si>
  <si>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</si>
  <si>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4884 ELLEN</t>
  </si>
  <si>
    <t xml:space="preserve">NF 1627324 ELLEN</t>
  </si>
  <si>
    <t xml:space="preserve">NF 35161 ELLEN</t>
  </si>
  <si>
    <t xml:space="preserve">NF 572518 ELLEN</t>
  </si>
  <si>
    <t xml:space="preserve">NF 1724435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</si>
  <si>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</si>
  <si>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</si>
  <si>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</si>
  <si>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</si>
  <si>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</si>
  <si>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</si>
  <si>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</si>
  <si>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</si>
  <si>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</si>
  <si>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</si>
  <si>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</si>
  <si>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</si>
  <si>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</si>
  <si>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</si>
  <si>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</si>
  <si>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</si>
  <si>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</si>
  <si>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</si>
  <si>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</si>
  <si>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</si>
  <si>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</si>
  <si>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</si>
  <si>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</si>
  <si>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</si>
  <si>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</si>
  <si>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</si>
  <si>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</si>
  <si>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</si>
  <si>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</si>
  <si>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</si>
  <si>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</si>
  <si>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</si>
  <si>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</si>
  <si>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</si>
  <si>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</si>
  <si>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</si>
  <si>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</si>
  <si>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</si>
  <si>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</si>
  <si>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</si>
  <si>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</si>
  <si>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</si>
  <si>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</si>
  <si>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</si>
  <si>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</si>
  <si>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</si>
  <si>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</si>
  <si>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</si>
  <si>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</si>
  <si>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</si>
  <si>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</si>
  <si>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</si>
  <si>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</si>
  <si>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</si>
  <si>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</si>
  <si>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</si>
  <si>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</si>
  <si>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</si>
  <si>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</si>
  <si>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</si>
  <si>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</si>
  <si>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</si>
  <si>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</si>
  <si>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</si>
  <si>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</si>
  <si>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</si>
  <si>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</si>
  <si>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</si>
  <si>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</si>
  <si>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</si>
  <si>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</si>
  <si>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</si>
  <si>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</si>
  <si>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</si>
  <si>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</si>
  <si>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</si>
  <si>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</si>
  <si>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</si>
  <si>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</si>
  <si>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</si>
  <si>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</si>
  <si>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</si>
  <si>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</si>
  <si>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</si>
  <si>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</si>
  <si>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</si>
  <si>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</si>
  <si>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</si>
  <si>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</si>
  <si>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</si>
  <si>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</si>
  <si>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</si>
  <si>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</si>
  <si>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</si>
  <si>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</si>
  <si>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</si>
  <si>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</si>
  <si>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</si>
  <si>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</si>
  <si>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</si>
  <si>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</si>
  <si>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</si>
  <si>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</si>
  <si>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</si>
  <si>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</si>
  <si>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</si>
  <si>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</si>
  <si>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</si>
  <si>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</si>
  <si>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</si>
  <si>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</si>
  <si>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</si>
  <si>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</si>
  <si>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</si>
  <si>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</si>
  <si>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</si>
  <si>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</si>
  <si>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</si>
  <si>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</si>
  <si>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22957970000112</t>
  </si>
  <si>
    <t xml:space="preserve">AM</t>
  </si>
  <si>
    <t xml:space="preserve">mes</t>
  </si>
  <si>
    <t xml:space="preserve">valor</t>
  </si>
  <si>
    <t xml:space="preserve">qtde de notas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</si>
  <si>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</si>
  <si>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</si>
  <si>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</si>
  <si>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</si>
  <si>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</si>
  <si>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</si>
  <si>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</si>
  <si>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</si>
  <si>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</si>
  <si>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resumo dia</t>
  </si>
  <si>
    <t xml:space="preserve">34579060000122</t>
  </si>
  <si>
    <t xml:space="preserve">dia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</si>
  <si>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</si>
  <si>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</si>
  <si>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</si>
  <si>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</si>
  <si>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</si>
  <si>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</si>
  <si>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</si>
  <si>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</si>
  <si>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</si>
  <si>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</si>
  <si>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</si>
  <si>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</si>
  <si>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</si>
  <si>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</si>
  <si>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</si>
  <si>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</si>
  <si>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</si>
  <si>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</si>
  <si>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</si>
  <si>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</si>
  <si>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</si>
  <si>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</si>
  <si>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</si>
  <si>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</si>
  <si>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</si>
  <si>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</si>
  <si>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</si>
  <si>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</si>
  <si>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</si>
  <si>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</si>
  <si>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</si>
  <si>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</si>
  <si>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</si>
  <si>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</si>
  <si>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02805138000193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</si>
  <si>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</si>
  <si>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</si>
  <si>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</si>
  <si>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</si>
  <si>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</si>
  <si>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</si>
  <si>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</si>
  <si>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</si>
  <si>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</si>
  <si>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</si>
  <si>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</si>
  <si>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</si>
  <si>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</si>
  <si>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</si>
  <si>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</si>
  <si>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</si>
  <si>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</si>
  <si>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</si>
  <si>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</si>
  <si>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</si>
  <si>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</si>
  <si>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</si>
  <si>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</si>
  <si>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</si>
  <si>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</si>
  <si>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</si>
  <si>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</si>
  <si>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</si>
  <si>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</si>
  <si>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</si>
  <si>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</si>
  <si>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</si>
  <si>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</si>
  <si>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</si>
  <si>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</si>
  <si>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</si>
  <si>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</si>
  <si>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</si>
  <si>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</si>
  <si>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</si>
  <si>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</si>
  <si>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</si>
  <si>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</si>
  <si>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</si>
  <si>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</si>
  <si>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</si>
  <si>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</si>
  <si>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</si>
  <si>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</si>
  <si>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</si>
  <si>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</si>
  <si>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</si>
  <si>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</si>
  <si>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</si>
  <si>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</si>
  <si>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</si>
  <si>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</si>
  <si>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</si>
  <si>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</si>
  <si>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</si>
  <si>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</si>
  <si>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</si>
  <si>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</si>
  <si>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</si>
  <si>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</si>
  <si>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</si>
  <si>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</si>
  <si>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</si>
  <si>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</si>
  <si>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</si>
  <si>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</si>
  <si>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</si>
  <si>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</si>
  <si>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</si>
  <si>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</si>
  <si>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</si>
  <si>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</si>
  <si>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</si>
  <si>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</si>
  <si>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</si>
  <si>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</si>
  <si>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</si>
  <si>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</si>
  <si>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</si>
  <si>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</si>
  <si>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</si>
  <si>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</si>
  <si>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</si>
  <si>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</si>
  <si>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</si>
  <si>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</si>
  <si>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</si>
  <si>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</si>
  <si>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</si>
  <si>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</si>
  <si>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</si>
  <si>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</si>
  <si>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</si>
  <si>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</si>
  <si>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</si>
  <si>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</si>
  <si>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</si>
  <si>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</si>
  <si>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</si>
  <si>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</si>
  <si>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</si>
  <si>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</si>
  <si>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</si>
  <si>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</si>
  <si>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</si>
  <si>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</si>
  <si>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</si>
  <si>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</si>
  <si>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</si>
  <si>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</si>
  <si>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</si>
  <si>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</si>
  <si>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</si>
  <si>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</si>
  <si>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</si>
  <si>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</si>
  <si>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</si>
  <si>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</si>
  <si>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</si>
  <si>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</si>
  <si>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</si>
  <si>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</si>
  <si>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</si>
  <si>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</si>
  <si>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</si>
  <si>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</si>
  <si>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</si>
  <si>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</si>
  <si>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</si>
  <si>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</si>
  <si>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</si>
  <si>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</si>
  <si>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</si>
  <si>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</si>
  <si>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</si>
  <si>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</si>
  <si>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</si>
  <si>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</si>
  <si>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</si>
  <si>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</si>
  <si>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</si>
  <si>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</si>
  <si>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</si>
  <si>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</si>
  <si>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</si>
  <si>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</si>
  <si>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</si>
  <si>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</si>
  <si>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</si>
  <si>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</si>
  <si>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</si>
  <si>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</si>
  <si>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</si>
  <si>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</si>
  <si>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</si>
  <si>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</si>
  <si>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</si>
  <si>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</si>
  <si>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</si>
  <si>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</si>
  <si>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</si>
  <si>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</si>
  <si>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</si>
  <si>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</si>
  <si>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</si>
  <si>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</si>
  <si>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</si>
  <si>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</si>
  <si>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</si>
  <si>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</si>
  <si>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</si>
  <si>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</si>
  <si>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</si>
  <si>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</si>
  <si>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</si>
  <si>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</si>
  <si>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</si>
  <si>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</si>
  <si>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</si>
  <si>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</si>
  <si>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</si>
  <si>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</si>
  <si>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</si>
  <si>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</si>
  <si>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</si>
  <si>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</si>
  <si>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</si>
  <si>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</si>
  <si>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</si>
  <si>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</si>
  <si>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</si>
  <si>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</si>
  <si>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</si>
  <si>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</si>
  <si>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</si>
  <si>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</si>
  <si>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</si>
  <si>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</si>
  <si>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</si>
  <si>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</si>
  <si>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</si>
  <si>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</si>
  <si>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</si>
  <si>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</si>
  <si>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</si>
  <si>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</si>
  <si>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</si>
  <si>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</si>
  <si>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</si>
  <si>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</si>
  <si>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</si>
  <si>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</si>
  <si>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</si>
  <si>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</si>
  <si>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</si>
  <si>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</si>
  <si>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</si>
  <si>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</si>
  <si>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</si>
  <si>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</si>
  <si>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</si>
  <si>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</si>
  <si>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</si>
  <si>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</si>
  <si>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</si>
  <si>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</si>
  <si>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</si>
  <si>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</si>
  <si>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</si>
  <si>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</si>
  <si>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</si>
  <si>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</si>
  <si>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</si>
  <si>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</si>
  <si>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</si>
  <si>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</si>
  <si>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</si>
  <si>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</si>
  <si>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</si>
  <si>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</si>
  <si>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</si>
  <si>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</si>
  <si>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</si>
  <si>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</si>
  <si>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</si>
  <si>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</si>
  <si>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</si>
  <si>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</si>
  <si>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</si>
  <si>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</si>
  <si>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</si>
  <si>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</si>
  <si>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</si>
  <si>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</si>
  <si>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</si>
  <si>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</si>
  <si>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</si>
  <si>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</si>
  <si>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</si>
  <si>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</si>
  <si>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</si>
  <si>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</si>
  <si>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CITRICO DE 2L</t>
  </si>
  <si>
    <t xml:space="preserve">SUCO FAZENDINHA CITR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</si>
  <si>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</si>
  <si>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</si>
  <si>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</si>
  <si>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</si>
  <si>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</si>
  <si>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</si>
  <si>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</si>
  <si>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</si>
  <si>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</si>
  <si>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</si>
  <si>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</si>
  <si>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</si>
  <si>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</si>
  <si>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</si>
  <si>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</si>
  <si>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</si>
  <si>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</si>
  <si>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</si>
  <si>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</si>
  <si>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</si>
  <si>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</si>
  <si>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</si>
  <si>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</si>
  <si>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</si>
  <si>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</si>
  <si>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</si>
  <si>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</si>
  <si>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</si>
  <si>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</si>
  <si>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</si>
  <si>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</si>
  <si>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</si>
  <si>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</si>
  <si>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</si>
  <si>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</si>
  <si>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</si>
  <si>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</si>
  <si>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</si>
  <si>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</si>
  <si>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</si>
  <si>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</si>
  <si>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</si>
  <si>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</si>
  <si>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</si>
  <si>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</si>
  <si>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</si>
  <si>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</si>
  <si>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</si>
  <si>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</si>
  <si>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</si>
  <si>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</si>
  <si>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</si>
  <si>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</si>
  <si>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</si>
  <si>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</si>
  <si>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</si>
  <si>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</si>
  <si>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</si>
  <si>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</si>
  <si>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</si>
  <si>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</si>
  <si>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</si>
  <si>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</si>
  <si>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</si>
  <si>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</si>
  <si>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</si>
  <si>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</si>
  <si>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</si>
  <si>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</si>
  <si>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</si>
  <si>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</si>
  <si>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</si>
  <si>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</si>
  <si>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</si>
  <si>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</si>
  <si>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</si>
  <si>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</si>
  <si>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</si>
  <si>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</si>
  <si>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</si>
  <si>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</si>
  <si>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</si>
  <si>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</si>
  <si>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</si>
  <si>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</si>
  <si>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</si>
  <si>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</si>
  <si>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</si>
  <si>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</si>
  <si>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</si>
  <si>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</si>
  <si>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</si>
  <si>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</si>
  <si>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</si>
  <si>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</si>
  <si>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</si>
  <si>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</si>
  <si>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</si>
  <si>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</si>
  <si>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</si>
  <si>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</si>
  <si>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</si>
  <si>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</si>
  <si>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</si>
  <si>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</si>
  <si>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</si>
  <si>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</si>
  <si>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</si>
  <si>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</si>
  <si>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</si>
  <si>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</si>
  <si>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</si>
  <si>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</si>
  <si>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</si>
  <si>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</si>
  <si>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</si>
  <si>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</si>
  <si>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</si>
  <si>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</si>
  <si>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</si>
  <si>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</si>
  <si>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</si>
  <si>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</si>
  <si>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</si>
  <si>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</si>
  <si>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</si>
  <si>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</si>
  <si>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</si>
  <si>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</si>
  <si>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</si>
  <si>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</si>
  <si>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</si>
  <si>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</si>
  <si>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</si>
  <si>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</si>
  <si>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</si>
  <si>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</si>
  <si>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</si>
  <si>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</si>
  <si>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</si>
  <si>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</si>
  <si>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</si>
  <si>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</si>
  <si>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</si>
  <si>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</si>
  <si>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</si>
  <si>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</si>
  <si>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</si>
  <si>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</si>
  <si>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</si>
  <si>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</si>
  <si>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</si>
  <si>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</si>
  <si>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</si>
  <si>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</si>
  <si>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</si>
  <si>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</si>
  <si>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</si>
  <si>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</si>
  <si>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</si>
  <si>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</si>
  <si>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</si>
  <si>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</si>
  <si>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</si>
  <si>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</si>
  <si>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</si>
  <si>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</si>
  <si>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</si>
  <si>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</si>
  <si>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</si>
  <si>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</si>
  <si>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</si>
  <si>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</si>
  <si>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</si>
  <si>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</si>
  <si>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</si>
  <si>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</si>
  <si>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</si>
  <si>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</si>
  <si>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</si>
  <si>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</si>
  <si>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</si>
  <si>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</si>
  <si>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</si>
  <si>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</si>
  <si>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</si>
  <si>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</si>
  <si>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</si>
  <si>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</si>
  <si>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</si>
  <si>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</si>
  <si>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</si>
  <si>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</si>
  <si>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</si>
  <si>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</si>
  <si>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</si>
  <si>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</si>
  <si>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</si>
  <si>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</si>
  <si>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</si>
  <si>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</si>
  <si>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</si>
  <si>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</si>
  <si>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</si>
  <si>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</si>
  <si>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</si>
  <si>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</si>
  <si>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</si>
  <si>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</si>
  <si>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</si>
  <si>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</si>
  <si>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</si>
  <si>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</si>
  <si>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</si>
  <si>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</si>
  <si>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</si>
  <si>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</si>
  <si>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</si>
  <si>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</si>
  <si>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</si>
  <si>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</si>
  <si>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</si>
  <si>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</si>
  <si>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</si>
  <si>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</si>
  <si>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</si>
  <si>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</si>
  <si>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</si>
  <si>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</si>
  <si>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</si>
  <si>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</si>
  <si>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</si>
  <si>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</si>
  <si>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</si>
  <si>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</si>
  <si>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</si>
  <si>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</si>
  <si>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</si>
  <si>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</si>
  <si>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</si>
  <si>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</si>
  <si>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</si>
  <si>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</si>
  <si>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</si>
  <si>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</si>
  <si>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</si>
  <si>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</si>
  <si>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</si>
  <si>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</si>
  <si>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</si>
  <si>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</si>
  <si>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</si>
  <si>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</si>
  <si>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</si>
  <si>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</si>
  <si>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</si>
  <si>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</si>
  <si>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</si>
  <si>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</si>
  <si>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</si>
  <si>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</si>
  <si>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</si>
  <si>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</si>
  <si>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</si>
  <si>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</si>
  <si>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</si>
  <si>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</si>
  <si>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</si>
  <si>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</si>
  <si>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</si>
  <si>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</si>
  <si>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</si>
  <si>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</si>
  <si>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</si>
  <si>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</si>
  <si>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</si>
  <si>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</si>
  <si>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</si>
  <si>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</si>
  <si>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</si>
  <si>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</si>
  <si>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</si>
  <si>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</si>
  <si>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</si>
  <si>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</si>
  <si>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</si>
  <si>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</si>
  <si>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</si>
  <si>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</si>
  <si>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</si>
  <si>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</si>
  <si>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</si>
  <si>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</si>
  <si>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</si>
  <si>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</si>
  <si>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</si>
  <si>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</si>
  <si>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</si>
  <si>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</si>
  <si>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</si>
  <si>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</si>
  <si>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</si>
  <si>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</si>
  <si>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</si>
  <si>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</si>
  <si>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</si>
  <si>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</si>
  <si>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</si>
  <si>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</si>
  <si>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</si>
  <si>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</si>
  <si>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</si>
  <si>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</si>
  <si>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</si>
  <si>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</si>
  <si>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</si>
  <si>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</si>
  <si>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</si>
  <si>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</si>
  <si>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</si>
  <si>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</si>
  <si>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</si>
  <si>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</si>
  <si>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</si>
  <si>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</si>
  <si>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</si>
  <si>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</si>
  <si>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</si>
  <si>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</si>
  <si>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</si>
  <si>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</si>
  <si>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</si>
  <si>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</si>
  <si>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</si>
  <si>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</si>
  <si>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</si>
  <si>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</si>
  <si>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</si>
  <si>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</si>
  <si>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</si>
  <si>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</si>
  <si>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</si>
  <si>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</si>
  <si>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</si>
  <si>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</si>
  <si>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</si>
  <si>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</si>
  <si>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</si>
  <si>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</si>
  <si>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</si>
  <si>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</si>
  <si>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</si>
  <si>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</si>
  <si>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</si>
  <si>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</si>
  <si>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</si>
  <si>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</si>
  <si>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</si>
  <si>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</si>
  <si>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</si>
  <si>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</si>
  <si>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</si>
  <si>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</si>
  <si>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</si>
  <si>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</si>
  <si>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</si>
  <si>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</si>
  <si>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</si>
  <si>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</si>
  <si>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</si>
  <si>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</si>
  <si>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</si>
  <si>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</si>
  <si>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</si>
  <si>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</si>
  <si>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</si>
  <si>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</si>
  <si>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</si>
  <si>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</si>
  <si>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</si>
  <si>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</si>
  <si>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</si>
  <si>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</si>
  <si>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</si>
  <si>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</si>
  <si>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</si>
  <si>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</si>
  <si>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</si>
  <si>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</si>
  <si>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</si>
  <si>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</si>
  <si>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</si>
  <si>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</si>
  <si>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</si>
  <si>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</si>
  <si>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</si>
  <si>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</si>
  <si>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</si>
  <si>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</si>
  <si>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</si>
  <si>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</si>
  <si>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</si>
  <si>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</si>
  <si>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</si>
  <si>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</si>
  <si>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</si>
  <si>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</si>
  <si>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</si>
  <si>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</si>
  <si>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</si>
  <si>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</si>
  <si>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</si>
  <si>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</si>
  <si>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</si>
  <si>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</si>
  <si>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</si>
  <si>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</si>
  <si>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</si>
  <si>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</si>
  <si>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</si>
  <si>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</si>
  <si>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</si>
  <si>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</si>
  <si>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</si>
  <si>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</si>
  <si>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</si>
  <si>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</si>
  <si>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</si>
  <si>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</si>
  <si>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</si>
  <si>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</si>
  <si>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</si>
  <si>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</si>
  <si>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</si>
  <si>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</si>
  <si>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</si>
  <si>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</si>
  <si>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</si>
  <si>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</si>
  <si>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</si>
  <si>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</si>
  <si>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</si>
  <si>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</si>
  <si>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</si>
  <si>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</si>
  <si>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</si>
  <si>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</si>
  <si>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</si>
  <si>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</si>
  <si>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</si>
  <si>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</si>
  <si>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</si>
  <si>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</si>
  <si>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</si>
  <si>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</si>
  <si>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</si>
  <si>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</si>
  <si>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</si>
  <si>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</si>
  <si>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</si>
  <si>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</si>
  <si>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</si>
  <si>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</si>
  <si>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</si>
  <si>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</si>
  <si>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</si>
  <si>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</si>
  <si>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</si>
  <si>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</si>
  <si>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</si>
  <si>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</si>
  <si>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</si>
  <si>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</si>
  <si>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</si>
  <si>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</si>
  <si>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</si>
  <si>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</si>
  <si>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</si>
  <si>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</si>
  <si>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</si>
  <si>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</si>
  <si>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</si>
  <si>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</si>
  <si>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</si>
  <si>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</si>
  <si>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</si>
  <si>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</si>
  <si>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</si>
  <si>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</si>
  <si>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</si>
  <si>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</si>
  <si>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</si>
  <si>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</si>
  <si>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</si>
  <si>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</si>
  <si>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</si>
  <si>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</si>
  <si>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</si>
  <si>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</si>
  <si>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</si>
  <si>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</si>
  <si>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</si>
  <si>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</si>
  <si>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</si>
  <si>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</si>
  <si>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</si>
  <si>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</si>
  <si>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</si>
  <si>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</si>
  <si>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</si>
  <si>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</si>
  <si>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</si>
  <si>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</si>
  <si>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</si>
  <si>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</si>
  <si>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</si>
  <si>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</si>
  <si>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</si>
  <si>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</si>
  <si>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</si>
  <si>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</si>
  <si>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</si>
  <si>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</si>
  <si>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</si>
  <si>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</si>
  <si>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</si>
  <si>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</si>
  <si>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</si>
  <si>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</si>
  <si>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</si>
  <si>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</si>
  <si>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</si>
  <si>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</si>
  <si>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</si>
  <si>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</si>
  <si>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</si>
  <si>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</si>
  <si>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</si>
  <si>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</si>
  <si>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</si>
  <si>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</si>
  <si>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</si>
  <si>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MUCILON SNACKS LARAN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</si>
  <si>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</si>
  <si>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</si>
  <si>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</si>
  <si>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</si>
  <si>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</si>
  <si>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</si>
  <si>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</si>
  <si>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</si>
  <si>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</si>
  <si>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</si>
  <si>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</si>
  <si>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</si>
  <si>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</si>
  <si>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</si>
  <si>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</si>
  <si>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</si>
  <si>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</si>
  <si>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</si>
  <si>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</si>
  <si>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</si>
  <si>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</si>
  <si>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</si>
  <si>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</si>
  <si>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</si>
  <si>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</si>
  <si>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</si>
  <si>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</si>
  <si>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</si>
  <si>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</si>
  <si>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</si>
  <si>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</si>
  <si>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</si>
  <si>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</si>
  <si>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</si>
  <si>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</si>
  <si>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</si>
  <si>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</si>
  <si>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</si>
  <si>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</si>
  <si>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</si>
  <si>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</si>
  <si>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</si>
  <si>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</si>
  <si>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</si>
  <si>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</si>
  <si>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</si>
  <si>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TRAVESSA BRASIL COPA TECIDO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</si>
  <si>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</si>
  <si>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</si>
  <si>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</si>
  <si>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</si>
  <si>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</si>
  <si>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</si>
  <si>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</si>
  <si>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</si>
  <si>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</si>
  <si>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</si>
  <si>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</si>
  <si>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</si>
  <si>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</si>
  <si>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</si>
  <si>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</si>
  <si>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</si>
  <si>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</si>
  <si>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</si>
  <si>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</si>
  <si>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</si>
  <si>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</si>
  <si>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</si>
  <si>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</si>
  <si>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</si>
  <si>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</si>
  <si>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</si>
  <si>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</si>
  <si>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</si>
  <si>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</si>
  <si>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</si>
  <si>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</si>
  <si>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</si>
  <si>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</si>
  <si>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</si>
  <si>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</si>
  <si>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</si>
  <si>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</si>
  <si>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</si>
  <si>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</si>
  <si>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</si>
  <si>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</si>
  <si>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</si>
  <si>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</si>
  <si>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</si>
  <si>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</si>
  <si>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</si>
  <si>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</si>
  <si>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</si>
  <si>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</si>
  <si>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</si>
  <si>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</si>
  <si>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</si>
  <si>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</si>
  <si>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</si>
  <si>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</si>
  <si>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</si>
  <si>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</si>
  <si>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</si>
  <si>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</si>
  <si>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</si>
  <si>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</si>
  <si>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</si>
  <si>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</si>
  <si>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</si>
  <si>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</si>
  <si>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</si>
  <si>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</si>
  <si>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</si>
  <si>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</si>
  <si>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</si>
  <si>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</si>
  <si>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</si>
  <si>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</si>
  <si>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</si>
  <si>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</si>
  <si>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</si>
  <si>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</si>
  <si>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</si>
  <si>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</si>
  <si>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</si>
  <si>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</si>
  <si>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</si>
  <si>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</si>
  <si>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</si>
  <si>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</si>
  <si>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</si>
  <si>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</si>
  <si>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</si>
  <si>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</si>
  <si>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</si>
  <si>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</si>
  <si>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</si>
  <si>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</si>
  <si>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</si>
  <si>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</si>
  <si>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</si>
  <si>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</si>
  <si>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</si>
  <si>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</si>
  <si>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</si>
  <si>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</si>
  <si>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</si>
  <si>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</si>
  <si>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</si>
  <si>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</si>
  <si>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</si>
  <si>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</si>
  <si>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</si>
  <si>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</si>
  <si>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</si>
  <si>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</si>
  <si>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</si>
  <si>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</si>
  <si>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</si>
  <si>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</si>
  <si>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</si>
  <si>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</si>
  <si>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</si>
  <si>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</si>
  <si>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</si>
  <si>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</si>
  <si>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</si>
  <si>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</si>
  <si>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</si>
  <si>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</si>
  <si>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</si>
  <si>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</si>
  <si>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</si>
  <si>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</si>
  <si>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</si>
  <si>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</si>
  <si>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</si>
  <si>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</si>
  <si>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</si>
  <si>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</si>
  <si>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</si>
  <si>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</si>
  <si>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</si>
  <si>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</si>
  <si>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</si>
  <si>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</si>
  <si>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</si>
  <si>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</si>
  <si>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</si>
  <si>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</si>
  <si>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</si>
  <si>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</si>
  <si>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</si>
  <si>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</si>
  <si>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</si>
  <si>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</si>
  <si>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</si>
  <si>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</si>
  <si>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</si>
  <si>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</si>
  <si>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</si>
  <si>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</si>
  <si>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</si>
  <si>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</si>
  <si>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</si>
  <si>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</si>
  <si>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</si>
  <si>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</si>
  <si>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</si>
  <si>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</si>
  <si>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</si>
  <si>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</si>
  <si>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</si>
  <si>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</si>
  <si>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</si>
  <si>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</si>
  <si>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</si>
  <si>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</si>
  <si>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</si>
  <si>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</si>
  <si>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</si>
  <si>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</si>
  <si>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</si>
  <si>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</si>
  <si>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</si>
  <si>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</si>
  <si>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</si>
  <si>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</si>
  <si>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</si>
  <si>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</si>
  <si>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</si>
  <si>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</si>
  <si>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</si>
  <si>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</si>
  <si>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</si>
  <si>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</si>
  <si>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</si>
  <si>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</si>
  <si>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</si>
  <si>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</si>
  <si>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</si>
  <si>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</si>
  <si>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</si>
  <si>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</si>
  <si>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</si>
  <si>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</si>
  <si>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</si>
  <si>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</si>
  <si>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</si>
  <si>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</si>
  <si>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</si>
  <si>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</si>
  <si>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</si>
  <si>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</si>
  <si>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</si>
  <si>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</si>
  <si>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</si>
  <si>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</si>
  <si>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</si>
  <si>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</si>
  <si>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</si>
  <si>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</si>
  <si>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</si>
  <si>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</si>
  <si>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</si>
  <si>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</si>
  <si>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</si>
  <si>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</si>
  <si>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</si>
  <si>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</si>
  <si>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</si>
  <si>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</si>
  <si>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</si>
  <si>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</si>
  <si>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</si>
  <si>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</si>
  <si>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</si>
  <si>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</si>
  <si>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</si>
  <si>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</si>
  <si>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</si>
  <si>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</si>
  <si>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</si>
  <si>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</si>
  <si>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</si>
  <si>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</si>
  <si>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</si>
  <si>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</si>
  <si>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</si>
  <si>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</si>
  <si>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</si>
  <si>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</si>
  <si>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</si>
  <si>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</si>
  <si>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</si>
  <si>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</si>
  <si>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</si>
  <si>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</si>
  <si>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</si>
  <si>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</si>
  <si>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</si>
  <si>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</si>
  <si>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</si>
  <si>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</si>
  <si>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</si>
  <si>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</si>
  <si>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</si>
  <si>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</si>
  <si>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</si>
  <si>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</si>
  <si>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</si>
  <si>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</si>
  <si>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</si>
  <si>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</si>
  <si>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</si>
  <si>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</si>
  <si>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</si>
  <si>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</si>
  <si>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</si>
  <si>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</si>
  <si>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</si>
  <si>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</si>
  <si>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</si>
  <si>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</si>
  <si>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</si>
  <si>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</si>
  <si>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</si>
  <si>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</si>
  <si>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</si>
  <si>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</si>
  <si>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</si>
  <si>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</si>
  <si>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</si>
  <si>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</si>
  <si>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</si>
  <si>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</si>
  <si>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</si>
  <si>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</si>
  <si>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</si>
  <si>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</si>
  <si>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</si>
  <si>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</si>
  <si>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</si>
  <si>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</si>
  <si>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</si>
  <si>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</si>
  <si>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</si>
  <si>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</si>
  <si>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</si>
  <si>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</si>
  <si>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</si>
  <si>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</si>
  <si>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</si>
  <si>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</si>
  <si>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</si>
  <si>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</si>
  <si>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</si>
  <si>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</si>
  <si>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</si>
  <si>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</si>
  <si>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</si>
  <si>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</si>
  <si>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</si>
  <si>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</si>
  <si>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</si>
  <si>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</si>
  <si>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</si>
  <si>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</si>
  <si>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</si>
  <si>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</si>
  <si>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</si>
  <si>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</si>
  <si>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</si>
  <si>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</si>
  <si>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</si>
  <si>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</si>
  <si>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</si>
  <si>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</si>
  <si>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</si>
  <si>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</si>
  <si>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</si>
  <si>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</si>
  <si>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</si>
  <si>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</si>
  <si>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</si>
  <si>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</si>
  <si>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</si>
  <si>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</si>
  <si>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</si>
  <si>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</si>
  <si>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</si>
  <si>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</si>
  <si>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</si>
  <si>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</si>
  <si>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</si>
  <si>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</si>
  <si>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</si>
  <si>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</si>
  <si>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</si>
  <si>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</si>
  <si>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</si>
  <si>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</si>
  <si>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</si>
  <si>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</si>
  <si>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</si>
  <si>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</si>
  <si>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</si>
  <si>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</si>
  <si>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</si>
  <si>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</si>
  <si>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</si>
  <si>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</si>
  <si>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</si>
  <si>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</si>
  <si>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</si>
  <si>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</si>
  <si>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</si>
  <si>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</si>
  <si>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</si>
  <si>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</si>
  <si>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</si>
  <si>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</si>
  <si>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</si>
  <si>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</si>
  <si>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</si>
  <si>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</si>
  <si>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</si>
  <si>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</si>
  <si>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</si>
  <si>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</si>
  <si>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</si>
  <si>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</si>
  <si>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</si>
  <si>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</si>
  <si>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</si>
  <si>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</si>
  <si>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</si>
  <si>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</si>
  <si>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</si>
  <si>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</si>
  <si>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</si>
  <si>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</si>
  <si>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</si>
  <si>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</si>
  <si>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</si>
  <si>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</si>
  <si>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</si>
  <si>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</si>
  <si>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</si>
  <si>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</si>
  <si>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</si>
  <si>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</si>
  <si>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</si>
  <si>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</si>
  <si>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</si>
  <si>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</si>
  <si>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</si>
  <si>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</si>
  <si>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</si>
  <si>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</si>
  <si>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</si>
  <si>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</si>
  <si>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</si>
  <si>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</si>
  <si>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</si>
  <si>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</si>
  <si>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</si>
  <si>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</si>
  <si>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</si>
  <si>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</si>
  <si>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</si>
  <si>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</si>
  <si>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</si>
  <si>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</si>
  <si>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</si>
  <si>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</si>
  <si>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</si>
  <si>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</si>
  <si>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</si>
  <si>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</si>
  <si>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</si>
  <si>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</si>
  <si>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</si>
  <si>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</si>
  <si>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</si>
  <si>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</si>
  <si>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</si>
  <si>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</si>
  <si>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</si>
  <si>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</si>
  <si>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</si>
  <si>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</si>
  <si>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</si>
  <si>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</si>
  <si>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</si>
  <si>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</si>
  <si>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</si>
  <si>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</si>
  <si>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</si>
  <si>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</si>
  <si>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</si>
  <si>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</si>
  <si>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</si>
  <si>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</si>
  <si>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</si>
  <si>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</si>
  <si>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</si>
  <si>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</si>
  <si>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</si>
  <si>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</si>
  <si>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</si>
  <si>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</si>
  <si>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</si>
  <si>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</si>
  <si>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</si>
  <si>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</si>
  <si>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</si>
  <si>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</si>
  <si>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</si>
  <si>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</si>
  <si>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</si>
  <si>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</si>
  <si>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</si>
  <si>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</si>
  <si>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</si>
  <si>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</si>
  <si>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</si>
  <si>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</si>
  <si>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</si>
  <si>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</si>
  <si>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</si>
  <si>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</si>
  <si>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</si>
  <si>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</si>
  <si>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</si>
  <si>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</si>
  <si>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</si>
  <si>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</si>
  <si>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</si>
  <si>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</si>
  <si>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</si>
  <si>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</si>
  <si>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</si>
  <si>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</si>
  <si>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</si>
  <si>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</si>
  <si>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</si>
  <si>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</si>
  <si>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</si>
  <si>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</si>
  <si>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</si>
  <si>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</si>
  <si>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</si>
  <si>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</si>
  <si>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</si>
  <si>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</si>
  <si>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</si>
  <si>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</si>
  <si>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</si>
  <si>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</si>
  <si>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</si>
  <si>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</si>
  <si>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</si>
  <si>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</si>
  <si>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</si>
  <si>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</si>
  <si>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</si>
  <si>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</si>
  <si>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</si>
  <si>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</si>
  <si>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</si>
  <si>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</si>
  <si>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</si>
  <si>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</si>
  <si>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</si>
  <si>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</si>
  <si>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</si>
  <si>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</si>
  <si>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</si>
  <si>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</si>
  <si>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</si>
  <si>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</si>
  <si>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</si>
  <si>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</si>
  <si>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</si>
  <si>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</si>
  <si>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</si>
  <si>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</si>
  <si>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</si>
  <si>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</si>
  <si>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</si>
  <si>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</si>
  <si>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</si>
  <si>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</si>
  <si>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</si>
  <si>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</si>
  <si>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</si>
  <si>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</si>
  <si>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</si>
  <si>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</si>
  <si>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</si>
  <si>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</si>
  <si>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</si>
  <si>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</si>
  <si>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</si>
  <si>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</si>
  <si>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</si>
  <si>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</si>
  <si>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</si>
  <si>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</si>
  <si>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</si>
  <si>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</si>
  <si>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</si>
  <si>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</si>
  <si>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</si>
  <si>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</si>
  <si>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</si>
  <si>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</si>
  <si>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</si>
  <si>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</si>
  <si>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</si>
  <si>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</si>
  <si>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</si>
  <si>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</si>
  <si>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</si>
  <si>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</si>
  <si>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</si>
  <si>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</si>
  <si>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</si>
  <si>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</si>
  <si>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</si>
  <si>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</si>
  <si>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</si>
  <si>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</si>
  <si>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</si>
  <si>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</si>
  <si>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</si>
  <si>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</si>
  <si>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</si>
  <si>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</si>
  <si>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</si>
  <si>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</si>
  <si>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</si>
  <si>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</si>
  <si>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</si>
  <si>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</si>
  <si>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</si>
  <si>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</si>
  <si>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</si>
  <si>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</si>
  <si>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</si>
  <si>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</si>
  <si>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</si>
  <si>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</si>
  <si>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</si>
  <si>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</si>
  <si>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</si>
  <si>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</si>
  <si>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</si>
  <si>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</si>
  <si>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</si>
  <si>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</si>
  <si>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</si>
  <si>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</si>
  <si>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</si>
  <si>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</si>
  <si>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</si>
  <si>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</si>
  <si>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</si>
  <si>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</si>
  <si>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</si>
  <si>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</si>
  <si>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</si>
  <si>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</si>
  <si>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</si>
  <si>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</si>
  <si>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</si>
  <si>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</si>
  <si>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</si>
  <si>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</si>
  <si>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</si>
  <si>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</si>
  <si>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</si>
  <si>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</si>
  <si>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</si>
  <si>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</si>
  <si>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</si>
  <si>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</si>
  <si>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</si>
  <si>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</si>
  <si>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</si>
  <si>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</si>
  <si>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</si>
  <si>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</si>
  <si>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</si>
  <si>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</si>
  <si>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</si>
  <si>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</si>
  <si>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</si>
  <si>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</si>
  <si>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</si>
  <si>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</si>
  <si>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</si>
  <si>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</si>
  <si>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</si>
  <si>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</si>
  <si>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</si>
  <si>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</si>
  <si>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</si>
  <si>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</si>
  <si>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</si>
  <si>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</si>
  <si>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</si>
  <si>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</si>
  <si>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</si>
  <si>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</si>
  <si>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</si>
  <si>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</si>
  <si>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</si>
  <si>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</si>
  <si>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</si>
  <si>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</si>
  <si>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</si>
  <si>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</si>
  <si>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</si>
  <si>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</si>
  <si>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</si>
  <si>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</si>
  <si>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</si>
  <si>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</si>
  <si>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</si>
  <si>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</si>
  <si>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</si>
  <si>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</si>
  <si>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</si>
  <si>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</si>
  <si>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</si>
  <si>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</si>
  <si>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</si>
  <si>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</si>
  <si>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</si>
  <si>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</si>
  <si>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</si>
  <si>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</si>
  <si>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</si>
  <si>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</si>
  <si>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</si>
  <si>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</si>
  <si>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</si>
  <si>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</si>
  <si>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</si>
  <si>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</si>
  <si>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</si>
  <si>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</si>
  <si>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</si>
  <si>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</si>
  <si>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</si>
  <si>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</si>
  <si>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</si>
  <si>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</si>
  <si>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</si>
  <si>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</si>
  <si>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</si>
  <si>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</si>
  <si>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</si>
  <si>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</si>
  <si>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</si>
  <si>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</si>
  <si>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</si>
  <si>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</si>
  <si>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</si>
  <si>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</si>
  <si>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</si>
  <si>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</si>
  <si>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</si>
  <si>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</si>
  <si>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</si>
  <si>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</si>
  <si>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</si>
  <si>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</si>
  <si>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</si>
  <si>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</si>
  <si>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</si>
  <si>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</si>
  <si>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</si>
  <si>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</si>
  <si>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</si>
  <si>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</si>
  <si>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</si>
  <si>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</si>
  <si>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</si>
  <si>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</si>
  <si>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</si>
  <si>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</si>
  <si>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</si>
  <si>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</si>
  <si>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</si>
  <si>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</si>
  <si>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</si>
  <si>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</si>
  <si>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</si>
  <si>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</si>
  <si>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</si>
  <si>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</si>
  <si>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</si>
  <si>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</si>
  <si>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</si>
  <si>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</si>
  <si>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</si>
  <si>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</si>
  <si>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</si>
  <si>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</si>
  <si>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</si>
  <si>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</si>
  <si>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</si>
  <si>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</si>
  <si>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</si>
  <si>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</si>
  <si>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</si>
  <si>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</si>
  <si>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</si>
  <si>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</si>
  <si>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</si>
  <si>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</si>
  <si>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</si>
  <si>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</si>
  <si>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</si>
  <si>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</si>
  <si>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</si>
  <si>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</si>
  <si>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</si>
  <si>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</si>
  <si>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</si>
  <si>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</si>
  <si>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</si>
  <si>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</si>
  <si>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</si>
  <si>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</si>
  <si>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</si>
  <si>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</si>
  <si>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</si>
  <si>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</si>
  <si>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</si>
  <si>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</si>
  <si>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</si>
  <si>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</si>
  <si>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</si>
  <si>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</si>
  <si>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</si>
  <si>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</si>
  <si>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</si>
  <si>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</si>
  <si>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</si>
  <si>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</si>
  <si>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</si>
  <si>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</si>
  <si>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</si>
  <si>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</si>
  <si>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</si>
  <si>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</si>
  <si>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</si>
  <si>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</si>
  <si>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</si>
  <si>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</si>
  <si>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</si>
  <si>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</si>
  <si>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</si>
  <si>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</si>
  <si>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</si>
  <si>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</si>
  <si>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</si>
  <si>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GELATINA DROETKER20G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</si>
  <si>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</si>
  <si>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</si>
  <si>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</si>
  <si>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</si>
  <si>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</si>
  <si>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</si>
  <si>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</si>
  <si>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</si>
  <si>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</si>
  <si>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</si>
  <si>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</si>
  <si>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</si>
  <si>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</si>
  <si>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</si>
  <si>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</si>
  <si>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</si>
  <si>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</si>
  <si>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</si>
  <si>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</si>
  <si>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</si>
  <si>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</si>
  <si>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</si>
  <si>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</si>
  <si>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</si>
  <si>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</si>
  <si>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</si>
  <si>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</si>
  <si>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</si>
  <si>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</si>
  <si>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</si>
  <si>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</si>
  <si>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</si>
  <si>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</si>
  <si>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</si>
  <si>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</si>
  <si>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</si>
  <si>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</si>
  <si>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</si>
  <si>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</si>
  <si>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</si>
  <si>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</si>
  <si>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</si>
  <si>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</si>
  <si>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</si>
  <si>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</si>
  <si>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</si>
  <si>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</si>
  <si>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</si>
  <si>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</si>
  <si>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</si>
  <si>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</si>
  <si>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</si>
  <si>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</si>
  <si>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</si>
  <si>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</si>
  <si>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</si>
  <si>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</si>
  <si>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</si>
  <si>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</si>
  <si>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</si>
  <si>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</si>
  <si>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</si>
  <si>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</si>
  <si>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</si>
  <si>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</si>
  <si>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</si>
  <si>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</si>
  <si>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</si>
  <si>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</si>
  <si>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</si>
  <si>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</si>
  <si>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</si>
  <si>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</si>
  <si>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</si>
  <si>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</si>
  <si>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</si>
  <si>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</si>
  <si>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</si>
  <si>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</si>
  <si>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</si>
  <si>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</si>
  <si>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</si>
  <si>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</si>
  <si>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</si>
  <si>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</si>
  <si>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</si>
  <si>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</si>
  <si>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</si>
  <si>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</si>
  <si>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</si>
  <si>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</si>
  <si>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</si>
  <si>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</si>
  <si>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</si>
  <si>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</si>
  <si>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</si>
  <si>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</si>
  <si>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</si>
  <si>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</si>
  <si>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</si>
  <si>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</si>
  <si>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</si>
  <si>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</si>
  <si>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</si>
  <si>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</si>
  <si>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</si>
  <si>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</si>
  <si>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</si>
  <si>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</si>
  <si>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</si>
  <si>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</si>
  <si>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</si>
  <si>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</si>
  <si>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</si>
  <si>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</si>
  <si>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</si>
  <si>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</si>
  <si>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</si>
  <si>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</si>
  <si>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</si>
  <si>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</si>
  <si>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</si>
  <si>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</si>
  <si>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</si>
  <si>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</si>
  <si>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</si>
  <si>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</si>
  <si>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</si>
  <si>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</si>
  <si>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</si>
  <si>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</si>
  <si>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</si>
  <si>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</si>
  <si>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</si>
  <si>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</si>
  <si>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</si>
  <si>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</si>
  <si>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</si>
  <si>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</si>
  <si>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</si>
  <si>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</si>
  <si>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</si>
  <si>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</si>
  <si>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</si>
  <si>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</si>
  <si>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</si>
  <si>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</si>
  <si>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</si>
  <si>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</si>
  <si>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</si>
  <si>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</si>
  <si>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</si>
  <si>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</si>
  <si>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</si>
  <si>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</si>
  <si>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</si>
  <si>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</si>
  <si>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</si>
  <si>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</si>
  <si>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</si>
  <si>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</si>
  <si>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</si>
  <si>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</si>
  <si>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</si>
  <si>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</si>
  <si>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</si>
  <si>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</si>
  <si>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</si>
  <si>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</si>
  <si>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</si>
  <si>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</si>
  <si>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</si>
  <si>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</si>
  <si>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</si>
  <si>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</si>
  <si>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</si>
  <si>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</si>
  <si>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</si>
  <si>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</si>
  <si>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</si>
  <si>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</si>
  <si>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</si>
  <si>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</si>
  <si>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</si>
  <si>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</si>
  <si>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</si>
  <si>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</si>
  <si>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</si>
  <si>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</si>
  <si>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</si>
  <si>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</si>
  <si>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</si>
  <si>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</si>
  <si>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</si>
  <si>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</si>
  <si>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</si>
  <si>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</si>
  <si>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</si>
  <si>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</si>
  <si>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</si>
  <si>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</si>
  <si>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</si>
  <si>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</si>
  <si>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</si>
  <si>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</si>
  <si>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</si>
  <si>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</si>
  <si>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</si>
  <si>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</si>
  <si>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</si>
  <si>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</si>
  <si>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</si>
  <si>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</si>
  <si>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</si>
  <si>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</si>
  <si>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</si>
  <si>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</si>
  <si>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</si>
  <si>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</si>
  <si>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</si>
  <si>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</si>
  <si>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</si>
  <si>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</si>
  <si>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</si>
  <si>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</si>
  <si>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</si>
  <si>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</si>
  <si>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</si>
  <si>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</si>
  <si>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</si>
  <si>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</si>
  <si>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</si>
  <si>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</si>
  <si>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</si>
  <si>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</si>
  <si>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</si>
  <si>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</si>
  <si>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</si>
  <si>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</si>
  <si>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</si>
  <si>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</si>
  <si>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</si>
  <si>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</si>
  <si>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</si>
  <si>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</si>
  <si>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</si>
  <si>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</si>
  <si>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</si>
  <si>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</si>
  <si>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</si>
  <si>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</si>
  <si>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</si>
  <si>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</si>
  <si>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</si>
  <si>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</si>
  <si>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</si>
  <si>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</si>
  <si>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</si>
  <si>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</si>
  <si>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</si>
  <si>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</si>
  <si>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</si>
  <si>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</si>
  <si>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</si>
  <si>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</si>
  <si>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</si>
  <si>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</si>
  <si>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</si>
  <si>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</si>
  <si>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</si>
  <si>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</si>
  <si>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</si>
  <si>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</si>
  <si>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</si>
  <si>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</si>
  <si>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</si>
  <si>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</si>
  <si>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</si>
  <si>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</si>
  <si>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</si>
  <si>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</si>
  <si>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</si>
  <si>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</si>
  <si>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</si>
  <si>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</si>
  <si>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</si>
  <si>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</si>
  <si>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</si>
  <si>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</si>
  <si>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</si>
  <si>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</si>
  <si>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</si>
  <si>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</si>
  <si>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</si>
  <si>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</si>
  <si>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</si>
  <si>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</si>
  <si>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</si>
  <si>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</si>
  <si>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</si>
  <si>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</si>
  <si>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</si>
  <si>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</si>
  <si>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</si>
  <si>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</si>
  <si>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</si>
  <si>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</si>
  <si>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</si>
  <si>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</si>
  <si>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</si>
  <si>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</si>
  <si>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</si>
  <si>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</si>
  <si>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</si>
  <si>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</si>
  <si>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</si>
  <si>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</si>
  <si>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</si>
  <si>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</si>
  <si>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</si>
  <si>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</si>
  <si>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</si>
  <si>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</si>
  <si>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</si>
  <si>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</si>
  <si>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</si>
  <si>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</si>
  <si>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</si>
  <si>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</si>
  <si>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</si>
  <si>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</si>
  <si>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</si>
  <si>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</si>
  <si>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</si>
  <si>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</si>
  <si>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</si>
  <si>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</si>
  <si>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</si>
  <si>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</si>
  <si>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</si>
  <si>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</si>
  <si>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</si>
  <si>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</si>
  <si>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</si>
  <si>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</si>
  <si>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</si>
  <si>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</si>
  <si>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</si>
  <si>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</si>
  <si>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</si>
  <si>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</si>
  <si>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</si>
  <si>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</si>
  <si>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</si>
  <si>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</si>
  <si>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</si>
  <si>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</si>
  <si>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</si>
  <si>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</si>
  <si>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</si>
  <si>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</si>
  <si>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</si>
  <si>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</si>
  <si>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</si>
  <si>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</si>
  <si>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</si>
  <si>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</si>
  <si>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</si>
  <si>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</si>
  <si>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</si>
  <si>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</si>
  <si>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</si>
  <si>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</si>
  <si>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</si>
  <si>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</si>
  <si>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</si>
  <si>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</si>
  <si>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</si>
  <si>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</si>
  <si>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</si>
  <si>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</si>
  <si>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</si>
  <si>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</si>
  <si>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</si>
  <si>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</si>
  <si>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</si>
  <si>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</si>
  <si>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</si>
  <si>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</si>
  <si>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</si>
  <si>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</si>
  <si>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</si>
  <si>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</si>
  <si>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</si>
  <si>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</si>
  <si>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</si>
  <si>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</si>
  <si>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</si>
  <si>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</si>
  <si>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</si>
  <si>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</si>
  <si>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</si>
  <si>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</si>
  <si>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</si>
  <si>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</si>
  <si>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</si>
  <si>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</si>
  <si>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</si>
  <si>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</si>
  <si>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</si>
  <si>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</si>
  <si>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</si>
  <si>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</si>
  <si>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</si>
  <si>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</si>
  <si>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</si>
  <si>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</si>
  <si>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</si>
  <si>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</si>
  <si>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</si>
  <si>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</si>
  <si>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</si>
  <si>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</si>
  <si>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</si>
  <si>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</si>
  <si>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</si>
  <si>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</si>
  <si>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</si>
  <si>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</si>
  <si>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</si>
  <si>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</si>
  <si>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</si>
  <si>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</si>
  <si>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</si>
  <si>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</si>
  <si>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</si>
  <si>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</si>
  <si>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</si>
  <si>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</si>
  <si>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</si>
  <si>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</si>
  <si>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</si>
  <si>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</si>
  <si>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</si>
  <si>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</si>
  <si>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</si>
  <si>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</si>
  <si>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</si>
  <si>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</si>
  <si>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</si>
  <si>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</si>
  <si>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</si>
  <si>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</si>
  <si>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</si>
  <si>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</si>
  <si>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</si>
  <si>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</si>
  <si>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</si>
  <si>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</si>
  <si>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</si>
  <si>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</si>
  <si>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</si>
  <si>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</si>
  <si>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</si>
  <si>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</si>
  <si>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</si>
  <si>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</si>
  <si>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</si>
  <si>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</si>
  <si>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</si>
  <si>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</si>
  <si>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</si>
  <si>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</si>
  <si>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</si>
  <si>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</si>
  <si>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</si>
  <si>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</si>
  <si>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</si>
  <si>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</si>
  <si>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</si>
  <si>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</si>
  <si>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</si>
  <si>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</si>
  <si>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</si>
  <si>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</si>
  <si>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</si>
  <si>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</si>
  <si>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</si>
  <si>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</si>
  <si>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</si>
  <si>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</si>
  <si>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</si>
  <si>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</si>
  <si>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</si>
  <si>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</si>
  <si>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</si>
  <si>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</si>
  <si>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</si>
  <si>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</si>
  <si>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</si>
  <si>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</si>
  <si>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</si>
  <si>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</si>
  <si>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</si>
  <si>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</si>
  <si>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</si>
  <si>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</si>
  <si>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</si>
  <si>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</si>
  <si>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</si>
  <si>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</si>
  <si>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</si>
  <si>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</si>
  <si>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</si>
  <si>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</si>
  <si>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</si>
  <si>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</si>
  <si>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</si>
  <si>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</si>
  <si>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</si>
  <si>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</si>
  <si>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</si>
  <si>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</si>
  <si>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</si>
  <si>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</si>
  <si>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</si>
  <si>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</si>
  <si>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</si>
  <si>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</si>
  <si>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</si>
  <si>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</si>
  <si>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</si>
  <si>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</si>
  <si>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</si>
  <si>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</si>
  <si>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</si>
  <si>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</si>
  <si>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</si>
  <si>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</si>
  <si>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</si>
  <si>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</si>
  <si>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</si>
  <si>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</si>
  <si>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</si>
  <si>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</si>
  <si>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</si>
  <si>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</si>
  <si>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</si>
  <si>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</si>
  <si>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</si>
  <si>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</si>
  <si>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</si>
  <si>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</si>
  <si>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</si>
  <si>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</si>
  <si>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</si>
  <si>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</si>
  <si>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</si>
  <si>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</si>
  <si>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</si>
  <si>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</si>
  <si>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</si>
  <si>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</si>
  <si>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</si>
  <si>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</si>
  <si>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</si>
  <si>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</si>
  <si>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</si>
  <si>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</si>
  <si>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</si>
  <si>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</si>
  <si>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</si>
  <si>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</si>
  <si>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</si>
  <si>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</si>
  <si>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</si>
  <si>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</si>
  <si>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</si>
  <si>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</si>
  <si>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</si>
  <si>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</si>
  <si>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</si>
  <si>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</si>
  <si>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</si>
  <si>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</si>
  <si>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</si>
  <si>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</si>
  <si>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</si>
  <si>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</si>
  <si>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</si>
  <si>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</si>
  <si>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</si>
  <si>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</si>
  <si>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</si>
  <si>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</si>
  <si>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</si>
  <si>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</si>
  <si>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</si>
  <si>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</si>
  <si>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</si>
  <si>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</si>
  <si>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</si>
  <si>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</si>
  <si>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</si>
  <si>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</si>
  <si>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</si>
  <si>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</si>
  <si>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</si>
  <si>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</si>
  <si>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</si>
  <si>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</si>
  <si>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</si>
  <si>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</si>
  <si>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</si>
  <si>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</si>
  <si>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</si>
  <si>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</si>
  <si>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</si>
  <si>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</si>
  <si>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</si>
  <si>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</si>
  <si>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</si>
  <si>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</si>
  <si>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</si>
  <si>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</si>
  <si>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</si>
  <si>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</si>
  <si>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</si>
  <si>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</si>
  <si>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</si>
  <si>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</si>
  <si>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</si>
  <si>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</si>
  <si>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</si>
  <si>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</si>
  <si>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</si>
  <si>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</si>
  <si>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</si>
  <si>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</si>
  <si>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</si>
  <si>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</si>
  <si>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</si>
  <si>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</si>
  <si>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</si>
  <si>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</si>
  <si>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</si>
  <si>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</si>
  <si>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</si>
  <si>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</si>
  <si>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</si>
  <si>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</si>
  <si>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</si>
  <si>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</si>
  <si>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</si>
  <si>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</si>
  <si>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</si>
  <si>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</si>
  <si>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</si>
  <si>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</si>
  <si>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</si>
  <si>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</si>
  <si>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</si>
  <si>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</si>
  <si>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</si>
  <si>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</si>
  <si>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</si>
  <si>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</si>
  <si>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</si>
  <si>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</si>
  <si>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</si>
  <si>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</si>
  <si>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</si>
  <si>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</si>
  <si>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</si>
  <si>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</si>
  <si>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</si>
  <si>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</si>
  <si>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</si>
  <si>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</si>
  <si>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</si>
  <si>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</si>
  <si>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</si>
  <si>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</si>
  <si>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</si>
  <si>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</si>
  <si>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</si>
  <si>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</si>
  <si>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</si>
  <si>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</si>
  <si>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</si>
  <si>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</si>
  <si>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</si>
  <si>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</si>
  <si>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</si>
  <si>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</si>
  <si>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</si>
  <si>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</si>
  <si>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</si>
  <si>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</si>
  <si>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</si>
  <si>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</si>
  <si>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</si>
  <si>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</si>
  <si>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</si>
  <si>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</si>
  <si>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</si>
  <si>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</si>
  <si>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</si>
  <si>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</si>
  <si>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</si>
  <si>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</si>
  <si>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</si>
  <si>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</si>
  <si>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</si>
  <si>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</si>
  <si>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</si>
  <si>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</si>
  <si>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</si>
  <si>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</si>
  <si>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</si>
  <si>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</si>
  <si>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</si>
  <si>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</si>
  <si>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</si>
  <si>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</si>
  <si>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</si>
  <si>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</si>
  <si>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</si>
  <si>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</si>
  <si>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</si>
  <si>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</si>
  <si>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</si>
  <si>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</si>
  <si>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</si>
  <si>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</si>
  <si>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</si>
  <si>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</si>
  <si>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</si>
  <si>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</si>
  <si>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</si>
  <si>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</si>
  <si>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</si>
  <si>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</si>
  <si>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</si>
  <si>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</si>
  <si>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</si>
  <si>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</si>
  <si>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</si>
  <si>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</si>
  <si>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</si>
  <si>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</si>
  <si>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</si>
  <si>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</si>
  <si>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</si>
  <si>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</si>
  <si>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</si>
  <si>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</si>
  <si>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</si>
  <si>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</si>
  <si>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</si>
  <si>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</si>
  <si>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</si>
  <si>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</si>
  <si>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</si>
  <si>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</si>
  <si>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</si>
  <si>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</si>
  <si>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</si>
  <si>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</si>
  <si>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</si>
  <si>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</si>
  <si>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</si>
  <si>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</si>
  <si>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</si>
  <si>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</si>
  <si>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</si>
  <si>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</si>
  <si>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</si>
  <si>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</si>
  <si>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</si>
  <si>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</si>
  <si>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</si>
  <si>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</si>
  <si>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</si>
  <si>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</si>
  <si>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</si>
  <si>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</si>
  <si>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</si>
  <si>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</si>
  <si>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</si>
  <si>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</si>
  <si>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</si>
  <si>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</si>
  <si>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</si>
  <si>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</si>
  <si>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</si>
  <si>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</si>
  <si>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</si>
  <si>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</si>
  <si>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</si>
  <si>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</si>
  <si>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</si>
  <si>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</si>
  <si>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</si>
  <si>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</si>
  <si>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</si>
  <si>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</si>
  <si>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</si>
  <si>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</si>
  <si>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</si>
  <si>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</si>
  <si>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</si>
  <si>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</si>
  <si>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</si>
  <si>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</si>
  <si>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</si>
  <si>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</si>
  <si>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</si>
  <si>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</si>
  <si>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</si>
  <si>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</si>
  <si>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</si>
  <si>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</si>
  <si>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</si>
  <si>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</si>
  <si>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</si>
  <si>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</si>
  <si>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</si>
  <si>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</si>
  <si>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</si>
  <si>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</si>
  <si>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</si>
  <si>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</si>
  <si>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</si>
  <si>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</si>
  <si>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</si>
  <si>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</si>
  <si>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</si>
  <si>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</si>
  <si>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</si>
  <si>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</si>
  <si>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</si>
  <si>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</si>
  <si>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</si>
  <si>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</si>
  <si>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</si>
  <si>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</si>
  <si>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</si>
  <si>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</si>
  <si>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</si>
  <si>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</si>
  <si>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</si>
  <si>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</si>
  <si>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</si>
  <si>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</si>
  <si>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</si>
  <si>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</si>
  <si>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</si>
  <si>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</si>
  <si>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</si>
  <si>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</si>
  <si>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</si>
  <si>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</si>
  <si>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</si>
  <si>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</si>
  <si>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</si>
  <si>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</si>
  <si>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</si>
  <si>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</si>
  <si>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</si>
  <si>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</si>
  <si>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</si>
  <si>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</si>
  <si>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</si>
  <si>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</si>
  <si>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</si>
  <si>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</si>
  <si>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</si>
  <si>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</si>
  <si>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</si>
  <si>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</si>
  <si>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</si>
  <si>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</si>
  <si>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</si>
  <si>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</si>
  <si>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</si>
  <si>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</si>
  <si>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</si>
  <si>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</si>
  <si>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</si>
  <si>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</si>
  <si>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</si>
  <si>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</si>
  <si>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</si>
  <si>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</si>
  <si>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</si>
  <si>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</si>
  <si>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</si>
  <si>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</si>
  <si>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</si>
  <si>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</si>
  <si>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</si>
  <si>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</si>
  <si>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</si>
  <si>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</si>
  <si>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</si>
  <si>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</si>
  <si>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</si>
  <si>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</si>
  <si>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</si>
  <si>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</si>
  <si>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</si>
  <si>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</si>
  <si>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</si>
  <si>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</si>
  <si>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</si>
  <si>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</si>
  <si>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</si>
  <si>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</si>
  <si>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</si>
  <si>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</si>
  <si>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</si>
  <si>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</si>
  <si>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</si>
  <si>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</si>
  <si>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</si>
  <si>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</si>
  <si>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</si>
  <si>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</si>
  <si>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</si>
  <si>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</si>
  <si>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</si>
  <si>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</si>
  <si>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</si>
  <si>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</si>
  <si>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</si>
  <si>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</si>
  <si>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</si>
  <si>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</si>
  <si>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</si>
  <si>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</si>
  <si>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</si>
  <si>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</si>
  <si>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</si>
  <si>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</si>
  <si>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</si>
  <si>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</si>
  <si>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</si>
  <si>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</si>
  <si>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</si>
  <si>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</si>
  <si>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</si>
  <si>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</si>
  <si>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</si>
  <si>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</si>
  <si>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</si>
  <si>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</si>
  <si>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</si>
  <si>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</si>
  <si>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</si>
  <si>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</si>
  <si>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</si>
  <si>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</si>
  <si>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</si>
  <si>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</si>
  <si>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</si>
  <si>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</si>
  <si>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</si>
  <si>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</si>
  <si>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</si>
  <si>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</si>
  <si>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</si>
  <si>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</si>
  <si>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</si>
  <si>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</si>
  <si>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</si>
  <si>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</si>
  <si>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</si>
  <si>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</si>
  <si>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</si>
  <si>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</si>
  <si>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</si>
  <si>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</si>
  <si>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</si>
  <si>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</si>
  <si>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</si>
  <si>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</si>
  <si>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</si>
  <si>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</si>
  <si>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</si>
  <si>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</si>
  <si>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</si>
  <si>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</si>
  <si>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</si>
  <si>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</si>
  <si>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</si>
  <si>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</si>
  <si>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</si>
  <si>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</si>
  <si>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</si>
  <si>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</si>
  <si>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</si>
  <si>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</si>
  <si>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</si>
  <si>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</si>
  <si>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</si>
  <si>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</si>
  <si>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</si>
  <si>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</si>
  <si>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</si>
  <si>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</si>
  <si>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</si>
  <si>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</si>
  <si>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</si>
  <si>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</si>
  <si>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</si>
  <si>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</si>
  <si>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</si>
  <si>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</si>
  <si>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</si>
  <si>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</si>
  <si>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</si>
  <si>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</si>
  <si>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</si>
  <si>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</si>
  <si>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</si>
  <si>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</si>
  <si>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</si>
  <si>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</si>
  <si>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</si>
  <si>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</si>
  <si>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</si>
  <si>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</si>
  <si>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</si>
  <si>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</si>
  <si>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</si>
  <si>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</si>
  <si>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</si>
  <si>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</si>
  <si>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</si>
  <si>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</si>
  <si>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</si>
  <si>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</si>
  <si>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</si>
  <si>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</si>
  <si>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</si>
  <si>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</si>
  <si>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</si>
  <si>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</si>
  <si>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</si>
  <si>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</si>
  <si>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</si>
  <si>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</si>
  <si>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</si>
  <si>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</si>
  <si>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</si>
  <si>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</si>
  <si>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</si>
  <si>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</si>
  <si>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</si>
  <si>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</si>
  <si>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</si>
  <si>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</si>
  <si>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</si>
  <si>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</si>
  <si>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</si>
  <si>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</si>
  <si>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</si>
  <si>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</si>
  <si>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</si>
  <si>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</si>
  <si>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</si>
  <si>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</si>
  <si>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</si>
  <si>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</si>
  <si>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</si>
  <si>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</si>
  <si>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</si>
  <si>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</si>
  <si>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</si>
  <si>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</si>
  <si>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</si>
  <si>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</si>
  <si>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</si>
  <si>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</si>
  <si>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</si>
  <si>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VASS MADRID CONDOR C/CABO</t>
  </si>
  <si>
    <t xml:space="preserve">RODO M 30CM CONDOR</t>
  </si>
  <si>
    <t xml:space="preserve">RODO G 40CM CONDOR</t>
  </si>
  <si>
    <t xml:space="preserve">VASSOURA MULT V35 CONDOR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</si>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</sst>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6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CITRICO DE 2L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SCLAUDIA C/G 350ML P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TRAVESSA BRASIL COPA TECIDO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BRA. FACCIO 1K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SCLAUDIA C/G 350ML P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SUCO FAZENDINHA CITRICO DE 2L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 TRIGOLAR SF 1K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CITRICO DE 2L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SUCO FAZENDINHA CITRICO DE 2L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BRA. FACCIO 1K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CITRICO DE 2L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" t="n">
        <v>2</v>
      </c>
      <c r="B1568" s="17" t="n">
        <v>46259</v>
      </c>
      <c r="C1568" s="17" t="n">
        <v>46259</v>
      </c>
      <c r="D1568" s="1" t="n">
        <v>0</v>
      </c>
      <c r="E1568" s="1" t="s">
        <v>33</v>
      </c>
      <c r="F1568" s="1" t="n">
        <v>17</v>
      </c>
      <c r="G1568" s="1" t="s">
        <v>34</v>
      </c>
      <c r="H1568" s="1" t="n">
        <v>1110101</v>
      </c>
      <c r="I1568" s="1" t="s">
        <v>35</v>
      </c>
      <c r="J1568" s="1" t="n">
        <v>1603649</v>
      </c>
      <c r="L1568" s="1" t="n">
        <v>1603649</v>
      </c>
      <c r="M1568" s="1" t="s">
        <v>36</v>
      </c>
      <c r="N1568" s="1" t="s">
        <v>37</v>
      </c>
      <c r="P1568" s="1" t="n">
        <v>113</v>
      </c>
      <c r="Q1568" s="1" t="s">
        <v>38</v>
      </c>
      <c r="R1568" s="1" t="s">
        <v>39</v>
      </c>
      <c r="S1568" s="1" t="n">
        <v>4210314</v>
      </c>
      <c r="T1568" s="1" t="s">
        <v>40</v>
      </c>
      <c r="U1568" s="1" t="n">
        <v>70</v>
      </c>
      <c r="W1568" s="1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2</v>
      </c>
      <c r="B1569" s="17" t="n">
        <v>46259</v>
      </c>
      <c r="C1569" s="17" t="n">
        <v>46259</v>
      </c>
      <c r="D1569" s="1" t="n">
        <v>0</v>
      </c>
      <c r="E1569" s="1" t="s">
        <v>33</v>
      </c>
      <c r="F1569" s="1" t="n">
        <v>17</v>
      </c>
      <c r="G1569" s="1" t="s">
        <v>34</v>
      </c>
      <c r="H1569" s="1" t="n">
        <v>1110101</v>
      </c>
      <c r="I1569" s="1" t="s">
        <v>35</v>
      </c>
      <c r="J1569" s="1" t="n">
        <v>1603651</v>
      </c>
      <c r="L1569" s="1" t="n">
        <v>1603651</v>
      </c>
      <c r="M1569" s="1" t="s">
        <v>36</v>
      </c>
      <c r="N1569" s="1" t="s">
        <v>37</v>
      </c>
      <c r="P1569" s="1" t="n">
        <v>113</v>
      </c>
      <c r="Q1569" s="1" t="s">
        <v>38</v>
      </c>
      <c r="R1569" s="1" t="s">
        <v>39</v>
      </c>
      <c r="S1569" s="1" t="n">
        <v>4210314</v>
      </c>
      <c r="T1569" s="1" t="s">
        <v>40</v>
      </c>
      <c r="U1569" s="1" t="n">
        <v>70</v>
      </c>
      <c r="W1569" s="1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2</v>
      </c>
      <c r="B1570" s="17" t="n">
        <v>46013</v>
      </c>
      <c r="C1570" s="17" t="n">
        <v>46259</v>
      </c>
      <c r="D1570" s="1" t="n">
        <v>17</v>
      </c>
      <c r="E1570" s="1" t="s">
        <v>490</v>
      </c>
      <c r="F1570" s="1" t="n">
        <v>48</v>
      </c>
      <c r="G1570" s="1" t="s">
        <v>569</v>
      </c>
      <c r="H1570" s="1" t="n">
        <v>2110405</v>
      </c>
      <c r="I1570" s="1" t="s">
        <v>55</v>
      </c>
      <c r="J1570" s="1" t="n">
        <v>660421</v>
      </c>
      <c r="L1570" s="1" t="n">
        <v>86128</v>
      </c>
      <c r="M1570" s="1" t="s">
        <v>678</v>
      </c>
      <c r="N1570" s="1" t="s">
        <v>50</v>
      </c>
      <c r="P1570" s="1" t="n">
        <v>101</v>
      </c>
      <c r="Q1570" s="1" t="s">
        <v>56</v>
      </c>
      <c r="R1570" s="1" t="s">
        <v>57</v>
      </c>
      <c r="S1570" s="1" t="n">
        <v>4220199</v>
      </c>
      <c r="T1570" s="1" t="s">
        <v>58</v>
      </c>
      <c r="U1570" s="1" t="n">
        <v>362.14</v>
      </c>
      <c r="W1570" s="1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2</v>
      </c>
      <c r="B1571" s="17" t="n">
        <v>46029</v>
      </c>
      <c r="C1571" s="17" t="n">
        <v>46259</v>
      </c>
      <c r="D1571" s="1" t="n">
        <v>17</v>
      </c>
      <c r="E1571" s="1" t="s">
        <v>490</v>
      </c>
      <c r="F1571" s="1" t="n">
        <v>48</v>
      </c>
      <c r="G1571" s="1" t="s">
        <v>569</v>
      </c>
      <c r="H1571" s="1" t="n">
        <v>2110405</v>
      </c>
      <c r="I1571" s="1" t="s">
        <v>55</v>
      </c>
      <c r="J1571" s="1" t="n">
        <v>660305</v>
      </c>
      <c r="L1571" s="1" t="n">
        <v>86116</v>
      </c>
      <c r="M1571" s="1" t="s">
        <v>678</v>
      </c>
      <c r="N1571" s="1" t="s">
        <v>50</v>
      </c>
      <c r="P1571" s="1" t="n">
        <v>101</v>
      </c>
      <c r="Q1571" s="1" t="s">
        <v>56</v>
      </c>
      <c r="R1571" s="1" t="s">
        <v>57</v>
      </c>
      <c r="S1571" s="1" t="n">
        <v>4220199</v>
      </c>
      <c r="T1571" s="1" t="s">
        <v>58</v>
      </c>
      <c r="U1571" s="1" t="n">
        <v>84.03</v>
      </c>
      <c r="W1571" s="1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2</v>
      </c>
      <c r="B1572" s="17" t="n">
        <v>46205</v>
      </c>
      <c r="C1572" s="17" t="n">
        <v>46259</v>
      </c>
      <c r="D1572" s="1" t="n">
        <v>1217</v>
      </c>
      <c r="E1572" s="1" t="s">
        <v>781</v>
      </c>
      <c r="F1572" s="1" t="n">
        <v>24</v>
      </c>
      <c r="G1572" s="1" t="s">
        <v>91</v>
      </c>
      <c r="H1572" s="1" t="n">
        <v>2110101</v>
      </c>
      <c r="I1572" s="1" t="s">
        <v>48</v>
      </c>
      <c r="J1572" s="1" t="n">
        <v>1339965</v>
      </c>
      <c r="L1572" s="1" t="n">
        <v>4467</v>
      </c>
      <c r="M1572" s="1" t="s">
        <v>61</v>
      </c>
      <c r="N1572" s="1" t="s">
        <v>68</v>
      </c>
      <c r="P1572" s="1" t="n">
        <v>113</v>
      </c>
      <c r="Q1572" s="1" t="s">
        <v>38</v>
      </c>
      <c r="R1572" s="1" t="s">
        <v>62</v>
      </c>
      <c r="S1572" s="1" t="n">
        <v>1130101</v>
      </c>
      <c r="T1572" s="1" t="s">
        <v>63</v>
      </c>
      <c r="U1572" s="1" t="n">
        <v>818.55</v>
      </c>
      <c r="W1572" s="1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" t="n">
        <v>2</v>
      </c>
      <c r="B1573" s="17" t="n">
        <v>46243</v>
      </c>
      <c r="C1573" s="17" t="n">
        <v>46259</v>
      </c>
      <c r="D1573" s="1" t="n">
        <v>17</v>
      </c>
      <c r="E1573" s="1" t="s">
        <v>490</v>
      </c>
      <c r="F1573" s="1" t="n">
        <v>48</v>
      </c>
      <c r="G1573" s="1" t="s">
        <v>569</v>
      </c>
      <c r="H1573" s="1" t="n">
        <v>2110405</v>
      </c>
      <c r="I1573" s="1" t="s">
        <v>55</v>
      </c>
      <c r="J1573" s="1" t="n">
        <v>1551938</v>
      </c>
      <c r="L1573" s="1" t="n">
        <v>211786</v>
      </c>
      <c r="M1573" s="1" t="s">
        <v>36</v>
      </c>
      <c r="N1573" s="1" t="s">
        <v>50</v>
      </c>
      <c r="P1573" s="1" t="n">
        <v>101</v>
      </c>
      <c r="Q1573" s="1" t="s">
        <v>56</v>
      </c>
      <c r="R1573" s="1" t="s">
        <v>57</v>
      </c>
      <c r="S1573" s="1" t="n">
        <v>4220199</v>
      </c>
      <c r="T1573" s="1" t="s">
        <v>58</v>
      </c>
      <c r="U1573" s="1" t="n">
        <v>52.52</v>
      </c>
      <c r="W1573" s="1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2</v>
      </c>
      <c r="B1574" s="17" t="n">
        <v>46249</v>
      </c>
      <c r="C1574" s="17" t="n">
        <v>46259</v>
      </c>
      <c r="D1574" s="1" t="n">
        <v>17</v>
      </c>
      <c r="E1574" s="1" t="s">
        <v>490</v>
      </c>
      <c r="F1574" s="1" t="n">
        <v>48</v>
      </c>
      <c r="G1574" s="1" t="s">
        <v>569</v>
      </c>
      <c r="H1574" s="1" t="n">
        <v>2110405</v>
      </c>
      <c r="I1574" s="1" t="s">
        <v>55</v>
      </c>
      <c r="J1574" s="1" t="n">
        <v>1551945</v>
      </c>
      <c r="L1574" s="1" t="n">
        <v>211789</v>
      </c>
      <c r="M1574" s="1" t="s">
        <v>36</v>
      </c>
      <c r="N1574" s="1" t="s">
        <v>50</v>
      </c>
      <c r="P1574" s="1" t="n">
        <v>101</v>
      </c>
      <c r="Q1574" s="1" t="s">
        <v>56</v>
      </c>
      <c r="R1574" s="1" t="s">
        <v>57</v>
      </c>
      <c r="S1574" s="1" t="n">
        <v>4220199</v>
      </c>
      <c r="T1574" s="1" t="s">
        <v>58</v>
      </c>
      <c r="U1574" s="1" t="n">
        <v>595.39</v>
      </c>
      <c r="W1574" s="1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2</v>
      </c>
      <c r="B1575" s="17" t="n">
        <v>46252</v>
      </c>
      <c r="C1575" s="17" t="n">
        <v>46259</v>
      </c>
      <c r="D1575" s="1" t="n">
        <v>1642</v>
      </c>
      <c r="E1575" s="1" t="s">
        <v>233</v>
      </c>
      <c r="F1575" s="1" t="n">
        <v>24</v>
      </c>
      <c r="G1575" s="1" t="s">
        <v>91</v>
      </c>
      <c r="H1575" s="1" t="n">
        <v>2110405</v>
      </c>
      <c r="I1575" s="1" t="s">
        <v>55</v>
      </c>
      <c r="J1575" s="1" t="n">
        <v>1566648</v>
      </c>
      <c r="L1575" s="1" t="n">
        <v>213853</v>
      </c>
      <c r="M1575" s="1" t="s">
        <v>36</v>
      </c>
      <c r="N1575" s="1" t="s">
        <v>50</v>
      </c>
      <c r="P1575" s="1" t="n">
        <v>113</v>
      </c>
      <c r="Q1575" s="1" t="s">
        <v>38</v>
      </c>
      <c r="R1575" s="1" t="s">
        <v>62</v>
      </c>
      <c r="S1575" s="1" t="n">
        <v>1130101</v>
      </c>
      <c r="T1575" s="1" t="s">
        <v>63</v>
      </c>
      <c r="U1575" s="1" t="n">
        <v>512.38</v>
      </c>
      <c r="W1575" s="1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" t="n">
        <v>2</v>
      </c>
      <c r="B1576" s="17" t="n">
        <v>46255</v>
      </c>
      <c r="C1576" s="17" t="n">
        <v>46259</v>
      </c>
      <c r="D1576" s="1" t="n">
        <v>10035</v>
      </c>
      <c r="E1576" s="1" t="s">
        <v>109</v>
      </c>
      <c r="F1576" s="1" t="n">
        <v>34</v>
      </c>
      <c r="G1576" s="1" t="s">
        <v>110</v>
      </c>
      <c r="H1576" s="1" t="n">
        <v>2110405</v>
      </c>
      <c r="I1576" s="1" t="s">
        <v>55</v>
      </c>
      <c r="J1576" s="1" t="n">
        <v>1580974</v>
      </c>
      <c r="L1576" s="1" t="n">
        <v>216250</v>
      </c>
      <c r="M1576" s="1" t="s">
        <v>36</v>
      </c>
      <c r="N1576" s="1" t="s">
        <v>50</v>
      </c>
      <c r="P1576" s="1" t="n">
        <v>113</v>
      </c>
      <c r="Q1576" s="1" t="s">
        <v>38</v>
      </c>
      <c r="R1576" s="1" t="s">
        <v>62</v>
      </c>
      <c r="S1576" s="1" t="n">
        <v>1130101</v>
      </c>
      <c r="T1576" s="1" t="s">
        <v>63</v>
      </c>
      <c r="U1576" s="1" t="n">
        <v>183</v>
      </c>
      <c r="W1576" s="1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" t="n">
        <v>2</v>
      </c>
      <c r="B1577" s="17" t="n">
        <v>46256</v>
      </c>
      <c r="C1577" s="17" t="n">
        <v>46259</v>
      </c>
      <c r="D1577" s="1" t="n">
        <v>642</v>
      </c>
      <c r="E1577" s="1" t="s">
        <v>144</v>
      </c>
      <c r="F1577" s="1" t="n">
        <v>24</v>
      </c>
      <c r="G1577" s="1" t="s">
        <v>91</v>
      </c>
      <c r="H1577" s="1" t="n">
        <v>2110405</v>
      </c>
      <c r="I1577" s="1" t="s">
        <v>55</v>
      </c>
      <c r="J1577" s="1" t="n">
        <v>1585340</v>
      </c>
      <c r="L1577" s="1" t="n">
        <v>216896</v>
      </c>
      <c r="M1577" s="1" t="s">
        <v>36</v>
      </c>
      <c r="N1577" s="1" t="s">
        <v>50</v>
      </c>
      <c r="P1577" s="1" t="n">
        <v>113</v>
      </c>
      <c r="Q1577" s="1" t="s">
        <v>38</v>
      </c>
      <c r="R1577" s="1" t="s">
        <v>62</v>
      </c>
      <c r="S1577" s="1" t="n">
        <v>1130101</v>
      </c>
      <c r="T1577" s="1" t="s">
        <v>63</v>
      </c>
      <c r="U1577" s="1" t="n">
        <v>240</v>
      </c>
      <c r="W1577" s="1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" t="n">
        <v>2</v>
      </c>
      <c r="B1578" s="17" t="n">
        <v>46259</v>
      </c>
      <c r="C1578" s="17" t="n">
        <v>46259</v>
      </c>
      <c r="D1578" s="1" t="n">
        <v>48</v>
      </c>
      <c r="E1578" s="1" t="s">
        <v>146</v>
      </c>
      <c r="F1578" s="1" t="n">
        <v>34</v>
      </c>
      <c r="G1578" s="1" t="s">
        <v>110</v>
      </c>
      <c r="H1578" s="1" t="n">
        <v>2110101</v>
      </c>
      <c r="I1578" s="1" t="s">
        <v>48</v>
      </c>
      <c r="J1578" s="1" t="n">
        <v>1599496</v>
      </c>
      <c r="L1578" s="1" t="n">
        <v>2628</v>
      </c>
      <c r="M1578" s="1" t="s">
        <v>36</v>
      </c>
      <c r="N1578" s="1" t="s">
        <v>68</v>
      </c>
      <c r="P1578" s="1" t="n">
        <v>113</v>
      </c>
      <c r="Q1578" s="1" t="s">
        <v>38</v>
      </c>
      <c r="R1578" s="1" t="s">
        <v>62</v>
      </c>
      <c r="S1578" s="1" t="n">
        <v>1130101</v>
      </c>
      <c r="T1578" s="1" t="s">
        <v>63</v>
      </c>
      <c r="U1578" s="1" t="n">
        <v>200</v>
      </c>
      <c r="W1578" s="1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2</v>
      </c>
      <c r="B1579" s="17" t="n">
        <v>46259</v>
      </c>
      <c r="C1579" s="17" t="n">
        <v>46259</v>
      </c>
      <c r="D1579" s="1" t="n">
        <v>1758</v>
      </c>
      <c r="E1579" s="1" t="s">
        <v>486</v>
      </c>
      <c r="F1579" s="1" t="n">
        <v>34</v>
      </c>
      <c r="G1579" s="1" t="s">
        <v>110</v>
      </c>
      <c r="H1579" s="1" t="n">
        <v>2110405</v>
      </c>
      <c r="I1579" s="1" t="s">
        <v>55</v>
      </c>
      <c r="J1579" s="1" t="n">
        <v>1600461</v>
      </c>
      <c r="L1579" s="1" t="n">
        <v>219154</v>
      </c>
      <c r="M1579" s="1" t="s">
        <v>36</v>
      </c>
      <c r="N1579" s="1" t="s">
        <v>50</v>
      </c>
      <c r="P1579" s="1" t="n">
        <v>101</v>
      </c>
      <c r="Q1579" s="1" t="s">
        <v>56</v>
      </c>
      <c r="R1579" s="1" t="s">
        <v>70</v>
      </c>
      <c r="S1579" s="1" t="n">
        <v>4210227</v>
      </c>
      <c r="T1579" s="1" t="s">
        <v>77</v>
      </c>
      <c r="U1579" s="1" t="n">
        <v>1800</v>
      </c>
      <c r="W1579" s="1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2</v>
      </c>
      <c r="B1580" s="17" t="n">
        <v>46259</v>
      </c>
      <c r="C1580" s="17" t="n">
        <v>46259</v>
      </c>
      <c r="D1580" s="1" t="n">
        <v>48</v>
      </c>
      <c r="E1580" s="1" t="s">
        <v>146</v>
      </c>
      <c r="F1580" s="1" t="n">
        <v>34</v>
      </c>
      <c r="G1580" s="1" t="s">
        <v>110</v>
      </c>
      <c r="H1580" s="1" t="n">
        <v>2110101</v>
      </c>
      <c r="I1580" s="1" t="s">
        <v>48</v>
      </c>
      <c r="J1580" s="1" t="n">
        <v>1600582</v>
      </c>
      <c r="L1580" s="1" t="n">
        <v>2629</v>
      </c>
      <c r="M1580" s="1" t="s">
        <v>36</v>
      </c>
      <c r="N1580" s="1" t="s">
        <v>68</v>
      </c>
      <c r="P1580" s="1" t="n">
        <v>113</v>
      </c>
      <c r="Q1580" s="1" t="s">
        <v>38</v>
      </c>
      <c r="R1580" s="1" t="s">
        <v>62</v>
      </c>
      <c r="S1580" s="1" t="n">
        <v>1130101</v>
      </c>
      <c r="T1580" s="1" t="s">
        <v>63</v>
      </c>
      <c r="U1580" s="1" t="n">
        <v>1352</v>
      </c>
      <c r="W1580" s="1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2</v>
      </c>
      <c r="B1581" s="17" t="n">
        <v>46259</v>
      </c>
      <c r="C1581" s="17" t="n">
        <v>46259</v>
      </c>
      <c r="D1581" s="1" t="n">
        <v>1037</v>
      </c>
      <c r="E1581" s="1" t="s">
        <v>153</v>
      </c>
      <c r="F1581" s="1" t="n">
        <v>34</v>
      </c>
      <c r="G1581" s="1" t="s">
        <v>110</v>
      </c>
      <c r="H1581" s="1" t="n">
        <v>2110405</v>
      </c>
      <c r="I1581" s="1" t="s">
        <v>55</v>
      </c>
      <c r="J1581" s="1" t="n">
        <v>1600602</v>
      </c>
      <c r="L1581" s="1" t="n">
        <v>219164</v>
      </c>
      <c r="M1581" s="1" t="s">
        <v>36</v>
      </c>
      <c r="N1581" s="1" t="s">
        <v>50</v>
      </c>
      <c r="P1581" s="1" t="n">
        <v>113</v>
      </c>
      <c r="Q1581" s="1" t="s">
        <v>38</v>
      </c>
      <c r="R1581" s="1" t="s">
        <v>62</v>
      </c>
      <c r="S1581" s="1" t="n">
        <v>1130101</v>
      </c>
      <c r="T1581" s="1" t="s">
        <v>63</v>
      </c>
      <c r="U1581" s="1" t="n">
        <v>290</v>
      </c>
      <c r="W1581" s="1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" t="n">
        <v>2</v>
      </c>
      <c r="B1582" s="17" t="n">
        <v>46259</v>
      </c>
      <c r="C1582" s="17" t="n">
        <v>46259</v>
      </c>
      <c r="D1582" s="1" t="n">
        <v>515</v>
      </c>
      <c r="E1582" s="1" t="s">
        <v>157</v>
      </c>
      <c r="F1582" s="1" t="n">
        <v>34</v>
      </c>
      <c r="G1582" s="1" t="s">
        <v>110</v>
      </c>
      <c r="H1582" s="1" t="n">
        <v>2110405</v>
      </c>
      <c r="I1582" s="1" t="s">
        <v>55</v>
      </c>
      <c r="J1582" s="1" t="n">
        <v>1604224</v>
      </c>
      <c r="L1582" s="1" t="n">
        <v>219734</v>
      </c>
      <c r="M1582" s="1" t="s">
        <v>36</v>
      </c>
      <c r="N1582" s="1" t="s">
        <v>50</v>
      </c>
      <c r="P1582" s="1" t="n">
        <v>101</v>
      </c>
      <c r="Q1582" s="1" t="s">
        <v>56</v>
      </c>
      <c r="R1582" s="1" t="s">
        <v>158</v>
      </c>
      <c r="S1582" s="1" t="n">
        <v>4210504</v>
      </c>
      <c r="T1582" s="1" t="s">
        <v>163</v>
      </c>
      <c r="U1582" s="1" t="n">
        <v>1603.6</v>
      </c>
      <c r="W1582" s="1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2</v>
      </c>
      <c r="B1583" s="17" t="n">
        <v>46260</v>
      </c>
      <c r="C1583" s="17" t="n">
        <v>46260</v>
      </c>
      <c r="D1583" s="1" t="n">
        <v>0</v>
      </c>
      <c r="E1583" s="1" t="s">
        <v>33</v>
      </c>
      <c r="F1583" s="1" t="n">
        <v>17</v>
      </c>
      <c r="G1583" s="1" t="s">
        <v>34</v>
      </c>
      <c r="H1583" s="1" t="n">
        <v>1110101</v>
      </c>
      <c r="I1583" s="1" t="s">
        <v>35</v>
      </c>
      <c r="J1583" s="1" t="n">
        <v>1608865</v>
      </c>
      <c r="L1583" s="1" t="n">
        <v>1608865</v>
      </c>
      <c r="M1583" s="1" t="s">
        <v>36</v>
      </c>
      <c r="N1583" s="1" t="s">
        <v>37</v>
      </c>
      <c r="P1583" s="1" t="n">
        <v>113</v>
      </c>
      <c r="Q1583" s="1" t="s">
        <v>38</v>
      </c>
      <c r="R1583" s="1" t="s">
        <v>214</v>
      </c>
      <c r="S1583" s="1" t="n">
        <v>2110101</v>
      </c>
      <c r="T1583" s="1" t="s">
        <v>48</v>
      </c>
      <c r="U1583" s="1" t="n">
        <v>225</v>
      </c>
      <c r="W1583" s="1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2</v>
      </c>
      <c r="B1584" s="17" t="n">
        <v>46260</v>
      </c>
      <c r="C1584" s="17" t="n">
        <v>46260</v>
      </c>
      <c r="D1584" s="1" t="n">
        <v>0</v>
      </c>
      <c r="E1584" s="1" t="s">
        <v>33</v>
      </c>
      <c r="F1584" s="1" t="n">
        <v>17</v>
      </c>
      <c r="G1584" s="1" t="s">
        <v>34</v>
      </c>
      <c r="H1584" s="1" t="n">
        <v>1110101</v>
      </c>
      <c r="I1584" s="1" t="s">
        <v>35</v>
      </c>
      <c r="J1584" s="1" t="n">
        <v>1608868</v>
      </c>
      <c r="L1584" s="1" t="n">
        <v>1608868</v>
      </c>
      <c r="M1584" s="1" t="s">
        <v>36</v>
      </c>
      <c r="N1584" s="1" t="s">
        <v>37</v>
      </c>
      <c r="P1584" s="1" t="n">
        <v>113</v>
      </c>
      <c r="Q1584" s="1" t="s">
        <v>38</v>
      </c>
      <c r="R1584" s="1" t="s">
        <v>39</v>
      </c>
      <c r="S1584" s="1" t="n">
        <v>4210314</v>
      </c>
      <c r="T1584" s="1" t="s">
        <v>40</v>
      </c>
      <c r="U1584" s="1" t="n">
        <v>70</v>
      </c>
      <c r="W1584" s="1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2</v>
      </c>
      <c r="B1585" s="17" t="n">
        <v>46023</v>
      </c>
      <c r="C1585" s="17" t="n">
        <v>46260</v>
      </c>
      <c r="D1585" s="1" t="n">
        <v>515</v>
      </c>
      <c r="E1585" s="1" t="s">
        <v>157</v>
      </c>
      <c r="F1585" s="1" t="n">
        <v>34</v>
      </c>
      <c r="G1585" s="1" t="s">
        <v>110</v>
      </c>
      <c r="H1585" s="1" t="n">
        <v>2110405</v>
      </c>
      <c r="I1585" s="1" t="s">
        <v>55</v>
      </c>
      <c r="J1585" s="1" t="n">
        <v>1012266</v>
      </c>
      <c r="L1585" s="1" t="n">
        <v>133812</v>
      </c>
      <c r="M1585" s="1" t="s">
        <v>678</v>
      </c>
      <c r="N1585" s="1" t="s">
        <v>50</v>
      </c>
      <c r="P1585" s="1" t="n">
        <v>101</v>
      </c>
      <c r="Q1585" s="1" t="s">
        <v>56</v>
      </c>
      <c r="R1585" s="1" t="s">
        <v>333</v>
      </c>
      <c r="S1585" s="1" t="n">
        <v>2110901</v>
      </c>
      <c r="T1585" s="1" t="s">
        <v>334</v>
      </c>
      <c r="U1585" s="1" t="n">
        <v>4168.41</v>
      </c>
      <c r="W1585" s="1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2</v>
      </c>
      <c r="B1586" s="17" t="n">
        <v>46241</v>
      </c>
      <c r="C1586" s="17" t="n">
        <v>46260</v>
      </c>
      <c r="D1586" s="1" t="n">
        <v>1613</v>
      </c>
      <c r="E1586" s="1" t="s">
        <v>107</v>
      </c>
      <c r="F1586" s="1" t="n">
        <v>24</v>
      </c>
      <c r="G1586" s="1" t="s">
        <v>91</v>
      </c>
      <c r="H1586" s="1" t="n">
        <v>2110405</v>
      </c>
      <c r="I1586" s="1" t="s">
        <v>55</v>
      </c>
      <c r="J1586" s="1" t="n">
        <v>1513496</v>
      </c>
      <c r="L1586" s="1" t="n">
        <v>205790</v>
      </c>
      <c r="M1586" s="1" t="s">
        <v>36</v>
      </c>
      <c r="N1586" s="1" t="s">
        <v>50</v>
      </c>
      <c r="P1586" s="1" t="n">
        <v>113</v>
      </c>
      <c r="Q1586" s="1" t="s">
        <v>38</v>
      </c>
      <c r="R1586" s="1" t="s">
        <v>62</v>
      </c>
      <c r="S1586" s="1" t="n">
        <v>1130101</v>
      </c>
      <c r="T1586" s="1" t="s">
        <v>63</v>
      </c>
      <c r="U1586" s="1" t="n">
        <v>1275.53</v>
      </c>
      <c r="W1586" s="1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" t="n">
        <v>2</v>
      </c>
      <c r="B1587" s="17" t="n">
        <v>46244</v>
      </c>
      <c r="C1587" s="17" t="n">
        <v>46260</v>
      </c>
      <c r="D1587" s="1" t="n">
        <v>1659</v>
      </c>
      <c r="E1587" s="1" t="s">
        <v>220</v>
      </c>
      <c r="F1587" s="1" t="n">
        <v>24</v>
      </c>
      <c r="G1587" s="1" t="s">
        <v>91</v>
      </c>
      <c r="H1587" s="1" t="n">
        <v>2110405</v>
      </c>
      <c r="I1587" s="1" t="s">
        <v>55</v>
      </c>
      <c r="J1587" s="1" t="n">
        <v>1529145</v>
      </c>
      <c r="L1587" s="1" t="n">
        <v>207965</v>
      </c>
      <c r="M1587" s="1" t="s">
        <v>36</v>
      </c>
      <c r="N1587" s="1" t="s">
        <v>50</v>
      </c>
      <c r="P1587" s="1" t="n">
        <v>113</v>
      </c>
      <c r="Q1587" s="1" t="s">
        <v>38</v>
      </c>
      <c r="R1587" s="1" t="s">
        <v>62</v>
      </c>
      <c r="S1587" s="1" t="n">
        <v>1130101</v>
      </c>
      <c r="T1587" s="1" t="s">
        <v>63</v>
      </c>
      <c r="U1587" s="1" t="n">
        <v>349</v>
      </c>
      <c r="W1587" s="1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" t="n">
        <v>2</v>
      </c>
      <c r="B1588" s="17" t="n">
        <v>46246</v>
      </c>
      <c r="C1588" s="17" t="n">
        <v>46260</v>
      </c>
      <c r="D1588" s="1" t="n">
        <v>1608</v>
      </c>
      <c r="E1588" s="1" t="s">
        <v>224</v>
      </c>
      <c r="F1588" s="1" t="n">
        <v>24</v>
      </c>
      <c r="G1588" s="1" t="s">
        <v>91</v>
      </c>
      <c r="H1588" s="1" t="n">
        <v>2110405</v>
      </c>
      <c r="I1588" s="1" t="s">
        <v>55</v>
      </c>
      <c r="J1588" s="1" t="n">
        <v>1534791</v>
      </c>
      <c r="L1588" s="1" t="n">
        <v>209426</v>
      </c>
      <c r="M1588" s="1" t="s">
        <v>36</v>
      </c>
      <c r="N1588" s="1" t="s">
        <v>50</v>
      </c>
      <c r="P1588" s="1" t="n">
        <v>113</v>
      </c>
      <c r="Q1588" s="1" t="s">
        <v>38</v>
      </c>
      <c r="R1588" s="1" t="s">
        <v>62</v>
      </c>
      <c r="S1588" s="1" t="n">
        <v>1130101</v>
      </c>
      <c r="T1588" s="1" t="s">
        <v>63</v>
      </c>
      <c r="U1588" s="1" t="n">
        <v>1279.58</v>
      </c>
      <c r="W1588" s="1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" t="n">
        <v>2</v>
      </c>
      <c r="B1589" s="17" t="n">
        <v>46246</v>
      </c>
      <c r="C1589" s="17" t="n">
        <v>46260</v>
      </c>
      <c r="D1589" s="1" t="n">
        <v>1634</v>
      </c>
      <c r="E1589" s="1" t="s">
        <v>291</v>
      </c>
      <c r="F1589" s="1" t="n">
        <v>24</v>
      </c>
      <c r="G1589" s="1" t="s">
        <v>91</v>
      </c>
      <c r="H1589" s="1" t="n">
        <v>2110405</v>
      </c>
      <c r="I1589" s="1" t="s">
        <v>55</v>
      </c>
      <c r="J1589" s="1" t="n">
        <v>1535480</v>
      </c>
      <c r="L1589" s="1" t="n">
        <v>209568</v>
      </c>
      <c r="M1589" s="1" t="s">
        <v>36</v>
      </c>
      <c r="N1589" s="1" t="s">
        <v>50</v>
      </c>
      <c r="P1589" s="1" t="n">
        <v>113</v>
      </c>
      <c r="Q1589" s="1" t="s">
        <v>38</v>
      </c>
      <c r="R1589" s="1" t="s">
        <v>62</v>
      </c>
      <c r="S1589" s="1" t="n">
        <v>1130101</v>
      </c>
      <c r="T1589" s="1" t="s">
        <v>63</v>
      </c>
      <c r="U1589" s="1" t="n">
        <v>700.7</v>
      </c>
      <c r="W1589" s="1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" t="n">
        <v>2</v>
      </c>
      <c r="B1590" s="17" t="n">
        <v>46247</v>
      </c>
      <c r="C1590" s="17" t="n">
        <v>46260</v>
      </c>
      <c r="D1590" s="1" t="n">
        <v>1635</v>
      </c>
      <c r="E1590" s="1" t="s">
        <v>129</v>
      </c>
      <c r="F1590" s="1" t="n">
        <v>24</v>
      </c>
      <c r="G1590" s="1" t="s">
        <v>91</v>
      </c>
      <c r="H1590" s="1" t="n">
        <v>2110405</v>
      </c>
      <c r="I1590" s="1" t="s">
        <v>55</v>
      </c>
      <c r="J1590" s="1" t="n">
        <v>1541010</v>
      </c>
      <c r="L1590" s="1" t="n">
        <v>210258</v>
      </c>
      <c r="M1590" s="1" t="s">
        <v>36</v>
      </c>
      <c r="N1590" s="1" t="s">
        <v>50</v>
      </c>
      <c r="P1590" s="1" t="n">
        <v>113</v>
      </c>
      <c r="Q1590" s="1" t="s">
        <v>38</v>
      </c>
      <c r="R1590" s="1" t="s">
        <v>62</v>
      </c>
      <c r="S1590" s="1" t="n">
        <v>1130101</v>
      </c>
      <c r="T1590" s="1" t="s">
        <v>63</v>
      </c>
      <c r="U1590" s="1" t="n">
        <v>600</v>
      </c>
      <c r="W1590" s="1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" t="n">
        <v>2</v>
      </c>
      <c r="B1591" s="17" t="n">
        <v>46247</v>
      </c>
      <c r="C1591" s="17" t="n">
        <v>46260</v>
      </c>
      <c r="D1591" s="1" t="n">
        <v>1734</v>
      </c>
      <c r="E1591" s="1" t="s">
        <v>553</v>
      </c>
      <c r="F1591" s="1" t="n">
        <v>24</v>
      </c>
      <c r="G1591" s="1" t="s">
        <v>91</v>
      </c>
      <c r="H1591" s="1" t="n">
        <v>2110405</v>
      </c>
      <c r="I1591" s="1" t="s">
        <v>55</v>
      </c>
      <c r="J1591" s="1" t="n">
        <v>1542967</v>
      </c>
      <c r="L1591" s="1" t="n">
        <v>210465</v>
      </c>
      <c r="M1591" s="1" t="s">
        <v>36</v>
      </c>
      <c r="N1591" s="1" t="s">
        <v>50</v>
      </c>
      <c r="P1591" s="1" t="n">
        <v>113</v>
      </c>
      <c r="Q1591" s="1" t="s">
        <v>38</v>
      </c>
      <c r="R1591" s="1" t="s">
        <v>62</v>
      </c>
      <c r="S1591" s="1" t="n">
        <v>1130101</v>
      </c>
      <c r="T1591" s="1" t="s">
        <v>63</v>
      </c>
      <c r="U1591" s="1" t="n">
        <v>1050.07</v>
      </c>
      <c r="W1591" s="1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" t="n">
        <v>2</v>
      </c>
      <c r="B1592" s="17" t="n">
        <v>46248</v>
      </c>
      <c r="C1592" s="17" t="n">
        <v>46260</v>
      </c>
      <c r="D1592" s="1" t="n">
        <v>1613</v>
      </c>
      <c r="E1592" s="1" t="s">
        <v>107</v>
      </c>
      <c r="F1592" s="1" t="n">
        <v>24</v>
      </c>
      <c r="G1592" s="1" t="s">
        <v>91</v>
      </c>
      <c r="H1592" s="1" t="n">
        <v>2110405</v>
      </c>
      <c r="I1592" s="1" t="s">
        <v>55</v>
      </c>
      <c r="J1592" s="1" t="n">
        <v>1547477</v>
      </c>
      <c r="L1592" s="1" t="n">
        <v>211362</v>
      </c>
      <c r="M1592" s="1" t="s">
        <v>36</v>
      </c>
      <c r="N1592" s="1" t="s">
        <v>50</v>
      </c>
      <c r="P1592" s="1" t="n">
        <v>113</v>
      </c>
      <c r="Q1592" s="1" t="s">
        <v>38</v>
      </c>
      <c r="R1592" s="1" t="s">
        <v>62</v>
      </c>
      <c r="S1592" s="1" t="n">
        <v>1130101</v>
      </c>
      <c r="T1592" s="1" t="s">
        <v>63</v>
      </c>
      <c r="U1592" s="1" t="n">
        <v>1164.76</v>
      </c>
      <c r="W1592" s="1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" t="n">
        <v>2</v>
      </c>
      <c r="B1593" s="17" t="n">
        <v>46254</v>
      </c>
      <c r="C1593" s="17" t="n">
        <v>46260</v>
      </c>
      <c r="D1593" s="1" t="n">
        <v>754</v>
      </c>
      <c r="E1593" s="1" t="s">
        <v>142</v>
      </c>
      <c r="F1593" s="1" t="n">
        <v>24</v>
      </c>
      <c r="G1593" s="1" t="s">
        <v>91</v>
      </c>
      <c r="H1593" s="1" t="n">
        <v>2110405</v>
      </c>
      <c r="I1593" s="1" t="s">
        <v>55</v>
      </c>
      <c r="J1593" s="1" t="n">
        <v>1576251</v>
      </c>
      <c r="L1593" s="1" t="n">
        <v>215402</v>
      </c>
      <c r="M1593" s="1" t="s">
        <v>36</v>
      </c>
      <c r="N1593" s="1" t="s">
        <v>50</v>
      </c>
      <c r="P1593" s="1" t="n">
        <v>113</v>
      </c>
      <c r="Q1593" s="1" t="s">
        <v>38</v>
      </c>
      <c r="R1593" s="1" t="s">
        <v>62</v>
      </c>
      <c r="S1593" s="1" t="n">
        <v>1130101</v>
      </c>
      <c r="T1593" s="1" t="s">
        <v>63</v>
      </c>
      <c r="U1593" s="1" t="n">
        <v>1293.6</v>
      </c>
      <c r="W1593" s="1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" t="n">
        <v>2</v>
      </c>
      <c r="B1594" s="17" t="n">
        <v>46254</v>
      </c>
      <c r="C1594" s="17" t="n">
        <v>46260</v>
      </c>
      <c r="D1594" s="1" t="n">
        <v>48</v>
      </c>
      <c r="E1594" s="1" t="s">
        <v>146</v>
      </c>
      <c r="F1594" s="1" t="n">
        <v>24</v>
      </c>
      <c r="G1594" s="1" t="s">
        <v>91</v>
      </c>
      <c r="H1594" s="1" t="n">
        <v>2110101</v>
      </c>
      <c r="I1594" s="1" t="s">
        <v>48</v>
      </c>
      <c r="J1594" s="1" t="n">
        <v>1576425</v>
      </c>
      <c r="L1594" s="1" t="n">
        <v>2617</v>
      </c>
      <c r="M1594" s="1" t="s">
        <v>36</v>
      </c>
      <c r="N1594" s="1" t="s">
        <v>68</v>
      </c>
      <c r="P1594" s="1" t="n">
        <v>113</v>
      </c>
      <c r="Q1594" s="1" t="s">
        <v>38</v>
      </c>
      <c r="R1594" s="1" t="s">
        <v>62</v>
      </c>
      <c r="S1594" s="1" t="n">
        <v>1130101</v>
      </c>
      <c r="T1594" s="1" t="s">
        <v>63</v>
      </c>
      <c r="U1594" s="1" t="n">
        <v>300</v>
      </c>
      <c r="W1594" s="1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2</v>
      </c>
      <c r="B1595" s="17" t="n">
        <v>46258</v>
      </c>
      <c r="C1595" s="17" t="n">
        <v>46260</v>
      </c>
      <c r="D1595" s="1" t="n">
        <v>1899</v>
      </c>
      <c r="E1595" s="1" t="s">
        <v>211</v>
      </c>
      <c r="F1595" s="1" t="n">
        <v>24</v>
      </c>
      <c r="G1595" s="1" t="s">
        <v>91</v>
      </c>
      <c r="H1595" s="1" t="n">
        <v>2110405</v>
      </c>
      <c r="I1595" s="1" t="s">
        <v>55</v>
      </c>
      <c r="J1595" s="1" t="n">
        <v>1594459</v>
      </c>
      <c r="L1595" s="1" t="n">
        <v>218092</v>
      </c>
      <c r="M1595" s="1" t="s">
        <v>36</v>
      </c>
      <c r="N1595" s="1" t="s">
        <v>50</v>
      </c>
      <c r="P1595" s="1" t="n">
        <v>113</v>
      </c>
      <c r="Q1595" s="1" t="s">
        <v>38</v>
      </c>
      <c r="R1595" s="1" t="s">
        <v>62</v>
      </c>
      <c r="S1595" s="1" t="n">
        <v>1130101</v>
      </c>
      <c r="T1595" s="1" t="s">
        <v>63</v>
      </c>
      <c r="U1595" s="1" t="n">
        <v>265.81</v>
      </c>
      <c r="W1595" s="1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" t="n">
        <v>2</v>
      </c>
      <c r="B1596" s="17" t="n">
        <v>46260</v>
      </c>
      <c r="C1596" s="17" t="n">
        <v>46260</v>
      </c>
      <c r="D1596" s="1" t="n">
        <v>48</v>
      </c>
      <c r="E1596" s="1" t="s">
        <v>146</v>
      </c>
      <c r="F1596" s="1" t="n">
        <v>13</v>
      </c>
      <c r="G1596" s="1" t="s">
        <v>147</v>
      </c>
      <c r="H1596" s="1" t="n">
        <v>2110101</v>
      </c>
      <c r="I1596" s="1" t="s">
        <v>48</v>
      </c>
      <c r="J1596" s="1" t="n">
        <v>1604345</v>
      </c>
      <c r="L1596" s="1" t="n">
        <v>2630</v>
      </c>
      <c r="M1596" s="1" t="s">
        <v>36</v>
      </c>
      <c r="N1596" s="1" t="s">
        <v>68</v>
      </c>
      <c r="P1596" s="1" t="n">
        <v>113</v>
      </c>
      <c r="Q1596" s="1" t="s">
        <v>38</v>
      </c>
      <c r="R1596" s="1" t="s">
        <v>62</v>
      </c>
      <c r="S1596" s="1" t="n">
        <v>1130101</v>
      </c>
      <c r="T1596" s="1" t="s">
        <v>63</v>
      </c>
      <c r="U1596" s="1" t="n">
        <v>225</v>
      </c>
      <c r="W1596" s="1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2</v>
      </c>
      <c r="B1597" s="17" t="n">
        <v>46260</v>
      </c>
      <c r="C1597" s="17" t="n">
        <v>46260</v>
      </c>
      <c r="D1597" s="1" t="n">
        <v>515</v>
      </c>
      <c r="E1597" s="1" t="s">
        <v>157</v>
      </c>
      <c r="F1597" s="1" t="n">
        <v>34</v>
      </c>
      <c r="G1597" s="1" t="s">
        <v>110</v>
      </c>
      <c r="H1597" s="1" t="n">
        <v>2110405</v>
      </c>
      <c r="I1597" s="1" t="s">
        <v>55</v>
      </c>
      <c r="J1597" s="1" t="n">
        <v>1610214</v>
      </c>
      <c r="L1597" s="1" t="n">
        <v>220718</v>
      </c>
      <c r="M1597" s="1" t="s">
        <v>36</v>
      </c>
      <c r="N1597" s="1" t="s">
        <v>50</v>
      </c>
      <c r="P1597" s="1" t="n">
        <v>102</v>
      </c>
      <c r="Q1597" s="1" t="s">
        <v>315</v>
      </c>
      <c r="R1597" s="1" t="s">
        <v>158</v>
      </c>
      <c r="S1597" s="1" t="n">
        <v>4210504</v>
      </c>
      <c r="T1597" s="1" t="s">
        <v>163</v>
      </c>
      <c r="U1597" s="1" t="n">
        <v>165</v>
      </c>
      <c r="W1597" s="1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2</v>
      </c>
      <c r="B1598" s="17" t="n">
        <v>46261</v>
      </c>
      <c r="C1598" s="17" t="n">
        <v>46261</v>
      </c>
      <c r="D1598" s="1" t="n">
        <v>0</v>
      </c>
      <c r="E1598" s="1" t="s">
        <v>33</v>
      </c>
      <c r="F1598" s="1" t="n">
        <v>17</v>
      </c>
      <c r="G1598" s="1" t="s">
        <v>34</v>
      </c>
      <c r="H1598" s="1" t="n">
        <v>1110101</v>
      </c>
      <c r="I1598" s="1" t="s">
        <v>35</v>
      </c>
      <c r="J1598" s="1" t="n">
        <v>1613690</v>
      </c>
      <c r="L1598" s="1" t="n">
        <v>1613690</v>
      </c>
      <c r="M1598" s="1" t="s">
        <v>36</v>
      </c>
      <c r="N1598" s="1" t="s">
        <v>37</v>
      </c>
      <c r="P1598" s="1" t="n">
        <v>113</v>
      </c>
      <c r="Q1598" s="1" t="s">
        <v>38</v>
      </c>
      <c r="R1598" s="1" t="s">
        <v>55</v>
      </c>
      <c r="S1598" s="1" t="n">
        <v>2110405</v>
      </c>
      <c r="T1598" s="1" t="s">
        <v>55</v>
      </c>
      <c r="U1598" s="1" t="n">
        <v>140</v>
      </c>
      <c r="W1598" s="1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2</v>
      </c>
      <c r="B1599" s="17" t="n">
        <v>46261</v>
      </c>
      <c r="C1599" s="17" t="n">
        <v>46261</v>
      </c>
      <c r="D1599" s="1" t="n">
        <v>0</v>
      </c>
      <c r="E1599" s="1" t="s">
        <v>33</v>
      </c>
      <c r="F1599" s="1" t="n">
        <v>17</v>
      </c>
      <c r="G1599" s="1" t="s">
        <v>34</v>
      </c>
      <c r="H1599" s="1" t="n">
        <v>1110101</v>
      </c>
      <c r="I1599" s="1" t="s">
        <v>35</v>
      </c>
      <c r="J1599" s="1" t="n">
        <v>1613695</v>
      </c>
      <c r="L1599" s="1" t="n">
        <v>1613695</v>
      </c>
      <c r="M1599" s="1" t="s">
        <v>36</v>
      </c>
      <c r="N1599" s="1" t="s">
        <v>37</v>
      </c>
      <c r="P1599" s="1" t="n">
        <v>113</v>
      </c>
      <c r="Q1599" s="1" t="s">
        <v>38</v>
      </c>
      <c r="R1599" s="1" t="s">
        <v>214</v>
      </c>
      <c r="S1599" s="1" t="n">
        <v>2110101</v>
      </c>
      <c r="T1599" s="1" t="s">
        <v>48</v>
      </c>
      <c r="U1599" s="1" t="n">
        <v>225</v>
      </c>
      <c r="W1599" s="1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2</v>
      </c>
      <c r="B1600" s="17" t="n">
        <v>46261</v>
      </c>
      <c r="C1600" s="17" t="n">
        <v>46261</v>
      </c>
      <c r="D1600" s="1" t="n">
        <v>0</v>
      </c>
      <c r="E1600" s="1" t="s">
        <v>33</v>
      </c>
      <c r="F1600" s="1" t="n">
        <v>17</v>
      </c>
      <c r="G1600" s="1" t="s">
        <v>34</v>
      </c>
      <c r="H1600" s="1" t="n">
        <v>1110101</v>
      </c>
      <c r="I1600" s="1" t="s">
        <v>35</v>
      </c>
      <c r="J1600" s="1" t="n">
        <v>1613699</v>
      </c>
      <c r="L1600" s="1" t="n">
        <v>1613699</v>
      </c>
      <c r="M1600" s="1" t="s">
        <v>36</v>
      </c>
      <c r="N1600" s="1" t="s">
        <v>37</v>
      </c>
      <c r="P1600" s="1" t="n">
        <v>113</v>
      </c>
      <c r="Q1600" s="1" t="s">
        <v>38</v>
      </c>
      <c r="R1600" s="1" t="s">
        <v>39</v>
      </c>
      <c r="S1600" s="1" t="n">
        <v>4210314</v>
      </c>
      <c r="T1600" s="1" t="s">
        <v>40</v>
      </c>
      <c r="U1600" s="1" t="n">
        <v>50</v>
      </c>
      <c r="W1600" s="1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2</v>
      </c>
      <c r="B1601" s="17" t="n">
        <v>46261</v>
      </c>
      <c r="C1601" s="17" t="n">
        <v>46261</v>
      </c>
      <c r="D1601" s="1" t="n">
        <v>0</v>
      </c>
      <c r="E1601" s="1" t="s">
        <v>33</v>
      </c>
      <c r="F1601" s="1" t="n">
        <v>17</v>
      </c>
      <c r="G1601" s="1" t="s">
        <v>34</v>
      </c>
      <c r="H1601" s="1" t="n">
        <v>1110101</v>
      </c>
      <c r="I1601" s="1" t="s">
        <v>35</v>
      </c>
      <c r="J1601" s="1" t="n">
        <v>1613702</v>
      </c>
      <c r="L1601" s="1" t="n">
        <v>1613702</v>
      </c>
      <c r="M1601" s="1" t="s">
        <v>36</v>
      </c>
      <c r="N1601" s="1" t="s">
        <v>37</v>
      </c>
      <c r="P1601" s="1" t="n">
        <v>113</v>
      </c>
      <c r="Q1601" s="1" t="s">
        <v>38</v>
      </c>
      <c r="R1601" s="1" t="s">
        <v>39</v>
      </c>
      <c r="S1601" s="1" t="n">
        <v>4210314</v>
      </c>
      <c r="T1601" s="1" t="s">
        <v>40</v>
      </c>
      <c r="U1601" s="1" t="n">
        <v>70</v>
      </c>
      <c r="W1601" s="1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2</v>
      </c>
      <c r="B1602" s="17" t="n">
        <v>46240</v>
      </c>
      <c r="C1602" s="17" t="n">
        <v>46261</v>
      </c>
      <c r="D1602" s="1" t="n">
        <v>1815</v>
      </c>
      <c r="E1602" s="1" t="s">
        <v>180</v>
      </c>
      <c r="F1602" s="1" t="n">
        <v>24</v>
      </c>
      <c r="G1602" s="1" t="s">
        <v>91</v>
      </c>
      <c r="H1602" s="1" t="n">
        <v>2110405</v>
      </c>
      <c r="I1602" s="1" t="s">
        <v>55</v>
      </c>
      <c r="J1602" s="1" t="n">
        <v>1508981</v>
      </c>
      <c r="L1602" s="1" t="n">
        <v>205093</v>
      </c>
      <c r="M1602" s="1" t="s">
        <v>36</v>
      </c>
      <c r="N1602" s="1" t="s">
        <v>50</v>
      </c>
      <c r="P1602" s="1" t="n">
        <v>113</v>
      </c>
      <c r="Q1602" s="1" t="s">
        <v>38</v>
      </c>
      <c r="R1602" s="1" t="s">
        <v>62</v>
      </c>
      <c r="S1602" s="1" t="n">
        <v>1130101</v>
      </c>
      <c r="T1602" s="1" t="s">
        <v>63</v>
      </c>
      <c r="U1602" s="1" t="n">
        <v>628.19</v>
      </c>
      <c r="W1602" s="1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" t="n">
        <v>2</v>
      </c>
      <c r="B1603" s="17" t="n">
        <v>46241</v>
      </c>
      <c r="C1603" s="17" t="n">
        <v>46261</v>
      </c>
      <c r="D1603" s="1" t="n">
        <v>794</v>
      </c>
      <c r="E1603" s="1" t="s">
        <v>343</v>
      </c>
      <c r="F1603" s="1" t="n">
        <v>24</v>
      </c>
      <c r="G1603" s="1" t="s">
        <v>91</v>
      </c>
      <c r="H1603" s="1" t="n">
        <v>2110405</v>
      </c>
      <c r="I1603" s="1" t="s">
        <v>55</v>
      </c>
      <c r="J1603" s="1" t="n">
        <v>1514359</v>
      </c>
      <c r="L1603" s="1" t="n">
        <v>205999</v>
      </c>
      <c r="M1603" s="1" t="s">
        <v>36</v>
      </c>
      <c r="N1603" s="1" t="s">
        <v>50</v>
      </c>
      <c r="P1603" s="1" t="n">
        <v>113</v>
      </c>
      <c r="Q1603" s="1" t="s">
        <v>38</v>
      </c>
      <c r="R1603" s="1" t="s">
        <v>62</v>
      </c>
      <c r="S1603" s="1" t="n">
        <v>1130101</v>
      </c>
      <c r="T1603" s="1" t="s">
        <v>63</v>
      </c>
      <c r="U1603" s="1" t="n">
        <v>382.62</v>
      </c>
      <c r="W1603" s="1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" t="n">
        <v>2</v>
      </c>
      <c r="B1604" s="17" t="n">
        <v>46241</v>
      </c>
      <c r="C1604" s="17" t="n">
        <v>46261</v>
      </c>
      <c r="D1604" s="1" t="n">
        <v>794</v>
      </c>
      <c r="E1604" s="1" t="s">
        <v>343</v>
      </c>
      <c r="F1604" s="1" t="n">
        <v>24</v>
      </c>
      <c r="G1604" s="1" t="s">
        <v>91</v>
      </c>
      <c r="H1604" s="1" t="n">
        <v>2110405</v>
      </c>
      <c r="I1604" s="1" t="s">
        <v>55</v>
      </c>
      <c r="J1604" s="1" t="n">
        <v>1514438</v>
      </c>
      <c r="L1604" s="1" t="n">
        <v>206013</v>
      </c>
      <c r="M1604" s="1" t="s">
        <v>36</v>
      </c>
      <c r="N1604" s="1" t="s">
        <v>50</v>
      </c>
      <c r="P1604" s="1" t="n">
        <v>113</v>
      </c>
      <c r="Q1604" s="1" t="s">
        <v>38</v>
      </c>
      <c r="R1604" s="1" t="s">
        <v>70</v>
      </c>
      <c r="S1604" s="1" t="n">
        <v>4210299</v>
      </c>
      <c r="T1604" s="1" t="s">
        <v>127</v>
      </c>
      <c r="U1604" s="1" t="n">
        <v>520.47</v>
      </c>
      <c r="W1604" s="1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" t="n">
        <v>2</v>
      </c>
      <c r="B1605" s="17" t="n">
        <v>46247</v>
      </c>
      <c r="C1605" s="17" t="n">
        <v>46261</v>
      </c>
      <c r="D1605" s="1" t="n">
        <v>1608</v>
      </c>
      <c r="E1605" s="1" t="s">
        <v>224</v>
      </c>
      <c r="F1605" s="1" t="n">
        <v>24</v>
      </c>
      <c r="G1605" s="1" t="s">
        <v>91</v>
      </c>
      <c r="H1605" s="1" t="n">
        <v>2110405</v>
      </c>
      <c r="I1605" s="1" t="s">
        <v>55</v>
      </c>
      <c r="J1605" s="1" t="n">
        <v>1540761</v>
      </c>
      <c r="L1605" s="1" t="n">
        <v>210177</v>
      </c>
      <c r="M1605" s="1" t="s">
        <v>36</v>
      </c>
      <c r="N1605" s="1" t="s">
        <v>50</v>
      </c>
      <c r="P1605" s="1" t="n">
        <v>113</v>
      </c>
      <c r="Q1605" s="1" t="s">
        <v>38</v>
      </c>
      <c r="R1605" s="1" t="s">
        <v>62</v>
      </c>
      <c r="S1605" s="1" t="n">
        <v>1130101</v>
      </c>
      <c r="T1605" s="1" t="s">
        <v>63</v>
      </c>
      <c r="U1605" s="1" t="n">
        <v>692.26</v>
      </c>
      <c r="W1605" s="1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" t="n">
        <v>2</v>
      </c>
      <c r="B1606" s="17" t="n">
        <v>46247</v>
      </c>
      <c r="C1606" s="17" t="n">
        <v>46261</v>
      </c>
      <c r="D1606" s="1" t="n">
        <v>1667</v>
      </c>
      <c r="E1606" s="1" t="s">
        <v>96</v>
      </c>
      <c r="F1606" s="1" t="n">
        <v>24</v>
      </c>
      <c r="G1606" s="1" t="s">
        <v>91</v>
      </c>
      <c r="H1606" s="1" t="n">
        <v>2110405</v>
      </c>
      <c r="I1606" s="1" t="s">
        <v>55</v>
      </c>
      <c r="J1606" s="1" t="n">
        <v>1540922</v>
      </c>
      <c r="L1606" s="1" t="n">
        <v>210242</v>
      </c>
      <c r="M1606" s="1" t="s">
        <v>36</v>
      </c>
      <c r="N1606" s="1" t="s">
        <v>50</v>
      </c>
      <c r="P1606" s="1" t="n">
        <v>113</v>
      </c>
      <c r="Q1606" s="1" t="s">
        <v>38</v>
      </c>
      <c r="R1606" s="1" t="s">
        <v>62</v>
      </c>
      <c r="S1606" s="1" t="n">
        <v>1130101</v>
      </c>
      <c r="T1606" s="1" t="s">
        <v>63</v>
      </c>
      <c r="U1606" s="1" t="n">
        <v>668.77</v>
      </c>
      <c r="W1606" s="1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" t="n">
        <v>2</v>
      </c>
      <c r="B1607" s="17" t="n">
        <v>46247</v>
      </c>
      <c r="C1607" s="17" t="n">
        <v>46261</v>
      </c>
      <c r="D1607" s="1" t="n">
        <v>1740</v>
      </c>
      <c r="E1607" s="1" t="s">
        <v>462</v>
      </c>
      <c r="F1607" s="1" t="n">
        <v>24</v>
      </c>
      <c r="G1607" s="1" t="s">
        <v>91</v>
      </c>
      <c r="H1607" s="1" t="n">
        <v>2110405</v>
      </c>
      <c r="I1607" s="1" t="s">
        <v>55</v>
      </c>
      <c r="J1607" s="1" t="n">
        <v>1541224</v>
      </c>
      <c r="L1607" s="1" t="n">
        <v>210282</v>
      </c>
      <c r="M1607" s="1" t="s">
        <v>36</v>
      </c>
      <c r="N1607" s="1" t="s">
        <v>50</v>
      </c>
      <c r="P1607" s="1" t="n">
        <v>113</v>
      </c>
      <c r="Q1607" s="1" t="s">
        <v>38</v>
      </c>
      <c r="R1607" s="1" t="s">
        <v>62</v>
      </c>
      <c r="S1607" s="1" t="n">
        <v>1130101</v>
      </c>
      <c r="T1607" s="1" t="s">
        <v>63</v>
      </c>
      <c r="U1607" s="1" t="n">
        <v>386.74</v>
      </c>
      <c r="W1607" s="1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" t="n">
        <v>2</v>
      </c>
      <c r="B1608" s="17" t="n">
        <v>46247</v>
      </c>
      <c r="C1608" s="17" t="n">
        <v>46261</v>
      </c>
      <c r="D1608" s="1" t="n">
        <v>1601</v>
      </c>
      <c r="E1608" s="1" t="s">
        <v>192</v>
      </c>
      <c r="F1608" s="1" t="n">
        <v>24</v>
      </c>
      <c r="G1608" s="1" t="s">
        <v>91</v>
      </c>
      <c r="H1608" s="1" t="n">
        <v>2110405</v>
      </c>
      <c r="I1608" s="1" t="s">
        <v>55</v>
      </c>
      <c r="J1608" s="1" t="n">
        <v>1543874</v>
      </c>
      <c r="L1608" s="1" t="n">
        <v>210525</v>
      </c>
      <c r="M1608" s="1" t="s">
        <v>36</v>
      </c>
      <c r="N1608" s="1" t="s">
        <v>50</v>
      </c>
      <c r="P1608" s="1" t="n">
        <v>113</v>
      </c>
      <c r="Q1608" s="1" t="s">
        <v>38</v>
      </c>
      <c r="R1608" s="1" t="s">
        <v>62</v>
      </c>
      <c r="S1608" s="1" t="n">
        <v>1130101</v>
      </c>
      <c r="T1608" s="1" t="s">
        <v>63</v>
      </c>
      <c r="U1608" s="1" t="n">
        <v>436.02</v>
      </c>
      <c r="W1608" s="1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 TRIGOLAR C/F1K</v>
      </c>
      <c r="AC1608" s="1" t="n">
        <v>862791</v>
      </c>
    </row>
    <row r="1609" customFormat="false" ht="12.75" hidden="false" customHeight="true" outlineLevel="0" collapsed="false">
      <c r="A1609" s="1" t="n">
        <v>2</v>
      </c>
      <c r="B1609" s="17" t="n">
        <v>46252</v>
      </c>
      <c r="C1609" s="17" t="n">
        <v>46261</v>
      </c>
      <c r="D1609" s="1" t="n">
        <v>1196</v>
      </c>
      <c r="E1609" s="1" t="s">
        <v>1423</v>
      </c>
      <c r="F1609" s="1" t="n">
        <v>24</v>
      </c>
      <c r="G1609" s="1" t="s">
        <v>91</v>
      </c>
      <c r="H1609" s="1" t="n">
        <v>2110405</v>
      </c>
      <c r="I1609" s="1" t="s">
        <v>55</v>
      </c>
      <c r="J1609" s="1" t="n">
        <v>1566579</v>
      </c>
      <c r="L1609" s="1" t="n">
        <v>213841</v>
      </c>
      <c r="M1609" s="1" t="s">
        <v>36</v>
      </c>
      <c r="N1609" s="1" t="s">
        <v>50</v>
      </c>
      <c r="P1609" s="1" t="n">
        <v>113</v>
      </c>
      <c r="Q1609" s="1" t="s">
        <v>38</v>
      </c>
      <c r="R1609" s="1" t="s">
        <v>62</v>
      </c>
      <c r="S1609" s="1" t="n">
        <v>1130101</v>
      </c>
      <c r="T1609" s="1" t="s">
        <v>63</v>
      </c>
      <c r="U1609" s="1" t="n">
        <v>855.99</v>
      </c>
      <c r="W1609" s="1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" t="n">
        <v>2</v>
      </c>
      <c r="B1610" s="17" t="n">
        <v>46252</v>
      </c>
      <c r="C1610" s="17" t="n">
        <v>46261</v>
      </c>
      <c r="D1610" s="1" t="n">
        <v>1671</v>
      </c>
      <c r="E1610" s="1" t="s">
        <v>101</v>
      </c>
      <c r="F1610" s="1" t="n">
        <v>24</v>
      </c>
      <c r="G1610" s="1" t="s">
        <v>91</v>
      </c>
      <c r="H1610" s="1" t="n">
        <v>2110405</v>
      </c>
      <c r="I1610" s="1" t="s">
        <v>55</v>
      </c>
      <c r="J1610" s="1" t="n">
        <v>1567127</v>
      </c>
      <c r="L1610" s="1" t="n">
        <v>213978</v>
      </c>
      <c r="M1610" s="1" t="s">
        <v>36</v>
      </c>
      <c r="N1610" s="1" t="s">
        <v>50</v>
      </c>
      <c r="P1610" s="1" t="n">
        <v>113</v>
      </c>
      <c r="Q1610" s="1" t="s">
        <v>38</v>
      </c>
      <c r="R1610" s="1" t="s">
        <v>62</v>
      </c>
      <c r="S1610" s="1" t="n">
        <v>1130101</v>
      </c>
      <c r="T1610" s="1" t="s">
        <v>63</v>
      </c>
      <c r="U1610" s="1" t="n">
        <v>793.82</v>
      </c>
      <c r="W1610" s="1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" t="n">
        <v>2</v>
      </c>
      <c r="B1611" s="17" t="n">
        <v>46254</v>
      </c>
      <c r="C1611" s="17" t="n">
        <v>46261</v>
      </c>
      <c r="D1611" s="1" t="n">
        <v>10018</v>
      </c>
      <c r="E1611" s="1" t="s">
        <v>243</v>
      </c>
      <c r="F1611" s="1" t="n">
        <v>34</v>
      </c>
      <c r="G1611" s="1" t="s">
        <v>110</v>
      </c>
      <c r="H1611" s="1" t="n">
        <v>2110405</v>
      </c>
      <c r="I1611" s="1" t="s">
        <v>55</v>
      </c>
      <c r="J1611" s="1" t="n">
        <v>1577576</v>
      </c>
      <c r="L1611" s="1" t="n">
        <v>215690</v>
      </c>
      <c r="M1611" s="1" t="s">
        <v>36</v>
      </c>
      <c r="N1611" s="1" t="s">
        <v>50</v>
      </c>
      <c r="P1611" s="1" t="n">
        <v>113</v>
      </c>
      <c r="Q1611" s="1" t="s">
        <v>38</v>
      </c>
      <c r="R1611" s="1" t="s">
        <v>62</v>
      </c>
      <c r="S1611" s="1" t="n">
        <v>1130101</v>
      </c>
      <c r="T1611" s="1" t="s">
        <v>63</v>
      </c>
      <c r="U1611" s="1" t="n">
        <v>1734.8</v>
      </c>
      <c r="W1611" s="1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" t="n">
        <v>2</v>
      </c>
      <c r="B1612" s="17" t="n">
        <v>46259</v>
      </c>
      <c r="C1612" s="17" t="n">
        <v>46261</v>
      </c>
      <c r="D1612" s="1" t="n">
        <v>642</v>
      </c>
      <c r="E1612" s="1" t="s">
        <v>144</v>
      </c>
      <c r="F1612" s="1" t="n">
        <v>24</v>
      </c>
      <c r="G1612" s="1" t="s">
        <v>91</v>
      </c>
      <c r="H1612" s="1" t="n">
        <v>2110405</v>
      </c>
      <c r="I1612" s="1" t="s">
        <v>55</v>
      </c>
      <c r="J1612" s="1" t="n">
        <v>1599474</v>
      </c>
      <c r="L1612" s="1" t="n">
        <v>218956</v>
      </c>
      <c r="M1612" s="1" t="s">
        <v>36</v>
      </c>
      <c r="N1612" s="1" t="s">
        <v>50</v>
      </c>
      <c r="P1612" s="1" t="n">
        <v>113</v>
      </c>
      <c r="Q1612" s="1" t="s">
        <v>38</v>
      </c>
      <c r="R1612" s="1" t="s">
        <v>62</v>
      </c>
      <c r="S1612" s="1" t="n">
        <v>1130101</v>
      </c>
      <c r="T1612" s="1" t="s">
        <v>63</v>
      </c>
      <c r="U1612" s="1" t="n">
        <v>240</v>
      </c>
      <c r="W1612" s="1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" t="n">
        <v>2</v>
      </c>
      <c r="B1613" s="17" t="n">
        <v>46261</v>
      </c>
      <c r="C1613" s="17" t="n">
        <v>46261</v>
      </c>
      <c r="D1613" s="1" t="n">
        <v>48</v>
      </c>
      <c r="E1613" s="1" t="s">
        <v>146</v>
      </c>
      <c r="F1613" s="1" t="n">
        <v>13</v>
      </c>
      <c r="G1613" s="1" t="s">
        <v>147</v>
      </c>
      <c r="H1613" s="1" t="n">
        <v>2110101</v>
      </c>
      <c r="I1613" s="1" t="s">
        <v>48</v>
      </c>
      <c r="J1613" s="1" t="n">
        <v>1609212</v>
      </c>
      <c r="L1613" s="1" t="n">
        <v>2635</v>
      </c>
      <c r="M1613" s="1" t="s">
        <v>36</v>
      </c>
      <c r="N1613" s="1" t="s">
        <v>68</v>
      </c>
      <c r="P1613" s="1" t="n">
        <v>113</v>
      </c>
      <c r="Q1613" s="1" t="s">
        <v>38</v>
      </c>
      <c r="R1613" s="1" t="s">
        <v>62</v>
      </c>
      <c r="S1613" s="1" t="n">
        <v>1130101</v>
      </c>
      <c r="T1613" s="1" t="s">
        <v>63</v>
      </c>
      <c r="U1613" s="1" t="n">
        <v>225</v>
      </c>
      <c r="W1613" s="1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2</v>
      </c>
      <c r="B1614" s="17" t="n">
        <v>46261</v>
      </c>
      <c r="C1614" s="17" t="n">
        <v>46261</v>
      </c>
      <c r="D1614" s="1" t="n">
        <v>1695</v>
      </c>
      <c r="E1614" s="1" t="s">
        <v>392</v>
      </c>
      <c r="F1614" s="1" t="n">
        <v>34</v>
      </c>
      <c r="G1614" s="1" t="s">
        <v>110</v>
      </c>
      <c r="H1614" s="1" t="n">
        <v>2110405</v>
      </c>
      <c r="I1614" s="1" t="s">
        <v>55</v>
      </c>
      <c r="J1614" s="1" t="n">
        <v>1609832</v>
      </c>
      <c r="L1614" s="1" t="n">
        <v>220669</v>
      </c>
      <c r="M1614" s="1" t="s">
        <v>36</v>
      </c>
      <c r="N1614" s="1" t="s">
        <v>50</v>
      </c>
      <c r="P1614" s="1" t="n">
        <v>113</v>
      </c>
      <c r="Q1614" s="1" t="s">
        <v>38</v>
      </c>
      <c r="R1614" s="1" t="s">
        <v>62</v>
      </c>
      <c r="S1614" s="1" t="n">
        <v>1130101</v>
      </c>
      <c r="T1614" s="1" t="s">
        <v>63</v>
      </c>
      <c r="U1614" s="1" t="n">
        <v>610.06</v>
      </c>
      <c r="W1614" s="1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2</v>
      </c>
      <c r="B1615" s="17" t="n">
        <v>46261</v>
      </c>
      <c r="C1615" s="17" t="n">
        <v>46261</v>
      </c>
      <c r="D1615" s="1" t="n">
        <v>10096</v>
      </c>
      <c r="E1615" s="1" t="s">
        <v>624</v>
      </c>
      <c r="F1615" s="1" t="n">
        <v>13</v>
      </c>
      <c r="G1615" s="1" t="s">
        <v>147</v>
      </c>
      <c r="H1615" s="1" t="n">
        <v>2110405</v>
      </c>
      <c r="I1615" s="1" t="s">
        <v>55</v>
      </c>
      <c r="J1615" s="1" t="n">
        <v>1613667</v>
      </c>
      <c r="L1615" s="1" t="n">
        <v>221241</v>
      </c>
      <c r="M1615" s="1" t="s">
        <v>36</v>
      </c>
      <c r="N1615" s="1" t="s">
        <v>50</v>
      </c>
      <c r="P1615" s="1" t="n">
        <v>113</v>
      </c>
      <c r="Q1615" s="1" t="s">
        <v>38</v>
      </c>
      <c r="R1615" s="1" t="s">
        <v>62</v>
      </c>
      <c r="S1615" s="1" t="n">
        <v>1130101</v>
      </c>
      <c r="T1615" s="1" t="s">
        <v>63</v>
      </c>
      <c r="U1615" s="1" t="n">
        <v>140</v>
      </c>
      <c r="W1615" s="1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" t="n">
        <v>2</v>
      </c>
      <c r="B1616" s="17" t="n">
        <v>46262</v>
      </c>
      <c r="C1616" s="17" t="n">
        <v>46262</v>
      </c>
      <c r="D1616" s="1" t="n">
        <v>0</v>
      </c>
      <c r="E1616" s="1" t="s">
        <v>33</v>
      </c>
      <c r="F1616" s="1" t="n">
        <v>17</v>
      </c>
      <c r="G1616" s="1" t="s">
        <v>34</v>
      </c>
      <c r="H1616" s="1" t="n">
        <v>1110101</v>
      </c>
      <c r="I1616" s="1" t="s">
        <v>35</v>
      </c>
      <c r="J1616" s="1" t="n">
        <v>1629952</v>
      </c>
      <c r="L1616" s="1" t="n">
        <v>1629952</v>
      </c>
      <c r="M1616" s="1" t="s">
        <v>36</v>
      </c>
      <c r="N1616" s="1" t="s">
        <v>37</v>
      </c>
      <c r="P1616" s="1" t="n">
        <v>113</v>
      </c>
      <c r="Q1616" s="1" t="s">
        <v>38</v>
      </c>
      <c r="R1616" s="1" t="s">
        <v>39</v>
      </c>
      <c r="S1616" s="1" t="n">
        <v>4210314</v>
      </c>
      <c r="T1616" s="1" t="s">
        <v>40</v>
      </c>
      <c r="U1616" s="1" t="n">
        <v>50</v>
      </c>
      <c r="W1616" s="1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2</v>
      </c>
      <c r="B1617" s="17" t="n">
        <v>46262</v>
      </c>
      <c r="C1617" s="17" t="n">
        <v>46262</v>
      </c>
      <c r="D1617" s="1" t="n">
        <v>0</v>
      </c>
      <c r="E1617" s="1" t="s">
        <v>33</v>
      </c>
      <c r="F1617" s="1" t="n">
        <v>17</v>
      </c>
      <c r="G1617" s="1" t="s">
        <v>34</v>
      </c>
      <c r="H1617" s="1" t="n">
        <v>1110101</v>
      </c>
      <c r="I1617" s="1" t="s">
        <v>35</v>
      </c>
      <c r="J1617" s="1" t="n">
        <v>1629953</v>
      </c>
      <c r="L1617" s="1" t="n">
        <v>1629953</v>
      </c>
      <c r="M1617" s="1" t="s">
        <v>36</v>
      </c>
      <c r="N1617" s="1" t="s">
        <v>37</v>
      </c>
      <c r="P1617" s="1" t="n">
        <v>113</v>
      </c>
      <c r="Q1617" s="1" t="s">
        <v>38</v>
      </c>
      <c r="R1617" s="1" t="s">
        <v>39</v>
      </c>
      <c r="S1617" s="1" t="n">
        <v>4210314</v>
      </c>
      <c r="T1617" s="1" t="s">
        <v>40</v>
      </c>
      <c r="U1617" s="1" t="n">
        <v>70</v>
      </c>
      <c r="W1617" s="1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2</v>
      </c>
      <c r="B1618" s="17" t="n">
        <v>46262</v>
      </c>
      <c r="C1618" s="17" t="n">
        <v>46262</v>
      </c>
      <c r="D1618" s="1" t="n">
        <v>0</v>
      </c>
      <c r="E1618" s="1" t="s">
        <v>33</v>
      </c>
      <c r="F1618" s="1" t="n">
        <v>17</v>
      </c>
      <c r="G1618" s="1" t="s">
        <v>34</v>
      </c>
      <c r="H1618" s="1" t="n">
        <v>1110101</v>
      </c>
      <c r="I1618" s="1" t="s">
        <v>35</v>
      </c>
      <c r="J1618" s="1" t="n">
        <v>1629954</v>
      </c>
      <c r="L1618" s="1" t="n">
        <v>1629954</v>
      </c>
      <c r="M1618" s="1" t="s">
        <v>36</v>
      </c>
      <c r="N1618" s="1" t="s">
        <v>37</v>
      </c>
      <c r="P1618" s="1" t="n">
        <v>113</v>
      </c>
      <c r="Q1618" s="1" t="s">
        <v>38</v>
      </c>
      <c r="R1618" s="1" t="s">
        <v>55</v>
      </c>
      <c r="S1618" s="1" t="n">
        <v>2110405</v>
      </c>
      <c r="T1618" s="1" t="s">
        <v>55</v>
      </c>
      <c r="U1618" s="1" t="n">
        <v>160.32</v>
      </c>
      <c r="W1618" s="1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2</v>
      </c>
      <c r="B1619" s="17" t="n">
        <v>46262</v>
      </c>
      <c r="C1619" s="17" t="n">
        <v>46262</v>
      </c>
      <c r="D1619" s="1" t="n">
        <v>0</v>
      </c>
      <c r="E1619" s="1" t="s">
        <v>33</v>
      </c>
      <c r="F1619" s="1" t="n">
        <v>17</v>
      </c>
      <c r="G1619" s="1" t="s">
        <v>34</v>
      </c>
      <c r="H1619" s="1" t="n">
        <v>1110101</v>
      </c>
      <c r="I1619" s="1" t="s">
        <v>35</v>
      </c>
      <c r="J1619" s="1" t="n">
        <v>1646145</v>
      </c>
      <c r="L1619" s="1" t="n">
        <v>1646145</v>
      </c>
      <c r="M1619" s="1" t="s">
        <v>36</v>
      </c>
      <c r="N1619" s="1" t="s">
        <v>37</v>
      </c>
      <c r="P1619" s="1" t="n">
        <v>113</v>
      </c>
      <c r="Q1619" s="1" t="s">
        <v>38</v>
      </c>
      <c r="R1619" s="1" t="s">
        <v>70</v>
      </c>
      <c r="S1619" s="1" t="n">
        <v>4210227</v>
      </c>
      <c r="T1619" s="1" t="s">
        <v>77</v>
      </c>
      <c r="U1619" s="1" t="n">
        <v>300</v>
      </c>
      <c r="W1619" s="1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2</v>
      </c>
      <c r="B1620" s="17" t="n">
        <v>46244</v>
      </c>
      <c r="C1620" s="17" t="n">
        <v>46262</v>
      </c>
      <c r="D1620" s="1" t="n">
        <v>1666</v>
      </c>
      <c r="E1620" s="1" t="s">
        <v>229</v>
      </c>
      <c r="F1620" s="1" t="n">
        <v>24</v>
      </c>
      <c r="G1620" s="1" t="s">
        <v>91</v>
      </c>
      <c r="H1620" s="1" t="n">
        <v>2110405</v>
      </c>
      <c r="I1620" s="1" t="s">
        <v>55</v>
      </c>
      <c r="J1620" s="1" t="n">
        <v>1529119</v>
      </c>
      <c r="L1620" s="1" t="n">
        <v>207951</v>
      </c>
      <c r="M1620" s="1" t="s">
        <v>36</v>
      </c>
      <c r="N1620" s="1" t="s">
        <v>50</v>
      </c>
      <c r="P1620" s="1" t="n">
        <v>113</v>
      </c>
      <c r="Q1620" s="1" t="s">
        <v>38</v>
      </c>
      <c r="R1620" s="1" t="s">
        <v>62</v>
      </c>
      <c r="S1620" s="1" t="n">
        <v>1130101</v>
      </c>
      <c r="T1620" s="1" t="s">
        <v>63</v>
      </c>
      <c r="U1620" s="1" t="n">
        <v>4605.48</v>
      </c>
      <c r="W1620" s="1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" t="n">
        <v>2</v>
      </c>
      <c r="B1621" s="17" t="n">
        <v>46248</v>
      </c>
      <c r="C1621" s="17" t="n">
        <v>46262</v>
      </c>
      <c r="D1621" s="1" t="n">
        <v>1705</v>
      </c>
      <c r="E1621" s="1" t="s">
        <v>131</v>
      </c>
      <c r="F1621" s="1" t="n">
        <v>24</v>
      </c>
      <c r="G1621" s="1" t="s">
        <v>91</v>
      </c>
      <c r="H1621" s="1" t="n">
        <v>2110405</v>
      </c>
      <c r="I1621" s="1" t="s">
        <v>55</v>
      </c>
      <c r="J1621" s="1" t="n">
        <v>1546022</v>
      </c>
      <c r="L1621" s="1" t="n">
        <v>211208</v>
      </c>
      <c r="M1621" s="1" t="s">
        <v>36</v>
      </c>
      <c r="N1621" s="1" t="s">
        <v>50</v>
      </c>
      <c r="P1621" s="1" t="n">
        <v>113</v>
      </c>
      <c r="Q1621" s="1" t="s">
        <v>38</v>
      </c>
      <c r="R1621" s="1" t="s">
        <v>62</v>
      </c>
      <c r="S1621" s="1" t="n">
        <v>1130101</v>
      </c>
      <c r="T1621" s="1" t="s">
        <v>63</v>
      </c>
      <c r="U1621" s="1" t="n">
        <v>50.85</v>
      </c>
      <c r="W1621" s="1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" t="n">
        <v>2</v>
      </c>
      <c r="B1622" s="17" t="n">
        <v>46248</v>
      </c>
      <c r="C1622" s="17" t="n">
        <v>46262</v>
      </c>
      <c r="D1622" s="1" t="n">
        <v>1705</v>
      </c>
      <c r="E1622" s="1" t="s">
        <v>131</v>
      </c>
      <c r="F1622" s="1" t="n">
        <v>24</v>
      </c>
      <c r="G1622" s="1" t="s">
        <v>91</v>
      </c>
      <c r="H1622" s="1" t="n">
        <v>2110405</v>
      </c>
      <c r="I1622" s="1" t="s">
        <v>55</v>
      </c>
      <c r="J1622" s="1" t="n">
        <v>1546035</v>
      </c>
      <c r="L1622" s="1" t="n">
        <v>211216</v>
      </c>
      <c r="M1622" s="1" t="s">
        <v>36</v>
      </c>
      <c r="N1622" s="1" t="s">
        <v>50</v>
      </c>
      <c r="P1622" s="1" t="n">
        <v>113</v>
      </c>
      <c r="Q1622" s="1" t="s">
        <v>38</v>
      </c>
      <c r="R1622" s="1" t="s">
        <v>62</v>
      </c>
      <c r="S1622" s="1" t="n">
        <v>1130101</v>
      </c>
      <c r="T1622" s="1" t="s">
        <v>63</v>
      </c>
      <c r="U1622" s="1" t="n">
        <v>620.26</v>
      </c>
      <c r="W1622" s="1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" t="n">
        <v>2</v>
      </c>
      <c r="B1623" s="17" t="n">
        <v>46248</v>
      </c>
      <c r="C1623" s="17" t="n">
        <v>46262</v>
      </c>
      <c r="D1623" s="1" t="n">
        <v>1705</v>
      </c>
      <c r="E1623" s="1" t="s">
        <v>131</v>
      </c>
      <c r="F1623" s="1" t="n">
        <v>24</v>
      </c>
      <c r="G1623" s="1" t="s">
        <v>91</v>
      </c>
      <c r="H1623" s="1" t="n">
        <v>2110405</v>
      </c>
      <c r="I1623" s="1" t="s">
        <v>55</v>
      </c>
      <c r="J1623" s="1" t="n">
        <v>1546067</v>
      </c>
      <c r="L1623" s="1" t="n">
        <v>211225</v>
      </c>
      <c r="M1623" s="1" t="s">
        <v>36</v>
      </c>
      <c r="N1623" s="1" t="s">
        <v>50</v>
      </c>
      <c r="P1623" s="1" t="n">
        <v>113</v>
      </c>
      <c r="Q1623" s="1" t="s">
        <v>38</v>
      </c>
      <c r="R1623" s="1" t="s">
        <v>62</v>
      </c>
      <c r="S1623" s="1" t="n">
        <v>1130101</v>
      </c>
      <c r="T1623" s="1" t="s">
        <v>63</v>
      </c>
      <c r="U1623" s="1" t="n">
        <v>2148.12</v>
      </c>
      <c r="W1623" s="1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" t="n">
        <v>2</v>
      </c>
      <c r="B1624" s="17" t="n">
        <v>46252</v>
      </c>
      <c r="C1624" s="17" t="n">
        <v>46262</v>
      </c>
      <c r="D1624" s="1" t="n">
        <v>1699</v>
      </c>
      <c r="E1624" s="1" t="s">
        <v>231</v>
      </c>
      <c r="F1624" s="1" t="n">
        <v>24</v>
      </c>
      <c r="G1624" s="1" t="s">
        <v>91</v>
      </c>
      <c r="H1624" s="1" t="n">
        <v>2110405</v>
      </c>
      <c r="I1624" s="1" t="s">
        <v>55</v>
      </c>
      <c r="J1624" s="1" t="n">
        <v>1568208</v>
      </c>
      <c r="L1624" s="1" t="n">
        <v>214137</v>
      </c>
      <c r="M1624" s="1" t="s">
        <v>36</v>
      </c>
      <c r="N1624" s="1" t="s">
        <v>50</v>
      </c>
      <c r="P1624" s="1" t="n">
        <v>113</v>
      </c>
      <c r="Q1624" s="1" t="s">
        <v>38</v>
      </c>
      <c r="R1624" s="1" t="s">
        <v>62</v>
      </c>
      <c r="S1624" s="1" t="n">
        <v>1130101</v>
      </c>
      <c r="T1624" s="1" t="s">
        <v>63</v>
      </c>
      <c r="U1624" s="1" t="n">
        <v>474.75</v>
      </c>
      <c r="W1624" s="1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" t="n">
        <v>2</v>
      </c>
      <c r="B1625" s="17" t="n">
        <v>46253</v>
      </c>
      <c r="C1625" s="17" t="n">
        <v>46262</v>
      </c>
      <c r="D1625" s="1" t="n">
        <v>1723</v>
      </c>
      <c r="E1625" s="1" t="s">
        <v>373</v>
      </c>
      <c r="F1625" s="1" t="n">
        <v>24</v>
      </c>
      <c r="G1625" s="1" t="s">
        <v>91</v>
      </c>
      <c r="H1625" s="1" t="n">
        <v>2110405</v>
      </c>
      <c r="I1625" s="1" t="s">
        <v>55</v>
      </c>
      <c r="J1625" s="1" t="n">
        <v>1572402</v>
      </c>
      <c r="L1625" s="1" t="n">
        <v>214810</v>
      </c>
      <c r="M1625" s="1" t="s">
        <v>36</v>
      </c>
      <c r="N1625" s="1" t="s">
        <v>50</v>
      </c>
      <c r="P1625" s="1" t="n">
        <v>113</v>
      </c>
      <c r="Q1625" s="1" t="s">
        <v>38</v>
      </c>
      <c r="R1625" s="1" t="s">
        <v>62</v>
      </c>
      <c r="S1625" s="1" t="n">
        <v>1130101</v>
      </c>
      <c r="T1625" s="1" t="s">
        <v>63</v>
      </c>
      <c r="U1625" s="1" t="n">
        <v>2334.75</v>
      </c>
      <c r="W1625" s="1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" t="n">
        <v>2</v>
      </c>
      <c r="B1626" s="17" t="n">
        <v>46255</v>
      </c>
      <c r="C1626" s="17" t="n">
        <v>46262</v>
      </c>
      <c r="D1626" s="1" t="n">
        <v>1292</v>
      </c>
      <c r="E1626" s="1" t="s">
        <v>205</v>
      </c>
      <c r="F1626" s="1" t="n">
        <v>24</v>
      </c>
      <c r="G1626" s="1" t="s">
        <v>91</v>
      </c>
      <c r="H1626" s="1" t="n">
        <v>2110405</v>
      </c>
      <c r="I1626" s="1" t="s">
        <v>55</v>
      </c>
      <c r="J1626" s="1" t="n">
        <v>1580953</v>
      </c>
      <c r="L1626" s="1" t="n">
        <v>216244</v>
      </c>
      <c r="M1626" s="1" t="s">
        <v>36</v>
      </c>
      <c r="N1626" s="1" t="s">
        <v>50</v>
      </c>
      <c r="P1626" s="1" t="n">
        <v>113</v>
      </c>
      <c r="Q1626" s="1" t="s">
        <v>38</v>
      </c>
      <c r="R1626" s="1" t="s">
        <v>62</v>
      </c>
      <c r="S1626" s="1" t="n">
        <v>1130101</v>
      </c>
      <c r="T1626" s="1" t="s">
        <v>63</v>
      </c>
      <c r="U1626" s="1" t="n">
        <v>814.25</v>
      </c>
      <c r="W1626" s="1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" t="n">
        <v>2</v>
      </c>
      <c r="B1627" s="17" t="n">
        <v>46255</v>
      </c>
      <c r="C1627" s="17" t="n">
        <v>46262</v>
      </c>
      <c r="D1627" s="1" t="n">
        <v>48</v>
      </c>
      <c r="E1627" s="1" t="s">
        <v>146</v>
      </c>
      <c r="F1627" s="1" t="n">
        <v>34</v>
      </c>
      <c r="G1627" s="1" t="s">
        <v>110</v>
      </c>
      <c r="H1627" s="1" t="n">
        <v>2110101</v>
      </c>
      <c r="I1627" s="1" t="s">
        <v>48</v>
      </c>
      <c r="J1627" s="1" t="n">
        <v>1582083</v>
      </c>
      <c r="L1627" s="1" t="n">
        <v>2624</v>
      </c>
      <c r="M1627" s="1" t="s">
        <v>36</v>
      </c>
      <c r="N1627" s="1" t="s">
        <v>68</v>
      </c>
      <c r="P1627" s="1" t="n">
        <v>113</v>
      </c>
      <c r="Q1627" s="1" t="s">
        <v>38</v>
      </c>
      <c r="R1627" s="1" t="s">
        <v>62</v>
      </c>
      <c r="S1627" s="1" t="n">
        <v>1130101</v>
      </c>
      <c r="T1627" s="1" t="s">
        <v>63</v>
      </c>
      <c r="U1627" s="1" t="n">
        <v>1383</v>
      </c>
      <c r="W1627" s="1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2</v>
      </c>
      <c r="B1628" s="17" t="n">
        <v>46256</v>
      </c>
      <c r="C1628" s="17" t="n">
        <v>46262</v>
      </c>
      <c r="D1628" s="1" t="n">
        <v>1666</v>
      </c>
      <c r="E1628" s="1" t="s">
        <v>229</v>
      </c>
      <c r="F1628" s="1" t="n">
        <v>24</v>
      </c>
      <c r="G1628" s="1" t="s">
        <v>91</v>
      </c>
      <c r="H1628" s="1" t="n">
        <v>2110405</v>
      </c>
      <c r="I1628" s="1" t="s">
        <v>55</v>
      </c>
      <c r="J1628" s="1" t="n">
        <v>1585290</v>
      </c>
      <c r="L1628" s="1" t="n">
        <v>216888</v>
      </c>
      <c r="M1628" s="1" t="s">
        <v>36</v>
      </c>
      <c r="N1628" s="1" t="s">
        <v>50</v>
      </c>
      <c r="P1628" s="1" t="n">
        <v>113</v>
      </c>
      <c r="Q1628" s="1" t="s">
        <v>38</v>
      </c>
      <c r="R1628" s="1" t="s">
        <v>62</v>
      </c>
      <c r="S1628" s="1" t="n">
        <v>1130101</v>
      </c>
      <c r="T1628" s="1" t="s">
        <v>63</v>
      </c>
      <c r="U1628" s="1" t="n">
        <v>5860.74</v>
      </c>
      <c r="W1628" s="1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" t="n">
        <v>2</v>
      </c>
      <c r="B1629" s="17" t="n">
        <v>46262</v>
      </c>
      <c r="C1629" s="17" t="n">
        <v>46262</v>
      </c>
      <c r="D1629" s="1" t="n">
        <v>12</v>
      </c>
      <c r="E1629" s="1" t="s">
        <v>54</v>
      </c>
      <c r="F1629" s="1" t="n">
        <v>34</v>
      </c>
      <c r="G1629" s="1" t="s">
        <v>110</v>
      </c>
      <c r="H1629" s="1" t="n">
        <v>2110405</v>
      </c>
      <c r="I1629" s="1" t="s">
        <v>55</v>
      </c>
      <c r="J1629" s="1" t="n">
        <v>1613912</v>
      </c>
      <c r="L1629" s="1" t="n">
        <v>221306</v>
      </c>
      <c r="M1629" s="1" t="s">
        <v>36</v>
      </c>
      <c r="N1629" s="1" t="s">
        <v>50</v>
      </c>
      <c r="P1629" s="1" t="n">
        <v>101</v>
      </c>
      <c r="Q1629" s="1" t="s">
        <v>56</v>
      </c>
      <c r="R1629" s="1" t="s">
        <v>39</v>
      </c>
      <c r="S1629" s="1" t="n">
        <v>4210314</v>
      </c>
      <c r="T1629" s="1" t="s">
        <v>40</v>
      </c>
      <c r="U1629" s="1" t="n">
        <v>970</v>
      </c>
      <c r="W1629" s="1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2</v>
      </c>
      <c r="B1630" s="17" t="n">
        <v>46262</v>
      </c>
      <c r="C1630" s="17" t="n">
        <v>46262</v>
      </c>
      <c r="D1630" s="1" t="n">
        <v>48</v>
      </c>
      <c r="E1630" s="1" t="s">
        <v>146</v>
      </c>
      <c r="F1630" s="1" t="n">
        <v>34</v>
      </c>
      <c r="G1630" s="1" t="s">
        <v>110</v>
      </c>
      <c r="H1630" s="1" t="n">
        <v>2110101</v>
      </c>
      <c r="I1630" s="1" t="s">
        <v>48</v>
      </c>
      <c r="J1630" s="1" t="n">
        <v>1614644</v>
      </c>
      <c r="L1630" s="1" t="n">
        <v>2636</v>
      </c>
      <c r="M1630" s="1" t="s">
        <v>36</v>
      </c>
      <c r="N1630" s="1" t="s">
        <v>68</v>
      </c>
      <c r="P1630" s="1" t="n">
        <v>113</v>
      </c>
      <c r="Q1630" s="1" t="s">
        <v>38</v>
      </c>
      <c r="R1630" s="1" t="s">
        <v>62</v>
      </c>
      <c r="S1630" s="1" t="n">
        <v>1130101</v>
      </c>
      <c r="T1630" s="1" t="s">
        <v>63</v>
      </c>
      <c r="U1630" s="1" t="n">
        <v>200</v>
      </c>
      <c r="W1630" s="1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2</v>
      </c>
      <c r="B1631" s="17" t="n">
        <v>46262</v>
      </c>
      <c r="C1631" s="17" t="n">
        <v>46262</v>
      </c>
      <c r="D1631" s="1" t="n">
        <v>1783</v>
      </c>
      <c r="E1631" s="1" t="s">
        <v>356</v>
      </c>
      <c r="F1631" s="1" t="n">
        <v>13</v>
      </c>
      <c r="G1631" s="1" t="s">
        <v>147</v>
      </c>
      <c r="H1631" s="1" t="n">
        <v>2110405</v>
      </c>
      <c r="I1631" s="1" t="s">
        <v>55</v>
      </c>
      <c r="J1631" s="1" t="n">
        <v>1614652</v>
      </c>
      <c r="L1631" s="1" t="n">
        <v>221475</v>
      </c>
      <c r="M1631" s="1" t="s">
        <v>36</v>
      </c>
      <c r="N1631" s="1" t="s">
        <v>50</v>
      </c>
      <c r="P1631" s="1" t="n">
        <v>113</v>
      </c>
      <c r="Q1631" s="1" t="s">
        <v>38</v>
      </c>
      <c r="R1631" s="1" t="s">
        <v>62</v>
      </c>
      <c r="S1631" s="1" t="n">
        <v>1130101</v>
      </c>
      <c r="T1631" s="1" t="s">
        <v>63</v>
      </c>
      <c r="U1631" s="1" t="n">
        <v>160.32</v>
      </c>
      <c r="W1631" s="1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" t="n">
        <v>2</v>
      </c>
      <c r="B1632" s="17" t="n">
        <v>46262</v>
      </c>
      <c r="C1632" s="17" t="n">
        <v>46262</v>
      </c>
      <c r="D1632" s="1" t="n">
        <v>48</v>
      </c>
      <c r="E1632" s="1" t="s">
        <v>146</v>
      </c>
      <c r="F1632" s="1" t="n">
        <v>34</v>
      </c>
      <c r="G1632" s="1" t="s">
        <v>110</v>
      </c>
      <c r="H1632" s="1" t="n">
        <v>2110101</v>
      </c>
      <c r="I1632" s="1" t="s">
        <v>48</v>
      </c>
      <c r="J1632" s="1" t="n">
        <v>1614784</v>
      </c>
      <c r="L1632" s="1" t="n">
        <v>2637</v>
      </c>
      <c r="M1632" s="1" t="s">
        <v>36</v>
      </c>
      <c r="N1632" s="1" t="s">
        <v>68</v>
      </c>
      <c r="P1632" s="1" t="n">
        <v>113</v>
      </c>
      <c r="Q1632" s="1" t="s">
        <v>38</v>
      </c>
      <c r="R1632" s="1" t="s">
        <v>62</v>
      </c>
      <c r="S1632" s="1" t="n">
        <v>1130101</v>
      </c>
      <c r="T1632" s="1" t="s">
        <v>63</v>
      </c>
      <c r="U1632" s="1" t="n">
        <v>1457.5</v>
      </c>
      <c r="W1632" s="1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2</v>
      </c>
      <c r="B1633" s="17" t="n">
        <v>46262</v>
      </c>
      <c r="C1633" s="17" t="n">
        <v>46262</v>
      </c>
      <c r="D1633" s="1" t="n">
        <v>1037</v>
      </c>
      <c r="E1633" s="1" t="s">
        <v>153</v>
      </c>
      <c r="F1633" s="1" t="n">
        <v>34</v>
      </c>
      <c r="G1633" s="1" t="s">
        <v>110</v>
      </c>
      <c r="H1633" s="1" t="n">
        <v>2110405</v>
      </c>
      <c r="I1633" s="1" t="s">
        <v>55</v>
      </c>
      <c r="J1633" s="1" t="n">
        <v>1614809</v>
      </c>
      <c r="L1633" s="1" t="n">
        <v>221504</v>
      </c>
      <c r="M1633" s="1" t="s">
        <v>36</v>
      </c>
      <c r="N1633" s="1" t="s">
        <v>50</v>
      </c>
      <c r="P1633" s="1" t="n">
        <v>113</v>
      </c>
      <c r="Q1633" s="1" t="s">
        <v>38</v>
      </c>
      <c r="R1633" s="1" t="s">
        <v>62</v>
      </c>
      <c r="S1633" s="1" t="n">
        <v>1130101</v>
      </c>
      <c r="T1633" s="1" t="s">
        <v>63</v>
      </c>
      <c r="U1633" s="1" t="n">
        <v>380</v>
      </c>
      <c r="W1633" s="1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2</v>
      </c>
      <c r="B1634" s="17" t="n">
        <v>46263</v>
      </c>
      <c r="C1634" s="17" t="n">
        <v>46263</v>
      </c>
      <c r="D1634" s="1" t="n">
        <v>0</v>
      </c>
      <c r="E1634" s="1" t="s">
        <v>33</v>
      </c>
      <c r="F1634" s="1" t="n">
        <v>17</v>
      </c>
      <c r="G1634" s="1" t="s">
        <v>34</v>
      </c>
      <c r="H1634" s="1" t="n">
        <v>1110101</v>
      </c>
      <c r="I1634" s="1" t="s">
        <v>35</v>
      </c>
      <c r="J1634" s="1" t="n">
        <v>1629984</v>
      </c>
      <c r="L1634" s="1" t="n">
        <v>1629984</v>
      </c>
      <c r="M1634" s="1" t="s">
        <v>36</v>
      </c>
      <c r="N1634" s="1" t="s">
        <v>37</v>
      </c>
      <c r="P1634" s="1" t="n">
        <v>113</v>
      </c>
      <c r="Q1634" s="1" t="s">
        <v>38</v>
      </c>
      <c r="R1634" s="1" t="s">
        <v>55</v>
      </c>
      <c r="S1634" s="1" t="n">
        <v>2110405</v>
      </c>
      <c r="T1634" s="1" t="s">
        <v>55</v>
      </c>
      <c r="U1634" s="1" t="n">
        <v>140</v>
      </c>
      <c r="W1634" s="1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2</v>
      </c>
      <c r="B1635" s="17" t="n">
        <v>46263</v>
      </c>
      <c r="C1635" s="17" t="n">
        <v>46263</v>
      </c>
      <c r="D1635" s="1" t="n">
        <v>0</v>
      </c>
      <c r="E1635" s="1" t="s">
        <v>33</v>
      </c>
      <c r="F1635" s="1" t="n">
        <v>17</v>
      </c>
      <c r="G1635" s="1" t="s">
        <v>34</v>
      </c>
      <c r="H1635" s="1" t="n">
        <v>1110101</v>
      </c>
      <c r="I1635" s="1" t="s">
        <v>35</v>
      </c>
      <c r="J1635" s="1" t="n">
        <v>1629987</v>
      </c>
      <c r="L1635" s="1" t="n">
        <v>1629987</v>
      </c>
      <c r="M1635" s="1" t="s">
        <v>36</v>
      </c>
      <c r="N1635" s="1" t="s">
        <v>37</v>
      </c>
      <c r="P1635" s="1" t="n">
        <v>113</v>
      </c>
      <c r="Q1635" s="1" t="s">
        <v>38</v>
      </c>
      <c r="R1635" s="1" t="s">
        <v>214</v>
      </c>
      <c r="S1635" s="1" t="n">
        <v>2110101</v>
      </c>
      <c r="T1635" s="1" t="s">
        <v>48</v>
      </c>
      <c r="U1635" s="1" t="n">
        <v>300</v>
      </c>
      <c r="W1635" s="1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2</v>
      </c>
      <c r="B1636" s="17" t="n">
        <v>46263</v>
      </c>
      <c r="C1636" s="17" t="n">
        <v>46263</v>
      </c>
      <c r="D1636" s="1" t="n">
        <v>0</v>
      </c>
      <c r="E1636" s="1" t="s">
        <v>33</v>
      </c>
      <c r="F1636" s="1" t="n">
        <v>17</v>
      </c>
      <c r="G1636" s="1" t="s">
        <v>34</v>
      </c>
      <c r="H1636" s="1" t="n">
        <v>1110101</v>
      </c>
      <c r="I1636" s="1" t="s">
        <v>35</v>
      </c>
      <c r="J1636" s="1" t="n">
        <v>1629989</v>
      </c>
      <c r="L1636" s="1" t="n">
        <v>1629989</v>
      </c>
      <c r="M1636" s="1" t="s">
        <v>36</v>
      </c>
      <c r="N1636" s="1" t="s">
        <v>37</v>
      </c>
      <c r="P1636" s="1" t="n">
        <v>113</v>
      </c>
      <c r="Q1636" s="1" t="s">
        <v>38</v>
      </c>
      <c r="R1636" s="1" t="s">
        <v>39</v>
      </c>
      <c r="S1636" s="1" t="n">
        <v>4210314</v>
      </c>
      <c r="T1636" s="1" t="s">
        <v>40</v>
      </c>
      <c r="U1636" s="1" t="n">
        <v>50</v>
      </c>
      <c r="W1636" s="1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2</v>
      </c>
      <c r="B1637" s="17" t="n">
        <v>46263</v>
      </c>
      <c r="C1637" s="17" t="n">
        <v>46263</v>
      </c>
      <c r="D1637" s="1" t="n">
        <v>0</v>
      </c>
      <c r="E1637" s="1" t="s">
        <v>33</v>
      </c>
      <c r="F1637" s="1" t="n">
        <v>17</v>
      </c>
      <c r="G1637" s="1" t="s">
        <v>34</v>
      </c>
      <c r="H1637" s="1" t="n">
        <v>1110101</v>
      </c>
      <c r="I1637" s="1" t="s">
        <v>35</v>
      </c>
      <c r="J1637" s="1" t="n">
        <v>1629993</v>
      </c>
      <c r="L1637" s="1" t="n">
        <v>1629993</v>
      </c>
      <c r="M1637" s="1" t="s">
        <v>36</v>
      </c>
      <c r="N1637" s="1" t="s">
        <v>37</v>
      </c>
      <c r="P1637" s="1" t="n">
        <v>113</v>
      </c>
      <c r="Q1637" s="1" t="s">
        <v>38</v>
      </c>
      <c r="R1637" s="1" t="s">
        <v>62</v>
      </c>
      <c r="S1637" s="1" t="n">
        <v>1130101</v>
      </c>
      <c r="T1637" s="1" t="s">
        <v>63</v>
      </c>
      <c r="U1637" s="1" t="n">
        <v>200</v>
      </c>
      <c r="W1637" s="1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2</v>
      </c>
      <c r="B1638" s="17" t="n">
        <v>46263</v>
      </c>
      <c r="C1638" s="17" t="n">
        <v>46263</v>
      </c>
      <c r="D1638" s="1" t="n">
        <v>0</v>
      </c>
      <c r="E1638" s="1" t="s">
        <v>33</v>
      </c>
      <c r="F1638" s="1" t="n">
        <v>17</v>
      </c>
      <c r="G1638" s="1" t="s">
        <v>34</v>
      </c>
      <c r="H1638" s="1" t="n">
        <v>1110101</v>
      </c>
      <c r="I1638" s="1" t="s">
        <v>35</v>
      </c>
      <c r="J1638" s="1" t="n">
        <v>1629998</v>
      </c>
      <c r="L1638" s="1" t="n">
        <v>1629998</v>
      </c>
      <c r="M1638" s="1" t="s">
        <v>36</v>
      </c>
      <c r="N1638" s="1" t="s">
        <v>37</v>
      </c>
      <c r="P1638" s="1" t="n">
        <v>113</v>
      </c>
      <c r="Q1638" s="1" t="s">
        <v>38</v>
      </c>
      <c r="R1638" s="1" t="s">
        <v>62</v>
      </c>
      <c r="S1638" s="1" t="n">
        <v>1130101</v>
      </c>
      <c r="T1638" s="1" t="s">
        <v>63</v>
      </c>
      <c r="U1638" s="1" t="n">
        <v>72</v>
      </c>
      <c r="W1638" s="1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2</v>
      </c>
      <c r="B1639" s="17" t="n">
        <v>46263</v>
      </c>
      <c r="C1639" s="17" t="n">
        <v>46263</v>
      </c>
      <c r="D1639" s="1" t="n">
        <v>0</v>
      </c>
      <c r="E1639" s="1" t="s">
        <v>33</v>
      </c>
      <c r="F1639" s="1" t="n">
        <v>17</v>
      </c>
      <c r="G1639" s="1" t="s">
        <v>34</v>
      </c>
      <c r="H1639" s="1" t="n">
        <v>1110101</v>
      </c>
      <c r="I1639" s="1" t="s">
        <v>35</v>
      </c>
      <c r="J1639" s="1" t="n">
        <v>1646147</v>
      </c>
      <c r="L1639" s="1" t="n">
        <v>1646147</v>
      </c>
      <c r="M1639" s="1" t="s">
        <v>36</v>
      </c>
      <c r="N1639" s="1" t="s">
        <v>37</v>
      </c>
      <c r="P1639" s="1" t="n">
        <v>113</v>
      </c>
      <c r="Q1639" s="1" t="s">
        <v>38</v>
      </c>
      <c r="R1639" s="1" t="s">
        <v>70</v>
      </c>
      <c r="S1639" s="1" t="n">
        <v>4210227</v>
      </c>
      <c r="T1639" s="1" t="s">
        <v>77</v>
      </c>
      <c r="U1639" s="1" t="n">
        <v>200</v>
      </c>
      <c r="W1639" s="1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2</v>
      </c>
      <c r="B1640" s="17" t="n">
        <v>46263</v>
      </c>
      <c r="C1640" s="17" t="n">
        <v>46263</v>
      </c>
      <c r="D1640" s="1" t="n">
        <v>0</v>
      </c>
      <c r="E1640" s="1" t="s">
        <v>33</v>
      </c>
      <c r="F1640" s="1" t="n">
        <v>17</v>
      </c>
      <c r="G1640" s="1" t="s">
        <v>34</v>
      </c>
      <c r="H1640" s="1" t="n">
        <v>1110101</v>
      </c>
      <c r="I1640" s="1" t="s">
        <v>35</v>
      </c>
      <c r="J1640" s="1" t="n">
        <v>1646148</v>
      </c>
      <c r="L1640" s="1" t="n">
        <v>1646148</v>
      </c>
      <c r="M1640" s="1" t="s">
        <v>36</v>
      </c>
      <c r="N1640" s="1" t="s">
        <v>37</v>
      </c>
      <c r="P1640" s="1" t="n">
        <v>113</v>
      </c>
      <c r="Q1640" s="1" t="s">
        <v>38</v>
      </c>
      <c r="R1640" s="1" t="s">
        <v>70</v>
      </c>
      <c r="S1640" s="1" t="n">
        <v>4210227</v>
      </c>
      <c r="T1640" s="1" t="s">
        <v>77</v>
      </c>
      <c r="U1640" s="1" t="n">
        <v>100</v>
      </c>
      <c r="W1640" s="1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2</v>
      </c>
      <c r="B1641" s="17" t="n">
        <v>46248</v>
      </c>
      <c r="C1641" s="17" t="n">
        <v>46263</v>
      </c>
      <c r="D1641" s="1" t="n">
        <v>1718</v>
      </c>
      <c r="E1641" s="1" t="s">
        <v>222</v>
      </c>
      <c r="F1641" s="1" t="n">
        <v>24</v>
      </c>
      <c r="G1641" s="1" t="s">
        <v>91</v>
      </c>
      <c r="H1641" s="1" t="n">
        <v>2110405</v>
      </c>
      <c r="I1641" s="1" t="s">
        <v>55</v>
      </c>
      <c r="J1641" s="1" t="n">
        <v>1547746</v>
      </c>
      <c r="L1641" s="1" t="n">
        <v>211393</v>
      </c>
      <c r="M1641" s="1" t="s">
        <v>36</v>
      </c>
      <c r="N1641" s="1" t="s">
        <v>50</v>
      </c>
      <c r="P1641" s="1" t="n">
        <v>113</v>
      </c>
      <c r="Q1641" s="1" t="s">
        <v>38</v>
      </c>
      <c r="R1641" s="1" t="s">
        <v>62</v>
      </c>
      <c r="S1641" s="1" t="n">
        <v>1130101</v>
      </c>
      <c r="T1641" s="1" t="s">
        <v>63</v>
      </c>
      <c r="U1641" s="1" t="n">
        <v>706.56</v>
      </c>
      <c r="W1641" s="1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" t="n">
        <v>2</v>
      </c>
      <c r="B1642" s="17" t="n">
        <v>46249</v>
      </c>
      <c r="C1642" s="17" t="n">
        <v>46263</v>
      </c>
      <c r="D1642" s="1" t="n">
        <v>1718</v>
      </c>
      <c r="E1642" s="1" t="s">
        <v>222</v>
      </c>
      <c r="F1642" s="1" t="n">
        <v>24</v>
      </c>
      <c r="G1642" s="1" t="s">
        <v>91</v>
      </c>
      <c r="H1642" s="1" t="n">
        <v>2110405</v>
      </c>
      <c r="I1642" s="1" t="s">
        <v>55</v>
      </c>
      <c r="J1642" s="1" t="n">
        <v>1551482</v>
      </c>
      <c r="L1642" s="1" t="n">
        <v>211716</v>
      </c>
      <c r="M1642" s="1" t="s">
        <v>36</v>
      </c>
      <c r="N1642" s="1" t="s">
        <v>50</v>
      </c>
      <c r="P1642" s="1" t="n">
        <v>113</v>
      </c>
      <c r="Q1642" s="1" t="s">
        <v>38</v>
      </c>
      <c r="R1642" s="1" t="s">
        <v>62</v>
      </c>
      <c r="S1642" s="1" t="n">
        <v>1130101</v>
      </c>
      <c r="T1642" s="1" t="s">
        <v>63</v>
      </c>
      <c r="U1642" s="1" t="n">
        <v>1422.67</v>
      </c>
      <c r="W1642" s="1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" t="n">
        <v>2</v>
      </c>
      <c r="B1643" s="17" t="n">
        <v>46258</v>
      </c>
      <c r="C1643" s="17" t="n">
        <v>46263</v>
      </c>
      <c r="D1643" s="1" t="n">
        <v>1625</v>
      </c>
      <c r="E1643" s="1" t="s">
        <v>272</v>
      </c>
      <c r="F1643" s="1" t="n">
        <v>24</v>
      </c>
      <c r="G1643" s="1" t="s">
        <v>91</v>
      </c>
      <c r="H1643" s="1" t="n">
        <v>2110405</v>
      </c>
      <c r="I1643" s="1" t="s">
        <v>55</v>
      </c>
      <c r="J1643" s="1" t="n">
        <v>1595567</v>
      </c>
      <c r="L1643" s="1" t="n">
        <v>218336</v>
      </c>
      <c r="M1643" s="1" t="s">
        <v>36</v>
      </c>
      <c r="N1643" s="1" t="s">
        <v>50</v>
      </c>
      <c r="P1643" s="1" t="n">
        <v>113</v>
      </c>
      <c r="Q1643" s="1" t="s">
        <v>38</v>
      </c>
      <c r="R1643" s="1" t="s">
        <v>62</v>
      </c>
      <c r="S1643" s="1" t="n">
        <v>1130101</v>
      </c>
      <c r="T1643" s="1" t="s">
        <v>63</v>
      </c>
      <c r="U1643" s="1" t="n">
        <v>4164.18</v>
      </c>
      <c r="W1643" s="1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" t="n">
        <v>2</v>
      </c>
      <c r="B1644" s="17" t="n">
        <v>46263</v>
      </c>
      <c r="C1644" s="17" t="n">
        <v>46263</v>
      </c>
      <c r="D1644" s="1" t="n">
        <v>48</v>
      </c>
      <c r="E1644" s="1" t="s">
        <v>146</v>
      </c>
      <c r="F1644" s="1" t="n">
        <v>13</v>
      </c>
      <c r="G1644" s="1" t="s">
        <v>147</v>
      </c>
      <c r="H1644" s="1" t="n">
        <v>2110101</v>
      </c>
      <c r="I1644" s="1" t="s">
        <v>48</v>
      </c>
      <c r="J1644" s="1" t="n">
        <v>1619409</v>
      </c>
      <c r="L1644" s="1" t="n">
        <v>2640</v>
      </c>
      <c r="M1644" s="1" t="s">
        <v>36</v>
      </c>
      <c r="N1644" s="1" t="s">
        <v>68</v>
      </c>
      <c r="P1644" s="1" t="n">
        <v>113</v>
      </c>
      <c r="Q1644" s="1" t="s">
        <v>38</v>
      </c>
      <c r="R1644" s="1" t="s">
        <v>62</v>
      </c>
      <c r="S1644" s="1" t="n">
        <v>1130101</v>
      </c>
      <c r="T1644" s="1" t="s">
        <v>63</v>
      </c>
      <c r="U1644" s="1" t="n">
        <v>300</v>
      </c>
      <c r="W1644" s="1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2</v>
      </c>
      <c r="B1645" s="17" t="n">
        <v>46263</v>
      </c>
      <c r="C1645" s="17" t="n">
        <v>46263</v>
      </c>
      <c r="D1645" s="1" t="n">
        <v>10096</v>
      </c>
      <c r="E1645" s="1" t="s">
        <v>624</v>
      </c>
      <c r="F1645" s="1" t="n">
        <v>13</v>
      </c>
      <c r="G1645" s="1" t="s">
        <v>147</v>
      </c>
      <c r="H1645" s="1" t="n">
        <v>2110405</v>
      </c>
      <c r="I1645" s="1" t="s">
        <v>55</v>
      </c>
      <c r="J1645" s="1" t="n">
        <v>1628841</v>
      </c>
      <c r="L1645" s="1" t="n">
        <v>223365</v>
      </c>
      <c r="M1645" s="1" t="s">
        <v>36</v>
      </c>
      <c r="N1645" s="1" t="s">
        <v>50</v>
      </c>
      <c r="P1645" s="1" t="n">
        <v>113</v>
      </c>
      <c r="Q1645" s="1" t="s">
        <v>38</v>
      </c>
      <c r="R1645" s="1" t="s">
        <v>62</v>
      </c>
      <c r="S1645" s="1" t="n">
        <v>1130101</v>
      </c>
      <c r="T1645" s="1" t="s">
        <v>63</v>
      </c>
      <c r="U1645" s="1" t="n">
        <v>140</v>
      </c>
      <c r="W1645" s="1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" t="n">
        <v>2</v>
      </c>
      <c r="B1646" s="17" t="n">
        <v>46264</v>
      </c>
      <c r="C1646" s="17" t="n">
        <v>46264</v>
      </c>
      <c r="D1646" s="1" t="n">
        <v>0</v>
      </c>
      <c r="E1646" s="1" t="s">
        <v>33</v>
      </c>
      <c r="F1646" s="1" t="n">
        <v>17</v>
      </c>
      <c r="G1646" s="1" t="s">
        <v>34</v>
      </c>
      <c r="H1646" s="1" t="n">
        <v>1110101</v>
      </c>
      <c r="I1646" s="1" t="s">
        <v>35</v>
      </c>
      <c r="J1646" s="1" t="n">
        <v>1630014</v>
      </c>
      <c r="L1646" s="1" t="n">
        <v>1630014</v>
      </c>
      <c r="M1646" s="1" t="s">
        <v>36</v>
      </c>
      <c r="N1646" s="1" t="s">
        <v>37</v>
      </c>
      <c r="P1646" s="1" t="n">
        <v>113</v>
      </c>
      <c r="Q1646" s="1" t="s">
        <v>38</v>
      </c>
      <c r="R1646" s="1" t="s">
        <v>39</v>
      </c>
      <c r="S1646" s="1" t="n">
        <v>4210310</v>
      </c>
      <c r="T1646" s="1" t="s">
        <v>150</v>
      </c>
      <c r="U1646" s="1" t="n">
        <v>96</v>
      </c>
      <c r="W1646" s="1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2</v>
      </c>
      <c r="B1647" s="17" t="n">
        <v>46264</v>
      </c>
      <c r="C1647" s="17" t="n">
        <v>46264</v>
      </c>
      <c r="D1647" s="1" t="n">
        <v>0</v>
      </c>
      <c r="E1647" s="1" t="s">
        <v>33</v>
      </c>
      <c r="F1647" s="1" t="n">
        <v>17</v>
      </c>
      <c r="G1647" s="1" t="s">
        <v>34</v>
      </c>
      <c r="H1647" s="1" t="n">
        <v>1110101</v>
      </c>
      <c r="I1647" s="1" t="s">
        <v>35</v>
      </c>
      <c r="J1647" s="1" t="n">
        <v>1630017</v>
      </c>
      <c r="L1647" s="1" t="n">
        <v>1630017</v>
      </c>
      <c r="M1647" s="1" t="s">
        <v>36</v>
      </c>
      <c r="N1647" s="1" t="s">
        <v>37</v>
      </c>
      <c r="P1647" s="1" t="n">
        <v>113</v>
      </c>
      <c r="Q1647" s="1" t="s">
        <v>38</v>
      </c>
      <c r="R1647" s="1" t="s">
        <v>39</v>
      </c>
      <c r="S1647" s="1" t="n">
        <v>4210310</v>
      </c>
      <c r="T1647" s="1" t="s">
        <v>150</v>
      </c>
      <c r="U1647" s="1" t="n">
        <v>40</v>
      </c>
      <c r="W1647" s="1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2</v>
      </c>
      <c r="B1648" s="17" t="n">
        <v>46264</v>
      </c>
      <c r="C1648" s="17" t="n">
        <v>46264</v>
      </c>
      <c r="D1648" s="1" t="n">
        <v>0</v>
      </c>
      <c r="E1648" s="1" t="s">
        <v>33</v>
      </c>
      <c r="F1648" s="1" t="n">
        <v>17</v>
      </c>
      <c r="G1648" s="1" t="s">
        <v>34</v>
      </c>
      <c r="H1648" s="1" t="n">
        <v>1110101</v>
      </c>
      <c r="I1648" s="1" t="s">
        <v>35</v>
      </c>
      <c r="J1648" s="1" t="n">
        <v>1646150</v>
      </c>
      <c r="L1648" s="1" t="n">
        <v>1646150</v>
      </c>
      <c r="M1648" s="1" t="s">
        <v>36</v>
      </c>
      <c r="N1648" s="1" t="s">
        <v>37</v>
      </c>
      <c r="P1648" s="1" t="n">
        <v>113</v>
      </c>
      <c r="Q1648" s="1" t="s">
        <v>38</v>
      </c>
      <c r="R1648" s="1" t="s">
        <v>70</v>
      </c>
      <c r="S1648" s="1" t="n">
        <v>4210227</v>
      </c>
      <c r="T1648" s="1" t="s">
        <v>77</v>
      </c>
      <c r="U1648" s="1" t="n">
        <v>15</v>
      </c>
      <c r="W1648" s="1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2</v>
      </c>
      <c r="B1649" s="17" t="n">
        <v>46165</v>
      </c>
      <c r="C1649" s="17" t="n">
        <v>46264</v>
      </c>
      <c r="D1649" s="1" t="n">
        <v>639</v>
      </c>
      <c r="E1649" s="1" t="s">
        <v>501</v>
      </c>
      <c r="F1649" s="1" t="n">
        <v>24</v>
      </c>
      <c r="G1649" s="1" t="s">
        <v>91</v>
      </c>
      <c r="H1649" s="1" t="n">
        <v>2110405</v>
      </c>
      <c r="I1649" s="1" t="s">
        <v>55</v>
      </c>
      <c r="J1649" s="1" t="n">
        <v>1141287</v>
      </c>
      <c r="L1649" s="1" t="n">
        <v>151507</v>
      </c>
      <c r="M1649" s="1" t="s">
        <v>88</v>
      </c>
      <c r="N1649" s="1" t="s">
        <v>50</v>
      </c>
      <c r="P1649" s="1" t="n">
        <v>101</v>
      </c>
      <c r="Q1649" s="1" t="s">
        <v>56</v>
      </c>
      <c r="R1649" s="1" t="s">
        <v>70</v>
      </c>
      <c r="S1649" s="1" t="n">
        <v>4210216</v>
      </c>
      <c r="T1649" s="1" t="s">
        <v>502</v>
      </c>
      <c r="U1649" s="1" t="n">
        <v>420</v>
      </c>
      <c r="W1649" s="1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2</v>
      </c>
      <c r="B1650" s="17" t="n">
        <v>46223</v>
      </c>
      <c r="C1650" s="17" t="n">
        <v>46264</v>
      </c>
      <c r="D1650" s="1" t="n">
        <v>607</v>
      </c>
      <c r="E1650" s="1" t="s">
        <v>280</v>
      </c>
      <c r="F1650" s="1" t="n">
        <v>24</v>
      </c>
      <c r="G1650" s="1" t="s">
        <v>91</v>
      </c>
      <c r="H1650" s="1" t="n">
        <v>2110405</v>
      </c>
      <c r="I1650" s="1" t="s">
        <v>55</v>
      </c>
      <c r="J1650" s="1" t="n">
        <v>1424650</v>
      </c>
      <c r="L1650" s="1" t="n">
        <v>190911</v>
      </c>
      <c r="M1650" s="1" t="s">
        <v>36</v>
      </c>
      <c r="N1650" s="1" t="s">
        <v>50</v>
      </c>
      <c r="P1650" s="1" t="n">
        <v>113</v>
      </c>
      <c r="Q1650" s="1" t="s">
        <v>38</v>
      </c>
      <c r="R1650" s="1" t="s">
        <v>62</v>
      </c>
      <c r="S1650" s="1" t="n">
        <v>1130101</v>
      </c>
      <c r="T1650" s="1" t="s">
        <v>63</v>
      </c>
      <c r="U1650" s="1" t="n">
        <v>446.28</v>
      </c>
      <c r="W1650" s="1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" t="n">
        <v>2</v>
      </c>
      <c r="B1651" s="17" t="n">
        <v>46255</v>
      </c>
      <c r="C1651" s="17" t="n">
        <v>46264</v>
      </c>
      <c r="D1651" s="1" t="n">
        <v>1723</v>
      </c>
      <c r="E1651" s="1" t="s">
        <v>373</v>
      </c>
      <c r="F1651" s="1" t="n">
        <v>24</v>
      </c>
      <c r="G1651" s="1" t="s">
        <v>91</v>
      </c>
      <c r="H1651" s="1" t="n">
        <v>2110405</v>
      </c>
      <c r="I1651" s="1" t="s">
        <v>55</v>
      </c>
      <c r="J1651" s="1" t="n">
        <v>1581816</v>
      </c>
      <c r="L1651" s="1" t="n">
        <v>216453</v>
      </c>
      <c r="M1651" s="1" t="s">
        <v>36</v>
      </c>
      <c r="N1651" s="1" t="s">
        <v>50</v>
      </c>
      <c r="P1651" s="1" t="n">
        <v>113</v>
      </c>
      <c r="Q1651" s="1" t="s">
        <v>38</v>
      </c>
      <c r="R1651" s="1" t="s">
        <v>62</v>
      </c>
      <c r="S1651" s="1" t="n">
        <v>1130101</v>
      </c>
      <c r="T1651" s="1" t="s">
        <v>63</v>
      </c>
      <c r="U1651" s="1" t="n">
        <v>3809.5</v>
      </c>
      <c r="W1651" s="1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" t="n">
        <v>2</v>
      </c>
      <c r="B1652" s="17" t="n">
        <v>46258</v>
      </c>
      <c r="C1652" s="17" t="n">
        <v>46264</v>
      </c>
      <c r="D1652" s="1" t="n">
        <v>1628</v>
      </c>
      <c r="E1652" s="1" t="s">
        <v>239</v>
      </c>
      <c r="F1652" s="1" t="n">
        <v>24</v>
      </c>
      <c r="G1652" s="1" t="s">
        <v>91</v>
      </c>
      <c r="H1652" s="1" t="n">
        <v>2110405</v>
      </c>
      <c r="I1652" s="1" t="s">
        <v>55</v>
      </c>
      <c r="J1652" s="1" t="n">
        <v>1594346</v>
      </c>
      <c r="L1652" s="1" t="n">
        <v>218071</v>
      </c>
      <c r="M1652" s="1" t="s">
        <v>36</v>
      </c>
      <c r="N1652" s="1" t="s">
        <v>50</v>
      </c>
      <c r="P1652" s="1" t="n">
        <v>113</v>
      </c>
      <c r="Q1652" s="1" t="s">
        <v>38</v>
      </c>
      <c r="R1652" s="1" t="s">
        <v>62</v>
      </c>
      <c r="S1652" s="1" t="n">
        <v>1130101</v>
      </c>
      <c r="T1652" s="1" t="s">
        <v>63</v>
      </c>
      <c r="U1652" s="1" t="n">
        <v>618.65</v>
      </c>
      <c r="W1652" s="1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" t="n">
        <v>2</v>
      </c>
      <c r="B1653" s="17" t="n">
        <v>46265</v>
      </c>
      <c r="C1653" s="17" t="n">
        <v>46265</v>
      </c>
      <c r="D1653" s="1" t="n">
        <v>0</v>
      </c>
      <c r="E1653" s="1" t="s">
        <v>33</v>
      </c>
      <c r="F1653" s="1" t="n">
        <v>17</v>
      </c>
      <c r="G1653" s="1" t="s">
        <v>34</v>
      </c>
      <c r="H1653" s="1" t="n">
        <v>1110101</v>
      </c>
      <c r="I1653" s="1" t="s">
        <v>35</v>
      </c>
      <c r="J1653" s="1" t="n">
        <v>1633714</v>
      </c>
      <c r="L1653" s="1" t="n">
        <v>1633714</v>
      </c>
      <c r="M1653" s="1" t="s">
        <v>36</v>
      </c>
      <c r="N1653" s="1" t="s">
        <v>37</v>
      </c>
      <c r="P1653" s="1" t="n">
        <v>113</v>
      </c>
      <c r="Q1653" s="1" t="s">
        <v>38</v>
      </c>
      <c r="R1653" s="1" t="s">
        <v>214</v>
      </c>
      <c r="S1653" s="1" t="n">
        <v>2110101</v>
      </c>
      <c r="T1653" s="1" t="s">
        <v>48</v>
      </c>
      <c r="U1653" s="1" t="n">
        <v>300</v>
      </c>
      <c r="W1653" s="1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2</v>
      </c>
      <c r="B1654" s="17" t="n">
        <v>46265</v>
      </c>
      <c r="C1654" s="17" t="n">
        <v>46265</v>
      </c>
      <c r="D1654" s="1" t="n">
        <v>0</v>
      </c>
      <c r="E1654" s="1" t="s">
        <v>33</v>
      </c>
      <c r="F1654" s="1" t="n">
        <v>17</v>
      </c>
      <c r="G1654" s="1" t="s">
        <v>34</v>
      </c>
      <c r="H1654" s="1" t="n">
        <v>1110101</v>
      </c>
      <c r="I1654" s="1" t="s">
        <v>35</v>
      </c>
      <c r="J1654" s="1" t="n">
        <v>1633722</v>
      </c>
      <c r="L1654" s="1" t="n">
        <v>1633722</v>
      </c>
      <c r="M1654" s="1" t="s">
        <v>36</v>
      </c>
      <c r="N1654" s="1" t="s">
        <v>37</v>
      </c>
      <c r="P1654" s="1" t="n">
        <v>113</v>
      </c>
      <c r="Q1654" s="1" t="s">
        <v>38</v>
      </c>
      <c r="R1654" s="1" t="s">
        <v>39</v>
      </c>
      <c r="S1654" s="1" t="n">
        <v>4210314</v>
      </c>
      <c r="T1654" s="1" t="s">
        <v>40</v>
      </c>
      <c r="U1654" s="1" t="n">
        <v>70</v>
      </c>
      <c r="W1654" s="1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2</v>
      </c>
      <c r="B1655" s="17" t="n">
        <v>46265</v>
      </c>
      <c r="C1655" s="17" t="n">
        <v>46265</v>
      </c>
      <c r="D1655" s="1" t="n">
        <v>0</v>
      </c>
      <c r="E1655" s="1" t="s">
        <v>33</v>
      </c>
      <c r="F1655" s="1" t="n">
        <v>17</v>
      </c>
      <c r="G1655" s="1" t="s">
        <v>34</v>
      </c>
      <c r="H1655" s="1" t="n">
        <v>1110101</v>
      </c>
      <c r="I1655" s="1" t="s">
        <v>35</v>
      </c>
      <c r="J1655" s="1" t="n">
        <v>1646152</v>
      </c>
      <c r="L1655" s="1" t="n">
        <v>1646152</v>
      </c>
      <c r="M1655" s="1" t="s">
        <v>36</v>
      </c>
      <c r="N1655" s="1" t="s">
        <v>37</v>
      </c>
      <c r="P1655" s="1" t="n">
        <v>113</v>
      </c>
      <c r="Q1655" s="1" t="s">
        <v>38</v>
      </c>
      <c r="R1655" s="1" t="s">
        <v>70</v>
      </c>
      <c r="S1655" s="1" t="n">
        <v>4210227</v>
      </c>
      <c r="T1655" s="1" t="s">
        <v>77</v>
      </c>
      <c r="U1655" s="1" t="n">
        <v>200</v>
      </c>
      <c r="W1655" s="1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2</v>
      </c>
      <c r="B1656" s="17" t="n">
        <v>46265</v>
      </c>
      <c r="C1656" s="17" t="n">
        <v>46265</v>
      </c>
      <c r="D1656" s="1" t="n">
        <v>0</v>
      </c>
      <c r="E1656" s="1" t="s">
        <v>33</v>
      </c>
      <c r="F1656" s="1" t="n">
        <v>17</v>
      </c>
      <c r="G1656" s="1" t="s">
        <v>34</v>
      </c>
      <c r="H1656" s="1" t="n">
        <v>1110101</v>
      </c>
      <c r="I1656" s="1" t="s">
        <v>35</v>
      </c>
      <c r="J1656" s="1" t="n">
        <v>1646156</v>
      </c>
      <c r="L1656" s="1" t="n">
        <v>1646156</v>
      </c>
      <c r="M1656" s="1" t="s">
        <v>36</v>
      </c>
      <c r="N1656" s="1" t="s">
        <v>37</v>
      </c>
      <c r="P1656" s="1" t="n">
        <v>113</v>
      </c>
      <c r="Q1656" s="1" t="s">
        <v>38</v>
      </c>
      <c r="R1656" s="1" t="s">
        <v>70</v>
      </c>
      <c r="S1656" s="1" t="n">
        <v>4210227</v>
      </c>
      <c r="T1656" s="1" t="s">
        <v>77</v>
      </c>
      <c r="U1656" s="1" t="n">
        <v>23</v>
      </c>
      <c r="W1656" s="1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2</v>
      </c>
      <c r="B1657" s="17" t="n">
        <v>46239</v>
      </c>
      <c r="C1657" s="17" t="n">
        <v>46265</v>
      </c>
      <c r="D1657" s="1" t="n">
        <v>1637</v>
      </c>
      <c r="E1657" s="1" t="s">
        <v>870</v>
      </c>
      <c r="F1657" s="1" t="n">
        <v>24</v>
      </c>
      <c r="G1657" s="1" t="s">
        <v>91</v>
      </c>
      <c r="H1657" s="1" t="n">
        <v>2110405</v>
      </c>
      <c r="I1657" s="1" t="s">
        <v>55</v>
      </c>
      <c r="J1657" s="1" t="n">
        <v>1503906</v>
      </c>
      <c r="L1657" s="1" t="n">
        <v>204194</v>
      </c>
      <c r="M1657" s="1" t="s">
        <v>36</v>
      </c>
      <c r="N1657" s="1" t="s">
        <v>50</v>
      </c>
      <c r="P1657" s="1" t="n">
        <v>113</v>
      </c>
      <c r="Q1657" s="1" t="s">
        <v>38</v>
      </c>
      <c r="R1657" s="1" t="s">
        <v>62</v>
      </c>
      <c r="S1657" s="1" t="n">
        <v>1130101</v>
      </c>
      <c r="T1657" s="1" t="s">
        <v>63</v>
      </c>
      <c r="U1657" s="1" t="n">
        <v>1220.6</v>
      </c>
      <c r="W1657" s="1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" t="n">
        <v>2</v>
      </c>
      <c r="B1658" s="17" t="n">
        <v>46251</v>
      </c>
      <c r="C1658" s="17" t="n">
        <v>46265</v>
      </c>
      <c r="D1658" s="1" t="n">
        <v>1683</v>
      </c>
      <c r="E1658" s="1" t="s">
        <v>416</v>
      </c>
      <c r="F1658" s="1" t="n">
        <v>34</v>
      </c>
      <c r="G1658" s="1" t="s">
        <v>110</v>
      </c>
      <c r="H1658" s="1" t="n">
        <v>2110405</v>
      </c>
      <c r="I1658" s="1" t="s">
        <v>55</v>
      </c>
      <c r="J1658" s="1" t="n">
        <v>1560849</v>
      </c>
      <c r="L1658" s="1" t="n">
        <v>212901</v>
      </c>
      <c r="M1658" s="1" t="s">
        <v>36</v>
      </c>
      <c r="N1658" s="1" t="s">
        <v>50</v>
      </c>
      <c r="P1658" s="1" t="n">
        <v>113</v>
      </c>
      <c r="Q1658" s="1" t="s">
        <v>38</v>
      </c>
      <c r="R1658" s="1" t="s">
        <v>62</v>
      </c>
      <c r="S1658" s="1" t="n">
        <v>1130101</v>
      </c>
      <c r="T1658" s="1" t="s">
        <v>63</v>
      </c>
      <c r="U1658" s="1" t="n">
        <v>97.5</v>
      </c>
      <c r="W1658" s="1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2</v>
      </c>
      <c r="B1659" s="17" t="n">
        <v>46252</v>
      </c>
      <c r="C1659" s="17" t="n">
        <v>46265</v>
      </c>
      <c r="D1659" s="1" t="n">
        <v>1683</v>
      </c>
      <c r="E1659" s="1" t="s">
        <v>416</v>
      </c>
      <c r="F1659" s="1" t="n">
        <v>34</v>
      </c>
      <c r="G1659" s="1" t="s">
        <v>110</v>
      </c>
      <c r="H1659" s="1" t="n">
        <v>2110405</v>
      </c>
      <c r="I1659" s="1" t="s">
        <v>55</v>
      </c>
      <c r="J1659" s="1" t="n">
        <v>1566494</v>
      </c>
      <c r="L1659" s="1" t="n">
        <v>213829</v>
      </c>
      <c r="M1659" s="1" t="s">
        <v>36</v>
      </c>
      <c r="N1659" s="1" t="s">
        <v>50</v>
      </c>
      <c r="P1659" s="1" t="n">
        <v>113</v>
      </c>
      <c r="Q1659" s="1" t="s">
        <v>38</v>
      </c>
      <c r="R1659" s="1" t="s">
        <v>62</v>
      </c>
      <c r="S1659" s="1" t="n">
        <v>1130101</v>
      </c>
      <c r="T1659" s="1" t="s">
        <v>63</v>
      </c>
      <c r="U1659" s="1" t="n">
        <v>151</v>
      </c>
      <c r="W1659" s="1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2</v>
      </c>
      <c r="B1660" s="17" t="n">
        <v>46260</v>
      </c>
      <c r="C1660" s="17" t="n">
        <v>46265</v>
      </c>
      <c r="D1660" s="1" t="n">
        <v>1683</v>
      </c>
      <c r="E1660" s="1" t="s">
        <v>416</v>
      </c>
      <c r="F1660" s="1" t="n">
        <v>34</v>
      </c>
      <c r="G1660" s="1" t="s">
        <v>110</v>
      </c>
      <c r="H1660" s="1" t="n">
        <v>2110405</v>
      </c>
      <c r="I1660" s="1" t="s">
        <v>55</v>
      </c>
      <c r="J1660" s="1" t="n">
        <v>1605242</v>
      </c>
      <c r="L1660" s="1" t="n">
        <v>219919</v>
      </c>
      <c r="M1660" s="1" t="s">
        <v>36</v>
      </c>
      <c r="N1660" s="1" t="s">
        <v>50</v>
      </c>
      <c r="P1660" s="1" t="n">
        <v>113</v>
      </c>
      <c r="Q1660" s="1" t="s">
        <v>38</v>
      </c>
      <c r="R1660" s="1" t="s">
        <v>62</v>
      </c>
      <c r="S1660" s="1" t="n">
        <v>1130101</v>
      </c>
      <c r="T1660" s="1" t="s">
        <v>63</v>
      </c>
      <c r="U1660" s="1" t="n">
        <v>137</v>
      </c>
      <c r="W1660" s="1" t="n">
        <v>137</v>
      </c>
      <c r="X1660" s="1" t="s">
        <v>418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2</v>
      </c>
      <c r="B1661" s="17" t="n">
        <v>46252</v>
      </c>
      <c r="C1661" s="17" t="n">
        <v>46265</v>
      </c>
      <c r="D1661" s="1" t="n">
        <v>1675</v>
      </c>
      <c r="E1661" s="1" t="s">
        <v>293</v>
      </c>
      <c r="F1661" s="1" t="n">
        <v>24</v>
      </c>
      <c r="G1661" s="1" t="s">
        <v>91</v>
      </c>
      <c r="H1661" s="1" t="n">
        <v>2110405</v>
      </c>
      <c r="I1661" s="1" t="s">
        <v>55</v>
      </c>
      <c r="J1661" s="1" t="n">
        <v>1566792</v>
      </c>
      <c r="L1661" s="1" t="n">
        <v>213876</v>
      </c>
      <c r="M1661" s="1" t="s">
        <v>36</v>
      </c>
      <c r="N1661" s="1" t="s">
        <v>50</v>
      </c>
      <c r="P1661" s="1" t="n">
        <v>113</v>
      </c>
      <c r="Q1661" s="1" t="s">
        <v>38</v>
      </c>
      <c r="R1661" s="1" t="s">
        <v>62</v>
      </c>
      <c r="S1661" s="1" t="n">
        <v>1130101</v>
      </c>
      <c r="T1661" s="1" t="s">
        <v>63</v>
      </c>
      <c r="U1661" s="1" t="n">
        <v>470.34</v>
      </c>
      <c r="W1661" s="1" t="n">
        <v>470.34</v>
      </c>
      <c r="X1661" s="1" t="s">
        <v>1463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BOLO D BENTA SACH CO</v>
      </c>
      <c r="AC1661" s="1" t="n">
        <v>508442</v>
      </c>
    </row>
    <row r="1662" customFormat="false" ht="12.75" hidden="false" customHeight="true" outlineLevel="0" collapsed="false">
      <c r="A1662" s="1" t="n">
        <v>2</v>
      </c>
      <c r="B1662" s="17" t="n">
        <v>46253</v>
      </c>
      <c r="C1662" s="17" t="n">
        <v>46265</v>
      </c>
      <c r="D1662" s="1" t="n">
        <v>1616</v>
      </c>
      <c r="E1662" s="1" t="s">
        <v>94</v>
      </c>
      <c r="F1662" s="1" t="n">
        <v>24</v>
      </c>
      <c r="G1662" s="1" t="s">
        <v>91</v>
      </c>
      <c r="H1662" s="1" t="n">
        <v>2110405</v>
      </c>
      <c r="I1662" s="1" t="s">
        <v>55</v>
      </c>
      <c r="J1662" s="1" t="n">
        <v>1570894</v>
      </c>
      <c r="L1662" s="1" t="n">
        <v>214483</v>
      </c>
      <c r="M1662" s="1" t="s">
        <v>36</v>
      </c>
      <c r="N1662" s="1" t="s">
        <v>50</v>
      </c>
      <c r="P1662" s="1" t="n">
        <v>113</v>
      </c>
      <c r="Q1662" s="1" t="s">
        <v>38</v>
      </c>
      <c r="R1662" s="1" t="s">
        <v>62</v>
      </c>
      <c r="S1662" s="1" t="n">
        <v>1130101</v>
      </c>
      <c r="T1662" s="1" t="s">
        <v>63</v>
      </c>
      <c r="U1662" s="1" t="n">
        <v>431.3</v>
      </c>
      <c r="W1662" s="1" t="n">
        <v>431.3</v>
      </c>
      <c r="X1662" s="1" t="s">
        <v>1464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MAC COMUM GALO PARAFUSO 400G</v>
      </c>
      <c r="AC1662" s="1" t="n">
        <v>654908</v>
      </c>
    </row>
    <row r="1663" customFormat="false" ht="12.75" hidden="false" customHeight="true" outlineLevel="0" collapsed="false">
      <c r="A1663" s="1" t="n">
        <v>2</v>
      </c>
      <c r="B1663" s="17" t="n">
        <v>46253</v>
      </c>
      <c r="C1663" s="17" t="n">
        <v>46265</v>
      </c>
      <c r="D1663" s="1" t="n">
        <v>1616</v>
      </c>
      <c r="E1663" s="1" t="s">
        <v>94</v>
      </c>
      <c r="F1663" s="1" t="n">
        <v>24</v>
      </c>
      <c r="G1663" s="1" t="s">
        <v>91</v>
      </c>
      <c r="H1663" s="1" t="n">
        <v>2110405</v>
      </c>
      <c r="I1663" s="1" t="s">
        <v>55</v>
      </c>
      <c r="J1663" s="1" t="n">
        <v>1570971</v>
      </c>
      <c r="L1663" s="1" t="n">
        <v>214491</v>
      </c>
      <c r="M1663" s="1" t="s">
        <v>36</v>
      </c>
      <c r="N1663" s="1" t="s">
        <v>50</v>
      </c>
      <c r="P1663" s="1" t="n">
        <v>113</v>
      </c>
      <c r="Q1663" s="1" t="s">
        <v>38</v>
      </c>
      <c r="R1663" s="1" t="s">
        <v>62</v>
      </c>
      <c r="S1663" s="1" t="n">
        <v>1130101</v>
      </c>
      <c r="T1663" s="1" t="s">
        <v>63</v>
      </c>
      <c r="U1663" s="1" t="n">
        <v>606.55</v>
      </c>
      <c r="W1663" s="1" t="n">
        <v>606.55</v>
      </c>
      <c r="X1663" s="1" t="s">
        <v>1465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DETER LIMPOL MACA 500ML</v>
      </c>
      <c r="AC1663" s="1" t="n">
        <v>654907</v>
      </c>
    </row>
    <row r="1664" customFormat="false" ht="12.75" hidden="false" customHeight="true" outlineLevel="0" collapsed="false">
      <c r="A1664" s="1" t="n">
        <v>2</v>
      </c>
      <c r="B1664" s="17" t="n">
        <v>46254</v>
      </c>
      <c r="C1664" s="17" t="n">
        <v>46265</v>
      </c>
      <c r="D1664" s="1" t="n">
        <v>1683</v>
      </c>
      <c r="E1664" s="1" t="s">
        <v>416</v>
      </c>
      <c r="F1664" s="1" t="n">
        <v>34</v>
      </c>
      <c r="G1664" s="1" t="s">
        <v>110</v>
      </c>
      <c r="H1664" s="1" t="n">
        <v>2110405</v>
      </c>
      <c r="I1664" s="1" t="s">
        <v>55</v>
      </c>
      <c r="J1664" s="1" t="n">
        <v>1576184</v>
      </c>
      <c r="L1664" s="1" t="n">
        <v>215382</v>
      </c>
      <c r="M1664" s="1" t="s">
        <v>36</v>
      </c>
      <c r="N1664" s="1" t="s">
        <v>50</v>
      </c>
      <c r="P1664" s="1" t="n">
        <v>113</v>
      </c>
      <c r="Q1664" s="1" t="s">
        <v>38</v>
      </c>
      <c r="R1664" s="1" t="s">
        <v>62</v>
      </c>
      <c r="S1664" s="1" t="n">
        <v>1130101</v>
      </c>
      <c r="T1664" s="1" t="s">
        <v>63</v>
      </c>
      <c r="U1664" s="1" t="n">
        <v>156</v>
      </c>
      <c r="W1664" s="1" t="n">
        <v>156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2</v>
      </c>
      <c r="B1665" s="17" t="n">
        <v>46255</v>
      </c>
      <c r="C1665" s="17" t="n">
        <v>46265</v>
      </c>
      <c r="D1665" s="1" t="n">
        <v>1683</v>
      </c>
      <c r="E1665" s="1" t="s">
        <v>416</v>
      </c>
      <c r="F1665" s="1" t="n">
        <v>34</v>
      </c>
      <c r="G1665" s="1" t="s">
        <v>110</v>
      </c>
      <c r="H1665" s="1" t="n">
        <v>2110405</v>
      </c>
      <c r="I1665" s="1" t="s">
        <v>55</v>
      </c>
      <c r="J1665" s="1" t="n">
        <v>1582006</v>
      </c>
      <c r="L1665" s="1" t="n">
        <v>216486</v>
      </c>
      <c r="M1665" s="1" t="s">
        <v>36</v>
      </c>
      <c r="N1665" s="1" t="s">
        <v>50</v>
      </c>
      <c r="P1665" s="1" t="n">
        <v>113</v>
      </c>
      <c r="Q1665" s="1" t="s">
        <v>38</v>
      </c>
      <c r="R1665" s="1" t="s">
        <v>62</v>
      </c>
      <c r="S1665" s="1" t="n">
        <v>1130101</v>
      </c>
      <c r="T1665" s="1" t="s">
        <v>63</v>
      </c>
      <c r="U1665" s="1" t="n">
        <v>100.5</v>
      </c>
      <c r="W1665" s="1" t="n">
        <v>100.5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2</v>
      </c>
      <c r="B1666" s="17" t="n">
        <v>46258</v>
      </c>
      <c r="C1666" s="17" t="n">
        <v>46265</v>
      </c>
      <c r="D1666" s="1" t="n">
        <v>1683</v>
      </c>
      <c r="E1666" s="1" t="s">
        <v>416</v>
      </c>
      <c r="F1666" s="1" t="n">
        <v>34</v>
      </c>
      <c r="G1666" s="1" t="s">
        <v>110</v>
      </c>
      <c r="H1666" s="1" t="n">
        <v>2110405</v>
      </c>
      <c r="I1666" s="1" t="s">
        <v>55</v>
      </c>
      <c r="J1666" s="1" t="n">
        <v>1594276</v>
      </c>
      <c r="L1666" s="1" t="n">
        <v>218060</v>
      </c>
      <c r="M1666" s="1" t="s">
        <v>36</v>
      </c>
      <c r="N1666" s="1" t="s">
        <v>50</v>
      </c>
      <c r="P1666" s="1" t="n">
        <v>113</v>
      </c>
      <c r="Q1666" s="1" t="s">
        <v>38</v>
      </c>
      <c r="R1666" s="1" t="s">
        <v>62</v>
      </c>
      <c r="S1666" s="1" t="n">
        <v>1130101</v>
      </c>
      <c r="T1666" s="1" t="s">
        <v>63</v>
      </c>
      <c r="U1666" s="1" t="n">
        <v>140</v>
      </c>
      <c r="W1666" s="1" t="n">
        <v>140</v>
      </c>
      <c r="X1666" s="1" t="s">
        <v>418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2</v>
      </c>
      <c r="B1667" s="17" t="n">
        <v>46258</v>
      </c>
      <c r="C1667" s="17" t="n">
        <v>46265</v>
      </c>
      <c r="D1667" s="1" t="n">
        <v>1123</v>
      </c>
      <c r="E1667" s="1" t="s">
        <v>437</v>
      </c>
      <c r="F1667" s="1" t="n">
        <v>24</v>
      </c>
      <c r="G1667" s="1" t="s">
        <v>91</v>
      </c>
      <c r="H1667" s="1" t="n">
        <v>2110405</v>
      </c>
      <c r="I1667" s="1" t="s">
        <v>55</v>
      </c>
      <c r="J1667" s="1" t="n">
        <v>1595743</v>
      </c>
      <c r="L1667" s="1" t="n">
        <v>218365</v>
      </c>
      <c r="M1667" s="1" t="s">
        <v>36</v>
      </c>
      <c r="N1667" s="1" t="s">
        <v>50</v>
      </c>
      <c r="P1667" s="1" t="n">
        <v>113</v>
      </c>
      <c r="Q1667" s="1" t="s">
        <v>38</v>
      </c>
      <c r="R1667" s="1" t="s">
        <v>62</v>
      </c>
      <c r="S1667" s="1" t="n">
        <v>1130101</v>
      </c>
      <c r="T1667" s="1" t="s">
        <v>63</v>
      </c>
      <c r="U1667" s="1" t="n">
        <v>460</v>
      </c>
      <c r="W1667" s="1" t="n">
        <v>460</v>
      </c>
      <c r="X1667" s="1" t="s">
        <v>1466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INT</v>
      </c>
      <c r="AC1667" s="1" t="n">
        <v>46622</v>
      </c>
    </row>
    <row r="1668" customFormat="false" ht="12.75" hidden="false" customHeight="true" outlineLevel="0" collapsed="false">
      <c r="A1668" s="1" t="n">
        <v>2</v>
      </c>
      <c r="B1668" s="17" t="n">
        <v>46259</v>
      </c>
      <c r="C1668" s="17" t="n">
        <v>46265</v>
      </c>
      <c r="D1668" s="1" t="n">
        <v>1328</v>
      </c>
      <c r="E1668" s="1" t="s">
        <v>105</v>
      </c>
      <c r="F1668" s="1" t="n">
        <v>24</v>
      </c>
      <c r="G1668" s="1" t="s">
        <v>91</v>
      </c>
      <c r="H1668" s="1" t="n">
        <v>2110405</v>
      </c>
      <c r="I1668" s="1" t="s">
        <v>55</v>
      </c>
      <c r="J1668" s="1" t="n">
        <v>1598929</v>
      </c>
      <c r="L1668" s="1" t="n">
        <v>218839</v>
      </c>
      <c r="M1668" s="1" t="s">
        <v>36</v>
      </c>
      <c r="N1668" s="1" t="s">
        <v>50</v>
      </c>
      <c r="P1668" s="1" t="n">
        <v>113</v>
      </c>
      <c r="Q1668" s="1" t="s">
        <v>38</v>
      </c>
      <c r="R1668" s="1" t="s">
        <v>62</v>
      </c>
      <c r="S1668" s="1" t="n">
        <v>1130101</v>
      </c>
      <c r="T1668" s="1" t="s">
        <v>63</v>
      </c>
      <c r="U1668" s="1" t="n">
        <v>215.9</v>
      </c>
      <c r="W1668" s="1" t="n">
        <v>215.9</v>
      </c>
      <c r="X1668" s="1" t="s">
        <v>1467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PAO BISNAGUIN</v>
      </c>
      <c r="AC1668" s="1" t="n">
        <v>4446</v>
      </c>
    </row>
    <row r="1669" customFormat="false" ht="12.75" hidden="false" customHeight="true" outlineLevel="0" collapsed="false">
      <c r="A1669" s="1" t="n">
        <v>2</v>
      </c>
      <c r="B1669" s="17" t="n">
        <v>46259</v>
      </c>
      <c r="C1669" s="17" t="n">
        <v>46265</v>
      </c>
      <c r="D1669" s="1" t="n">
        <v>1683</v>
      </c>
      <c r="E1669" s="1" t="s">
        <v>416</v>
      </c>
      <c r="F1669" s="1" t="n">
        <v>34</v>
      </c>
      <c r="G1669" s="1" t="s">
        <v>110</v>
      </c>
      <c r="H1669" s="1" t="n">
        <v>2110405</v>
      </c>
      <c r="I1669" s="1" t="s">
        <v>55</v>
      </c>
      <c r="J1669" s="1" t="n">
        <v>1598937</v>
      </c>
      <c r="L1669" s="1" t="n">
        <v>218842</v>
      </c>
      <c r="M1669" s="1" t="s">
        <v>36</v>
      </c>
      <c r="N1669" s="1" t="s">
        <v>50</v>
      </c>
      <c r="P1669" s="1" t="n">
        <v>113</v>
      </c>
      <c r="Q1669" s="1" t="s">
        <v>38</v>
      </c>
      <c r="R1669" s="1" t="s">
        <v>62</v>
      </c>
      <c r="S1669" s="1" t="n">
        <v>1130101</v>
      </c>
      <c r="T1669" s="1" t="s">
        <v>63</v>
      </c>
      <c r="U1669" s="1" t="n">
        <v>126</v>
      </c>
      <c r="W1669" s="1" t="n">
        <v>126</v>
      </c>
      <c r="X1669" s="1" t="s">
        <v>418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2</v>
      </c>
      <c r="B1670" s="17" t="n">
        <v>46259</v>
      </c>
      <c r="C1670" s="17" t="n">
        <v>46265</v>
      </c>
      <c r="D1670" s="1" t="n">
        <v>1807</v>
      </c>
      <c r="E1670" s="1" t="s">
        <v>1083</v>
      </c>
      <c r="F1670" s="1" t="n">
        <v>24</v>
      </c>
      <c r="G1670" s="1" t="s">
        <v>91</v>
      </c>
      <c r="H1670" s="1" t="n">
        <v>2110405</v>
      </c>
      <c r="I1670" s="1" t="s">
        <v>55</v>
      </c>
      <c r="J1670" s="1" t="n">
        <v>1600838</v>
      </c>
      <c r="L1670" s="1" t="n">
        <v>219216</v>
      </c>
      <c r="M1670" s="1" t="s">
        <v>36</v>
      </c>
      <c r="N1670" s="1" t="s">
        <v>50</v>
      </c>
      <c r="P1670" s="1" t="n">
        <v>101</v>
      </c>
      <c r="Q1670" s="1" t="s">
        <v>56</v>
      </c>
      <c r="R1670" s="1" t="s">
        <v>512</v>
      </c>
      <c r="S1670" s="1" t="n">
        <v>2110704</v>
      </c>
      <c r="T1670" s="1" t="s">
        <v>1084</v>
      </c>
      <c r="U1670" s="1" t="n">
        <v>586.1</v>
      </c>
      <c r="W1670" s="1" t="n">
        <v>586.1</v>
      </c>
      <c r="X1670" s="1" t="s">
        <v>1468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2</v>
      </c>
      <c r="B1671" s="17" t="n">
        <v>46259</v>
      </c>
      <c r="C1671" s="17" t="n">
        <v>46265</v>
      </c>
      <c r="D1671" s="1" t="n">
        <v>1807</v>
      </c>
      <c r="E1671" s="1" t="s">
        <v>1083</v>
      </c>
      <c r="F1671" s="1" t="n">
        <v>24</v>
      </c>
      <c r="G1671" s="1" t="s">
        <v>91</v>
      </c>
      <c r="H1671" s="1" t="n">
        <v>2110405</v>
      </c>
      <c r="I1671" s="1" t="s">
        <v>55</v>
      </c>
      <c r="J1671" s="1" t="n">
        <v>1600852</v>
      </c>
      <c r="L1671" s="1" t="n">
        <v>219219</v>
      </c>
      <c r="M1671" s="1" t="s">
        <v>36</v>
      </c>
      <c r="N1671" s="1" t="s">
        <v>50</v>
      </c>
      <c r="P1671" s="1" t="n">
        <v>101</v>
      </c>
      <c r="Q1671" s="1" t="s">
        <v>56</v>
      </c>
      <c r="R1671" s="1" t="s">
        <v>512</v>
      </c>
      <c r="S1671" s="1" t="n">
        <v>2110712</v>
      </c>
      <c r="T1671" s="1" t="s">
        <v>1086</v>
      </c>
      <c r="U1671" s="1" t="n">
        <v>351.66</v>
      </c>
      <c r="W1671" s="1" t="n">
        <v>351.66</v>
      </c>
      <c r="X1671" s="1" t="s">
        <v>1469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2</v>
      </c>
      <c r="B1672" s="17" t="n">
        <v>46262</v>
      </c>
      <c r="C1672" s="17" t="n">
        <v>46265</v>
      </c>
      <c r="D1672" s="1" t="n">
        <v>10035</v>
      </c>
      <c r="E1672" s="1" t="s">
        <v>109</v>
      </c>
      <c r="F1672" s="1" t="n">
        <v>34</v>
      </c>
      <c r="G1672" s="1" t="s">
        <v>110</v>
      </c>
      <c r="H1672" s="1" t="n">
        <v>2110405</v>
      </c>
      <c r="I1672" s="1" t="s">
        <v>55</v>
      </c>
      <c r="J1672" s="1" t="n">
        <v>1614664</v>
      </c>
      <c r="L1672" s="1" t="n">
        <v>221477</v>
      </c>
      <c r="M1672" s="1" t="s">
        <v>36</v>
      </c>
      <c r="N1672" s="1" t="s">
        <v>50</v>
      </c>
      <c r="P1672" s="1" t="n">
        <v>113</v>
      </c>
      <c r="Q1672" s="1" t="s">
        <v>38</v>
      </c>
      <c r="R1672" s="1" t="s">
        <v>62</v>
      </c>
      <c r="S1672" s="1" t="n">
        <v>1130101</v>
      </c>
      <c r="T1672" s="1" t="s">
        <v>63</v>
      </c>
      <c r="U1672" s="1" t="n">
        <v>214.5</v>
      </c>
      <c r="W1672" s="1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" t="n">
        <v>2</v>
      </c>
      <c r="B1673" s="17" t="n">
        <v>46262</v>
      </c>
      <c r="C1673" s="17" t="n">
        <v>46265</v>
      </c>
      <c r="D1673" s="1" t="n">
        <v>1683</v>
      </c>
      <c r="E1673" s="1" t="s">
        <v>416</v>
      </c>
      <c r="F1673" s="1" t="n">
        <v>34</v>
      </c>
      <c r="G1673" s="1" t="s">
        <v>110</v>
      </c>
      <c r="H1673" s="1" t="n">
        <v>2110405</v>
      </c>
      <c r="I1673" s="1" t="s">
        <v>55</v>
      </c>
      <c r="J1673" s="1" t="n">
        <v>1614840</v>
      </c>
      <c r="L1673" s="1" t="n">
        <v>221511</v>
      </c>
      <c r="M1673" s="1" t="s">
        <v>36</v>
      </c>
      <c r="N1673" s="1" t="s">
        <v>50</v>
      </c>
      <c r="P1673" s="1" t="n">
        <v>113</v>
      </c>
      <c r="Q1673" s="1" t="s">
        <v>38</v>
      </c>
      <c r="R1673" s="1" t="s">
        <v>62</v>
      </c>
      <c r="S1673" s="1" t="n">
        <v>1130101</v>
      </c>
      <c r="T1673" s="1" t="s">
        <v>63</v>
      </c>
      <c r="U1673" s="1" t="n">
        <v>192</v>
      </c>
      <c r="W1673" s="1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2</v>
      </c>
      <c r="B1674" s="17" t="n">
        <v>46265</v>
      </c>
      <c r="C1674" s="17" t="n">
        <v>46265</v>
      </c>
      <c r="D1674" s="1" t="n">
        <v>1699</v>
      </c>
      <c r="E1674" s="1" t="s">
        <v>231</v>
      </c>
      <c r="F1674" s="1" t="n">
        <v>24</v>
      </c>
      <c r="G1674" s="1" t="s">
        <v>91</v>
      </c>
      <c r="H1674" s="1" t="n">
        <v>2110405</v>
      </c>
      <c r="I1674" s="1" t="s">
        <v>55</v>
      </c>
      <c r="J1674" s="1" t="n">
        <v>1628756</v>
      </c>
      <c r="L1674" s="1" t="n">
        <v>223347</v>
      </c>
      <c r="M1674" s="1" t="s">
        <v>36</v>
      </c>
      <c r="N1674" s="1" t="s">
        <v>50</v>
      </c>
      <c r="P1674" s="1" t="n">
        <v>113</v>
      </c>
      <c r="Q1674" s="1" t="s">
        <v>38</v>
      </c>
      <c r="R1674" s="1" t="s">
        <v>62</v>
      </c>
      <c r="S1674" s="1" t="n">
        <v>1130101</v>
      </c>
      <c r="T1674" s="1" t="s">
        <v>63</v>
      </c>
      <c r="U1674" s="1" t="n">
        <v>658.8</v>
      </c>
      <c r="W1674" s="1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" t="n">
        <v>2</v>
      </c>
      <c r="B1675" s="17" t="n">
        <v>46265</v>
      </c>
      <c r="C1675" s="17" t="n">
        <v>46265</v>
      </c>
      <c r="D1675" s="1" t="n">
        <v>48</v>
      </c>
      <c r="E1675" s="1" t="s">
        <v>146</v>
      </c>
      <c r="F1675" s="1" t="n">
        <v>13</v>
      </c>
      <c r="G1675" s="1" t="s">
        <v>147</v>
      </c>
      <c r="H1675" s="1" t="n">
        <v>2110101</v>
      </c>
      <c r="I1675" s="1" t="s">
        <v>48</v>
      </c>
      <c r="J1675" s="1" t="n">
        <v>1630071</v>
      </c>
      <c r="L1675" s="1" t="n">
        <v>2643</v>
      </c>
      <c r="M1675" s="1" t="s">
        <v>36</v>
      </c>
      <c r="N1675" s="1" t="s">
        <v>68</v>
      </c>
      <c r="P1675" s="1" t="n">
        <v>113</v>
      </c>
      <c r="Q1675" s="1" t="s">
        <v>38</v>
      </c>
      <c r="R1675" s="1" t="s">
        <v>62</v>
      </c>
      <c r="S1675" s="1" t="n">
        <v>1130101</v>
      </c>
      <c r="T1675" s="1" t="s">
        <v>63</v>
      </c>
      <c r="U1675" s="1" t="n">
        <v>300</v>
      </c>
      <c r="W1675" s="1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2</v>
      </c>
      <c r="B1676" s="17" t="n">
        <v>46265</v>
      </c>
      <c r="C1676" s="17" t="n">
        <v>46265</v>
      </c>
      <c r="D1676" s="1" t="n">
        <v>1683</v>
      </c>
      <c r="E1676" s="1" t="s">
        <v>416</v>
      </c>
      <c r="F1676" s="1" t="n">
        <v>34</v>
      </c>
      <c r="G1676" s="1" t="s">
        <v>110</v>
      </c>
      <c r="H1676" s="1" t="n">
        <v>2110405</v>
      </c>
      <c r="I1676" s="1" t="s">
        <v>55</v>
      </c>
      <c r="J1676" s="1" t="n">
        <v>1630580</v>
      </c>
      <c r="L1676" s="1" t="n">
        <v>223771</v>
      </c>
      <c r="M1676" s="1" t="s">
        <v>36</v>
      </c>
      <c r="N1676" s="1" t="s">
        <v>50</v>
      </c>
      <c r="P1676" s="1" t="n">
        <v>113</v>
      </c>
      <c r="Q1676" s="1" t="s">
        <v>38</v>
      </c>
      <c r="R1676" s="1" t="s">
        <v>62</v>
      </c>
      <c r="S1676" s="1" t="n">
        <v>1130101</v>
      </c>
      <c r="T1676" s="1" t="s">
        <v>63</v>
      </c>
      <c r="U1676" s="1" t="n">
        <v>148.5</v>
      </c>
      <c r="W1676" s="1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2</v>
      </c>
      <c r="B1677" s="17" t="n">
        <v>46265</v>
      </c>
      <c r="C1677" s="17" t="n">
        <v>46265</v>
      </c>
      <c r="D1677" s="1" t="n">
        <v>1683</v>
      </c>
      <c r="E1677" s="1" t="s">
        <v>416</v>
      </c>
      <c r="F1677" s="1" t="n">
        <v>34</v>
      </c>
      <c r="G1677" s="1" t="s">
        <v>110</v>
      </c>
      <c r="H1677" s="1" t="n">
        <v>2110405</v>
      </c>
      <c r="I1677" s="1" t="s">
        <v>55</v>
      </c>
      <c r="J1677" s="1" t="n">
        <v>1630627</v>
      </c>
      <c r="L1677" s="1" t="n">
        <v>223780</v>
      </c>
      <c r="M1677" s="1" t="s">
        <v>36</v>
      </c>
      <c r="N1677" s="1" t="s">
        <v>50</v>
      </c>
      <c r="P1677" s="1" t="n">
        <v>113</v>
      </c>
      <c r="Q1677" s="1" t="s">
        <v>38</v>
      </c>
      <c r="R1677" s="1" t="s">
        <v>62</v>
      </c>
      <c r="S1677" s="1" t="n">
        <v>1130101</v>
      </c>
      <c r="T1677" s="1" t="s">
        <v>63</v>
      </c>
      <c r="U1677" s="1" t="n">
        <v>150</v>
      </c>
      <c r="W1677" s="1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2</v>
      </c>
      <c r="B1678" s="17" t="n">
        <v>46265</v>
      </c>
      <c r="C1678" s="17" t="n">
        <v>46265</v>
      </c>
      <c r="D1678" s="1" t="n">
        <v>675</v>
      </c>
      <c r="E1678" s="1" t="s">
        <v>1474</v>
      </c>
      <c r="F1678" s="1" t="n">
        <v>11</v>
      </c>
      <c r="G1678" s="1" t="s">
        <v>565</v>
      </c>
      <c r="H1678" s="1" t="n">
        <v>2110405</v>
      </c>
      <c r="I1678" s="1" t="s">
        <v>55</v>
      </c>
      <c r="J1678" s="1" t="n">
        <v>1630801</v>
      </c>
      <c r="L1678" s="1" t="n">
        <v>223816</v>
      </c>
      <c r="M1678" s="1" t="s">
        <v>36</v>
      </c>
      <c r="N1678" s="1" t="s">
        <v>50</v>
      </c>
      <c r="P1678" s="1" t="n">
        <v>113</v>
      </c>
      <c r="Q1678" s="1" t="s">
        <v>38</v>
      </c>
      <c r="R1678" s="1" t="s">
        <v>70</v>
      </c>
      <c r="S1678" s="1" t="n">
        <v>4210227</v>
      </c>
      <c r="T1678" s="1" t="s">
        <v>77</v>
      </c>
      <c r="U1678" s="1" t="n">
        <v>620</v>
      </c>
      <c r="W1678" s="1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2</v>
      </c>
      <c r="B1679" s="17" t="n">
        <v>46265</v>
      </c>
      <c r="C1679" s="17" t="n">
        <v>46265</v>
      </c>
      <c r="D1679" s="1" t="n">
        <v>1961</v>
      </c>
      <c r="E1679" s="1" t="s">
        <v>149</v>
      </c>
      <c r="F1679" s="1" t="n">
        <v>34</v>
      </c>
      <c r="G1679" s="1" t="s">
        <v>110</v>
      </c>
      <c r="H1679" s="1" t="n">
        <v>2110405</v>
      </c>
      <c r="I1679" s="1" t="s">
        <v>55</v>
      </c>
      <c r="J1679" s="1" t="n">
        <v>1639533</v>
      </c>
      <c r="L1679" s="1" t="n">
        <v>225322</v>
      </c>
      <c r="M1679" s="1" t="s">
        <v>36</v>
      </c>
      <c r="N1679" s="1" t="s">
        <v>50</v>
      </c>
      <c r="P1679" s="1" t="n">
        <v>102</v>
      </c>
      <c r="Q1679" s="1" t="s">
        <v>315</v>
      </c>
      <c r="R1679" s="1" t="s">
        <v>39</v>
      </c>
      <c r="S1679" s="1" t="n">
        <v>4210310</v>
      </c>
      <c r="T1679" s="1" t="s">
        <v>150</v>
      </c>
      <c r="U1679" s="1" t="n">
        <v>450</v>
      </c>
      <c r="W1679" s="1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2</v>
      </c>
      <c r="B1680" s="17" t="n">
        <v>46265</v>
      </c>
      <c r="C1680" s="17" t="n">
        <v>46265</v>
      </c>
      <c r="D1680" s="1" t="n">
        <v>12</v>
      </c>
      <c r="E1680" s="1" t="s">
        <v>54</v>
      </c>
      <c r="F1680" s="1" t="n">
        <v>34</v>
      </c>
      <c r="G1680" s="1" t="s">
        <v>110</v>
      </c>
      <c r="H1680" s="1" t="n">
        <v>2110405</v>
      </c>
      <c r="I1680" s="1" t="s">
        <v>55</v>
      </c>
      <c r="J1680" s="1" t="n">
        <v>1643276</v>
      </c>
      <c r="L1680" s="1" t="n">
        <v>225468</v>
      </c>
      <c r="M1680" s="1" t="s">
        <v>36</v>
      </c>
      <c r="N1680" s="1" t="s">
        <v>50</v>
      </c>
      <c r="P1680" s="1" t="n">
        <v>113</v>
      </c>
      <c r="Q1680" s="1" t="s">
        <v>38</v>
      </c>
      <c r="R1680" s="1" t="s">
        <v>39</v>
      </c>
      <c r="S1680" s="1" t="n">
        <v>4210301</v>
      </c>
      <c r="T1680" s="1" t="s">
        <v>253</v>
      </c>
      <c r="U1680" s="1" t="n">
        <v>600</v>
      </c>
      <c r="W1680" s="1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2</v>
      </c>
      <c r="B1681" s="17" t="n">
        <v>46265</v>
      </c>
      <c r="C1681" s="17" t="n">
        <v>46265</v>
      </c>
      <c r="D1681" s="1" t="n">
        <v>1699</v>
      </c>
      <c r="E1681" s="1" t="s">
        <v>231</v>
      </c>
      <c r="F1681" s="1" t="n">
        <v>24</v>
      </c>
      <c r="G1681" s="1" t="s">
        <v>91</v>
      </c>
      <c r="H1681" s="1" t="n">
        <v>2110101</v>
      </c>
      <c r="I1681" s="1" t="s">
        <v>48</v>
      </c>
      <c r="J1681" s="1" t="n">
        <v>1652879</v>
      </c>
      <c r="L1681" s="1" t="n">
        <v>227079</v>
      </c>
      <c r="M1681" s="1" t="s">
        <v>36</v>
      </c>
      <c r="N1681" s="1" t="s">
        <v>50</v>
      </c>
      <c r="P1681" s="1" t="n">
        <v>102</v>
      </c>
      <c r="Q1681" s="1" t="s">
        <v>315</v>
      </c>
      <c r="R1681" s="1" t="s">
        <v>62</v>
      </c>
      <c r="S1681" s="1" t="n">
        <v>1130101</v>
      </c>
      <c r="T1681" s="1" t="s">
        <v>63</v>
      </c>
      <c r="U1681" s="1" t="n">
        <v>658.8</v>
      </c>
      <c r="W1681" s="1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" t="n">
        <v>2</v>
      </c>
      <c r="B1682" s="17" t="n">
        <v>46266</v>
      </c>
      <c r="C1682" s="17" t="n">
        <v>46266</v>
      </c>
      <c r="D1682" s="1" t="n">
        <v>0</v>
      </c>
      <c r="E1682" s="1" t="s">
        <v>33</v>
      </c>
      <c r="F1682" s="1" t="n">
        <v>17</v>
      </c>
      <c r="G1682" s="1" t="s">
        <v>34</v>
      </c>
      <c r="H1682" s="1" t="n">
        <v>1110101</v>
      </c>
      <c r="I1682" s="1" t="s">
        <v>35</v>
      </c>
      <c r="J1682" s="1" t="n">
        <v>1638259</v>
      </c>
      <c r="L1682" s="1" t="n">
        <v>1638259</v>
      </c>
      <c r="M1682" s="1" t="s">
        <v>36</v>
      </c>
      <c r="N1682" s="1" t="s">
        <v>37</v>
      </c>
      <c r="P1682" s="1" t="n">
        <v>113</v>
      </c>
      <c r="Q1682" s="1" t="s">
        <v>38</v>
      </c>
      <c r="R1682" s="1" t="s">
        <v>70</v>
      </c>
      <c r="S1682" s="1" t="n">
        <v>4210227</v>
      </c>
      <c r="T1682" s="1" t="s">
        <v>77</v>
      </c>
      <c r="U1682" s="1" t="n">
        <v>50</v>
      </c>
      <c r="W1682" s="1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2</v>
      </c>
      <c r="B1683" s="17" t="n">
        <v>46266</v>
      </c>
      <c r="C1683" s="17" t="n">
        <v>46266</v>
      </c>
      <c r="D1683" s="1" t="n">
        <v>0</v>
      </c>
      <c r="E1683" s="1" t="s">
        <v>33</v>
      </c>
      <c r="F1683" s="1" t="n">
        <v>17</v>
      </c>
      <c r="G1683" s="1" t="s">
        <v>34</v>
      </c>
      <c r="H1683" s="1" t="n">
        <v>1110101</v>
      </c>
      <c r="I1683" s="1" t="s">
        <v>35</v>
      </c>
      <c r="J1683" s="1" t="n">
        <v>1638260</v>
      </c>
      <c r="L1683" s="1" t="n">
        <v>1638260</v>
      </c>
      <c r="M1683" s="1" t="s">
        <v>36</v>
      </c>
      <c r="N1683" s="1" t="s">
        <v>37</v>
      </c>
      <c r="P1683" s="1" t="n">
        <v>113</v>
      </c>
      <c r="Q1683" s="1" t="s">
        <v>38</v>
      </c>
      <c r="R1683" s="1" t="s">
        <v>39</v>
      </c>
      <c r="S1683" s="1" t="n">
        <v>4210309</v>
      </c>
      <c r="T1683" s="1" t="s">
        <v>113</v>
      </c>
      <c r="U1683" s="1" t="n">
        <v>10</v>
      </c>
      <c r="W1683" s="1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2</v>
      </c>
      <c r="B1684" s="17" t="n">
        <v>46266</v>
      </c>
      <c r="C1684" s="17" t="n">
        <v>46266</v>
      </c>
      <c r="D1684" s="1" t="n">
        <v>0</v>
      </c>
      <c r="E1684" s="1" t="s">
        <v>33</v>
      </c>
      <c r="F1684" s="1" t="n">
        <v>17</v>
      </c>
      <c r="G1684" s="1" t="s">
        <v>34</v>
      </c>
      <c r="H1684" s="1" t="n">
        <v>1110101</v>
      </c>
      <c r="I1684" s="1" t="s">
        <v>35</v>
      </c>
      <c r="J1684" s="1" t="n">
        <v>1638266</v>
      </c>
      <c r="L1684" s="1" t="n">
        <v>1638266</v>
      </c>
      <c r="M1684" s="1" t="s">
        <v>36</v>
      </c>
      <c r="N1684" s="1" t="s">
        <v>37</v>
      </c>
      <c r="P1684" s="1" t="n">
        <v>113</v>
      </c>
      <c r="Q1684" s="1" t="s">
        <v>38</v>
      </c>
      <c r="R1684" s="1" t="s">
        <v>39</v>
      </c>
      <c r="S1684" s="1" t="n">
        <v>4210314</v>
      </c>
      <c r="T1684" s="1" t="s">
        <v>40</v>
      </c>
      <c r="U1684" s="1" t="n">
        <v>50</v>
      </c>
      <c r="W1684" s="1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2</v>
      </c>
      <c r="B1685" s="17" t="n">
        <v>46266</v>
      </c>
      <c r="C1685" s="17" t="n">
        <v>46266</v>
      </c>
      <c r="D1685" s="1" t="n">
        <v>0</v>
      </c>
      <c r="E1685" s="1" t="s">
        <v>33</v>
      </c>
      <c r="F1685" s="1" t="n">
        <v>17</v>
      </c>
      <c r="G1685" s="1" t="s">
        <v>34</v>
      </c>
      <c r="H1685" s="1" t="n">
        <v>1110101</v>
      </c>
      <c r="I1685" s="1" t="s">
        <v>35</v>
      </c>
      <c r="J1685" s="1" t="n">
        <v>1638269</v>
      </c>
      <c r="L1685" s="1" t="n">
        <v>1638269</v>
      </c>
      <c r="M1685" s="1" t="s">
        <v>36</v>
      </c>
      <c r="N1685" s="1" t="s">
        <v>37</v>
      </c>
      <c r="P1685" s="1" t="n">
        <v>113</v>
      </c>
      <c r="Q1685" s="1" t="s">
        <v>38</v>
      </c>
      <c r="R1685" s="1" t="s">
        <v>39</v>
      </c>
      <c r="S1685" s="1" t="n">
        <v>4210314</v>
      </c>
      <c r="T1685" s="1" t="s">
        <v>40</v>
      </c>
      <c r="U1685" s="1" t="n">
        <v>70</v>
      </c>
      <c r="W1685" s="1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" t="n">
        <v>2</v>
      </c>
      <c r="B1686" s="17" t="n">
        <v>45992</v>
      </c>
      <c r="C1686" s="17" t="n">
        <v>46266</v>
      </c>
      <c r="D1686" s="1" t="n">
        <v>983</v>
      </c>
      <c r="E1686" s="1" t="s">
        <v>46</v>
      </c>
      <c r="F1686" s="1" t="n">
        <v>47</v>
      </c>
      <c r="G1686" s="1" t="s">
        <v>47</v>
      </c>
      <c r="H1686" s="1" t="n">
        <v>2110101</v>
      </c>
      <c r="I1686" s="1" t="s">
        <v>48</v>
      </c>
      <c r="J1686" s="1" t="n">
        <v>361903</v>
      </c>
      <c r="L1686" s="1" t="n">
        <v>47174</v>
      </c>
      <c r="M1686" s="1" t="s">
        <v>1481</v>
      </c>
      <c r="N1686" s="1" t="s">
        <v>50</v>
      </c>
      <c r="P1686" s="1" t="n">
        <v>113</v>
      </c>
      <c r="Q1686" s="1" t="s">
        <v>38</v>
      </c>
      <c r="R1686" s="1" t="s">
        <v>51</v>
      </c>
      <c r="S1686" s="1" t="n">
        <v>1240103</v>
      </c>
      <c r="T1686" s="1" t="s">
        <v>52</v>
      </c>
      <c r="U1686" s="1" t="n">
        <v>1898</v>
      </c>
      <c r="W1686" s="1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" t="n">
        <v>2</v>
      </c>
      <c r="B1687" s="17" t="n">
        <v>46055</v>
      </c>
      <c r="C1687" s="17" t="n">
        <v>46266</v>
      </c>
      <c r="D1687" s="1" t="n">
        <v>10039</v>
      </c>
      <c r="E1687" s="1" t="s">
        <v>84</v>
      </c>
      <c r="F1687" s="1" t="n">
        <v>47</v>
      </c>
      <c r="G1687" s="1" t="s">
        <v>47</v>
      </c>
      <c r="H1687" s="1" t="n">
        <v>2110405</v>
      </c>
      <c r="I1687" s="1" t="s">
        <v>55</v>
      </c>
      <c r="J1687" s="1" t="n">
        <v>846832</v>
      </c>
      <c r="L1687" s="1" t="n">
        <v>111506</v>
      </c>
      <c r="M1687" s="1" t="s">
        <v>49</v>
      </c>
      <c r="N1687" s="1" t="s">
        <v>50</v>
      </c>
      <c r="P1687" s="1" t="n">
        <v>113</v>
      </c>
      <c r="Q1687" s="1" t="s">
        <v>38</v>
      </c>
      <c r="R1687" s="1" t="s">
        <v>70</v>
      </c>
      <c r="S1687" s="1" t="n">
        <v>4210227</v>
      </c>
      <c r="T1687" s="1" t="s">
        <v>77</v>
      </c>
      <c r="U1687" s="1" t="n">
        <v>378.82</v>
      </c>
      <c r="W1687" s="1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" t="n">
        <v>2</v>
      </c>
      <c r="B1688" s="17" t="n">
        <v>46196</v>
      </c>
      <c r="C1688" s="17" t="n">
        <v>46266</v>
      </c>
      <c r="D1688" s="1" t="n">
        <v>875</v>
      </c>
      <c r="E1688" s="1" t="s">
        <v>87</v>
      </c>
      <c r="F1688" s="1" t="n">
        <v>47</v>
      </c>
      <c r="G1688" s="1" t="s">
        <v>47</v>
      </c>
      <c r="H1688" s="1" t="n">
        <v>2110101</v>
      </c>
      <c r="I1688" s="1" t="s">
        <v>48</v>
      </c>
      <c r="J1688" s="1" t="n">
        <v>1295066</v>
      </c>
      <c r="L1688" s="1" t="n">
        <v>173322</v>
      </c>
      <c r="M1688" s="1" t="s">
        <v>76</v>
      </c>
      <c r="N1688" s="1" t="s">
        <v>50</v>
      </c>
      <c r="P1688" s="1" t="n">
        <v>113</v>
      </c>
      <c r="Q1688" s="1" t="s">
        <v>38</v>
      </c>
      <c r="R1688" s="1" t="s">
        <v>62</v>
      </c>
      <c r="S1688" s="1" t="n">
        <v>1130101</v>
      </c>
      <c r="T1688" s="1" t="s">
        <v>63</v>
      </c>
      <c r="U1688" s="1" t="n">
        <v>1290.16</v>
      </c>
      <c r="W1688" s="1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" t="n">
        <v>2</v>
      </c>
      <c r="B1689" s="17" t="n">
        <v>46226</v>
      </c>
      <c r="C1689" s="17" t="n">
        <v>46266</v>
      </c>
      <c r="D1689" s="1" t="n">
        <v>957</v>
      </c>
      <c r="E1689" s="1" t="s">
        <v>628</v>
      </c>
      <c r="F1689" s="1" t="n">
        <v>24</v>
      </c>
      <c r="G1689" s="1" t="s">
        <v>91</v>
      </c>
      <c r="H1689" s="1" t="n">
        <v>2110405</v>
      </c>
      <c r="I1689" s="1" t="s">
        <v>55</v>
      </c>
      <c r="J1689" s="1" t="n">
        <v>1438932</v>
      </c>
      <c r="L1689" s="1" t="n">
        <v>194431</v>
      </c>
      <c r="M1689" s="1" t="s">
        <v>36</v>
      </c>
      <c r="N1689" s="1" t="s">
        <v>50</v>
      </c>
      <c r="P1689" s="1" t="n">
        <v>113</v>
      </c>
      <c r="Q1689" s="1" t="s">
        <v>38</v>
      </c>
      <c r="R1689" s="1" t="s">
        <v>62</v>
      </c>
      <c r="S1689" s="1" t="n">
        <v>1130101</v>
      </c>
      <c r="T1689" s="1" t="s">
        <v>63</v>
      </c>
      <c r="U1689" s="1" t="n">
        <v>1501.38</v>
      </c>
      <c r="W1689" s="1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" t="n">
        <v>2</v>
      </c>
      <c r="B1690" s="17" t="n">
        <v>46226</v>
      </c>
      <c r="C1690" s="17" t="n">
        <v>46266</v>
      </c>
      <c r="D1690" s="1" t="n">
        <v>10011</v>
      </c>
      <c r="E1690" s="1" t="s">
        <v>330</v>
      </c>
      <c r="F1690" s="1" t="n">
        <v>24</v>
      </c>
      <c r="G1690" s="1" t="s">
        <v>91</v>
      </c>
      <c r="H1690" s="1" t="n">
        <v>2110405</v>
      </c>
      <c r="I1690" s="1" t="s">
        <v>55</v>
      </c>
      <c r="J1690" s="1" t="n">
        <v>1438962</v>
      </c>
      <c r="L1690" s="1" t="n">
        <v>194443</v>
      </c>
      <c r="M1690" s="1" t="s">
        <v>36</v>
      </c>
      <c r="N1690" s="1" t="s">
        <v>50</v>
      </c>
      <c r="P1690" s="1" t="n">
        <v>113</v>
      </c>
      <c r="Q1690" s="1" t="s">
        <v>38</v>
      </c>
      <c r="R1690" s="1" t="s">
        <v>62</v>
      </c>
      <c r="S1690" s="1" t="n">
        <v>1130101</v>
      </c>
      <c r="T1690" s="1" t="s">
        <v>63</v>
      </c>
      <c r="U1690" s="1" t="n">
        <v>591.07</v>
      </c>
      <c r="W1690" s="1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" t="n">
        <v>2</v>
      </c>
      <c r="B1691" s="17" t="n">
        <v>46245</v>
      </c>
      <c r="C1691" s="17" t="n">
        <v>46266</v>
      </c>
      <c r="D1691" s="1" t="n">
        <v>1259</v>
      </c>
      <c r="E1691" s="1" t="s">
        <v>1485</v>
      </c>
      <c r="F1691" s="1" t="n">
        <v>47</v>
      </c>
      <c r="G1691" s="1" t="s">
        <v>47</v>
      </c>
      <c r="H1691" s="1" t="n">
        <v>2110405</v>
      </c>
      <c r="I1691" s="1" t="s">
        <v>55</v>
      </c>
      <c r="J1691" s="1" t="n">
        <v>1532317</v>
      </c>
      <c r="L1691" s="1" t="n">
        <v>208731</v>
      </c>
      <c r="M1691" s="1" t="s">
        <v>36</v>
      </c>
      <c r="N1691" s="1" t="s">
        <v>50</v>
      </c>
      <c r="P1691" s="1" t="n">
        <v>113</v>
      </c>
      <c r="Q1691" s="1" t="s">
        <v>38</v>
      </c>
      <c r="R1691" s="1" t="s">
        <v>70</v>
      </c>
      <c r="S1691" s="1" t="n">
        <v>4210209</v>
      </c>
      <c r="T1691" s="1" t="s">
        <v>687</v>
      </c>
      <c r="U1691" s="1" t="n">
        <v>200</v>
      </c>
      <c r="W1691" s="1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" t="n">
        <v>2</v>
      </c>
      <c r="B1692" s="17" t="n">
        <v>46246</v>
      </c>
      <c r="C1692" s="17" t="n">
        <v>46266</v>
      </c>
      <c r="D1692" s="1" t="n">
        <v>875</v>
      </c>
      <c r="E1692" s="1" t="s">
        <v>87</v>
      </c>
      <c r="F1692" s="1" t="n">
        <v>47</v>
      </c>
      <c r="G1692" s="1" t="s">
        <v>47</v>
      </c>
      <c r="H1692" s="1" t="n">
        <v>2110405</v>
      </c>
      <c r="I1692" s="1" t="s">
        <v>55</v>
      </c>
      <c r="J1692" s="1" t="n">
        <v>1534947</v>
      </c>
      <c r="L1692" s="1" t="n">
        <v>209452</v>
      </c>
      <c r="M1692" s="1" t="s">
        <v>36</v>
      </c>
      <c r="N1692" s="1" t="s">
        <v>50</v>
      </c>
      <c r="P1692" s="1" t="n">
        <v>113</v>
      </c>
      <c r="Q1692" s="1" t="s">
        <v>38</v>
      </c>
      <c r="R1692" s="1" t="s">
        <v>62</v>
      </c>
      <c r="S1692" s="1" t="n">
        <v>1130101</v>
      </c>
      <c r="T1692" s="1" t="s">
        <v>63</v>
      </c>
      <c r="U1692" s="1" t="n">
        <v>638.75</v>
      </c>
      <c r="W1692" s="1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" t="n">
        <v>2</v>
      </c>
      <c r="B1693" s="17" t="n">
        <v>46251</v>
      </c>
      <c r="C1693" s="17" t="n">
        <v>46266</v>
      </c>
      <c r="D1693" s="1" t="n">
        <v>10017</v>
      </c>
      <c r="E1693" s="1" t="s">
        <v>184</v>
      </c>
      <c r="F1693" s="1" t="n">
        <v>24</v>
      </c>
      <c r="G1693" s="1" t="s">
        <v>91</v>
      </c>
      <c r="H1693" s="1" t="n">
        <v>2110405</v>
      </c>
      <c r="I1693" s="1" t="s">
        <v>55</v>
      </c>
      <c r="J1693" s="1" t="n">
        <v>1561240</v>
      </c>
      <c r="L1693" s="1" t="n">
        <v>212990</v>
      </c>
      <c r="M1693" s="1" t="s">
        <v>36</v>
      </c>
      <c r="N1693" s="1" t="s">
        <v>50</v>
      </c>
      <c r="P1693" s="1" t="n">
        <v>113</v>
      </c>
      <c r="Q1693" s="1" t="s">
        <v>38</v>
      </c>
      <c r="R1693" s="1" t="s">
        <v>62</v>
      </c>
      <c r="S1693" s="1" t="n">
        <v>1130101</v>
      </c>
      <c r="T1693" s="1" t="s">
        <v>63</v>
      </c>
      <c r="U1693" s="1" t="n">
        <v>599.85</v>
      </c>
      <c r="W1693" s="1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" t="n">
        <v>2</v>
      </c>
      <c r="B1694" s="17" t="n">
        <v>46252</v>
      </c>
      <c r="C1694" s="17" t="n">
        <v>46266</v>
      </c>
      <c r="D1694" s="1" t="n">
        <v>1697</v>
      </c>
      <c r="E1694" s="1" t="s">
        <v>775</v>
      </c>
      <c r="F1694" s="1" t="n">
        <v>24</v>
      </c>
      <c r="G1694" s="1" t="s">
        <v>91</v>
      </c>
      <c r="H1694" s="1" t="n">
        <v>2110405</v>
      </c>
      <c r="I1694" s="1" t="s">
        <v>55</v>
      </c>
      <c r="J1694" s="1" t="n">
        <v>1566723</v>
      </c>
      <c r="L1694" s="1" t="n">
        <v>213866</v>
      </c>
      <c r="M1694" s="1" t="s">
        <v>36</v>
      </c>
      <c r="N1694" s="1" t="s">
        <v>50</v>
      </c>
      <c r="P1694" s="1" t="n">
        <v>113</v>
      </c>
      <c r="Q1694" s="1" t="s">
        <v>38</v>
      </c>
      <c r="R1694" s="1" t="s">
        <v>62</v>
      </c>
      <c r="S1694" s="1" t="n">
        <v>1130101</v>
      </c>
      <c r="T1694" s="1" t="s">
        <v>63</v>
      </c>
      <c r="U1694" s="1" t="n">
        <v>584.64</v>
      </c>
      <c r="W1694" s="1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" t="n">
        <v>2</v>
      </c>
      <c r="B1695" s="17" t="n">
        <v>46252</v>
      </c>
      <c r="C1695" s="17" t="n">
        <v>46266</v>
      </c>
      <c r="D1695" s="1" t="n">
        <v>1705</v>
      </c>
      <c r="E1695" s="1" t="s">
        <v>131</v>
      </c>
      <c r="F1695" s="1" t="n">
        <v>24</v>
      </c>
      <c r="G1695" s="1" t="s">
        <v>91</v>
      </c>
      <c r="H1695" s="1" t="n">
        <v>2110405</v>
      </c>
      <c r="I1695" s="1" t="s">
        <v>55</v>
      </c>
      <c r="J1695" s="1" t="n">
        <v>1567586</v>
      </c>
      <c r="L1695" s="1" t="n">
        <v>214037</v>
      </c>
      <c r="M1695" s="1" t="s">
        <v>36</v>
      </c>
      <c r="N1695" s="1" t="s">
        <v>50</v>
      </c>
      <c r="P1695" s="1" t="n">
        <v>113</v>
      </c>
      <c r="Q1695" s="1" t="s">
        <v>38</v>
      </c>
      <c r="R1695" s="1" t="s">
        <v>62</v>
      </c>
      <c r="S1695" s="1" t="n">
        <v>1130101</v>
      </c>
      <c r="T1695" s="1" t="s">
        <v>63</v>
      </c>
      <c r="U1695" s="1" t="n">
        <v>2351.65</v>
      </c>
      <c r="W1695" s="1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" t="n">
        <v>2</v>
      </c>
      <c r="B1696" s="17" t="n">
        <v>46252</v>
      </c>
      <c r="C1696" s="17" t="n">
        <v>46266</v>
      </c>
      <c r="D1696" s="1" t="n">
        <v>1711</v>
      </c>
      <c r="E1696" s="1" t="s">
        <v>1491</v>
      </c>
      <c r="F1696" s="1" t="n">
        <v>24</v>
      </c>
      <c r="G1696" s="1" t="s">
        <v>91</v>
      </c>
      <c r="H1696" s="1" t="n">
        <v>2110405</v>
      </c>
      <c r="I1696" s="1" t="s">
        <v>55</v>
      </c>
      <c r="J1696" s="1" t="n">
        <v>1568088</v>
      </c>
      <c r="L1696" s="1" t="n">
        <v>214108</v>
      </c>
      <c r="M1696" s="1" t="s">
        <v>36</v>
      </c>
      <c r="N1696" s="1" t="s">
        <v>50</v>
      </c>
      <c r="P1696" s="1" t="n">
        <v>113</v>
      </c>
      <c r="Q1696" s="1" t="s">
        <v>38</v>
      </c>
      <c r="R1696" s="1" t="s">
        <v>62</v>
      </c>
      <c r="S1696" s="1" t="n">
        <v>1130101</v>
      </c>
      <c r="T1696" s="1" t="s">
        <v>63</v>
      </c>
      <c r="U1696" s="1" t="n">
        <v>645.72</v>
      </c>
      <c r="W1696" s="1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" t="n">
        <v>2</v>
      </c>
      <c r="B1697" s="17" t="n">
        <v>46253</v>
      </c>
      <c r="C1697" s="17" t="n">
        <v>46266</v>
      </c>
      <c r="D1697" s="1" t="n">
        <v>1635</v>
      </c>
      <c r="E1697" s="1" t="s">
        <v>129</v>
      </c>
      <c r="F1697" s="1" t="n">
        <v>24</v>
      </c>
      <c r="G1697" s="1" t="s">
        <v>91</v>
      </c>
      <c r="H1697" s="1" t="n">
        <v>2110405</v>
      </c>
      <c r="I1697" s="1" t="s">
        <v>55</v>
      </c>
      <c r="J1697" s="1" t="n">
        <v>1570872</v>
      </c>
      <c r="L1697" s="1" t="n">
        <v>214482</v>
      </c>
      <c r="M1697" s="1" t="s">
        <v>36</v>
      </c>
      <c r="N1697" s="1" t="s">
        <v>50</v>
      </c>
      <c r="P1697" s="1" t="n">
        <v>113</v>
      </c>
      <c r="Q1697" s="1" t="s">
        <v>38</v>
      </c>
      <c r="R1697" s="1" t="s">
        <v>62</v>
      </c>
      <c r="S1697" s="1" t="n">
        <v>1130101</v>
      </c>
      <c r="T1697" s="1" t="s">
        <v>63</v>
      </c>
      <c r="U1697" s="1" t="n">
        <v>1276.2</v>
      </c>
      <c r="W1697" s="1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" t="n">
        <v>2</v>
      </c>
      <c r="B1698" s="17" t="n">
        <v>46253</v>
      </c>
      <c r="C1698" s="17" t="n">
        <v>46266</v>
      </c>
      <c r="D1698" s="1" t="n">
        <v>1708</v>
      </c>
      <c r="E1698" s="1" t="s">
        <v>269</v>
      </c>
      <c r="F1698" s="1" t="n">
        <v>24</v>
      </c>
      <c r="G1698" s="1" t="s">
        <v>91</v>
      </c>
      <c r="H1698" s="1" t="n">
        <v>2110405</v>
      </c>
      <c r="I1698" s="1" t="s">
        <v>55</v>
      </c>
      <c r="J1698" s="1" t="n">
        <v>1572967</v>
      </c>
      <c r="L1698" s="1" t="n">
        <v>214926</v>
      </c>
      <c r="M1698" s="1" t="s">
        <v>36</v>
      </c>
      <c r="N1698" s="1" t="s">
        <v>50</v>
      </c>
      <c r="P1698" s="1" t="n">
        <v>113</v>
      </c>
      <c r="Q1698" s="1" t="s">
        <v>38</v>
      </c>
      <c r="R1698" s="1" t="s">
        <v>62</v>
      </c>
      <c r="S1698" s="1" t="n">
        <v>1130101</v>
      </c>
      <c r="T1698" s="1" t="s">
        <v>63</v>
      </c>
      <c r="U1698" s="1" t="n">
        <v>548.18</v>
      </c>
      <c r="W1698" s="1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" t="n">
        <v>2</v>
      </c>
      <c r="B1699" s="17" t="n">
        <v>46254</v>
      </c>
      <c r="C1699" s="17" t="n">
        <v>46266</v>
      </c>
      <c r="D1699" s="1" t="n">
        <v>967</v>
      </c>
      <c r="E1699" s="1" t="s">
        <v>1495</v>
      </c>
      <c r="F1699" s="1" t="n">
        <v>24</v>
      </c>
      <c r="G1699" s="1" t="s">
        <v>91</v>
      </c>
      <c r="H1699" s="1" t="n">
        <v>2110405</v>
      </c>
      <c r="I1699" s="1" t="s">
        <v>55</v>
      </c>
      <c r="J1699" s="1" t="n">
        <v>1576159</v>
      </c>
      <c r="L1699" s="1" t="n">
        <v>215377</v>
      </c>
      <c r="M1699" s="1" t="s">
        <v>36</v>
      </c>
      <c r="N1699" s="1" t="s">
        <v>50</v>
      </c>
      <c r="P1699" s="1" t="n">
        <v>113</v>
      </c>
      <c r="Q1699" s="1" t="s">
        <v>38</v>
      </c>
      <c r="R1699" s="1" t="s">
        <v>62</v>
      </c>
      <c r="S1699" s="1" t="n">
        <v>1130101</v>
      </c>
      <c r="T1699" s="1" t="s">
        <v>63</v>
      </c>
      <c r="U1699" s="1" t="n">
        <v>424</v>
      </c>
      <c r="W1699" s="1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" t="n">
        <v>2</v>
      </c>
      <c r="B1700" s="17" t="n">
        <v>46247</v>
      </c>
      <c r="C1700" s="17" t="n">
        <v>46266</v>
      </c>
      <c r="D1700" s="1" t="n">
        <v>1974</v>
      </c>
      <c r="E1700" s="1" t="s">
        <v>686</v>
      </c>
      <c r="F1700" s="1" t="n">
        <v>47</v>
      </c>
      <c r="G1700" s="1" t="s">
        <v>47</v>
      </c>
      <c r="H1700" s="1" t="n">
        <v>2110405</v>
      </c>
      <c r="I1700" s="1" t="s">
        <v>55</v>
      </c>
      <c r="J1700" s="1" t="n">
        <v>1577528</v>
      </c>
      <c r="L1700" s="1" t="n">
        <v>215681</v>
      </c>
      <c r="M1700" s="1" t="s">
        <v>36</v>
      </c>
      <c r="N1700" s="1" t="s">
        <v>50</v>
      </c>
      <c r="P1700" s="1" t="n">
        <v>101</v>
      </c>
      <c r="Q1700" s="1" t="s">
        <v>56</v>
      </c>
      <c r="R1700" s="1" t="s">
        <v>70</v>
      </c>
      <c r="S1700" s="1" t="n">
        <v>4210209</v>
      </c>
      <c r="T1700" s="1" t="s">
        <v>687</v>
      </c>
      <c r="U1700" s="1" t="n">
        <v>489.15</v>
      </c>
      <c r="W1700" s="1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" t="n">
        <v>2</v>
      </c>
      <c r="B1701" s="17" t="n">
        <v>46259</v>
      </c>
      <c r="C1701" s="17" t="n">
        <v>46266</v>
      </c>
      <c r="D1701" s="1" t="n">
        <v>1642</v>
      </c>
      <c r="E1701" s="1" t="s">
        <v>233</v>
      </c>
      <c r="F1701" s="1" t="n">
        <v>24</v>
      </c>
      <c r="G1701" s="1" t="s">
        <v>91</v>
      </c>
      <c r="H1701" s="1" t="n">
        <v>2110405</v>
      </c>
      <c r="I1701" s="1" t="s">
        <v>55</v>
      </c>
      <c r="J1701" s="1" t="n">
        <v>1598921</v>
      </c>
      <c r="L1701" s="1" t="n">
        <v>218837</v>
      </c>
      <c r="M1701" s="1" t="s">
        <v>36</v>
      </c>
      <c r="N1701" s="1" t="s">
        <v>50</v>
      </c>
      <c r="P1701" s="1" t="n">
        <v>113</v>
      </c>
      <c r="Q1701" s="1" t="s">
        <v>38</v>
      </c>
      <c r="R1701" s="1" t="s">
        <v>62</v>
      </c>
      <c r="S1701" s="1" t="n">
        <v>1130101</v>
      </c>
      <c r="T1701" s="1" t="s">
        <v>63</v>
      </c>
      <c r="U1701" s="1" t="n">
        <v>437.2</v>
      </c>
      <c r="W1701" s="1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" t="n">
        <v>2</v>
      </c>
      <c r="B1702" s="17" t="n">
        <v>46259</v>
      </c>
      <c r="C1702" s="17" t="n">
        <v>46266</v>
      </c>
      <c r="D1702" s="1" t="n">
        <v>1740</v>
      </c>
      <c r="E1702" s="1" t="s">
        <v>462</v>
      </c>
      <c r="F1702" s="1" t="n">
        <v>24</v>
      </c>
      <c r="G1702" s="1" t="s">
        <v>91</v>
      </c>
      <c r="H1702" s="1" t="n">
        <v>2110405</v>
      </c>
      <c r="I1702" s="1" t="s">
        <v>55</v>
      </c>
      <c r="J1702" s="1" t="n">
        <v>1599326</v>
      </c>
      <c r="L1702" s="1" t="n">
        <v>218927</v>
      </c>
      <c r="M1702" s="1" t="s">
        <v>36</v>
      </c>
      <c r="N1702" s="1" t="s">
        <v>50</v>
      </c>
      <c r="P1702" s="1" t="n">
        <v>113</v>
      </c>
      <c r="Q1702" s="1" t="s">
        <v>38</v>
      </c>
      <c r="R1702" s="1" t="s">
        <v>62</v>
      </c>
      <c r="S1702" s="1" t="n">
        <v>1130101</v>
      </c>
      <c r="T1702" s="1" t="s">
        <v>63</v>
      </c>
      <c r="U1702" s="1" t="n">
        <v>2372.5</v>
      </c>
      <c r="W1702" s="1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" t="n">
        <v>2</v>
      </c>
      <c r="B1703" s="17" t="n">
        <v>46259</v>
      </c>
      <c r="C1703" s="17" t="n">
        <v>46266</v>
      </c>
      <c r="D1703" s="1" t="n">
        <v>1650</v>
      </c>
      <c r="E1703" s="1" t="s">
        <v>439</v>
      </c>
      <c r="F1703" s="1" t="n">
        <v>24</v>
      </c>
      <c r="G1703" s="1" t="s">
        <v>91</v>
      </c>
      <c r="H1703" s="1" t="n">
        <v>2110405</v>
      </c>
      <c r="I1703" s="1" t="s">
        <v>55</v>
      </c>
      <c r="J1703" s="1" t="n">
        <v>1600439</v>
      </c>
      <c r="L1703" s="1" t="n">
        <v>219150</v>
      </c>
      <c r="M1703" s="1" t="s">
        <v>36</v>
      </c>
      <c r="N1703" s="1" t="s">
        <v>50</v>
      </c>
      <c r="P1703" s="1" t="n">
        <v>113</v>
      </c>
      <c r="Q1703" s="1" t="s">
        <v>38</v>
      </c>
      <c r="R1703" s="1" t="s">
        <v>62</v>
      </c>
      <c r="S1703" s="1" t="n">
        <v>1130101</v>
      </c>
      <c r="T1703" s="1" t="s">
        <v>63</v>
      </c>
      <c r="U1703" s="1" t="n">
        <v>363.97</v>
      </c>
      <c r="W1703" s="1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" t="n">
        <v>2</v>
      </c>
      <c r="B1704" s="17" t="n">
        <v>46260</v>
      </c>
      <c r="C1704" s="17" t="n">
        <v>46266</v>
      </c>
      <c r="D1704" s="1" t="n">
        <v>1625</v>
      </c>
      <c r="E1704" s="1" t="s">
        <v>272</v>
      </c>
      <c r="F1704" s="1" t="n">
        <v>24</v>
      </c>
      <c r="G1704" s="1" t="s">
        <v>91</v>
      </c>
      <c r="H1704" s="1" t="n">
        <v>2110405</v>
      </c>
      <c r="I1704" s="1" t="s">
        <v>55</v>
      </c>
      <c r="J1704" s="1" t="n">
        <v>1604525</v>
      </c>
      <c r="L1704" s="1" t="n">
        <v>219806</v>
      </c>
      <c r="M1704" s="1" t="s">
        <v>36</v>
      </c>
      <c r="N1704" s="1" t="s">
        <v>50</v>
      </c>
      <c r="P1704" s="1" t="n">
        <v>113</v>
      </c>
      <c r="Q1704" s="1" t="s">
        <v>38</v>
      </c>
      <c r="R1704" s="1" t="s">
        <v>62</v>
      </c>
      <c r="S1704" s="1" t="n">
        <v>1130101</v>
      </c>
      <c r="T1704" s="1" t="s">
        <v>63</v>
      </c>
      <c r="U1704" s="1" t="n">
        <v>3363.75</v>
      </c>
      <c r="W1704" s="1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" t="n">
        <v>2</v>
      </c>
      <c r="B1705" s="17" t="n">
        <v>46263</v>
      </c>
      <c r="C1705" s="17" t="n">
        <v>46266</v>
      </c>
      <c r="D1705" s="1" t="n">
        <v>642</v>
      </c>
      <c r="E1705" s="1" t="s">
        <v>144</v>
      </c>
      <c r="F1705" s="1" t="n">
        <v>24</v>
      </c>
      <c r="G1705" s="1" t="s">
        <v>91</v>
      </c>
      <c r="H1705" s="1" t="n">
        <v>2110405</v>
      </c>
      <c r="I1705" s="1" t="s">
        <v>55</v>
      </c>
      <c r="J1705" s="1" t="n">
        <v>1618518</v>
      </c>
      <c r="L1705" s="1" t="n">
        <v>221953</v>
      </c>
      <c r="M1705" s="1" t="s">
        <v>36</v>
      </c>
      <c r="N1705" s="1" t="s">
        <v>50</v>
      </c>
      <c r="P1705" s="1" t="n">
        <v>113</v>
      </c>
      <c r="Q1705" s="1" t="s">
        <v>38</v>
      </c>
      <c r="R1705" s="1" t="s">
        <v>62</v>
      </c>
      <c r="S1705" s="1" t="n">
        <v>1130101</v>
      </c>
      <c r="T1705" s="1" t="s">
        <v>63</v>
      </c>
      <c r="U1705" s="1" t="n">
        <v>240</v>
      </c>
      <c r="W1705" s="1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" t="n">
        <v>2</v>
      </c>
      <c r="B1706" s="17" t="n">
        <v>46266</v>
      </c>
      <c r="C1706" s="17" t="n">
        <v>46266</v>
      </c>
      <c r="D1706" s="1" t="n">
        <v>73</v>
      </c>
      <c r="E1706" s="1" t="s">
        <v>112</v>
      </c>
      <c r="F1706" s="1" t="n">
        <v>34</v>
      </c>
      <c r="G1706" s="1" t="s">
        <v>110</v>
      </c>
      <c r="H1706" s="1" t="n">
        <v>2110405</v>
      </c>
      <c r="I1706" s="1" t="s">
        <v>55</v>
      </c>
      <c r="J1706" s="1" t="n">
        <v>1634963</v>
      </c>
      <c r="L1706" s="1" t="n">
        <v>224539</v>
      </c>
      <c r="M1706" s="1" t="s">
        <v>36</v>
      </c>
      <c r="N1706" s="1" t="s">
        <v>50</v>
      </c>
      <c r="P1706" s="1" t="n">
        <v>113</v>
      </c>
      <c r="Q1706" s="1" t="s">
        <v>38</v>
      </c>
      <c r="R1706" s="1" t="s">
        <v>39</v>
      </c>
      <c r="S1706" s="1" t="n">
        <v>4210309</v>
      </c>
      <c r="T1706" s="1" t="s">
        <v>113</v>
      </c>
      <c r="U1706" s="1" t="n">
        <v>250</v>
      </c>
      <c r="W1706" s="1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2</v>
      </c>
      <c r="B1707" s="17" t="n">
        <v>46266</v>
      </c>
      <c r="C1707" s="17" t="n">
        <v>46266</v>
      </c>
      <c r="D1707" s="1" t="n">
        <v>18</v>
      </c>
      <c r="E1707" s="1" t="s">
        <v>117</v>
      </c>
      <c r="F1707" s="1" t="n">
        <v>34</v>
      </c>
      <c r="G1707" s="1" t="s">
        <v>110</v>
      </c>
      <c r="H1707" s="1" t="n">
        <v>2110405</v>
      </c>
      <c r="I1707" s="1" t="s">
        <v>55</v>
      </c>
      <c r="J1707" s="1" t="n">
        <v>1634966</v>
      </c>
      <c r="L1707" s="1" t="n">
        <v>224543</v>
      </c>
      <c r="M1707" s="1" t="s">
        <v>36</v>
      </c>
      <c r="N1707" s="1" t="s">
        <v>50</v>
      </c>
      <c r="P1707" s="1" t="n">
        <v>113</v>
      </c>
      <c r="Q1707" s="1" t="s">
        <v>38</v>
      </c>
      <c r="R1707" s="1" t="s">
        <v>39</v>
      </c>
      <c r="S1707" s="1" t="n">
        <v>4210309</v>
      </c>
      <c r="T1707" s="1" t="s">
        <v>113</v>
      </c>
      <c r="U1707" s="1" t="n">
        <v>260</v>
      </c>
      <c r="W1707" s="1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2</v>
      </c>
      <c r="B1708" s="17" t="n">
        <v>46266</v>
      </c>
      <c r="C1708" s="17" t="n">
        <v>46266</v>
      </c>
      <c r="D1708" s="1" t="n">
        <v>21</v>
      </c>
      <c r="E1708" s="1" t="s">
        <v>115</v>
      </c>
      <c r="F1708" s="1" t="n">
        <v>34</v>
      </c>
      <c r="G1708" s="1" t="s">
        <v>110</v>
      </c>
      <c r="H1708" s="1" t="n">
        <v>2110405</v>
      </c>
      <c r="I1708" s="1" t="s">
        <v>55</v>
      </c>
      <c r="J1708" s="1" t="n">
        <v>1634968</v>
      </c>
      <c r="L1708" s="1" t="n">
        <v>224545</v>
      </c>
      <c r="M1708" s="1" t="s">
        <v>36</v>
      </c>
      <c r="N1708" s="1" t="s">
        <v>50</v>
      </c>
      <c r="P1708" s="1" t="n">
        <v>113</v>
      </c>
      <c r="Q1708" s="1" t="s">
        <v>38</v>
      </c>
      <c r="R1708" s="1" t="s">
        <v>39</v>
      </c>
      <c r="S1708" s="1" t="n">
        <v>4210309</v>
      </c>
      <c r="T1708" s="1" t="s">
        <v>113</v>
      </c>
      <c r="U1708" s="1" t="n">
        <v>260</v>
      </c>
      <c r="W1708" s="1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2</v>
      </c>
      <c r="B1709" s="17" t="n">
        <v>46266</v>
      </c>
      <c r="C1709" s="17" t="n">
        <v>46266</v>
      </c>
      <c r="D1709" s="1" t="n">
        <v>48</v>
      </c>
      <c r="E1709" s="1" t="s">
        <v>146</v>
      </c>
      <c r="F1709" s="1" t="n">
        <v>34</v>
      </c>
      <c r="G1709" s="1" t="s">
        <v>110</v>
      </c>
      <c r="H1709" s="1" t="n">
        <v>2110101</v>
      </c>
      <c r="I1709" s="1" t="s">
        <v>48</v>
      </c>
      <c r="J1709" s="1" t="n">
        <v>1635063</v>
      </c>
      <c r="L1709" s="1" t="n">
        <v>2649</v>
      </c>
      <c r="M1709" s="1" t="s">
        <v>36</v>
      </c>
      <c r="N1709" s="1" t="s">
        <v>68</v>
      </c>
      <c r="P1709" s="1" t="n">
        <v>113</v>
      </c>
      <c r="Q1709" s="1" t="s">
        <v>38</v>
      </c>
      <c r="R1709" s="1" t="s">
        <v>62</v>
      </c>
      <c r="S1709" s="1" t="n">
        <v>1130101</v>
      </c>
      <c r="T1709" s="1" t="s">
        <v>63</v>
      </c>
      <c r="U1709" s="1" t="n">
        <v>315</v>
      </c>
      <c r="W1709" s="1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2</v>
      </c>
      <c r="B1710" s="17" t="n">
        <v>46266</v>
      </c>
      <c r="C1710" s="17" t="n">
        <v>46266</v>
      </c>
      <c r="D1710" s="1" t="n">
        <v>48</v>
      </c>
      <c r="E1710" s="1" t="s">
        <v>146</v>
      </c>
      <c r="F1710" s="1" t="n">
        <v>34</v>
      </c>
      <c r="G1710" s="1" t="s">
        <v>110</v>
      </c>
      <c r="H1710" s="1" t="n">
        <v>2110101</v>
      </c>
      <c r="I1710" s="1" t="s">
        <v>48</v>
      </c>
      <c r="J1710" s="1" t="n">
        <v>1635174</v>
      </c>
      <c r="L1710" s="1" t="n">
        <v>2650</v>
      </c>
      <c r="M1710" s="1" t="s">
        <v>36</v>
      </c>
      <c r="N1710" s="1" t="s">
        <v>68</v>
      </c>
      <c r="P1710" s="1" t="n">
        <v>113</v>
      </c>
      <c r="Q1710" s="1" t="s">
        <v>38</v>
      </c>
      <c r="R1710" s="1" t="s">
        <v>62</v>
      </c>
      <c r="S1710" s="1" t="n">
        <v>1130101</v>
      </c>
      <c r="T1710" s="1" t="s">
        <v>63</v>
      </c>
      <c r="U1710" s="1" t="n">
        <v>1440</v>
      </c>
      <c r="W1710" s="1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2</v>
      </c>
      <c r="B1711" s="17" t="n">
        <v>46266</v>
      </c>
      <c r="C1711" s="17" t="n">
        <v>46266</v>
      </c>
      <c r="D1711" s="1" t="n">
        <v>1037</v>
      </c>
      <c r="E1711" s="1" t="s">
        <v>153</v>
      </c>
      <c r="F1711" s="1" t="n">
        <v>34</v>
      </c>
      <c r="G1711" s="1" t="s">
        <v>110</v>
      </c>
      <c r="H1711" s="1" t="n">
        <v>2110405</v>
      </c>
      <c r="I1711" s="1" t="s">
        <v>55</v>
      </c>
      <c r="J1711" s="1" t="n">
        <v>1635197</v>
      </c>
      <c r="L1711" s="1" t="n">
        <v>224569</v>
      </c>
      <c r="M1711" s="1" t="s">
        <v>36</v>
      </c>
      <c r="N1711" s="1" t="s">
        <v>50</v>
      </c>
      <c r="P1711" s="1" t="n">
        <v>113</v>
      </c>
      <c r="Q1711" s="1" t="s">
        <v>38</v>
      </c>
      <c r="R1711" s="1" t="s">
        <v>62</v>
      </c>
      <c r="S1711" s="1" t="n">
        <v>1130101</v>
      </c>
      <c r="T1711" s="1" t="s">
        <v>63</v>
      </c>
      <c r="U1711" s="1" t="n">
        <v>930</v>
      </c>
      <c r="W1711" s="1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2</v>
      </c>
      <c r="B1712" s="17" t="n">
        <v>46266</v>
      </c>
      <c r="C1712" s="17" t="n">
        <v>46266</v>
      </c>
      <c r="D1712" s="1" t="n">
        <v>514</v>
      </c>
      <c r="E1712" s="1" t="s">
        <v>759</v>
      </c>
      <c r="F1712" s="1" t="n">
        <v>34</v>
      </c>
      <c r="G1712" s="1" t="s">
        <v>110</v>
      </c>
      <c r="H1712" s="1" t="n">
        <v>2110405</v>
      </c>
      <c r="I1712" s="1" t="s">
        <v>55</v>
      </c>
      <c r="J1712" s="1" t="n">
        <v>1635276</v>
      </c>
      <c r="L1712" s="1" t="n">
        <v>224584</v>
      </c>
      <c r="M1712" s="1" t="s">
        <v>36</v>
      </c>
      <c r="N1712" s="1" t="s">
        <v>50</v>
      </c>
      <c r="P1712" s="1" t="n">
        <v>102</v>
      </c>
      <c r="Q1712" s="1" t="s">
        <v>315</v>
      </c>
      <c r="R1712" s="1" t="s">
        <v>158</v>
      </c>
      <c r="S1712" s="1" t="n">
        <v>4210504</v>
      </c>
      <c r="T1712" s="1" t="s">
        <v>163</v>
      </c>
      <c r="U1712" s="1" t="n">
        <v>237</v>
      </c>
      <c r="W1712" s="1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2</v>
      </c>
      <c r="B1713" s="17" t="n">
        <v>46266</v>
      </c>
      <c r="C1713" s="17" t="n">
        <v>46266</v>
      </c>
      <c r="D1713" s="1" t="n">
        <v>514</v>
      </c>
      <c r="E1713" s="1" t="s">
        <v>759</v>
      </c>
      <c r="F1713" s="1" t="n">
        <v>34</v>
      </c>
      <c r="G1713" s="1" t="s">
        <v>110</v>
      </c>
      <c r="H1713" s="1" t="n">
        <v>2110405</v>
      </c>
      <c r="I1713" s="1" t="s">
        <v>55</v>
      </c>
      <c r="J1713" s="1" t="n">
        <v>1635280</v>
      </c>
      <c r="L1713" s="1" t="n">
        <v>224585</v>
      </c>
      <c r="M1713" s="1" t="s">
        <v>36</v>
      </c>
      <c r="N1713" s="1" t="s">
        <v>50</v>
      </c>
      <c r="P1713" s="1" t="n">
        <v>102</v>
      </c>
      <c r="Q1713" s="1" t="s">
        <v>315</v>
      </c>
      <c r="R1713" s="1" t="s">
        <v>57</v>
      </c>
      <c r="S1713" s="1" t="n">
        <v>4220199</v>
      </c>
      <c r="T1713" s="1" t="s">
        <v>58</v>
      </c>
      <c r="U1713" s="1" t="n">
        <v>200</v>
      </c>
      <c r="W1713" s="1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" t="n">
        <v>2</v>
      </c>
      <c r="B1714" s="17" t="n">
        <v>46267</v>
      </c>
      <c r="C1714" s="17" t="n">
        <v>46267</v>
      </c>
      <c r="D1714" s="1" t="n">
        <v>0</v>
      </c>
      <c r="E1714" s="1" t="s">
        <v>33</v>
      </c>
      <c r="F1714" s="1" t="n">
        <v>17</v>
      </c>
      <c r="G1714" s="1" t="s">
        <v>34</v>
      </c>
      <c r="H1714" s="1" t="n">
        <v>1110101</v>
      </c>
      <c r="I1714" s="1" t="s">
        <v>35</v>
      </c>
      <c r="J1714" s="1" t="n">
        <v>1646059</v>
      </c>
      <c r="L1714" s="1" t="n">
        <v>1646059</v>
      </c>
      <c r="M1714" s="1" t="s">
        <v>36</v>
      </c>
      <c r="N1714" s="1" t="s">
        <v>37</v>
      </c>
      <c r="P1714" s="1" t="n">
        <v>113</v>
      </c>
      <c r="Q1714" s="1" t="s">
        <v>38</v>
      </c>
      <c r="R1714" s="1" t="s">
        <v>214</v>
      </c>
      <c r="S1714" s="1" t="n">
        <v>2110101</v>
      </c>
      <c r="T1714" s="1" t="s">
        <v>48</v>
      </c>
      <c r="U1714" s="1" t="n">
        <v>300</v>
      </c>
      <c r="W1714" s="1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2</v>
      </c>
      <c r="B1715" s="17" t="n">
        <v>46267</v>
      </c>
      <c r="C1715" s="17" t="n">
        <v>46267</v>
      </c>
      <c r="D1715" s="1" t="n">
        <v>0</v>
      </c>
      <c r="E1715" s="1" t="s">
        <v>33</v>
      </c>
      <c r="F1715" s="1" t="n">
        <v>17</v>
      </c>
      <c r="G1715" s="1" t="s">
        <v>34</v>
      </c>
      <c r="H1715" s="1" t="n">
        <v>1110101</v>
      </c>
      <c r="I1715" s="1" t="s">
        <v>35</v>
      </c>
      <c r="J1715" s="1" t="n">
        <v>1646062</v>
      </c>
      <c r="L1715" s="1" t="n">
        <v>1646062</v>
      </c>
      <c r="M1715" s="1" t="s">
        <v>36</v>
      </c>
      <c r="N1715" s="1" t="s">
        <v>37</v>
      </c>
      <c r="P1715" s="1" t="n">
        <v>113</v>
      </c>
      <c r="Q1715" s="1" t="s">
        <v>38</v>
      </c>
      <c r="R1715" s="1" t="s">
        <v>39</v>
      </c>
      <c r="S1715" s="1" t="n">
        <v>4210314</v>
      </c>
      <c r="T1715" s="1" t="s">
        <v>40</v>
      </c>
      <c r="U1715" s="1" t="n">
        <v>50</v>
      </c>
      <c r="W1715" s="1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2</v>
      </c>
      <c r="B1716" s="17" t="n">
        <v>46267</v>
      </c>
      <c r="C1716" s="17" t="n">
        <v>46267</v>
      </c>
      <c r="D1716" s="1" t="n">
        <v>0</v>
      </c>
      <c r="E1716" s="1" t="s">
        <v>33</v>
      </c>
      <c r="F1716" s="1" t="n">
        <v>17</v>
      </c>
      <c r="G1716" s="1" t="s">
        <v>34</v>
      </c>
      <c r="H1716" s="1" t="n">
        <v>1110101</v>
      </c>
      <c r="I1716" s="1" t="s">
        <v>35</v>
      </c>
      <c r="J1716" s="1" t="n">
        <v>1646119</v>
      </c>
      <c r="L1716" s="1" t="n">
        <v>1646119</v>
      </c>
      <c r="M1716" s="1" t="s">
        <v>36</v>
      </c>
      <c r="N1716" s="1" t="s">
        <v>37</v>
      </c>
      <c r="P1716" s="1" t="n">
        <v>113</v>
      </c>
      <c r="Q1716" s="1" t="s">
        <v>38</v>
      </c>
      <c r="R1716" s="1" t="s">
        <v>70</v>
      </c>
      <c r="S1716" s="1" t="n">
        <v>4210227</v>
      </c>
      <c r="T1716" s="1" t="s">
        <v>77</v>
      </c>
      <c r="U1716" s="1" t="n">
        <v>150</v>
      </c>
      <c r="W1716" s="1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2</v>
      </c>
      <c r="B1717" s="17" t="n">
        <v>46267</v>
      </c>
      <c r="C1717" s="17" t="n">
        <v>46267</v>
      </c>
      <c r="D1717" s="1" t="n">
        <v>0</v>
      </c>
      <c r="E1717" s="1" t="s">
        <v>33</v>
      </c>
      <c r="F1717" s="1" t="n">
        <v>17</v>
      </c>
      <c r="G1717" s="1" t="s">
        <v>34</v>
      </c>
      <c r="H1717" s="1" t="n">
        <v>1110101</v>
      </c>
      <c r="I1717" s="1" t="s">
        <v>35</v>
      </c>
      <c r="J1717" s="1" t="n">
        <v>1646127</v>
      </c>
      <c r="L1717" s="1" t="n">
        <v>1646127</v>
      </c>
      <c r="M1717" s="1" t="s">
        <v>36</v>
      </c>
      <c r="N1717" s="1" t="s">
        <v>37</v>
      </c>
      <c r="P1717" s="1" t="n">
        <v>113</v>
      </c>
      <c r="Q1717" s="1" t="s">
        <v>38</v>
      </c>
      <c r="R1717" s="1" t="s">
        <v>70</v>
      </c>
      <c r="S1717" s="1" t="n">
        <v>4210227</v>
      </c>
      <c r="T1717" s="1" t="s">
        <v>77</v>
      </c>
      <c r="U1717" s="1" t="n">
        <v>260</v>
      </c>
      <c r="W1717" s="1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2</v>
      </c>
      <c r="B1718" s="17" t="n">
        <v>46267</v>
      </c>
      <c r="C1718" s="17" t="n">
        <v>46267</v>
      </c>
      <c r="D1718" s="1" t="n">
        <v>0</v>
      </c>
      <c r="E1718" s="1" t="s">
        <v>33</v>
      </c>
      <c r="F1718" s="1" t="n">
        <v>17</v>
      </c>
      <c r="G1718" s="1" t="s">
        <v>34</v>
      </c>
      <c r="H1718" s="1" t="n">
        <v>1110101</v>
      </c>
      <c r="I1718" s="1" t="s">
        <v>35</v>
      </c>
      <c r="J1718" s="1" t="n">
        <v>1646138</v>
      </c>
      <c r="L1718" s="1" t="n">
        <v>1646138</v>
      </c>
      <c r="M1718" s="1" t="s">
        <v>36</v>
      </c>
      <c r="N1718" s="1" t="s">
        <v>37</v>
      </c>
      <c r="P1718" s="1" t="n">
        <v>113</v>
      </c>
      <c r="Q1718" s="1" t="s">
        <v>38</v>
      </c>
      <c r="R1718" s="1" t="s">
        <v>39</v>
      </c>
      <c r="S1718" s="1" t="n">
        <v>4210309</v>
      </c>
      <c r="T1718" s="1" t="s">
        <v>113</v>
      </c>
      <c r="U1718" s="1" t="n">
        <v>10</v>
      </c>
      <c r="W1718" s="1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2</v>
      </c>
      <c r="B1719" s="17" t="n">
        <v>46246</v>
      </c>
      <c r="C1719" s="17" t="n">
        <v>46267</v>
      </c>
      <c r="D1719" s="1" t="n">
        <v>1608</v>
      </c>
      <c r="E1719" s="1" t="s">
        <v>224</v>
      </c>
      <c r="F1719" s="1" t="n">
        <v>24</v>
      </c>
      <c r="G1719" s="1" t="s">
        <v>91</v>
      </c>
      <c r="H1719" s="1" t="n">
        <v>2110405</v>
      </c>
      <c r="I1719" s="1" t="s">
        <v>55</v>
      </c>
      <c r="J1719" s="1" t="n">
        <v>1534795</v>
      </c>
      <c r="L1719" s="1" t="n">
        <v>209428</v>
      </c>
      <c r="M1719" s="1" t="s">
        <v>36</v>
      </c>
      <c r="N1719" s="1" t="s">
        <v>50</v>
      </c>
      <c r="P1719" s="1" t="n">
        <v>113</v>
      </c>
      <c r="Q1719" s="1" t="s">
        <v>38</v>
      </c>
      <c r="R1719" s="1" t="s">
        <v>62</v>
      </c>
      <c r="S1719" s="1" t="n">
        <v>1130101</v>
      </c>
      <c r="T1719" s="1" t="s">
        <v>63</v>
      </c>
      <c r="U1719" s="1" t="n">
        <v>1279.58</v>
      </c>
      <c r="W1719" s="1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" t="n">
        <v>2</v>
      </c>
      <c r="B1720" s="17" t="n">
        <v>46246</v>
      </c>
      <c r="C1720" s="17" t="n">
        <v>46267</v>
      </c>
      <c r="D1720" s="1" t="n">
        <v>1634</v>
      </c>
      <c r="E1720" s="1" t="s">
        <v>291</v>
      </c>
      <c r="F1720" s="1" t="n">
        <v>24</v>
      </c>
      <c r="G1720" s="1" t="s">
        <v>91</v>
      </c>
      <c r="H1720" s="1" t="n">
        <v>2110405</v>
      </c>
      <c r="I1720" s="1" t="s">
        <v>55</v>
      </c>
      <c r="J1720" s="1" t="n">
        <v>1535495</v>
      </c>
      <c r="L1720" s="1" t="n">
        <v>209569</v>
      </c>
      <c r="M1720" s="1" t="s">
        <v>36</v>
      </c>
      <c r="N1720" s="1" t="s">
        <v>50</v>
      </c>
      <c r="P1720" s="1" t="n">
        <v>113</v>
      </c>
      <c r="Q1720" s="1" t="s">
        <v>38</v>
      </c>
      <c r="R1720" s="1" t="s">
        <v>62</v>
      </c>
      <c r="S1720" s="1" t="n">
        <v>1130101</v>
      </c>
      <c r="T1720" s="1" t="s">
        <v>63</v>
      </c>
      <c r="U1720" s="1" t="n">
        <v>700.7</v>
      </c>
      <c r="W1720" s="1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" t="n">
        <v>2</v>
      </c>
      <c r="B1721" s="17" t="n">
        <v>46246</v>
      </c>
      <c r="C1721" s="17" t="n">
        <v>46267</v>
      </c>
      <c r="D1721" s="1" t="n">
        <v>10010</v>
      </c>
      <c r="E1721" s="1" t="s">
        <v>826</v>
      </c>
      <c r="F1721" s="1" t="n">
        <v>24</v>
      </c>
      <c r="G1721" s="1" t="s">
        <v>91</v>
      </c>
      <c r="H1721" s="1" t="n">
        <v>2110405</v>
      </c>
      <c r="I1721" s="1" t="s">
        <v>55</v>
      </c>
      <c r="J1721" s="1" t="n">
        <v>1537384</v>
      </c>
      <c r="L1721" s="1" t="n">
        <v>209767</v>
      </c>
      <c r="M1721" s="1" t="s">
        <v>36</v>
      </c>
      <c r="N1721" s="1" t="s">
        <v>50</v>
      </c>
      <c r="P1721" s="1" t="n">
        <v>113</v>
      </c>
      <c r="Q1721" s="1" t="s">
        <v>38</v>
      </c>
      <c r="R1721" s="1" t="s">
        <v>62</v>
      </c>
      <c r="S1721" s="1" t="n">
        <v>1130101</v>
      </c>
      <c r="T1721" s="1" t="s">
        <v>63</v>
      </c>
      <c r="U1721" s="1" t="n">
        <v>205.44</v>
      </c>
      <c r="W1721" s="1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" t="n">
        <v>2</v>
      </c>
      <c r="B1722" s="17" t="n">
        <v>46247</v>
      </c>
      <c r="C1722" s="17" t="n">
        <v>46267</v>
      </c>
      <c r="D1722" s="1" t="n">
        <v>1624</v>
      </c>
      <c r="E1722" s="1" t="s">
        <v>338</v>
      </c>
      <c r="F1722" s="1" t="n">
        <v>24</v>
      </c>
      <c r="G1722" s="1" t="s">
        <v>91</v>
      </c>
      <c r="H1722" s="1" t="n">
        <v>2110405</v>
      </c>
      <c r="I1722" s="1" t="s">
        <v>55</v>
      </c>
      <c r="J1722" s="1" t="n">
        <v>1543912</v>
      </c>
      <c r="L1722" s="1" t="n">
        <v>210532</v>
      </c>
      <c r="M1722" s="1" t="s">
        <v>36</v>
      </c>
      <c r="N1722" s="1" t="s">
        <v>50</v>
      </c>
      <c r="P1722" s="1" t="n">
        <v>113</v>
      </c>
      <c r="Q1722" s="1" t="s">
        <v>38</v>
      </c>
      <c r="R1722" s="1" t="s">
        <v>62</v>
      </c>
      <c r="S1722" s="1" t="n">
        <v>1130101</v>
      </c>
      <c r="T1722" s="1" t="s">
        <v>63</v>
      </c>
      <c r="U1722" s="1" t="n">
        <v>830.14</v>
      </c>
      <c r="W1722" s="1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" t="n">
        <v>2</v>
      </c>
      <c r="B1723" s="17" t="n">
        <v>46248</v>
      </c>
      <c r="C1723" s="17" t="n">
        <v>46267</v>
      </c>
      <c r="D1723" s="1" t="n">
        <v>1613</v>
      </c>
      <c r="E1723" s="1" t="s">
        <v>107</v>
      </c>
      <c r="F1723" s="1" t="n">
        <v>24</v>
      </c>
      <c r="G1723" s="1" t="s">
        <v>91</v>
      </c>
      <c r="H1723" s="1" t="n">
        <v>2110405</v>
      </c>
      <c r="I1723" s="1" t="s">
        <v>55</v>
      </c>
      <c r="J1723" s="1" t="n">
        <v>1547487</v>
      </c>
      <c r="L1723" s="1" t="n">
        <v>211364</v>
      </c>
      <c r="M1723" s="1" t="s">
        <v>36</v>
      </c>
      <c r="N1723" s="1" t="s">
        <v>50</v>
      </c>
      <c r="P1723" s="1" t="n">
        <v>113</v>
      </c>
      <c r="Q1723" s="1" t="s">
        <v>38</v>
      </c>
      <c r="R1723" s="1" t="s">
        <v>62</v>
      </c>
      <c r="S1723" s="1" t="n">
        <v>1130101</v>
      </c>
      <c r="T1723" s="1" t="s">
        <v>63</v>
      </c>
      <c r="U1723" s="1" t="n">
        <v>1164.76</v>
      </c>
      <c r="W1723" s="1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" t="n">
        <v>2</v>
      </c>
      <c r="B1724" s="17" t="n">
        <v>46252</v>
      </c>
      <c r="C1724" s="17" t="n">
        <v>46267</v>
      </c>
      <c r="D1724" s="1" t="n">
        <v>1612</v>
      </c>
      <c r="E1724" s="1" t="s">
        <v>90</v>
      </c>
      <c r="F1724" s="1" t="n">
        <v>24</v>
      </c>
      <c r="G1724" s="1" t="s">
        <v>91</v>
      </c>
      <c r="H1724" s="1" t="n">
        <v>2110405</v>
      </c>
      <c r="I1724" s="1" t="s">
        <v>55</v>
      </c>
      <c r="J1724" s="1" t="n">
        <v>1567416</v>
      </c>
      <c r="L1724" s="1" t="n">
        <v>214022</v>
      </c>
      <c r="M1724" s="1" t="s">
        <v>36</v>
      </c>
      <c r="N1724" s="1" t="s">
        <v>50</v>
      </c>
      <c r="P1724" s="1" t="n">
        <v>113</v>
      </c>
      <c r="Q1724" s="1" t="s">
        <v>38</v>
      </c>
      <c r="R1724" s="1" t="s">
        <v>62</v>
      </c>
      <c r="S1724" s="1" t="n">
        <v>1130101</v>
      </c>
      <c r="T1724" s="1" t="s">
        <v>63</v>
      </c>
      <c r="U1724" s="1" t="n">
        <v>1154.64</v>
      </c>
      <c r="W1724" s="1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" t="n">
        <v>2</v>
      </c>
      <c r="B1725" s="17" t="n">
        <v>46260</v>
      </c>
      <c r="C1725" s="17" t="n">
        <v>46267</v>
      </c>
      <c r="D1725" s="1" t="n">
        <v>10019</v>
      </c>
      <c r="E1725" s="1" t="s">
        <v>274</v>
      </c>
      <c r="F1725" s="1" t="n">
        <v>24</v>
      </c>
      <c r="G1725" s="1" t="s">
        <v>91</v>
      </c>
      <c r="H1725" s="1" t="n">
        <v>2110405</v>
      </c>
      <c r="I1725" s="1" t="s">
        <v>55</v>
      </c>
      <c r="J1725" s="1" t="n">
        <v>1605120</v>
      </c>
      <c r="L1725" s="1" t="n">
        <v>219903</v>
      </c>
      <c r="M1725" s="1" t="s">
        <v>36</v>
      </c>
      <c r="N1725" s="1" t="s">
        <v>50</v>
      </c>
      <c r="P1725" s="1" t="n">
        <v>113</v>
      </c>
      <c r="Q1725" s="1" t="s">
        <v>38</v>
      </c>
      <c r="R1725" s="1" t="s">
        <v>62</v>
      </c>
      <c r="S1725" s="1" t="n">
        <v>1130101</v>
      </c>
      <c r="T1725" s="1" t="s">
        <v>63</v>
      </c>
      <c r="U1725" s="1" t="n">
        <v>2752.16</v>
      </c>
      <c r="W1725" s="1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" t="n">
        <v>2</v>
      </c>
      <c r="B1726" s="17" t="n">
        <v>46260</v>
      </c>
      <c r="C1726" s="17" t="n">
        <v>46267</v>
      </c>
      <c r="D1726" s="1" t="n">
        <v>1626</v>
      </c>
      <c r="E1726" s="1" t="s">
        <v>96</v>
      </c>
      <c r="F1726" s="1" t="n">
        <v>24</v>
      </c>
      <c r="G1726" s="1" t="s">
        <v>91</v>
      </c>
      <c r="H1726" s="1" t="n">
        <v>2110405</v>
      </c>
      <c r="I1726" s="1" t="s">
        <v>55</v>
      </c>
      <c r="J1726" s="1" t="n">
        <v>1605219</v>
      </c>
      <c r="L1726" s="1" t="n">
        <v>219912</v>
      </c>
      <c r="M1726" s="1" t="s">
        <v>36</v>
      </c>
      <c r="N1726" s="1" t="s">
        <v>50</v>
      </c>
      <c r="P1726" s="1" t="n">
        <v>113</v>
      </c>
      <c r="Q1726" s="1" t="s">
        <v>38</v>
      </c>
      <c r="R1726" s="1" t="s">
        <v>62</v>
      </c>
      <c r="S1726" s="1" t="n">
        <v>1130101</v>
      </c>
      <c r="T1726" s="1" t="s">
        <v>63</v>
      </c>
      <c r="U1726" s="1" t="n">
        <v>679.17</v>
      </c>
      <c r="W1726" s="1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" t="n">
        <v>2</v>
      </c>
      <c r="B1727" s="17" t="n">
        <v>46261</v>
      </c>
      <c r="C1727" s="17" t="n">
        <v>46267</v>
      </c>
      <c r="D1727" s="1" t="n">
        <v>754</v>
      </c>
      <c r="E1727" s="1" t="s">
        <v>142</v>
      </c>
      <c r="F1727" s="1" t="n">
        <v>24</v>
      </c>
      <c r="G1727" s="1" t="s">
        <v>91</v>
      </c>
      <c r="H1727" s="1" t="n">
        <v>2110405</v>
      </c>
      <c r="I1727" s="1" t="s">
        <v>55</v>
      </c>
      <c r="J1727" s="1" t="n">
        <v>1608625</v>
      </c>
      <c r="L1727" s="1" t="n">
        <v>220386</v>
      </c>
      <c r="M1727" s="1" t="s">
        <v>36</v>
      </c>
      <c r="N1727" s="1" t="s">
        <v>50</v>
      </c>
      <c r="P1727" s="1" t="n">
        <v>113</v>
      </c>
      <c r="Q1727" s="1" t="s">
        <v>38</v>
      </c>
      <c r="R1727" s="1" t="s">
        <v>62</v>
      </c>
      <c r="S1727" s="1" t="n">
        <v>1130101</v>
      </c>
      <c r="T1727" s="1" t="s">
        <v>63</v>
      </c>
      <c r="U1727" s="1" t="n">
        <v>1069.2</v>
      </c>
      <c r="W1727" s="1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" t="n">
        <v>2</v>
      </c>
      <c r="B1728" s="17" t="n">
        <v>46261</v>
      </c>
      <c r="C1728" s="17" t="n">
        <v>46267</v>
      </c>
      <c r="D1728" s="1" t="n">
        <v>1636</v>
      </c>
      <c r="E1728" s="1" t="s">
        <v>98</v>
      </c>
      <c r="F1728" s="1" t="n">
        <v>24</v>
      </c>
      <c r="G1728" s="1" t="s">
        <v>91</v>
      </c>
      <c r="H1728" s="1" t="n">
        <v>2110405</v>
      </c>
      <c r="I1728" s="1" t="s">
        <v>55</v>
      </c>
      <c r="J1728" s="1" t="n">
        <v>1609057</v>
      </c>
      <c r="L1728" s="1" t="n">
        <v>220487</v>
      </c>
      <c r="M1728" s="1" t="s">
        <v>36</v>
      </c>
      <c r="N1728" s="1" t="s">
        <v>50</v>
      </c>
      <c r="P1728" s="1" t="n">
        <v>113</v>
      </c>
      <c r="Q1728" s="1" t="s">
        <v>38</v>
      </c>
      <c r="R1728" s="1" t="s">
        <v>62</v>
      </c>
      <c r="S1728" s="1" t="n">
        <v>1130101</v>
      </c>
      <c r="T1728" s="1" t="s">
        <v>63</v>
      </c>
      <c r="U1728" s="1" t="n">
        <v>731.86</v>
      </c>
      <c r="W1728" s="1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" t="n">
        <v>2</v>
      </c>
      <c r="B1729" s="17" t="n">
        <v>46261</v>
      </c>
      <c r="C1729" s="17" t="n">
        <v>46267</v>
      </c>
      <c r="D1729" s="1" t="n">
        <v>1609</v>
      </c>
      <c r="E1729" s="1" t="s">
        <v>103</v>
      </c>
      <c r="F1729" s="1" t="n">
        <v>24</v>
      </c>
      <c r="G1729" s="1" t="s">
        <v>91</v>
      </c>
      <c r="H1729" s="1" t="n">
        <v>2110405</v>
      </c>
      <c r="I1729" s="1" t="s">
        <v>55</v>
      </c>
      <c r="J1729" s="1" t="n">
        <v>1609116</v>
      </c>
      <c r="L1729" s="1" t="n">
        <v>220499</v>
      </c>
      <c r="M1729" s="1" t="s">
        <v>36</v>
      </c>
      <c r="N1729" s="1" t="s">
        <v>50</v>
      </c>
      <c r="P1729" s="1" t="n">
        <v>113</v>
      </c>
      <c r="Q1729" s="1" t="s">
        <v>38</v>
      </c>
      <c r="R1729" s="1" t="s">
        <v>62</v>
      </c>
      <c r="S1729" s="1" t="n">
        <v>1130101</v>
      </c>
      <c r="T1729" s="1" t="s">
        <v>63</v>
      </c>
      <c r="U1729" s="1" t="n">
        <v>741.3</v>
      </c>
      <c r="W1729" s="1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" t="n">
        <v>2</v>
      </c>
      <c r="B1730" s="17" t="n">
        <v>46267</v>
      </c>
      <c r="C1730" s="17" t="n">
        <v>46267</v>
      </c>
      <c r="D1730" s="1" t="n">
        <v>48</v>
      </c>
      <c r="E1730" s="1" t="s">
        <v>146</v>
      </c>
      <c r="F1730" s="1" t="n">
        <v>13</v>
      </c>
      <c r="G1730" s="1" t="s">
        <v>147</v>
      </c>
      <c r="H1730" s="1" t="n">
        <v>2110101</v>
      </c>
      <c r="I1730" s="1" t="s">
        <v>48</v>
      </c>
      <c r="J1730" s="1" t="n">
        <v>1641414</v>
      </c>
      <c r="L1730" s="1" t="n">
        <v>2653</v>
      </c>
      <c r="M1730" s="1" t="s">
        <v>36</v>
      </c>
      <c r="N1730" s="1" t="s">
        <v>68</v>
      </c>
      <c r="P1730" s="1" t="n">
        <v>113</v>
      </c>
      <c r="Q1730" s="1" t="s">
        <v>38</v>
      </c>
      <c r="R1730" s="1" t="s">
        <v>62</v>
      </c>
      <c r="S1730" s="1" t="n">
        <v>1130101</v>
      </c>
      <c r="T1730" s="1" t="s">
        <v>63</v>
      </c>
      <c r="U1730" s="1" t="n">
        <v>300</v>
      </c>
      <c r="W1730" s="1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2</v>
      </c>
      <c r="B1731" s="17" t="n">
        <v>46267</v>
      </c>
      <c r="C1731" s="17" t="n">
        <v>46267</v>
      </c>
      <c r="D1731" s="1" t="n">
        <v>515</v>
      </c>
      <c r="E1731" s="1" t="s">
        <v>157</v>
      </c>
      <c r="F1731" s="1" t="n">
        <v>34</v>
      </c>
      <c r="G1731" s="1" t="s">
        <v>110</v>
      </c>
      <c r="H1731" s="1" t="n">
        <v>2110405</v>
      </c>
      <c r="I1731" s="1" t="s">
        <v>55</v>
      </c>
      <c r="J1731" s="1" t="n">
        <v>1648737</v>
      </c>
      <c r="L1731" s="1" t="n">
        <v>226479</v>
      </c>
      <c r="M1731" s="1" t="s">
        <v>36</v>
      </c>
      <c r="N1731" s="1" t="s">
        <v>50</v>
      </c>
      <c r="P1731" s="1" t="n">
        <v>102</v>
      </c>
      <c r="Q1731" s="1" t="s">
        <v>315</v>
      </c>
      <c r="R1731" s="1" t="s">
        <v>158</v>
      </c>
      <c r="S1731" s="1" t="n">
        <v>4210504</v>
      </c>
      <c r="T1731" s="1" t="s">
        <v>163</v>
      </c>
      <c r="U1731" s="1" t="n">
        <v>21.12</v>
      </c>
      <c r="W1731" s="1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2</v>
      </c>
      <c r="B1732" s="17" t="n">
        <v>46267</v>
      </c>
      <c r="C1732" s="17" t="n">
        <v>46267</v>
      </c>
      <c r="D1732" s="1" t="n">
        <v>515</v>
      </c>
      <c r="E1732" s="1" t="s">
        <v>157</v>
      </c>
      <c r="F1732" s="1" t="n">
        <v>34</v>
      </c>
      <c r="G1732" s="1" t="s">
        <v>110</v>
      </c>
      <c r="H1732" s="1" t="n">
        <v>2110405</v>
      </c>
      <c r="I1732" s="1" t="s">
        <v>55</v>
      </c>
      <c r="J1732" s="1" t="n">
        <v>1648740</v>
      </c>
      <c r="L1732" s="1" t="n">
        <v>226481</v>
      </c>
      <c r="M1732" s="1" t="s">
        <v>36</v>
      </c>
      <c r="N1732" s="1" t="s">
        <v>50</v>
      </c>
      <c r="P1732" s="1" t="n">
        <v>102</v>
      </c>
      <c r="Q1732" s="1" t="s">
        <v>315</v>
      </c>
      <c r="R1732" s="1" t="s">
        <v>158</v>
      </c>
      <c r="S1732" s="1" t="n">
        <v>4210505</v>
      </c>
      <c r="T1732" s="1" t="s">
        <v>159</v>
      </c>
      <c r="U1732" s="1" t="n">
        <v>107.26</v>
      </c>
      <c r="W1732" s="1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2</v>
      </c>
      <c r="B1733" s="17" t="n">
        <v>46267</v>
      </c>
      <c r="C1733" s="17" t="n">
        <v>46267</v>
      </c>
      <c r="D1733" s="1" t="n">
        <v>515</v>
      </c>
      <c r="E1733" s="1" t="s">
        <v>157</v>
      </c>
      <c r="F1733" s="1" t="n">
        <v>34</v>
      </c>
      <c r="G1733" s="1" t="s">
        <v>110</v>
      </c>
      <c r="H1733" s="1" t="n">
        <v>2110405</v>
      </c>
      <c r="I1733" s="1" t="s">
        <v>55</v>
      </c>
      <c r="J1733" s="1" t="n">
        <v>1648749</v>
      </c>
      <c r="L1733" s="1" t="n">
        <v>226483</v>
      </c>
      <c r="M1733" s="1" t="s">
        <v>36</v>
      </c>
      <c r="N1733" s="1" t="s">
        <v>50</v>
      </c>
      <c r="P1733" s="1" t="n">
        <v>102</v>
      </c>
      <c r="Q1733" s="1" t="s">
        <v>315</v>
      </c>
      <c r="R1733" s="1" t="s">
        <v>158</v>
      </c>
      <c r="S1733" s="1" t="n">
        <v>4210504</v>
      </c>
      <c r="T1733" s="1" t="s">
        <v>163</v>
      </c>
      <c r="U1733" s="1" t="n">
        <v>143.03</v>
      </c>
      <c r="W1733" s="1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2</v>
      </c>
      <c r="B1734" s="17" t="n">
        <v>46267</v>
      </c>
      <c r="C1734" s="17" t="n">
        <v>46267</v>
      </c>
      <c r="D1734" s="1" t="n">
        <v>515</v>
      </c>
      <c r="E1734" s="1" t="s">
        <v>157</v>
      </c>
      <c r="F1734" s="1" t="n">
        <v>34</v>
      </c>
      <c r="G1734" s="1" t="s">
        <v>110</v>
      </c>
      <c r="H1734" s="1" t="n">
        <v>2110405</v>
      </c>
      <c r="I1734" s="1" t="s">
        <v>55</v>
      </c>
      <c r="J1734" s="1" t="n">
        <v>1648764</v>
      </c>
      <c r="L1734" s="1" t="n">
        <v>226486</v>
      </c>
      <c r="M1734" s="1" t="s">
        <v>36</v>
      </c>
      <c r="N1734" s="1" t="s">
        <v>50</v>
      </c>
      <c r="P1734" s="1" t="n">
        <v>102</v>
      </c>
      <c r="Q1734" s="1" t="s">
        <v>315</v>
      </c>
      <c r="R1734" s="1" t="s">
        <v>158</v>
      </c>
      <c r="S1734" s="1" t="n">
        <v>4210505</v>
      </c>
      <c r="T1734" s="1" t="s">
        <v>159</v>
      </c>
      <c r="U1734" s="1" t="n">
        <v>281.13</v>
      </c>
      <c r="W1734" s="1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2</v>
      </c>
      <c r="B1735" s="17" t="n">
        <v>46267</v>
      </c>
      <c r="C1735" s="17" t="n">
        <v>46267</v>
      </c>
      <c r="D1735" s="1" t="n">
        <v>515</v>
      </c>
      <c r="E1735" s="1" t="s">
        <v>157</v>
      </c>
      <c r="F1735" s="1" t="n">
        <v>34</v>
      </c>
      <c r="G1735" s="1" t="s">
        <v>110</v>
      </c>
      <c r="H1735" s="1" t="n">
        <v>2110405</v>
      </c>
      <c r="I1735" s="1" t="s">
        <v>55</v>
      </c>
      <c r="J1735" s="1" t="n">
        <v>1648788</v>
      </c>
      <c r="L1735" s="1" t="n">
        <v>226491</v>
      </c>
      <c r="M1735" s="1" t="s">
        <v>36</v>
      </c>
      <c r="N1735" s="1" t="s">
        <v>50</v>
      </c>
      <c r="P1735" s="1" t="n">
        <v>102</v>
      </c>
      <c r="Q1735" s="1" t="s">
        <v>315</v>
      </c>
      <c r="R1735" s="1" t="s">
        <v>158</v>
      </c>
      <c r="S1735" s="1" t="n">
        <v>4210505</v>
      </c>
      <c r="T1735" s="1" t="s">
        <v>159</v>
      </c>
      <c r="U1735" s="1" t="n">
        <v>327.4</v>
      </c>
      <c r="W1735" s="1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2</v>
      </c>
      <c r="B1736" s="17" t="n">
        <v>46267</v>
      </c>
      <c r="C1736" s="17" t="n">
        <v>46267</v>
      </c>
      <c r="D1736" s="1" t="n">
        <v>515</v>
      </c>
      <c r="E1736" s="1" t="s">
        <v>157</v>
      </c>
      <c r="F1736" s="1" t="n">
        <v>34</v>
      </c>
      <c r="G1736" s="1" t="s">
        <v>110</v>
      </c>
      <c r="H1736" s="1" t="n">
        <v>2110405</v>
      </c>
      <c r="I1736" s="1" t="s">
        <v>55</v>
      </c>
      <c r="J1736" s="1" t="n">
        <v>1648793</v>
      </c>
      <c r="L1736" s="1" t="n">
        <v>226493</v>
      </c>
      <c r="M1736" s="1" t="s">
        <v>36</v>
      </c>
      <c r="N1736" s="1" t="s">
        <v>50</v>
      </c>
      <c r="P1736" s="1" t="n">
        <v>102</v>
      </c>
      <c r="Q1736" s="1" t="s">
        <v>315</v>
      </c>
      <c r="R1736" s="1" t="s">
        <v>158</v>
      </c>
      <c r="S1736" s="1" t="n">
        <v>4210504</v>
      </c>
      <c r="T1736" s="1" t="s">
        <v>163</v>
      </c>
      <c r="U1736" s="1" t="n">
        <v>550.38</v>
      </c>
      <c r="W1736" s="1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2</v>
      </c>
      <c r="B1737" s="17" t="n">
        <v>46268</v>
      </c>
      <c r="C1737" s="17" t="n">
        <v>46268</v>
      </c>
      <c r="D1737" s="1" t="n">
        <v>0</v>
      </c>
      <c r="E1737" s="1" t="s">
        <v>33</v>
      </c>
      <c r="F1737" s="1" t="n">
        <v>17</v>
      </c>
      <c r="G1737" s="1" t="s">
        <v>34</v>
      </c>
      <c r="H1737" s="1" t="n">
        <v>1110101</v>
      </c>
      <c r="I1737" s="1" t="s">
        <v>35</v>
      </c>
      <c r="J1737" s="1" t="n">
        <v>1652734</v>
      </c>
      <c r="L1737" s="1" t="n">
        <v>1652734</v>
      </c>
      <c r="M1737" s="1" t="s">
        <v>36</v>
      </c>
      <c r="N1737" s="1" t="s">
        <v>37</v>
      </c>
      <c r="P1737" s="1" t="n">
        <v>113</v>
      </c>
      <c r="Q1737" s="1" t="s">
        <v>38</v>
      </c>
      <c r="R1737" s="1" t="s">
        <v>39</v>
      </c>
      <c r="S1737" s="1" t="n">
        <v>4210314</v>
      </c>
      <c r="T1737" s="1" t="s">
        <v>40</v>
      </c>
      <c r="U1737" s="1" t="n">
        <v>50</v>
      </c>
      <c r="W1737" s="1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" t="n">
        <v>2</v>
      </c>
      <c r="B1738" s="17" t="n">
        <v>46268</v>
      </c>
      <c r="C1738" s="17" t="n">
        <v>46268</v>
      </c>
      <c r="D1738" s="1" t="n">
        <v>0</v>
      </c>
      <c r="E1738" s="1" t="s">
        <v>33</v>
      </c>
      <c r="F1738" s="1" t="n">
        <v>17</v>
      </c>
      <c r="G1738" s="1" t="s">
        <v>34</v>
      </c>
      <c r="H1738" s="1" t="n">
        <v>1110101</v>
      </c>
      <c r="I1738" s="1" t="s">
        <v>35</v>
      </c>
      <c r="J1738" s="1" t="n">
        <v>1652736</v>
      </c>
      <c r="L1738" s="1" t="n">
        <v>1652736</v>
      </c>
      <c r="M1738" s="1" t="s">
        <v>36</v>
      </c>
      <c r="N1738" s="1" t="s">
        <v>37</v>
      </c>
      <c r="P1738" s="1" t="n">
        <v>113</v>
      </c>
      <c r="Q1738" s="1" t="s">
        <v>38</v>
      </c>
      <c r="R1738" s="1" t="s">
        <v>70</v>
      </c>
      <c r="S1738" s="1" t="n">
        <v>4210227</v>
      </c>
      <c r="T1738" s="1" t="s">
        <v>77</v>
      </c>
      <c r="U1738" s="1" t="n">
        <v>24</v>
      </c>
      <c r="W1738" s="1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" t="n">
        <v>2</v>
      </c>
      <c r="B1739" s="17" t="n">
        <v>46268</v>
      </c>
      <c r="C1739" s="17" t="n">
        <v>46268</v>
      </c>
      <c r="D1739" s="1" t="n">
        <v>0</v>
      </c>
      <c r="E1739" s="1" t="s">
        <v>33</v>
      </c>
      <c r="F1739" s="1" t="n">
        <v>17</v>
      </c>
      <c r="G1739" s="1" t="s">
        <v>34</v>
      </c>
      <c r="H1739" s="1" t="n">
        <v>1110101</v>
      </c>
      <c r="I1739" s="1" t="s">
        <v>35</v>
      </c>
      <c r="J1739" s="1" t="n">
        <v>1652737</v>
      </c>
      <c r="L1739" s="1" t="n">
        <v>1652737</v>
      </c>
      <c r="M1739" s="1" t="s">
        <v>36</v>
      </c>
      <c r="N1739" s="1" t="s">
        <v>37</v>
      </c>
      <c r="P1739" s="1" t="n">
        <v>113</v>
      </c>
      <c r="Q1739" s="1" t="s">
        <v>38</v>
      </c>
      <c r="R1739" s="1" t="s">
        <v>39</v>
      </c>
      <c r="S1739" s="1" t="n">
        <v>4210309</v>
      </c>
      <c r="T1739" s="1" t="s">
        <v>113</v>
      </c>
      <c r="U1739" s="1" t="n">
        <v>10</v>
      </c>
      <c r="W1739" s="1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" t="n">
        <v>2</v>
      </c>
      <c r="B1740" s="17" t="n">
        <v>46241</v>
      </c>
      <c r="C1740" s="17" t="n">
        <v>46268</v>
      </c>
      <c r="D1740" s="1" t="n">
        <v>1705</v>
      </c>
      <c r="E1740" s="1" t="s">
        <v>131</v>
      </c>
      <c r="F1740" s="1" t="n">
        <v>24</v>
      </c>
      <c r="G1740" s="1" t="s">
        <v>91</v>
      </c>
      <c r="H1740" s="1" t="n">
        <v>2110405</v>
      </c>
      <c r="I1740" s="1" t="s">
        <v>55</v>
      </c>
      <c r="J1740" s="1" t="n">
        <v>1514117</v>
      </c>
      <c r="L1740" s="1" t="n">
        <v>205956</v>
      </c>
      <c r="M1740" s="1" t="s">
        <v>36</v>
      </c>
      <c r="N1740" s="1" t="s">
        <v>50</v>
      </c>
      <c r="P1740" s="1" t="n">
        <v>113</v>
      </c>
      <c r="Q1740" s="1" t="s">
        <v>38</v>
      </c>
      <c r="R1740" s="1" t="s">
        <v>62</v>
      </c>
      <c r="S1740" s="1" t="n">
        <v>1130101</v>
      </c>
      <c r="T1740" s="1" t="s">
        <v>63</v>
      </c>
      <c r="U1740" s="1" t="n">
        <v>77.62</v>
      </c>
      <c r="W1740" s="1" t="n">
        <v>0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" t="n">
        <v>2</v>
      </c>
      <c r="B1741" s="17" t="n">
        <v>46241</v>
      </c>
      <c r="C1741" s="17" t="n">
        <v>46268</v>
      </c>
      <c r="D1741" s="1" t="n">
        <v>794</v>
      </c>
      <c r="E1741" s="1" t="s">
        <v>343</v>
      </c>
      <c r="F1741" s="1" t="n">
        <v>24</v>
      </c>
      <c r="G1741" s="1" t="s">
        <v>91</v>
      </c>
      <c r="H1741" s="1" t="n">
        <v>2110405</v>
      </c>
      <c r="I1741" s="1" t="s">
        <v>55</v>
      </c>
      <c r="J1741" s="1" t="n">
        <v>1514442</v>
      </c>
      <c r="L1741" s="1" t="n">
        <v>206014</v>
      </c>
      <c r="M1741" s="1" t="s">
        <v>36</v>
      </c>
      <c r="N1741" s="1" t="s">
        <v>50</v>
      </c>
      <c r="P1741" s="1" t="n">
        <v>113</v>
      </c>
      <c r="Q1741" s="1" t="s">
        <v>38</v>
      </c>
      <c r="R1741" s="1" t="s">
        <v>70</v>
      </c>
      <c r="S1741" s="1" t="n">
        <v>4210299</v>
      </c>
      <c r="T1741" s="1" t="s">
        <v>127</v>
      </c>
      <c r="U1741" s="1" t="n">
        <v>520.46</v>
      </c>
      <c r="W1741" s="1" t="n">
        <v>0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" t="n">
        <v>2</v>
      </c>
      <c r="B1742" s="17" t="n">
        <v>46247</v>
      </c>
      <c r="C1742" s="17" t="n">
        <v>46268</v>
      </c>
      <c r="D1742" s="1" t="n">
        <v>1608</v>
      </c>
      <c r="E1742" s="1" t="s">
        <v>224</v>
      </c>
      <c r="F1742" s="1" t="n">
        <v>24</v>
      </c>
      <c r="G1742" s="1" t="s">
        <v>91</v>
      </c>
      <c r="H1742" s="1" t="n">
        <v>2110405</v>
      </c>
      <c r="I1742" s="1" t="s">
        <v>55</v>
      </c>
      <c r="J1742" s="1" t="n">
        <v>1540762</v>
      </c>
      <c r="L1742" s="1" t="n">
        <v>210179</v>
      </c>
      <c r="M1742" s="1" t="s">
        <v>36</v>
      </c>
      <c r="N1742" s="1" t="s">
        <v>50</v>
      </c>
      <c r="P1742" s="1" t="n">
        <v>113</v>
      </c>
      <c r="Q1742" s="1" t="s">
        <v>38</v>
      </c>
      <c r="R1742" s="1" t="s">
        <v>62</v>
      </c>
      <c r="S1742" s="1" t="n">
        <v>1130101</v>
      </c>
      <c r="T1742" s="1" t="s">
        <v>63</v>
      </c>
      <c r="U1742" s="1" t="n">
        <v>692.26</v>
      </c>
      <c r="W1742" s="1" t="n">
        <v>0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" t="n">
        <v>2</v>
      </c>
      <c r="B1743" s="17" t="n">
        <v>46247</v>
      </c>
      <c r="C1743" s="17" t="n">
        <v>46268</v>
      </c>
      <c r="D1743" s="1" t="n">
        <v>1667</v>
      </c>
      <c r="E1743" s="1" t="s">
        <v>96</v>
      </c>
      <c r="F1743" s="1" t="n">
        <v>24</v>
      </c>
      <c r="G1743" s="1" t="s">
        <v>91</v>
      </c>
      <c r="H1743" s="1" t="n">
        <v>2110405</v>
      </c>
      <c r="I1743" s="1" t="s">
        <v>55</v>
      </c>
      <c r="J1743" s="1" t="n">
        <v>1540925</v>
      </c>
      <c r="L1743" s="1" t="n">
        <v>210243</v>
      </c>
      <c r="M1743" s="1" t="s">
        <v>36</v>
      </c>
      <c r="N1743" s="1" t="s">
        <v>50</v>
      </c>
      <c r="P1743" s="1" t="n">
        <v>113</v>
      </c>
      <c r="Q1743" s="1" t="s">
        <v>38</v>
      </c>
      <c r="R1743" s="1" t="s">
        <v>62</v>
      </c>
      <c r="S1743" s="1" t="n">
        <v>1130101</v>
      </c>
      <c r="T1743" s="1" t="s">
        <v>63</v>
      </c>
      <c r="U1743" s="1" t="n">
        <v>668.78</v>
      </c>
      <c r="W1743" s="1" t="n">
        <v>0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" t="n">
        <v>2</v>
      </c>
      <c r="B1744" s="17" t="n">
        <v>46248</v>
      </c>
      <c r="C1744" s="17" t="n">
        <v>46268</v>
      </c>
      <c r="D1744" s="1" t="n">
        <v>1720</v>
      </c>
      <c r="E1744" s="1" t="s">
        <v>842</v>
      </c>
      <c r="F1744" s="1" t="n">
        <v>24</v>
      </c>
      <c r="G1744" s="1" t="s">
        <v>91</v>
      </c>
      <c r="H1744" s="1" t="n">
        <v>2110405</v>
      </c>
      <c r="I1744" s="1" t="s">
        <v>55</v>
      </c>
      <c r="J1744" s="1" t="n">
        <v>1545774</v>
      </c>
      <c r="L1744" s="1" t="n">
        <v>211087</v>
      </c>
      <c r="M1744" s="1" t="s">
        <v>36</v>
      </c>
      <c r="N1744" s="1" t="s">
        <v>50</v>
      </c>
      <c r="P1744" s="1" t="n">
        <v>113</v>
      </c>
      <c r="Q1744" s="1" t="s">
        <v>38</v>
      </c>
      <c r="R1744" s="1" t="s">
        <v>62</v>
      </c>
      <c r="S1744" s="1" t="n">
        <v>1130101</v>
      </c>
      <c r="T1744" s="1" t="s">
        <v>63</v>
      </c>
      <c r="U1744" s="1" t="n">
        <v>1130.5</v>
      </c>
      <c r="W1744" s="1" t="n">
        <v>0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" t="n">
        <v>2</v>
      </c>
      <c r="B1745" s="17" t="n">
        <v>46251</v>
      </c>
      <c r="C1745" s="17" t="n">
        <v>46268</v>
      </c>
      <c r="D1745" s="1" t="n">
        <v>1657</v>
      </c>
      <c r="E1745" s="1" t="s">
        <v>1531</v>
      </c>
      <c r="F1745" s="1" t="n">
        <v>24</v>
      </c>
      <c r="G1745" s="1" t="s">
        <v>91</v>
      </c>
      <c r="H1745" s="1" t="n">
        <v>2110405</v>
      </c>
      <c r="I1745" s="1" t="s">
        <v>55</v>
      </c>
      <c r="J1745" s="1" t="n">
        <v>1562800</v>
      </c>
      <c r="L1745" s="1" t="n">
        <v>213295</v>
      </c>
      <c r="M1745" s="1" t="s">
        <v>36</v>
      </c>
      <c r="N1745" s="1" t="s">
        <v>50</v>
      </c>
      <c r="P1745" s="1" t="n">
        <v>113</v>
      </c>
      <c r="Q1745" s="1" t="s">
        <v>38</v>
      </c>
      <c r="R1745" s="1" t="s">
        <v>62</v>
      </c>
      <c r="S1745" s="1" t="n">
        <v>1130101</v>
      </c>
      <c r="T1745" s="1" t="s">
        <v>63</v>
      </c>
      <c r="U1745" s="1" t="n">
        <v>1120.76</v>
      </c>
      <c r="W1745" s="1" t="n">
        <v>0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" t="n">
        <v>2</v>
      </c>
      <c r="B1746" s="17" t="n">
        <v>46252</v>
      </c>
      <c r="C1746" s="17" t="n">
        <v>46268</v>
      </c>
      <c r="D1746" s="1" t="n">
        <v>1671</v>
      </c>
      <c r="E1746" s="1" t="s">
        <v>101</v>
      </c>
      <c r="F1746" s="1" t="n">
        <v>24</v>
      </c>
      <c r="G1746" s="1" t="s">
        <v>91</v>
      </c>
      <c r="H1746" s="1" t="n">
        <v>2110405</v>
      </c>
      <c r="I1746" s="1" t="s">
        <v>55</v>
      </c>
      <c r="J1746" s="1" t="n">
        <v>1567131</v>
      </c>
      <c r="L1746" s="1" t="n">
        <v>213983</v>
      </c>
      <c r="M1746" s="1" t="s">
        <v>36</v>
      </c>
      <c r="N1746" s="1" t="s">
        <v>50</v>
      </c>
      <c r="P1746" s="1" t="n">
        <v>113</v>
      </c>
      <c r="Q1746" s="1" t="s">
        <v>38</v>
      </c>
      <c r="R1746" s="1" t="s">
        <v>62</v>
      </c>
      <c r="S1746" s="1" t="n">
        <v>1130101</v>
      </c>
      <c r="T1746" s="1" t="s">
        <v>63</v>
      </c>
      <c r="U1746" s="1" t="n">
        <v>793.81</v>
      </c>
      <c r="W1746" s="1" t="n">
        <v>0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" t="n">
        <v>2</v>
      </c>
      <c r="B1747" s="17" t="n">
        <v>46255</v>
      </c>
      <c r="C1747" s="17" t="n">
        <v>46268</v>
      </c>
      <c r="D1747" s="1" t="n">
        <v>1681</v>
      </c>
      <c r="E1747" s="1" t="s">
        <v>1533</v>
      </c>
      <c r="F1747" s="1" t="n">
        <v>24</v>
      </c>
      <c r="G1747" s="1" t="s">
        <v>91</v>
      </c>
      <c r="H1747" s="1" t="n">
        <v>2110405</v>
      </c>
      <c r="I1747" s="1" t="s">
        <v>55</v>
      </c>
      <c r="J1747" s="1" t="n">
        <v>1581162</v>
      </c>
      <c r="L1747" s="1" t="n">
        <v>216304</v>
      </c>
      <c r="M1747" s="1" t="s">
        <v>36</v>
      </c>
      <c r="N1747" s="1" t="s">
        <v>50</v>
      </c>
      <c r="P1747" s="1" t="n">
        <v>113</v>
      </c>
      <c r="Q1747" s="1" t="s">
        <v>38</v>
      </c>
      <c r="R1747" s="1" t="s">
        <v>62</v>
      </c>
      <c r="S1747" s="1" t="n">
        <v>1130101</v>
      </c>
      <c r="T1747" s="1" t="s">
        <v>63</v>
      </c>
      <c r="U1747" s="1" t="n">
        <v>2055.66</v>
      </c>
      <c r="W1747" s="1" t="n">
        <v>0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" t="n">
        <v>2</v>
      </c>
      <c r="B1748" s="17" t="n">
        <v>46256</v>
      </c>
      <c r="C1748" s="17" t="n">
        <v>46268</v>
      </c>
      <c r="D1748" s="1" t="n">
        <v>1745</v>
      </c>
      <c r="E1748" s="1" t="s">
        <v>170</v>
      </c>
      <c r="F1748" s="1" t="n">
        <v>24</v>
      </c>
      <c r="G1748" s="1" t="s">
        <v>91</v>
      </c>
      <c r="H1748" s="1" t="n">
        <v>2110405</v>
      </c>
      <c r="I1748" s="1" t="s">
        <v>55</v>
      </c>
      <c r="J1748" s="1" t="n">
        <v>1585070</v>
      </c>
      <c r="L1748" s="1" t="n">
        <v>216839</v>
      </c>
      <c r="M1748" s="1" t="s">
        <v>36</v>
      </c>
      <c r="N1748" s="1" t="s">
        <v>50</v>
      </c>
      <c r="P1748" s="1" t="n">
        <v>113</v>
      </c>
      <c r="Q1748" s="1" t="s">
        <v>38</v>
      </c>
      <c r="R1748" s="1" t="s">
        <v>62</v>
      </c>
      <c r="S1748" s="1" t="n">
        <v>1130101</v>
      </c>
      <c r="T1748" s="1" t="s">
        <v>63</v>
      </c>
      <c r="U1748" s="1" t="n">
        <v>182.8</v>
      </c>
      <c r="W1748" s="1" t="n">
        <v>0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" t="n">
        <v>2</v>
      </c>
      <c r="B1749" s="17" t="n">
        <v>46261</v>
      </c>
      <c r="C1749" s="17" t="n">
        <v>46268</v>
      </c>
      <c r="D1749" s="1" t="n">
        <v>1608</v>
      </c>
      <c r="E1749" s="1" t="s">
        <v>224</v>
      </c>
      <c r="F1749" s="1" t="n">
        <v>24</v>
      </c>
      <c r="G1749" s="1" t="s">
        <v>91</v>
      </c>
      <c r="H1749" s="1" t="n">
        <v>2110405</v>
      </c>
      <c r="I1749" s="1" t="s">
        <v>55</v>
      </c>
      <c r="J1749" s="1" t="n">
        <v>1608534</v>
      </c>
      <c r="L1749" s="1" t="n">
        <v>220365</v>
      </c>
      <c r="M1749" s="1" t="s">
        <v>36</v>
      </c>
      <c r="N1749" s="1" t="s">
        <v>50</v>
      </c>
      <c r="P1749" s="1" t="n">
        <v>113</v>
      </c>
      <c r="Q1749" s="1" t="s">
        <v>38</v>
      </c>
      <c r="R1749" s="1" t="s">
        <v>62</v>
      </c>
      <c r="S1749" s="1" t="n">
        <v>1130101</v>
      </c>
      <c r="T1749" s="1" t="s">
        <v>63</v>
      </c>
      <c r="U1749" s="1" t="n">
        <v>774.74</v>
      </c>
      <c r="W1749" s="1" t="n">
        <v>0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" t="n">
        <v>2</v>
      </c>
      <c r="B1750" s="17" t="n">
        <v>46262</v>
      </c>
      <c r="C1750" s="17" t="n">
        <v>46268</v>
      </c>
      <c r="D1750" s="1" t="n">
        <v>1695</v>
      </c>
      <c r="E1750" s="1" t="s">
        <v>392</v>
      </c>
      <c r="F1750" s="1" t="n">
        <v>24</v>
      </c>
      <c r="G1750" s="1" t="s">
        <v>91</v>
      </c>
      <c r="H1750" s="1" t="n">
        <v>2110405</v>
      </c>
      <c r="I1750" s="1" t="s">
        <v>55</v>
      </c>
      <c r="J1750" s="1" t="n">
        <v>1613791</v>
      </c>
      <c r="L1750" s="1" t="n">
        <v>221285</v>
      </c>
      <c r="M1750" s="1" t="s">
        <v>36</v>
      </c>
      <c r="N1750" s="1" t="s">
        <v>50</v>
      </c>
      <c r="P1750" s="1" t="n">
        <v>113</v>
      </c>
      <c r="Q1750" s="1" t="s">
        <v>38</v>
      </c>
      <c r="R1750" s="1" t="s">
        <v>62</v>
      </c>
      <c r="S1750" s="1" t="n">
        <v>1130101</v>
      </c>
      <c r="T1750" s="1" t="s">
        <v>63</v>
      </c>
      <c r="U1750" s="1" t="n">
        <v>1063.84</v>
      </c>
      <c r="W1750" s="1" t="n">
        <v>0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" t="n">
        <v>2</v>
      </c>
      <c r="B1751" s="17" t="n">
        <v>46262</v>
      </c>
      <c r="C1751" s="17" t="n">
        <v>46268</v>
      </c>
      <c r="D1751" s="1" t="n">
        <v>1695</v>
      </c>
      <c r="E1751" s="1" t="s">
        <v>392</v>
      </c>
      <c r="F1751" s="1" t="n">
        <v>34</v>
      </c>
      <c r="G1751" s="1" t="s">
        <v>110</v>
      </c>
      <c r="H1751" s="1" t="n">
        <v>2110405</v>
      </c>
      <c r="I1751" s="1" t="s">
        <v>55</v>
      </c>
      <c r="J1751" s="1" t="n">
        <v>1614920</v>
      </c>
      <c r="L1751" s="1" t="n">
        <v>221517</v>
      </c>
      <c r="M1751" s="1" t="s">
        <v>36</v>
      </c>
      <c r="N1751" s="1" t="s">
        <v>50</v>
      </c>
      <c r="P1751" s="1" t="n">
        <v>113</v>
      </c>
      <c r="Q1751" s="1" t="s">
        <v>38</v>
      </c>
      <c r="R1751" s="1" t="s">
        <v>62</v>
      </c>
      <c r="S1751" s="1" t="n">
        <v>1130101</v>
      </c>
      <c r="T1751" s="1" t="s">
        <v>63</v>
      </c>
      <c r="U1751" s="1" t="n">
        <v>1150.13</v>
      </c>
      <c r="W1751" s="1" t="n">
        <v>0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" t="n">
        <v>2</v>
      </c>
      <c r="B1752" s="17" t="n">
        <v>46263</v>
      </c>
      <c r="C1752" s="17" t="n">
        <v>46268</v>
      </c>
      <c r="D1752" s="1" t="n">
        <v>10090</v>
      </c>
      <c r="E1752" s="1" t="s">
        <v>1539</v>
      </c>
      <c r="F1752" s="1" t="n">
        <v>24</v>
      </c>
      <c r="G1752" s="1" t="s">
        <v>91</v>
      </c>
      <c r="H1752" s="1" t="n">
        <v>2110405</v>
      </c>
      <c r="I1752" s="1" t="s">
        <v>55</v>
      </c>
      <c r="J1752" s="1" t="n">
        <v>1618577</v>
      </c>
      <c r="L1752" s="1" t="n">
        <v>221971</v>
      </c>
      <c r="M1752" s="1" t="s">
        <v>36</v>
      </c>
      <c r="N1752" s="1" t="s">
        <v>50</v>
      </c>
      <c r="P1752" s="1" t="n">
        <v>113</v>
      </c>
      <c r="Q1752" s="1" t="s">
        <v>38</v>
      </c>
      <c r="R1752" s="1" t="s">
        <v>62</v>
      </c>
      <c r="S1752" s="1" t="n">
        <v>1130101</v>
      </c>
      <c r="T1752" s="1" t="s">
        <v>63</v>
      </c>
      <c r="U1752" s="1" t="n">
        <v>1012.44</v>
      </c>
      <c r="W1752" s="1" t="n">
        <v>0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" t="n">
        <v>2</v>
      </c>
      <c r="B1753" s="17" t="n">
        <v>46265</v>
      </c>
      <c r="C1753" s="17" t="n">
        <v>46268</v>
      </c>
      <c r="D1753" s="1" t="n">
        <v>1899</v>
      </c>
      <c r="E1753" s="1" t="s">
        <v>211</v>
      </c>
      <c r="F1753" s="1" t="n">
        <v>24</v>
      </c>
      <c r="G1753" s="1" t="s">
        <v>91</v>
      </c>
      <c r="H1753" s="1" t="n">
        <v>2110405</v>
      </c>
      <c r="I1753" s="1" t="s">
        <v>55</v>
      </c>
      <c r="J1753" s="1" t="n">
        <v>1628827</v>
      </c>
      <c r="L1753" s="1" t="n">
        <v>223363</v>
      </c>
      <c r="M1753" s="1" t="s">
        <v>36</v>
      </c>
      <c r="N1753" s="1" t="s">
        <v>50</v>
      </c>
      <c r="P1753" s="1" t="n">
        <v>113</v>
      </c>
      <c r="Q1753" s="1" t="s">
        <v>38</v>
      </c>
      <c r="R1753" s="1" t="s">
        <v>62</v>
      </c>
      <c r="S1753" s="1" t="n">
        <v>1130101</v>
      </c>
      <c r="T1753" s="1" t="s">
        <v>63</v>
      </c>
      <c r="U1753" s="1" t="n">
        <v>180.22</v>
      </c>
      <c r="W1753" s="1" t="n">
        <v>0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" t="n">
        <v>2</v>
      </c>
      <c r="B1754" s="17" t="n">
        <v>46266</v>
      </c>
      <c r="C1754" s="17" t="n">
        <v>46268</v>
      </c>
      <c r="D1754" s="1" t="n">
        <v>642</v>
      </c>
      <c r="E1754" s="1" t="s">
        <v>144</v>
      </c>
      <c r="F1754" s="1" t="n">
        <v>24</v>
      </c>
      <c r="G1754" s="1" t="s">
        <v>91</v>
      </c>
      <c r="H1754" s="1" t="n">
        <v>2110405</v>
      </c>
      <c r="I1754" s="1" t="s">
        <v>55</v>
      </c>
      <c r="J1754" s="1" t="n">
        <v>1635015</v>
      </c>
      <c r="L1754" s="1" t="n">
        <v>224551</v>
      </c>
      <c r="M1754" s="1" t="s">
        <v>36</v>
      </c>
      <c r="N1754" s="1" t="s">
        <v>50</v>
      </c>
      <c r="P1754" s="1" t="n">
        <v>113</v>
      </c>
      <c r="Q1754" s="1" t="s">
        <v>38</v>
      </c>
      <c r="R1754" s="1" t="s">
        <v>62</v>
      </c>
      <c r="S1754" s="1" t="n">
        <v>1130101</v>
      </c>
      <c r="T1754" s="1" t="s">
        <v>63</v>
      </c>
      <c r="U1754" s="1" t="n">
        <v>180</v>
      </c>
      <c r="W1754" s="1" t="n">
        <v>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" t="n">
        <v>2</v>
      </c>
      <c r="B1755" s="17" t="n">
        <v>46268</v>
      </c>
      <c r="C1755" s="17" t="n">
        <v>46268</v>
      </c>
      <c r="D1755" s="1" t="n">
        <v>10018</v>
      </c>
      <c r="E1755" s="1" t="s">
        <v>243</v>
      </c>
      <c r="F1755" s="1" t="n">
        <v>34</v>
      </c>
      <c r="G1755" s="1" t="s">
        <v>110</v>
      </c>
      <c r="H1755" s="1" t="n">
        <v>2110405</v>
      </c>
      <c r="I1755" s="1" t="s">
        <v>55</v>
      </c>
      <c r="J1755" s="1" t="n">
        <v>1647397</v>
      </c>
      <c r="L1755" s="1" t="n">
        <v>226222</v>
      </c>
      <c r="M1755" s="1" t="s">
        <v>36</v>
      </c>
      <c r="N1755" s="1" t="s">
        <v>50</v>
      </c>
      <c r="P1755" s="1" t="n">
        <v>113</v>
      </c>
      <c r="Q1755" s="1" t="s">
        <v>38</v>
      </c>
      <c r="R1755" s="1" t="s">
        <v>62</v>
      </c>
      <c r="S1755" s="1" t="n">
        <v>1130101</v>
      </c>
      <c r="T1755" s="1" t="s">
        <v>63</v>
      </c>
      <c r="U1755" s="1" t="n">
        <v>895</v>
      </c>
      <c r="W1755" s="1" t="n">
        <v>0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" t="n">
        <v>2</v>
      </c>
      <c r="B1756" s="17" t="n">
        <v>46238</v>
      </c>
      <c r="C1756" s="17" t="n">
        <v>46269</v>
      </c>
      <c r="D1756" s="1" t="n">
        <v>862</v>
      </c>
      <c r="E1756" s="1" t="s">
        <v>322</v>
      </c>
      <c r="F1756" s="1" t="n">
        <v>24</v>
      </c>
      <c r="G1756" s="1" t="s">
        <v>91</v>
      </c>
      <c r="H1756" s="1" t="n">
        <v>2110405</v>
      </c>
      <c r="I1756" s="1" t="s">
        <v>55</v>
      </c>
      <c r="J1756" s="1" t="n">
        <v>1498421</v>
      </c>
      <c r="L1756" s="1" t="n">
        <v>202608</v>
      </c>
      <c r="M1756" s="1" t="s">
        <v>88</v>
      </c>
      <c r="N1756" s="1" t="s">
        <v>50</v>
      </c>
      <c r="P1756" s="1" t="n">
        <v>101</v>
      </c>
      <c r="Q1756" s="1" t="s">
        <v>56</v>
      </c>
      <c r="R1756" s="1" t="s">
        <v>70</v>
      </c>
      <c r="S1756" s="1" t="n">
        <v>4210233</v>
      </c>
      <c r="T1756" s="1" t="s">
        <v>203</v>
      </c>
      <c r="U1756" s="1" t="n">
        <v>270.9</v>
      </c>
      <c r="W1756" s="1" t="n">
        <v>0</v>
      </c>
      <c r="X1756" s="1"/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" t="n">
        <v>2</v>
      </c>
      <c r="B1757" s="17" t="n">
        <v>46247</v>
      </c>
      <c r="C1757" s="17" t="n">
        <v>46269</v>
      </c>
      <c r="D1757" s="1" t="n">
        <v>1136</v>
      </c>
      <c r="E1757" s="1" t="s">
        <v>1166</v>
      </c>
      <c r="F1757" s="1" t="n">
        <v>24</v>
      </c>
      <c r="G1757" s="1" t="s">
        <v>91</v>
      </c>
      <c r="H1757" s="1" t="n">
        <v>2110405</v>
      </c>
      <c r="I1757" s="1" t="s">
        <v>55</v>
      </c>
      <c r="J1757" s="1" t="n">
        <v>1543200</v>
      </c>
      <c r="L1757" s="1" t="n">
        <v>210474</v>
      </c>
      <c r="M1757" s="1" t="s">
        <v>36</v>
      </c>
      <c r="N1757" s="1" t="s">
        <v>50</v>
      </c>
      <c r="P1757" s="1" t="n">
        <v>113</v>
      </c>
      <c r="Q1757" s="1" t="s">
        <v>38</v>
      </c>
      <c r="R1757" s="1" t="s">
        <v>62</v>
      </c>
      <c r="S1757" s="1" t="n">
        <v>1130101</v>
      </c>
      <c r="T1757" s="1" t="s">
        <v>63</v>
      </c>
      <c r="U1757" s="1" t="n">
        <v>1393.49</v>
      </c>
      <c r="W1757" s="1" t="n">
        <v>0</v>
      </c>
      <c r="X1757" s="1" t="s">
        <v>1543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KRO QUEIJO 100G</v>
      </c>
      <c r="AC1757" s="1" t="n">
        <v>53859</v>
      </c>
    </row>
    <row r="1758" customFormat="false" ht="12.75" hidden="false" customHeight="true" outlineLevel="0" collapsed="false">
      <c r="A1758" s="1" t="n">
        <v>2</v>
      </c>
      <c r="B1758" s="17" t="n">
        <v>46249</v>
      </c>
      <c r="C1758" s="17" t="n">
        <v>46269</v>
      </c>
      <c r="D1758" s="1" t="n">
        <v>1636</v>
      </c>
      <c r="E1758" s="1" t="s">
        <v>98</v>
      </c>
      <c r="F1758" s="1" t="n">
        <v>24</v>
      </c>
      <c r="G1758" s="1" t="s">
        <v>91</v>
      </c>
      <c r="H1758" s="1" t="n">
        <v>2110405</v>
      </c>
      <c r="I1758" s="1" t="s">
        <v>55</v>
      </c>
      <c r="J1758" s="1" t="n">
        <v>1551860</v>
      </c>
      <c r="L1758" s="1" t="n">
        <v>211776</v>
      </c>
      <c r="M1758" s="1" t="s">
        <v>36</v>
      </c>
      <c r="N1758" s="1" t="s">
        <v>50</v>
      </c>
      <c r="P1758" s="1" t="n">
        <v>113</v>
      </c>
      <c r="Q1758" s="1" t="s">
        <v>38</v>
      </c>
      <c r="R1758" s="1" t="s">
        <v>62</v>
      </c>
      <c r="S1758" s="1" t="n">
        <v>1130101</v>
      </c>
      <c r="T1758" s="1" t="s">
        <v>63</v>
      </c>
      <c r="U1758" s="1" t="n">
        <v>748.32</v>
      </c>
      <c r="W1758" s="1" t="n">
        <v>0</v>
      </c>
      <c r="X1758" s="1" t="s">
        <v>1544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MOLHO POMAROLA 260G</v>
      </c>
      <c r="AC1758" s="1" t="n">
        <v>3237036</v>
      </c>
    </row>
    <row r="1759" customFormat="false" ht="12.75" hidden="false" customHeight="true" outlineLevel="0" collapsed="false">
      <c r="A1759" s="1" t="n">
        <v>2</v>
      </c>
      <c r="B1759" s="17" t="n">
        <v>46252</v>
      </c>
      <c r="C1759" s="17" t="n">
        <v>46269</v>
      </c>
      <c r="D1759" s="1" t="n">
        <v>1699</v>
      </c>
      <c r="E1759" s="1" t="s">
        <v>231</v>
      </c>
      <c r="F1759" s="1" t="n">
        <v>24</v>
      </c>
      <c r="G1759" s="1" t="s">
        <v>91</v>
      </c>
      <c r="H1759" s="1" t="n">
        <v>2110405</v>
      </c>
      <c r="I1759" s="1" t="s">
        <v>55</v>
      </c>
      <c r="J1759" s="1" t="n">
        <v>1568210</v>
      </c>
      <c r="L1759" s="1" t="n">
        <v>214139</v>
      </c>
      <c r="M1759" s="1" t="s">
        <v>36</v>
      </c>
      <c r="N1759" s="1" t="s">
        <v>50</v>
      </c>
      <c r="P1759" s="1" t="n">
        <v>113</v>
      </c>
      <c r="Q1759" s="1" t="s">
        <v>38</v>
      </c>
      <c r="R1759" s="1" t="s">
        <v>62</v>
      </c>
      <c r="S1759" s="1" t="n">
        <v>1130101</v>
      </c>
      <c r="T1759" s="1" t="s">
        <v>63</v>
      </c>
      <c r="U1759" s="1" t="n">
        <v>474.75</v>
      </c>
      <c r="W1759" s="1" t="n">
        <v>0</v>
      </c>
      <c r="X1759" s="1" t="s">
        <v>1436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LING CALABRESA PERD</v>
      </c>
      <c r="AC1759" s="1" t="n">
        <v>311351</v>
      </c>
    </row>
    <row r="1760" customFormat="false" ht="12.75" hidden="false" customHeight="true" outlineLevel="0" collapsed="false">
      <c r="A1760" s="1" t="n">
        <v>2</v>
      </c>
      <c r="B1760" s="17" t="n">
        <v>46256</v>
      </c>
      <c r="C1760" s="17" t="n">
        <v>46269</v>
      </c>
      <c r="D1760" s="1" t="n">
        <v>1666</v>
      </c>
      <c r="E1760" s="1" t="s">
        <v>229</v>
      </c>
      <c r="F1760" s="1" t="n">
        <v>24</v>
      </c>
      <c r="G1760" s="1" t="s">
        <v>91</v>
      </c>
      <c r="H1760" s="1" t="n">
        <v>2110405</v>
      </c>
      <c r="I1760" s="1" t="s">
        <v>55</v>
      </c>
      <c r="J1760" s="1" t="n">
        <v>1585299</v>
      </c>
      <c r="L1760" s="1" t="n">
        <v>216889</v>
      </c>
      <c r="M1760" s="1" t="s">
        <v>36</v>
      </c>
      <c r="N1760" s="1" t="s">
        <v>50</v>
      </c>
      <c r="P1760" s="1" t="n">
        <v>113</v>
      </c>
      <c r="Q1760" s="1" t="s">
        <v>38</v>
      </c>
      <c r="R1760" s="1" t="s">
        <v>62</v>
      </c>
      <c r="S1760" s="1" t="n">
        <v>1130101</v>
      </c>
      <c r="T1760" s="1" t="s">
        <v>63</v>
      </c>
      <c r="U1760" s="1" t="n">
        <v>5720.74</v>
      </c>
      <c r="W1760" s="1" t="n">
        <v>0</v>
      </c>
      <c r="X1760" s="1" t="s">
        <v>1439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DUNHILL CARLTON BLEN</v>
      </c>
      <c r="AC1760" s="1" t="n">
        <v>570907</v>
      </c>
    </row>
    <row r="1761" customFormat="false" ht="12.75" hidden="false" customHeight="true" outlineLevel="0" collapsed="false">
      <c r="A1761" s="1" t="n">
        <v>2</v>
      </c>
      <c r="B1761" s="17" t="n">
        <v>46263</v>
      </c>
      <c r="C1761" s="17" t="n">
        <v>46269</v>
      </c>
      <c r="D1761" s="1" t="n">
        <v>581</v>
      </c>
      <c r="E1761" s="1" t="s">
        <v>140</v>
      </c>
      <c r="F1761" s="1" t="n">
        <v>24</v>
      </c>
      <c r="G1761" s="1" t="s">
        <v>91</v>
      </c>
      <c r="H1761" s="1" t="n">
        <v>2110405</v>
      </c>
      <c r="I1761" s="1" t="s">
        <v>55</v>
      </c>
      <c r="J1761" s="1" t="n">
        <v>1618529</v>
      </c>
      <c r="L1761" s="1" t="n">
        <v>221956</v>
      </c>
      <c r="M1761" s="1" t="s">
        <v>36</v>
      </c>
      <c r="N1761" s="1" t="s">
        <v>50</v>
      </c>
      <c r="P1761" s="1" t="n">
        <v>113</v>
      </c>
      <c r="Q1761" s="1" t="s">
        <v>38</v>
      </c>
      <c r="R1761" s="1" t="s">
        <v>62</v>
      </c>
      <c r="S1761" s="1" t="n">
        <v>1130101</v>
      </c>
      <c r="T1761" s="1" t="s">
        <v>63</v>
      </c>
      <c r="U1761" s="1" t="n">
        <v>264</v>
      </c>
      <c r="W1761" s="1" t="n">
        <v>0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GOMA DE MANDIOCA AMA</v>
      </c>
      <c r="AC1761" s="1" t="n">
        <v>32154</v>
      </c>
    </row>
    <row r="1762" customFormat="false" ht="12.75" hidden="false" customHeight="true" outlineLevel="0" collapsed="false">
      <c r="A1762" s="1" t="n">
        <v>2</v>
      </c>
      <c r="B1762" s="17" t="n">
        <v>46263</v>
      </c>
      <c r="C1762" s="17" t="n">
        <v>46269</v>
      </c>
      <c r="D1762" s="1" t="n">
        <v>1625</v>
      </c>
      <c r="E1762" s="1" t="s">
        <v>272</v>
      </c>
      <c r="F1762" s="1" t="n">
        <v>24</v>
      </c>
      <c r="G1762" s="1" t="s">
        <v>91</v>
      </c>
      <c r="H1762" s="1" t="n">
        <v>2110405</v>
      </c>
      <c r="I1762" s="1" t="s">
        <v>55</v>
      </c>
      <c r="J1762" s="1" t="n">
        <v>1618725</v>
      </c>
      <c r="L1762" s="1" t="n">
        <v>221995</v>
      </c>
      <c r="M1762" s="1" t="s">
        <v>36</v>
      </c>
      <c r="N1762" s="1" t="s">
        <v>50</v>
      </c>
      <c r="P1762" s="1" t="n">
        <v>113</v>
      </c>
      <c r="Q1762" s="1" t="s">
        <v>38</v>
      </c>
      <c r="R1762" s="1" t="s">
        <v>62</v>
      </c>
      <c r="S1762" s="1" t="n">
        <v>1130101</v>
      </c>
      <c r="T1762" s="1" t="s">
        <v>63</v>
      </c>
      <c r="U1762" s="1" t="n">
        <v>2771.2</v>
      </c>
      <c r="W1762" s="1" t="n">
        <v>0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TRASEIRO DE BOI L1</v>
      </c>
      <c r="AC1762" s="1" t="n">
        <v>15192</v>
      </c>
    </row>
    <row r="1763" customFormat="false" ht="12.75" hidden="false" customHeight="true" outlineLevel="0" collapsed="false">
      <c r="A1763" s="1" t="n">
        <v>2</v>
      </c>
      <c r="B1763" s="17" t="n">
        <v>46265</v>
      </c>
      <c r="C1763" s="17" t="n">
        <v>46269</v>
      </c>
      <c r="D1763" s="1" t="n">
        <v>1328</v>
      </c>
      <c r="E1763" s="1" t="s">
        <v>105</v>
      </c>
      <c r="F1763" s="1" t="n">
        <v>24</v>
      </c>
      <c r="G1763" s="1" t="s">
        <v>91</v>
      </c>
      <c r="H1763" s="1" t="n">
        <v>2110405</v>
      </c>
      <c r="I1763" s="1" t="s">
        <v>55</v>
      </c>
      <c r="J1763" s="1" t="n">
        <v>1628800</v>
      </c>
      <c r="L1763" s="1" t="n">
        <v>223358</v>
      </c>
      <c r="M1763" s="1" t="s">
        <v>36</v>
      </c>
      <c r="N1763" s="1" t="s">
        <v>50</v>
      </c>
      <c r="P1763" s="1" t="n">
        <v>113</v>
      </c>
      <c r="Q1763" s="1" t="s">
        <v>38</v>
      </c>
      <c r="R1763" s="1" t="s">
        <v>62</v>
      </c>
      <c r="S1763" s="1" t="n">
        <v>1130101</v>
      </c>
      <c r="T1763" s="1" t="s">
        <v>63</v>
      </c>
      <c r="U1763" s="1" t="n">
        <v>300</v>
      </c>
      <c r="W1763" s="1" t="n">
        <v>0</v>
      </c>
      <c r="X1763" s="1" t="s">
        <v>1547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PAO DE KIKAO 10</v>
      </c>
      <c r="AC1763" s="1" t="n">
        <v>4492</v>
      </c>
    </row>
    <row r="1764" customFormat="false" ht="12.75" hidden="false" customHeight="true" outlineLevel="0" collapsed="false">
      <c r="A1764" s="1" t="n">
        <v>2</v>
      </c>
      <c r="B1764" s="17" t="n">
        <v>46265</v>
      </c>
      <c r="C1764" s="17" t="n">
        <v>46269</v>
      </c>
      <c r="D1764" s="1" t="n">
        <v>1899</v>
      </c>
      <c r="E1764" s="1" t="s">
        <v>211</v>
      </c>
      <c r="F1764" s="1" t="n">
        <v>24</v>
      </c>
      <c r="G1764" s="1" t="s">
        <v>91</v>
      </c>
      <c r="H1764" s="1" t="n">
        <v>2110405</v>
      </c>
      <c r="I1764" s="1" t="s">
        <v>55</v>
      </c>
      <c r="J1764" s="1" t="n">
        <v>1630511</v>
      </c>
      <c r="L1764" s="1" t="n">
        <v>223757</v>
      </c>
      <c r="M1764" s="1" t="s">
        <v>36</v>
      </c>
      <c r="N1764" s="1" t="s">
        <v>50</v>
      </c>
      <c r="P1764" s="1" t="n">
        <v>113</v>
      </c>
      <c r="Q1764" s="1" t="s">
        <v>38</v>
      </c>
      <c r="R1764" s="1" t="s">
        <v>62</v>
      </c>
      <c r="S1764" s="1" t="n">
        <v>1130101</v>
      </c>
      <c r="T1764" s="1" t="s">
        <v>63</v>
      </c>
      <c r="U1764" s="1" t="n">
        <v>90</v>
      </c>
      <c r="W1764" s="1" t="n">
        <v>0</v>
      </c>
      <c r="X1764" s="1" t="s">
        <v>1548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MASSA FINA</v>
      </c>
      <c r="AC1764" s="1" t="n">
        <v>782</v>
      </c>
    </row>
    <row r="1765" customFormat="false" ht="12.75" hidden="false" customHeight="true" outlineLevel="0" collapsed="false">
      <c r="A1765" s="1" t="n">
        <v>2</v>
      </c>
      <c r="B1765" s="17" t="n">
        <v>46269</v>
      </c>
      <c r="C1765" s="17" t="n">
        <v>46269</v>
      </c>
      <c r="D1765" s="1" t="n">
        <v>34</v>
      </c>
      <c r="E1765" s="1" t="s">
        <v>264</v>
      </c>
      <c r="F1765" s="1" t="n">
        <v>23</v>
      </c>
      <c r="G1765" s="1" t="s">
        <v>1549</v>
      </c>
      <c r="H1765" s="1" t="n">
        <v>2110405</v>
      </c>
      <c r="I1765" s="1" t="s">
        <v>55</v>
      </c>
      <c r="J1765" s="1" t="n">
        <v>1651589</v>
      </c>
      <c r="L1765" s="1" t="n">
        <v>226834</v>
      </c>
      <c r="M1765" s="1" t="s">
        <v>36</v>
      </c>
      <c r="N1765" s="1" t="s">
        <v>50</v>
      </c>
      <c r="P1765" s="1" t="n">
        <v>101</v>
      </c>
      <c r="Q1765" s="1" t="s">
        <v>56</v>
      </c>
      <c r="R1765" s="1" t="s">
        <v>70</v>
      </c>
      <c r="S1765" s="1" t="n">
        <v>4210231</v>
      </c>
      <c r="T1765" s="1" t="s">
        <v>746</v>
      </c>
      <c r="U1765" s="1" t="n">
        <v>1736.58</v>
      </c>
      <c r="W1765" s="1" t="n">
        <v>0</v>
      </c>
      <c r="X1765" s="1" t="s">
        <v>1550</v>
      </c>
      <c r="Z1765" s="1" t="str">
        <f aca="false">IF($T1765="","",IFERROR(INDEX('Resumo Grupos'!$AC$3:$AC$200,MATCH($T1765,'Resumo Grupos'!$AB$3:$AB$200,0)),"n/d"))</f>
        <v>Despesa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" t="n">
        <v>2</v>
      </c>
      <c r="B1766" s="17" t="n">
        <v>46269</v>
      </c>
      <c r="C1766" s="17" t="n">
        <v>46269</v>
      </c>
      <c r="D1766" s="1" t="n">
        <v>48</v>
      </c>
      <c r="E1766" s="1" t="s">
        <v>146</v>
      </c>
      <c r="F1766" s="1" t="n">
        <v>13</v>
      </c>
      <c r="G1766" s="1" t="s">
        <v>147</v>
      </c>
      <c r="H1766" s="1" t="n">
        <v>2110101</v>
      </c>
      <c r="I1766" s="1" t="s">
        <v>48</v>
      </c>
      <c r="J1766" s="1" t="n">
        <v>1652454</v>
      </c>
      <c r="L1766" s="1" t="n">
        <v>2654</v>
      </c>
      <c r="M1766" s="1" t="s">
        <v>36</v>
      </c>
      <c r="N1766" s="1" t="s">
        <v>68</v>
      </c>
      <c r="P1766" s="1" t="n">
        <v>113</v>
      </c>
      <c r="Q1766" s="1" t="s">
        <v>38</v>
      </c>
      <c r="R1766" s="1" t="s">
        <v>62</v>
      </c>
      <c r="S1766" s="1" t="n">
        <v>1130101</v>
      </c>
      <c r="T1766" s="1" t="s">
        <v>63</v>
      </c>
      <c r="U1766" s="1" t="n">
        <v>300</v>
      </c>
      <c r="W1766" s="1" t="n">
        <v>0</v>
      </c>
      <c r="X1766" s="1" t="s">
        <v>1551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2</v>
      </c>
      <c r="B1767" s="17" t="n">
        <v>46269</v>
      </c>
      <c r="C1767" s="17" t="n">
        <v>46269</v>
      </c>
      <c r="D1767" s="1" t="n">
        <v>48</v>
      </c>
      <c r="E1767" s="1" t="s">
        <v>146</v>
      </c>
      <c r="F1767" s="1" t="n">
        <v>5</v>
      </c>
      <c r="G1767" s="1" t="s">
        <v>1364</v>
      </c>
      <c r="H1767" s="1" t="n">
        <v>2110304</v>
      </c>
      <c r="I1767" s="1" t="s">
        <v>1365</v>
      </c>
      <c r="J1767" s="1" t="n">
        <v>1652619</v>
      </c>
      <c r="L1767" s="1" t="n">
        <v>2655</v>
      </c>
      <c r="M1767" s="1" t="s">
        <v>36</v>
      </c>
      <c r="N1767" s="1" t="s">
        <v>68</v>
      </c>
      <c r="P1767" s="1" t="n">
        <v>113</v>
      </c>
      <c r="Q1767" s="1" t="s">
        <v>38</v>
      </c>
      <c r="R1767" s="1" t="s">
        <v>1366</v>
      </c>
      <c r="S1767" s="1" t="n">
        <v>3110301</v>
      </c>
      <c r="T1767" s="1" t="s">
        <v>1367</v>
      </c>
      <c r="U1767" s="1" t="n">
        <v>16.28</v>
      </c>
      <c r="W1767" s="1" t="n">
        <v>16.28</v>
      </c>
      <c r="X1767" s="1" t="s">
        <v>1552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" t="n">
        <v>2</v>
      </c>
      <c r="B1768" s="17" t="n">
        <v>46269</v>
      </c>
      <c r="C1768" s="17" t="n">
        <v>46269</v>
      </c>
      <c r="D1768" s="1" t="n">
        <v>48</v>
      </c>
      <c r="E1768" s="1" t="s">
        <v>146</v>
      </c>
      <c r="F1768" s="1" t="n">
        <v>34</v>
      </c>
      <c r="G1768" s="1" t="s">
        <v>110</v>
      </c>
      <c r="H1768" s="1" t="n">
        <v>2110101</v>
      </c>
      <c r="I1768" s="1" t="s">
        <v>48</v>
      </c>
      <c r="J1768" s="1" t="n">
        <v>1652758</v>
      </c>
      <c r="L1768" s="1" t="n">
        <v>2656</v>
      </c>
      <c r="M1768" s="1" t="s">
        <v>36</v>
      </c>
      <c r="N1768" s="1" t="s">
        <v>68</v>
      </c>
      <c r="P1768" s="1" t="n">
        <v>113</v>
      </c>
      <c r="Q1768" s="1" t="s">
        <v>38</v>
      </c>
      <c r="R1768" s="1" t="s">
        <v>62</v>
      </c>
      <c r="S1768" s="1" t="n">
        <v>1130101</v>
      </c>
      <c r="T1768" s="1" t="s">
        <v>63</v>
      </c>
      <c r="U1768" s="1" t="n">
        <v>340</v>
      </c>
      <c r="W1768" s="1" t="n">
        <v>0</v>
      </c>
      <c r="X1768" s="1" t="s">
        <v>1504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" t="n">
        <v>2</v>
      </c>
      <c r="B1769" s="17" t="n">
        <v>46269</v>
      </c>
      <c r="C1769" s="17" t="n">
        <v>46269</v>
      </c>
      <c r="D1769" s="1" t="n">
        <v>48</v>
      </c>
      <c r="E1769" s="1" t="s">
        <v>146</v>
      </c>
      <c r="F1769" s="1" t="n">
        <v>34</v>
      </c>
      <c r="G1769" s="1" t="s">
        <v>110</v>
      </c>
      <c r="H1769" s="1" t="n">
        <v>2110101</v>
      </c>
      <c r="I1769" s="1" t="s">
        <v>48</v>
      </c>
      <c r="J1769" s="1" t="n">
        <v>1653148</v>
      </c>
      <c r="L1769" s="1" t="n">
        <v>2657</v>
      </c>
      <c r="M1769" s="1" t="s">
        <v>36</v>
      </c>
      <c r="N1769" s="1" t="s">
        <v>68</v>
      </c>
      <c r="P1769" s="1" t="n">
        <v>113</v>
      </c>
      <c r="Q1769" s="1" t="s">
        <v>38</v>
      </c>
      <c r="R1769" s="1" t="s">
        <v>62</v>
      </c>
      <c r="S1769" s="1" t="n">
        <v>1130101</v>
      </c>
      <c r="T1769" s="1" t="s">
        <v>63</v>
      </c>
      <c r="U1769" s="1" t="n">
        <v>1972</v>
      </c>
      <c r="W1769" s="1" t="n">
        <v>0</v>
      </c>
      <c r="X1769" s="1" t="s">
        <v>1553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2</v>
      </c>
      <c r="B1770" s="17" t="n">
        <v>46269</v>
      </c>
      <c r="C1770" s="17" t="n">
        <v>46269</v>
      </c>
      <c r="D1770" s="1" t="n">
        <v>1037</v>
      </c>
      <c r="E1770" s="1" t="s">
        <v>153</v>
      </c>
      <c r="F1770" s="1" t="n">
        <v>34</v>
      </c>
      <c r="G1770" s="1" t="s">
        <v>110</v>
      </c>
      <c r="H1770" s="1" t="n">
        <v>2110405</v>
      </c>
      <c r="I1770" s="1" t="s">
        <v>55</v>
      </c>
      <c r="J1770" s="1" t="n">
        <v>1653157</v>
      </c>
      <c r="L1770" s="1" t="n">
        <v>227121</v>
      </c>
      <c r="M1770" s="1" t="s">
        <v>36</v>
      </c>
      <c r="N1770" s="1" t="s">
        <v>50</v>
      </c>
      <c r="P1770" s="1" t="n">
        <v>113</v>
      </c>
      <c r="Q1770" s="1" t="s">
        <v>38</v>
      </c>
      <c r="R1770" s="1" t="s">
        <v>62</v>
      </c>
      <c r="S1770" s="1" t="n">
        <v>1130101</v>
      </c>
      <c r="T1770" s="1" t="s">
        <v>63</v>
      </c>
      <c r="U1770" s="1" t="n">
        <v>200</v>
      </c>
      <c r="W1770" s="1" t="n">
        <v>0</v>
      </c>
      <c r="X1770" s="1" t="s">
        <v>1554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ABACATE KG</v>
      </c>
      <c r="AC1770" s="1" t="n">
        <v>2657</v>
      </c>
    </row>
    <row r="1771" customFormat="false" ht="12.75" hidden="false" customHeight="true" outlineLevel="0" collapsed="false">
      <c r="A1771" s="1" t="n">
        <v>2</v>
      </c>
      <c r="B1771" s="17" t="n">
        <v>46209</v>
      </c>
      <c r="C1771" s="17" t="n">
        <v>46270</v>
      </c>
      <c r="D1771" s="1" t="n">
        <v>1768</v>
      </c>
      <c r="E1771" s="1" t="s">
        <v>386</v>
      </c>
      <c r="F1771" s="1" t="n">
        <v>34</v>
      </c>
      <c r="G1771" s="1" t="s">
        <v>110</v>
      </c>
      <c r="H1771" s="1" t="n">
        <v>2110405</v>
      </c>
      <c r="I1771" s="1" t="s">
        <v>55</v>
      </c>
      <c r="J1771" s="1" t="n">
        <v>628286</v>
      </c>
      <c r="L1771" s="1" t="n">
        <v>81552</v>
      </c>
      <c r="M1771" s="1" t="s">
        <v>49</v>
      </c>
      <c r="N1771" s="1" t="s">
        <v>50</v>
      </c>
      <c r="P1771" s="1" t="n">
        <v>102</v>
      </c>
      <c r="Q1771" s="1" t="s">
        <v>315</v>
      </c>
      <c r="R1771" s="1" t="s">
        <v>70</v>
      </c>
      <c r="S1771" s="1" t="n">
        <v>4210202</v>
      </c>
      <c r="T1771" s="1" t="s">
        <v>387</v>
      </c>
      <c r="U1771" s="1" t="n">
        <v>2431.5</v>
      </c>
      <c r="W1771" s="1" t="n">
        <v>0</v>
      </c>
      <c r="X1771" s="1" t="s">
        <v>388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" t="n">
        <v>2</v>
      </c>
      <c r="B1772" s="17" t="n">
        <v>46244</v>
      </c>
      <c r="C1772" s="17" t="n">
        <v>46270</v>
      </c>
      <c r="D1772" s="1" t="n">
        <v>33</v>
      </c>
      <c r="E1772" s="1" t="s">
        <v>305</v>
      </c>
      <c r="F1772" s="1" t="n">
        <v>34</v>
      </c>
      <c r="G1772" s="1" t="s">
        <v>110</v>
      </c>
      <c r="H1772" s="1" t="n">
        <v>2110405</v>
      </c>
      <c r="I1772" s="1" t="s">
        <v>55</v>
      </c>
      <c r="J1772" s="1" t="n">
        <v>1530158</v>
      </c>
      <c r="L1772" s="1" t="n">
        <v>208205</v>
      </c>
      <c r="M1772" s="1" t="s">
        <v>36</v>
      </c>
      <c r="N1772" s="1" t="s">
        <v>50</v>
      </c>
      <c r="P1772" s="1" t="n">
        <v>101</v>
      </c>
      <c r="Q1772" s="1" t="s">
        <v>56</v>
      </c>
      <c r="R1772" s="1" t="s">
        <v>39</v>
      </c>
      <c r="S1772" s="1" t="n">
        <v>4210301</v>
      </c>
      <c r="T1772" s="1" t="s">
        <v>253</v>
      </c>
      <c r="U1772" s="1" t="n">
        <v>250.1</v>
      </c>
      <c r="W1772" s="1" t="n">
        <v>0</v>
      </c>
      <c r="X1772" s="1" t="s">
        <v>1555</v>
      </c>
      <c r="Z1772" s="1" t="str">
        <f aca="false">IF($T1772="","",IFERROR(INDEX('Resumo Grupos'!$AC$3:$AC$200,MATCH($T1772,'Resumo Grupos'!$AB$3:$AB$200,0)),"n/d"))</f>
        <v>Salários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" t="n">
        <v>2</v>
      </c>
      <c r="B1773" s="17" t="n">
        <v>46248</v>
      </c>
      <c r="C1773" s="17" t="n">
        <v>46270</v>
      </c>
      <c r="D1773" s="1" t="n">
        <v>1718</v>
      </c>
      <c r="E1773" s="1" t="s">
        <v>222</v>
      </c>
      <c r="F1773" s="1" t="n">
        <v>24</v>
      </c>
      <c r="G1773" s="1" t="s">
        <v>91</v>
      </c>
      <c r="H1773" s="1" t="n">
        <v>2110405</v>
      </c>
      <c r="I1773" s="1" t="s">
        <v>55</v>
      </c>
      <c r="J1773" s="1" t="n">
        <v>1547755</v>
      </c>
      <c r="L1773" s="1" t="n">
        <v>211394</v>
      </c>
      <c r="M1773" s="1" t="s">
        <v>36</v>
      </c>
      <c r="N1773" s="1" t="s">
        <v>50</v>
      </c>
      <c r="P1773" s="1" t="n">
        <v>113</v>
      </c>
      <c r="Q1773" s="1" t="s">
        <v>38</v>
      </c>
      <c r="R1773" s="1" t="s">
        <v>62</v>
      </c>
      <c r="S1773" s="1" t="n">
        <v>1130101</v>
      </c>
      <c r="T1773" s="1" t="s">
        <v>63</v>
      </c>
      <c r="U1773" s="1" t="n">
        <v>706.56</v>
      </c>
      <c r="W1773" s="1" t="n">
        <v>0</v>
      </c>
      <c r="X1773" s="1" t="s">
        <v>1451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PILAO 250G</v>
      </c>
      <c r="AC1773" s="1" t="n">
        <v>689222</v>
      </c>
    </row>
    <row r="1774" customFormat="false" ht="12.75" hidden="false" customHeight="true" outlineLevel="0" collapsed="false">
      <c r="A1774" s="1" t="n">
        <v>2</v>
      </c>
      <c r="B1774" s="17" t="n">
        <v>46249</v>
      </c>
      <c r="C1774" s="17" t="n">
        <v>46270</v>
      </c>
      <c r="D1774" s="1" t="n">
        <v>1718</v>
      </c>
      <c r="E1774" s="1" t="s">
        <v>222</v>
      </c>
      <c r="F1774" s="1" t="n">
        <v>24</v>
      </c>
      <c r="G1774" s="1" t="s">
        <v>91</v>
      </c>
      <c r="H1774" s="1" t="n">
        <v>2110405</v>
      </c>
      <c r="I1774" s="1" t="s">
        <v>55</v>
      </c>
      <c r="J1774" s="1" t="n">
        <v>1551498</v>
      </c>
      <c r="L1774" s="1" t="n">
        <v>211718</v>
      </c>
      <c r="M1774" s="1" t="s">
        <v>36</v>
      </c>
      <c r="N1774" s="1" t="s">
        <v>50</v>
      </c>
      <c r="P1774" s="1" t="n">
        <v>113</v>
      </c>
      <c r="Q1774" s="1" t="s">
        <v>38</v>
      </c>
      <c r="R1774" s="1" t="s">
        <v>62</v>
      </c>
      <c r="S1774" s="1" t="n">
        <v>1130101</v>
      </c>
      <c r="T1774" s="1" t="s">
        <v>63</v>
      </c>
      <c r="U1774" s="1" t="n">
        <v>1422.67</v>
      </c>
      <c r="W1774" s="1" t="n">
        <v>0</v>
      </c>
      <c r="X1774" s="1" t="s">
        <v>1452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TRIDENT CANELA</v>
      </c>
      <c r="AC1774" s="1" t="n">
        <v>689224</v>
      </c>
    </row>
    <row r="1775" customFormat="false" ht="12.75" hidden="false" customHeight="true" outlineLevel="0" collapsed="false">
      <c r="A1775" s="1" t="n">
        <v>2</v>
      </c>
      <c r="B1775" s="17" t="n">
        <v>46262</v>
      </c>
      <c r="C1775" s="17" t="n">
        <v>46270</v>
      </c>
      <c r="D1775" s="1" t="n">
        <v>1778</v>
      </c>
      <c r="E1775" s="1" t="s">
        <v>208</v>
      </c>
      <c r="F1775" s="1" t="n">
        <v>24</v>
      </c>
      <c r="G1775" s="1" t="s">
        <v>91</v>
      </c>
      <c r="H1775" s="1" t="n">
        <v>2110405</v>
      </c>
      <c r="I1775" s="1" t="s">
        <v>55</v>
      </c>
      <c r="J1775" s="1" t="n">
        <v>1614618</v>
      </c>
      <c r="L1775" s="1" t="n">
        <v>221466</v>
      </c>
      <c r="M1775" s="1" t="s">
        <v>36</v>
      </c>
      <c r="N1775" s="1" t="s">
        <v>50</v>
      </c>
      <c r="P1775" s="1" t="n">
        <v>113</v>
      </c>
      <c r="Q1775" s="1" t="s">
        <v>38</v>
      </c>
      <c r="R1775" s="1" t="s">
        <v>70</v>
      </c>
      <c r="S1775" s="1" t="n">
        <v>4210207</v>
      </c>
      <c r="T1775" s="1" t="s">
        <v>209</v>
      </c>
      <c r="U1775" s="1" t="n">
        <v>620.88</v>
      </c>
      <c r="W1775" s="1" t="n">
        <v>0</v>
      </c>
      <c r="X1775" s="1" t="s">
        <v>210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2</v>
      </c>
      <c r="B1776" s="17" t="n">
        <v>46265</v>
      </c>
      <c r="C1776" s="17" t="n">
        <v>46270</v>
      </c>
      <c r="D1776" s="1" t="n">
        <v>1363</v>
      </c>
      <c r="E1776" s="1" t="s">
        <v>187</v>
      </c>
      <c r="F1776" s="1" t="n">
        <v>24</v>
      </c>
      <c r="G1776" s="1" t="s">
        <v>91</v>
      </c>
      <c r="H1776" s="1" t="n">
        <v>2110405</v>
      </c>
      <c r="I1776" s="1" t="s">
        <v>55</v>
      </c>
      <c r="J1776" s="1" t="n">
        <v>1628789</v>
      </c>
      <c r="L1776" s="1" t="n">
        <v>223357</v>
      </c>
      <c r="M1776" s="1" t="s">
        <v>36</v>
      </c>
      <c r="N1776" s="1" t="s">
        <v>50</v>
      </c>
      <c r="P1776" s="1" t="n">
        <v>113</v>
      </c>
      <c r="Q1776" s="1" t="s">
        <v>38</v>
      </c>
      <c r="R1776" s="1" t="s">
        <v>62</v>
      </c>
      <c r="S1776" s="1" t="n">
        <v>1130101</v>
      </c>
      <c r="T1776" s="1" t="s">
        <v>63</v>
      </c>
      <c r="U1776" s="1" t="n">
        <v>125</v>
      </c>
      <c r="W1776" s="1" t="n">
        <v>0</v>
      </c>
      <c r="X1776" s="1" t="s">
        <v>1556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PAO HAMBURGUER SANTO PAO</v>
      </c>
      <c r="AC1776" s="1" t="n">
        <v>3829</v>
      </c>
    </row>
    <row r="1777" customFormat="false" ht="12.75" hidden="false" customHeight="true" outlineLevel="0" collapsed="false">
      <c r="A1777" s="1" t="n">
        <v>2</v>
      </c>
      <c r="B1777" s="17" t="n">
        <v>46265</v>
      </c>
      <c r="C1777" s="17" t="n">
        <v>46270</v>
      </c>
      <c r="D1777" s="1" t="n">
        <v>1625</v>
      </c>
      <c r="E1777" s="1" t="s">
        <v>272</v>
      </c>
      <c r="F1777" s="1" t="n">
        <v>24</v>
      </c>
      <c r="G1777" s="1" t="s">
        <v>91</v>
      </c>
      <c r="H1777" s="1" t="n">
        <v>2110405</v>
      </c>
      <c r="I1777" s="1" t="s">
        <v>55</v>
      </c>
      <c r="J1777" s="1" t="n">
        <v>1629113</v>
      </c>
      <c r="L1777" s="1" t="n">
        <v>223429</v>
      </c>
      <c r="M1777" s="1" t="s">
        <v>36</v>
      </c>
      <c r="N1777" s="1" t="s">
        <v>50</v>
      </c>
      <c r="P1777" s="1" t="n">
        <v>113</v>
      </c>
      <c r="Q1777" s="1" t="s">
        <v>38</v>
      </c>
      <c r="R1777" s="1" t="s">
        <v>62</v>
      </c>
      <c r="S1777" s="1" t="n">
        <v>1130101</v>
      </c>
      <c r="T1777" s="1" t="s">
        <v>63</v>
      </c>
      <c r="U1777" s="1" t="n">
        <v>1557.6</v>
      </c>
      <c r="W1777" s="1" t="n">
        <v>0</v>
      </c>
      <c r="X1777" s="1" t="s">
        <v>1557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DIANTEIRO DE BOI L</v>
      </c>
      <c r="AC1777" s="1" t="n">
        <v>15213</v>
      </c>
    </row>
    <row r="1778" customFormat="false" ht="12.75" hidden="false" customHeight="true" outlineLevel="0" collapsed="false">
      <c r="A1778" s="1" t="n">
        <v>2</v>
      </c>
      <c r="B1778" s="17" t="n">
        <v>46232</v>
      </c>
      <c r="C1778" s="17" t="n">
        <v>46272</v>
      </c>
      <c r="D1778" s="1" t="n">
        <v>1932</v>
      </c>
      <c r="E1778" s="1" t="s">
        <v>282</v>
      </c>
      <c r="F1778" s="1" t="n">
        <v>34</v>
      </c>
      <c r="G1778" s="1" t="s">
        <v>110</v>
      </c>
      <c r="H1778" s="1" t="n">
        <v>2110405</v>
      </c>
      <c r="I1778" s="1" t="s">
        <v>55</v>
      </c>
      <c r="J1778" s="1" t="n">
        <v>1469462</v>
      </c>
      <c r="L1778" s="1" t="n">
        <v>199057</v>
      </c>
      <c r="M1778" s="1" t="s">
        <v>88</v>
      </c>
      <c r="N1778" s="1" t="s">
        <v>50</v>
      </c>
      <c r="P1778" s="1" t="n">
        <v>101</v>
      </c>
      <c r="Q1778" s="1" t="s">
        <v>56</v>
      </c>
      <c r="R1778" s="1" t="s">
        <v>39</v>
      </c>
      <c r="S1778" s="1" t="n">
        <v>4210315</v>
      </c>
      <c r="T1778" s="1" t="s">
        <v>283</v>
      </c>
      <c r="U1778" s="1" t="n">
        <v>119.97</v>
      </c>
      <c r="W1778" s="1" t="n">
        <v>0</v>
      </c>
      <c r="X1778" s="1" t="s">
        <v>1203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" t="n">
        <v>2</v>
      </c>
      <c r="B1779" s="17" t="n">
        <v>46246</v>
      </c>
      <c r="C1779" s="17" t="n">
        <v>46272</v>
      </c>
      <c r="D1779" s="1" t="n">
        <v>1668</v>
      </c>
      <c r="E1779" s="1" t="s">
        <v>135</v>
      </c>
      <c r="F1779" s="1" t="n">
        <v>24</v>
      </c>
      <c r="G1779" s="1" t="s">
        <v>91</v>
      </c>
      <c r="H1779" s="1" t="n">
        <v>2110405</v>
      </c>
      <c r="I1779" s="1" t="s">
        <v>55</v>
      </c>
      <c r="J1779" s="1" t="n">
        <v>1534508</v>
      </c>
      <c r="L1779" s="1" t="n">
        <v>209393</v>
      </c>
      <c r="M1779" s="1" t="s">
        <v>36</v>
      </c>
      <c r="N1779" s="1" t="s">
        <v>50</v>
      </c>
      <c r="P1779" s="1" t="n">
        <v>113</v>
      </c>
      <c r="Q1779" s="1" t="s">
        <v>38</v>
      </c>
      <c r="R1779" s="1" t="s">
        <v>62</v>
      </c>
      <c r="S1779" s="1" t="n">
        <v>1130101</v>
      </c>
      <c r="T1779" s="1" t="s">
        <v>63</v>
      </c>
      <c r="U1779" s="1" t="n">
        <v>509.85</v>
      </c>
      <c r="W1779" s="1" t="n">
        <v>0</v>
      </c>
      <c r="X1779" s="1" t="s">
        <v>1558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MARMITEX ISOP COPOBRAS C/10UND</v>
      </c>
      <c r="AC1779" s="1" t="n">
        <v>747704</v>
      </c>
    </row>
    <row r="1780" customFormat="false" ht="12.75" hidden="false" customHeight="true" outlineLevel="0" collapsed="false">
      <c r="A1780" s="1" t="n">
        <v>2</v>
      </c>
      <c r="B1780" s="17" t="n">
        <v>46247</v>
      </c>
      <c r="C1780" s="17" t="n">
        <v>46272</v>
      </c>
      <c r="D1780" s="1" t="n">
        <v>1671</v>
      </c>
      <c r="E1780" s="1" t="s">
        <v>101</v>
      </c>
      <c r="F1780" s="1" t="n">
        <v>24</v>
      </c>
      <c r="G1780" s="1" t="s">
        <v>91</v>
      </c>
      <c r="H1780" s="1" t="n">
        <v>2110405</v>
      </c>
      <c r="I1780" s="1" t="s">
        <v>55</v>
      </c>
      <c r="J1780" s="1" t="n">
        <v>1543021</v>
      </c>
      <c r="L1780" s="1" t="n">
        <v>210470</v>
      </c>
      <c r="M1780" s="1" t="s">
        <v>36</v>
      </c>
      <c r="N1780" s="1" t="s">
        <v>50</v>
      </c>
      <c r="P1780" s="1" t="n">
        <v>113</v>
      </c>
      <c r="Q1780" s="1" t="s">
        <v>38</v>
      </c>
      <c r="R1780" s="1" t="s">
        <v>62</v>
      </c>
      <c r="S1780" s="1" t="n">
        <v>1130101</v>
      </c>
      <c r="T1780" s="1" t="s">
        <v>63</v>
      </c>
      <c r="U1780" s="1" t="n">
        <v>271.2</v>
      </c>
      <c r="W1780" s="1" t="n">
        <v>0</v>
      </c>
      <c r="X1780" s="1" t="s">
        <v>1559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MASSA P LASANHA ESTR</v>
      </c>
      <c r="AC1780" s="1" t="n">
        <v>586317</v>
      </c>
    </row>
    <row r="1781" customFormat="false" ht="12.75" hidden="false" customHeight="true" outlineLevel="0" collapsed="false">
      <c r="A1781" s="1" t="n">
        <v>2</v>
      </c>
      <c r="B1781" s="17" t="n">
        <v>46251</v>
      </c>
      <c r="C1781" s="17" t="n">
        <v>46272</v>
      </c>
      <c r="D1781" s="1" t="n">
        <v>1921</v>
      </c>
      <c r="E1781" s="1" t="s">
        <v>182</v>
      </c>
      <c r="F1781" s="1" t="n">
        <v>24</v>
      </c>
      <c r="G1781" s="1" t="s">
        <v>91</v>
      </c>
      <c r="H1781" s="1" t="n">
        <v>2110405</v>
      </c>
      <c r="I1781" s="1" t="s">
        <v>55</v>
      </c>
      <c r="J1781" s="1" t="n">
        <v>1562668</v>
      </c>
      <c r="L1781" s="1" t="n">
        <v>213270</v>
      </c>
      <c r="M1781" s="1" t="s">
        <v>36</v>
      </c>
      <c r="N1781" s="1" t="s">
        <v>50</v>
      </c>
      <c r="P1781" s="1" t="n">
        <v>113</v>
      </c>
      <c r="Q1781" s="1" t="s">
        <v>38</v>
      </c>
      <c r="R1781" s="1" t="s">
        <v>62</v>
      </c>
      <c r="S1781" s="1" t="n">
        <v>1130101</v>
      </c>
      <c r="T1781" s="1" t="s">
        <v>63</v>
      </c>
      <c r="U1781" s="1" t="n">
        <v>691.91</v>
      </c>
      <c r="W1781" s="1" t="n">
        <v>0</v>
      </c>
      <c r="X1781" s="1" t="s">
        <v>1560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MILHO PIPOCA 200G</v>
      </c>
      <c r="AC1781" s="1" t="n">
        <v>21279</v>
      </c>
    </row>
    <row r="1782" customFormat="false" ht="12.75" hidden="false" customHeight="true" outlineLevel="0" collapsed="false">
      <c r="A1782" s="1" t="n">
        <v>2</v>
      </c>
      <c r="B1782" s="17" t="n">
        <v>46251</v>
      </c>
      <c r="C1782" s="17" t="n">
        <v>46272</v>
      </c>
      <c r="D1782" s="1" t="n">
        <v>1636</v>
      </c>
      <c r="E1782" s="1" t="s">
        <v>98</v>
      </c>
      <c r="F1782" s="1" t="n">
        <v>24</v>
      </c>
      <c r="G1782" s="1" t="s">
        <v>91</v>
      </c>
      <c r="H1782" s="1" t="n">
        <v>2110405</v>
      </c>
      <c r="I1782" s="1" t="s">
        <v>55</v>
      </c>
      <c r="J1782" s="1" t="n">
        <v>1562691</v>
      </c>
      <c r="L1782" s="1" t="n">
        <v>213277</v>
      </c>
      <c r="M1782" s="1" t="s">
        <v>36</v>
      </c>
      <c r="N1782" s="1" t="s">
        <v>50</v>
      </c>
      <c r="P1782" s="1" t="n">
        <v>113</v>
      </c>
      <c r="Q1782" s="1" t="s">
        <v>38</v>
      </c>
      <c r="R1782" s="1" t="s">
        <v>62</v>
      </c>
      <c r="S1782" s="1" t="n">
        <v>1130101</v>
      </c>
      <c r="T1782" s="1" t="s">
        <v>63</v>
      </c>
      <c r="U1782" s="1" t="n">
        <v>1352.12</v>
      </c>
      <c r="W1782" s="1" t="n">
        <v>0</v>
      </c>
      <c r="X1782" s="1" t="s">
        <v>1561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PAPEL HIG SUBLIME NATURAL 4R</v>
      </c>
      <c r="AC1782" s="1" t="n">
        <v>3237634</v>
      </c>
    </row>
    <row r="1783" customFormat="false" ht="12.75" hidden="false" customHeight="true" outlineLevel="0" collapsed="false">
      <c r="A1783" s="1" t="n">
        <v>2</v>
      </c>
      <c r="B1783" s="17" t="n">
        <v>46253</v>
      </c>
      <c r="C1783" s="17" t="n">
        <v>46272</v>
      </c>
      <c r="D1783" s="1" t="n">
        <v>1616</v>
      </c>
      <c r="E1783" s="1" t="s">
        <v>94</v>
      </c>
      <c r="F1783" s="1" t="n">
        <v>24</v>
      </c>
      <c r="G1783" s="1" t="s">
        <v>91</v>
      </c>
      <c r="H1783" s="1" t="n">
        <v>2110405</v>
      </c>
      <c r="I1783" s="1" t="s">
        <v>55</v>
      </c>
      <c r="J1783" s="1" t="n">
        <v>1570979</v>
      </c>
      <c r="L1783" s="1" t="n">
        <v>214492</v>
      </c>
      <c r="M1783" s="1" t="s">
        <v>36</v>
      </c>
      <c r="N1783" s="1" t="s">
        <v>50</v>
      </c>
      <c r="P1783" s="1" t="n">
        <v>113</v>
      </c>
      <c r="Q1783" s="1" t="s">
        <v>38</v>
      </c>
      <c r="R1783" s="1" t="s">
        <v>62</v>
      </c>
      <c r="S1783" s="1" t="n">
        <v>1130101</v>
      </c>
      <c r="T1783" s="1" t="s">
        <v>63</v>
      </c>
      <c r="U1783" s="1" t="n">
        <v>606.56</v>
      </c>
      <c r="W1783" s="1" t="n">
        <v>0</v>
      </c>
      <c r="X1783" s="1" t="s">
        <v>1465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DETER LIMPOL MACA 500ML</v>
      </c>
      <c r="AC1783" s="1" t="n">
        <v>654907</v>
      </c>
    </row>
    <row r="1784" customFormat="false" ht="12.75" hidden="false" customHeight="true" outlineLevel="0" collapsed="false">
      <c r="A1784" s="1" t="n">
        <v>2</v>
      </c>
      <c r="B1784" s="17" t="n">
        <v>46253</v>
      </c>
      <c r="C1784" s="17" t="n">
        <v>46272</v>
      </c>
      <c r="D1784" s="1" t="n">
        <v>616</v>
      </c>
      <c r="E1784" s="1" t="s">
        <v>939</v>
      </c>
      <c r="F1784" s="1" t="n">
        <v>24</v>
      </c>
      <c r="G1784" s="1" t="s">
        <v>91</v>
      </c>
      <c r="H1784" s="1" t="n">
        <v>2110405</v>
      </c>
      <c r="I1784" s="1" t="s">
        <v>55</v>
      </c>
      <c r="J1784" s="1" t="n">
        <v>1572199</v>
      </c>
      <c r="L1784" s="1" t="n">
        <v>214772</v>
      </c>
      <c r="M1784" s="1" t="s">
        <v>36</v>
      </c>
      <c r="N1784" s="1" t="s">
        <v>50</v>
      </c>
      <c r="P1784" s="1" t="n">
        <v>113</v>
      </c>
      <c r="Q1784" s="1" t="s">
        <v>38</v>
      </c>
      <c r="R1784" s="1" t="s">
        <v>62</v>
      </c>
      <c r="S1784" s="1" t="n">
        <v>1130101</v>
      </c>
      <c r="T1784" s="1" t="s">
        <v>63</v>
      </c>
      <c r="U1784" s="1" t="n">
        <v>983.76</v>
      </c>
      <c r="W1784" s="1" t="n">
        <v>0</v>
      </c>
      <c r="X1784" s="1" t="s">
        <v>1562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" t="n">
        <v>2</v>
      </c>
      <c r="B1785" s="17" t="n">
        <v>46254</v>
      </c>
      <c r="C1785" s="17" t="n">
        <v>46272</v>
      </c>
      <c r="D1785" s="1" t="n">
        <v>10012</v>
      </c>
      <c r="E1785" s="1" t="s">
        <v>176</v>
      </c>
      <c r="F1785" s="1" t="n">
        <v>24</v>
      </c>
      <c r="G1785" s="1" t="s">
        <v>91</v>
      </c>
      <c r="H1785" s="1" t="n">
        <v>2110405</v>
      </c>
      <c r="I1785" s="1" t="s">
        <v>55</v>
      </c>
      <c r="J1785" s="1" t="n">
        <v>1577216</v>
      </c>
      <c r="L1785" s="1" t="n">
        <v>215616</v>
      </c>
      <c r="M1785" s="1" t="s">
        <v>36</v>
      </c>
      <c r="N1785" s="1" t="s">
        <v>50</v>
      </c>
      <c r="P1785" s="1" t="n">
        <v>113</v>
      </c>
      <c r="Q1785" s="1" t="s">
        <v>38</v>
      </c>
      <c r="R1785" s="1" t="s">
        <v>62</v>
      </c>
      <c r="S1785" s="1" t="n">
        <v>1130101</v>
      </c>
      <c r="T1785" s="1" t="s">
        <v>63</v>
      </c>
      <c r="U1785" s="1" t="n">
        <v>521.58</v>
      </c>
      <c r="W1785" s="1" t="n">
        <v>0</v>
      </c>
      <c r="X1785" s="1" t="s">
        <v>1563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SAB PHEBO ODOR90G</v>
      </c>
      <c r="AC1785" s="1" t="n">
        <v>1966312</v>
      </c>
    </row>
    <row r="1786" customFormat="false" ht="12.75" hidden="false" customHeight="true" outlineLevel="0" collapsed="false">
      <c r="A1786" s="1" t="n">
        <v>2</v>
      </c>
      <c r="B1786" s="17" t="n">
        <v>46268</v>
      </c>
      <c r="C1786" s="17" t="n">
        <v>46272</v>
      </c>
      <c r="D1786" s="1" t="n">
        <v>1899</v>
      </c>
      <c r="E1786" s="1" t="s">
        <v>211</v>
      </c>
      <c r="F1786" s="1" t="n">
        <v>24</v>
      </c>
      <c r="G1786" s="1" t="s">
        <v>91</v>
      </c>
      <c r="H1786" s="1" t="n">
        <v>2110405</v>
      </c>
      <c r="I1786" s="1" t="s">
        <v>55</v>
      </c>
      <c r="J1786" s="1" t="n">
        <v>1647882</v>
      </c>
      <c r="L1786" s="1" t="n">
        <v>226324</v>
      </c>
      <c r="M1786" s="1" t="s">
        <v>36</v>
      </c>
      <c r="N1786" s="1" t="s">
        <v>50</v>
      </c>
      <c r="P1786" s="1" t="n">
        <v>113</v>
      </c>
      <c r="Q1786" s="1" t="s">
        <v>38</v>
      </c>
      <c r="R1786" s="1" t="s">
        <v>62</v>
      </c>
      <c r="S1786" s="1" t="n">
        <v>1130101</v>
      </c>
      <c r="T1786" s="1" t="s">
        <v>63</v>
      </c>
      <c r="U1786" s="1" t="n">
        <v>204.77</v>
      </c>
      <c r="W1786" s="1" t="n">
        <v>0</v>
      </c>
      <c r="X1786" s="1" t="s">
        <v>1564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PAO DE FORMA REAL MA</v>
      </c>
      <c r="AC1786" s="1" t="n">
        <v>790</v>
      </c>
    </row>
    <row r="1787" customFormat="false" ht="12.75" hidden="false" customHeight="true" outlineLevel="0" collapsed="false">
      <c r="A1787" s="1" t="n">
        <v>2</v>
      </c>
      <c r="B1787" s="17" t="n">
        <v>46239</v>
      </c>
      <c r="C1787" s="17" t="n">
        <v>46273</v>
      </c>
      <c r="D1787" s="1" t="n">
        <v>1637</v>
      </c>
      <c r="E1787" s="1" t="s">
        <v>870</v>
      </c>
      <c r="F1787" s="1" t="n">
        <v>24</v>
      </c>
      <c r="G1787" s="1" t="s">
        <v>91</v>
      </c>
      <c r="H1787" s="1" t="n">
        <v>2110405</v>
      </c>
      <c r="I1787" s="1" t="s">
        <v>55</v>
      </c>
      <c r="J1787" s="1" t="n">
        <v>1503931</v>
      </c>
      <c r="L1787" s="1" t="n">
        <v>204198</v>
      </c>
      <c r="M1787" s="1" t="s">
        <v>36</v>
      </c>
      <c r="N1787" s="1" t="s">
        <v>50</v>
      </c>
      <c r="P1787" s="1" t="n">
        <v>113</v>
      </c>
      <c r="Q1787" s="1" t="s">
        <v>38</v>
      </c>
      <c r="R1787" s="1" t="s">
        <v>62</v>
      </c>
      <c r="S1787" s="1" t="n">
        <v>1130101</v>
      </c>
      <c r="T1787" s="1" t="s">
        <v>63</v>
      </c>
      <c r="U1787" s="1" t="n">
        <v>1184.7</v>
      </c>
      <c r="W1787" s="1" t="n">
        <v>0</v>
      </c>
      <c r="X1787" s="1" t="s">
        <v>1565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CERVEJA ITAIPAVA 269ML</v>
      </c>
      <c r="AC1787" s="1" t="n">
        <v>1915876</v>
      </c>
    </row>
    <row r="1788" customFormat="false" ht="12.75" hidden="false" customHeight="true" outlineLevel="0" collapsed="false">
      <c r="A1788" s="1" t="n">
        <v>2</v>
      </c>
      <c r="B1788" s="17" t="n">
        <v>46251</v>
      </c>
      <c r="C1788" s="17" t="n">
        <v>46273</v>
      </c>
      <c r="D1788" s="1" t="n">
        <v>10017</v>
      </c>
      <c r="E1788" s="1" t="s">
        <v>184</v>
      </c>
      <c r="F1788" s="1" t="n">
        <v>24</v>
      </c>
      <c r="G1788" s="1" t="s">
        <v>91</v>
      </c>
      <c r="H1788" s="1" t="n">
        <v>2110405</v>
      </c>
      <c r="I1788" s="1" t="s">
        <v>55</v>
      </c>
      <c r="J1788" s="1" t="n">
        <v>1561245</v>
      </c>
      <c r="L1788" s="1" t="n">
        <v>212996</v>
      </c>
      <c r="M1788" s="1" t="s">
        <v>36</v>
      </c>
      <c r="N1788" s="1" t="s">
        <v>50</v>
      </c>
      <c r="P1788" s="1" t="n">
        <v>113</v>
      </c>
      <c r="Q1788" s="1" t="s">
        <v>38</v>
      </c>
      <c r="R1788" s="1" t="s">
        <v>62</v>
      </c>
      <c r="S1788" s="1" t="n">
        <v>1130101</v>
      </c>
      <c r="T1788" s="1" t="s">
        <v>63</v>
      </c>
      <c r="U1788" s="1" t="n">
        <v>599.85</v>
      </c>
      <c r="W1788" s="1" t="n">
        <v>0</v>
      </c>
      <c r="X1788" s="1" t="s">
        <v>1488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PAPEL HIGIENICO ALLE</v>
      </c>
      <c r="AC1788" s="1" t="n">
        <v>195597</v>
      </c>
    </row>
    <row r="1789" customFormat="false" ht="12.75" hidden="false" customHeight="true" outlineLevel="0" collapsed="false">
      <c r="A1789" s="1" t="n">
        <v>2</v>
      </c>
      <c r="B1789" s="17" t="n">
        <v>46252</v>
      </c>
      <c r="C1789" s="17" t="n">
        <v>46273</v>
      </c>
      <c r="D1789" s="1" t="n">
        <v>1697</v>
      </c>
      <c r="E1789" s="1" t="s">
        <v>775</v>
      </c>
      <c r="F1789" s="1" t="n">
        <v>24</v>
      </c>
      <c r="G1789" s="1" t="s">
        <v>91</v>
      </c>
      <c r="H1789" s="1" t="n">
        <v>2110405</v>
      </c>
      <c r="I1789" s="1" t="s">
        <v>55</v>
      </c>
      <c r="J1789" s="1" t="n">
        <v>1566729</v>
      </c>
      <c r="L1789" s="1" t="n">
        <v>213867</v>
      </c>
      <c r="M1789" s="1" t="s">
        <v>36</v>
      </c>
      <c r="N1789" s="1" t="s">
        <v>50</v>
      </c>
      <c r="P1789" s="1" t="n">
        <v>113</v>
      </c>
      <c r="Q1789" s="1" t="s">
        <v>38</v>
      </c>
      <c r="R1789" s="1" t="s">
        <v>62</v>
      </c>
      <c r="S1789" s="1" t="n">
        <v>1130101</v>
      </c>
      <c r="T1789" s="1" t="s">
        <v>63</v>
      </c>
      <c r="U1789" s="1" t="n">
        <v>584.64</v>
      </c>
      <c r="W1789" s="1" t="n">
        <v>0</v>
      </c>
      <c r="X1789" s="1" t="s">
        <v>1489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LEITE ITALAC DESN 1L</v>
      </c>
      <c r="AC1789" s="1" t="n">
        <v>211355</v>
      </c>
    </row>
    <row r="1790" customFormat="false" ht="12.75" hidden="false" customHeight="true" outlineLevel="0" collapsed="false">
      <c r="A1790" s="1" t="n">
        <v>2</v>
      </c>
      <c r="B1790" s="17" t="n">
        <v>46252</v>
      </c>
      <c r="C1790" s="17" t="n">
        <v>46273</v>
      </c>
      <c r="D1790" s="1" t="n">
        <v>1711</v>
      </c>
      <c r="E1790" s="1" t="s">
        <v>1491</v>
      </c>
      <c r="F1790" s="1" t="n">
        <v>24</v>
      </c>
      <c r="G1790" s="1" t="s">
        <v>91</v>
      </c>
      <c r="H1790" s="1" t="n">
        <v>2110405</v>
      </c>
      <c r="I1790" s="1" t="s">
        <v>55</v>
      </c>
      <c r="J1790" s="1" t="n">
        <v>1568092</v>
      </c>
      <c r="L1790" s="1" t="n">
        <v>214110</v>
      </c>
      <c r="M1790" s="1" t="s">
        <v>36</v>
      </c>
      <c r="N1790" s="1" t="s">
        <v>50</v>
      </c>
      <c r="P1790" s="1" t="n">
        <v>113</v>
      </c>
      <c r="Q1790" s="1" t="s">
        <v>38</v>
      </c>
      <c r="R1790" s="1" t="s">
        <v>62</v>
      </c>
      <c r="S1790" s="1" t="n">
        <v>1130101</v>
      </c>
      <c r="T1790" s="1" t="s">
        <v>63</v>
      </c>
      <c r="U1790" s="1" t="n">
        <v>645.71</v>
      </c>
      <c r="W1790" s="1" t="n">
        <v>0</v>
      </c>
      <c r="X1790" s="1" t="s">
        <v>1492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CAD BROCH UNIV COST</v>
      </c>
      <c r="AC1790" s="1" t="n">
        <v>160332</v>
      </c>
    </row>
    <row r="1791" customFormat="false" ht="12.75" hidden="false" customHeight="true" outlineLevel="0" collapsed="false">
      <c r="A1791" s="1" t="n">
        <v>2</v>
      </c>
      <c r="B1791" s="17" t="n">
        <v>46253</v>
      </c>
      <c r="C1791" s="17" t="n">
        <v>46273</v>
      </c>
      <c r="D1791" s="1" t="n">
        <v>1708</v>
      </c>
      <c r="E1791" s="1" t="s">
        <v>269</v>
      </c>
      <c r="F1791" s="1" t="n">
        <v>24</v>
      </c>
      <c r="G1791" s="1" t="s">
        <v>91</v>
      </c>
      <c r="H1791" s="1" t="n">
        <v>2110405</v>
      </c>
      <c r="I1791" s="1" t="s">
        <v>55</v>
      </c>
      <c r="J1791" s="1" t="n">
        <v>1572971</v>
      </c>
      <c r="L1791" s="1" t="n">
        <v>214927</v>
      </c>
      <c r="M1791" s="1" t="s">
        <v>36</v>
      </c>
      <c r="N1791" s="1" t="s">
        <v>50</v>
      </c>
      <c r="P1791" s="1" t="n">
        <v>113</v>
      </c>
      <c r="Q1791" s="1" t="s">
        <v>38</v>
      </c>
      <c r="R1791" s="1" t="s">
        <v>62</v>
      </c>
      <c r="S1791" s="1" t="n">
        <v>1130101</v>
      </c>
      <c r="T1791" s="1" t="s">
        <v>63</v>
      </c>
      <c r="U1791" s="1" t="n">
        <v>548.18</v>
      </c>
      <c r="W1791" s="1" t="n">
        <v>0</v>
      </c>
      <c r="X1791" s="1" t="s">
        <v>1494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DISQUETI 18G</v>
      </c>
      <c r="AC1791" s="1" t="n">
        <v>265359</v>
      </c>
    </row>
    <row r="1792" customFormat="false" ht="12.75" hidden="false" customHeight="true" outlineLevel="0" collapsed="false">
      <c r="A1792" s="1" t="n">
        <v>2</v>
      </c>
      <c r="B1792" s="17" t="n">
        <v>46254</v>
      </c>
      <c r="C1792" s="17" t="n">
        <v>46273</v>
      </c>
      <c r="D1792" s="1" t="n">
        <v>967</v>
      </c>
      <c r="E1792" s="1" t="s">
        <v>1495</v>
      </c>
      <c r="F1792" s="1" t="n">
        <v>24</v>
      </c>
      <c r="G1792" s="1" t="s">
        <v>91</v>
      </c>
      <c r="H1792" s="1" t="n">
        <v>2110405</v>
      </c>
      <c r="I1792" s="1" t="s">
        <v>55</v>
      </c>
      <c r="J1792" s="1" t="n">
        <v>1576162</v>
      </c>
      <c r="L1792" s="1" t="n">
        <v>215378</v>
      </c>
      <c r="M1792" s="1" t="s">
        <v>36</v>
      </c>
      <c r="N1792" s="1" t="s">
        <v>50</v>
      </c>
      <c r="P1792" s="1" t="n">
        <v>113</v>
      </c>
      <c r="Q1792" s="1" t="s">
        <v>38</v>
      </c>
      <c r="R1792" s="1" t="s">
        <v>62</v>
      </c>
      <c r="S1792" s="1" t="n">
        <v>1130101</v>
      </c>
      <c r="T1792" s="1" t="s">
        <v>63</v>
      </c>
      <c r="U1792" s="1" t="n">
        <v>421</v>
      </c>
      <c r="W1792" s="1" t="n">
        <v>0</v>
      </c>
      <c r="X1792" s="1" t="s">
        <v>1496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COROTE LIMÃO 50ML</v>
      </c>
      <c r="AC1792" s="1" t="n">
        <v>37213</v>
      </c>
    </row>
    <row r="1793" customFormat="false" ht="12.75" hidden="false" customHeight="true" outlineLevel="0" collapsed="false">
      <c r="A1793" s="1" t="n">
        <v>2</v>
      </c>
      <c r="B1793" s="17" t="n">
        <v>46259</v>
      </c>
      <c r="C1793" s="17" t="n">
        <v>46273</v>
      </c>
      <c r="D1793" s="1" t="n">
        <v>1705</v>
      </c>
      <c r="E1793" s="1" t="s">
        <v>131</v>
      </c>
      <c r="F1793" s="1" t="n">
        <v>24</v>
      </c>
      <c r="G1793" s="1" t="s">
        <v>91</v>
      </c>
      <c r="H1793" s="1" t="n">
        <v>2110405</v>
      </c>
      <c r="I1793" s="1" t="s">
        <v>55</v>
      </c>
      <c r="J1793" s="1" t="n">
        <v>1600068</v>
      </c>
      <c r="L1793" s="1" t="n">
        <v>219099</v>
      </c>
      <c r="M1793" s="1" t="s">
        <v>36</v>
      </c>
      <c r="N1793" s="1" t="s">
        <v>50</v>
      </c>
      <c r="P1793" s="1" t="n">
        <v>113</v>
      </c>
      <c r="Q1793" s="1" t="s">
        <v>38</v>
      </c>
      <c r="R1793" s="1" t="s">
        <v>62</v>
      </c>
      <c r="S1793" s="1" t="n">
        <v>1130101</v>
      </c>
      <c r="T1793" s="1" t="s">
        <v>63</v>
      </c>
      <c r="U1793" s="1" t="n">
        <v>639.05</v>
      </c>
      <c r="W1793" s="1" t="n">
        <v>0</v>
      </c>
      <c r="X1793" s="1" t="s">
        <v>1566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CERVEJA KAISER LATA</v>
      </c>
      <c r="AC1793" s="1" t="n">
        <v>1262093</v>
      </c>
    </row>
    <row r="1794" customFormat="false" ht="12.75" hidden="false" customHeight="true" outlineLevel="0" collapsed="false">
      <c r="A1794" s="1" t="n">
        <v>2</v>
      </c>
      <c r="B1794" s="17" t="n">
        <v>46259</v>
      </c>
      <c r="C1794" s="17" t="n">
        <v>46273</v>
      </c>
      <c r="D1794" s="1" t="n">
        <v>1705</v>
      </c>
      <c r="E1794" s="1" t="s">
        <v>131</v>
      </c>
      <c r="F1794" s="1" t="n">
        <v>24</v>
      </c>
      <c r="G1794" s="1" t="s">
        <v>91</v>
      </c>
      <c r="H1794" s="1" t="n">
        <v>2110405</v>
      </c>
      <c r="I1794" s="1" t="s">
        <v>55</v>
      </c>
      <c r="J1794" s="1" t="n">
        <v>1600077</v>
      </c>
      <c r="L1794" s="1" t="n">
        <v>219102</v>
      </c>
      <c r="M1794" s="1" t="s">
        <v>36</v>
      </c>
      <c r="N1794" s="1" t="s">
        <v>50</v>
      </c>
      <c r="P1794" s="1" t="n">
        <v>113</v>
      </c>
      <c r="Q1794" s="1" t="s">
        <v>38</v>
      </c>
      <c r="R1794" s="1" t="s">
        <v>62</v>
      </c>
      <c r="S1794" s="1" t="n">
        <v>1130101</v>
      </c>
      <c r="T1794" s="1" t="s">
        <v>63</v>
      </c>
      <c r="U1794" s="1" t="n">
        <v>3064.41</v>
      </c>
      <c r="W1794" s="1" t="n">
        <v>0</v>
      </c>
      <c r="X1794" s="1" t="s">
        <v>1567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REFRI. FANTA UVA 1,5</v>
      </c>
      <c r="AC1794" s="1" t="n">
        <v>2004983</v>
      </c>
    </row>
    <row r="1795" customFormat="false" ht="12.75" hidden="false" customHeight="true" outlineLevel="0" collapsed="false">
      <c r="A1795" s="1" t="n">
        <v>2</v>
      </c>
      <c r="B1795" s="17" t="n">
        <v>46259</v>
      </c>
      <c r="C1795" s="17" t="n">
        <v>46273</v>
      </c>
      <c r="D1795" s="1" t="n">
        <v>10009</v>
      </c>
      <c r="E1795" s="1" t="s">
        <v>469</v>
      </c>
      <c r="F1795" s="1" t="n">
        <v>24</v>
      </c>
      <c r="G1795" s="1" t="s">
        <v>91</v>
      </c>
      <c r="H1795" s="1" t="n">
        <v>2110405</v>
      </c>
      <c r="I1795" s="1" t="s">
        <v>55</v>
      </c>
      <c r="J1795" s="1" t="n">
        <v>1600144</v>
      </c>
      <c r="L1795" s="1" t="n">
        <v>219111</v>
      </c>
      <c r="M1795" s="1" t="s">
        <v>36</v>
      </c>
      <c r="N1795" s="1" t="s">
        <v>50</v>
      </c>
      <c r="P1795" s="1" t="n">
        <v>113</v>
      </c>
      <c r="Q1795" s="1" t="s">
        <v>38</v>
      </c>
      <c r="R1795" s="1" t="s">
        <v>62</v>
      </c>
      <c r="S1795" s="1" t="n">
        <v>1130101</v>
      </c>
      <c r="T1795" s="1" t="s">
        <v>63</v>
      </c>
      <c r="U1795" s="1" t="n">
        <v>1509.12</v>
      </c>
      <c r="W1795" s="1" t="n">
        <v>0</v>
      </c>
      <c r="X1795" s="1" t="s">
        <v>1568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PRESTIGIO 33G</v>
      </c>
      <c r="AC1795" s="1" t="n">
        <v>1442202</v>
      </c>
    </row>
    <row r="1796" customFormat="false" ht="12.75" hidden="false" customHeight="true" outlineLevel="0" collapsed="false">
      <c r="A1796" s="1" t="n">
        <v>2</v>
      </c>
      <c r="B1796" s="17" t="n">
        <v>46259</v>
      </c>
      <c r="C1796" s="17" t="n">
        <v>46273</v>
      </c>
      <c r="D1796" s="1" t="n">
        <v>10009</v>
      </c>
      <c r="E1796" s="1" t="s">
        <v>469</v>
      </c>
      <c r="F1796" s="1" t="n">
        <v>24</v>
      </c>
      <c r="G1796" s="1" t="s">
        <v>91</v>
      </c>
      <c r="H1796" s="1" t="n">
        <v>2110405</v>
      </c>
      <c r="I1796" s="1" t="s">
        <v>55</v>
      </c>
      <c r="J1796" s="1" t="n">
        <v>1600168</v>
      </c>
      <c r="L1796" s="1" t="n">
        <v>219115</v>
      </c>
      <c r="M1796" s="1" t="s">
        <v>36</v>
      </c>
      <c r="N1796" s="1" t="s">
        <v>50</v>
      </c>
      <c r="P1796" s="1" t="n">
        <v>113</v>
      </c>
      <c r="Q1796" s="1" t="s">
        <v>38</v>
      </c>
      <c r="R1796" s="1" t="s">
        <v>62</v>
      </c>
      <c r="S1796" s="1" t="n">
        <v>1130101</v>
      </c>
      <c r="T1796" s="1" t="s">
        <v>63</v>
      </c>
      <c r="U1796" s="1" t="n">
        <v>202.95</v>
      </c>
      <c r="W1796" s="1" t="n">
        <v>0</v>
      </c>
      <c r="X1796" s="1" t="s">
        <v>1569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TEMP MAGGI FONDO120G</v>
      </c>
      <c r="AC1796" s="1" t="n">
        <v>1441732</v>
      </c>
    </row>
    <row r="1797" customFormat="false" ht="12.75" hidden="false" customHeight="true" outlineLevel="0" collapsed="false">
      <c r="A1797" s="1" t="n">
        <v>2</v>
      </c>
      <c r="B1797" s="17" t="n">
        <v>46260</v>
      </c>
      <c r="C1797" s="17" t="n">
        <v>46273</v>
      </c>
      <c r="D1797" s="1" t="n">
        <v>1601</v>
      </c>
      <c r="E1797" s="1" t="s">
        <v>192</v>
      </c>
      <c r="F1797" s="1" t="n">
        <v>24</v>
      </c>
      <c r="G1797" s="1" t="s">
        <v>91</v>
      </c>
      <c r="H1797" s="1" t="n">
        <v>2110405</v>
      </c>
      <c r="I1797" s="1" t="s">
        <v>55</v>
      </c>
      <c r="J1797" s="1" t="n">
        <v>1603992</v>
      </c>
      <c r="L1797" s="1" t="n">
        <v>219684</v>
      </c>
      <c r="M1797" s="1" t="s">
        <v>36</v>
      </c>
      <c r="N1797" s="1" t="s">
        <v>50</v>
      </c>
      <c r="P1797" s="1" t="n">
        <v>113</v>
      </c>
      <c r="Q1797" s="1" t="s">
        <v>38</v>
      </c>
      <c r="R1797" s="1" t="s">
        <v>62</v>
      </c>
      <c r="S1797" s="1" t="n">
        <v>1130101</v>
      </c>
      <c r="T1797" s="1" t="s">
        <v>63</v>
      </c>
      <c r="U1797" s="1" t="n">
        <v>843.65</v>
      </c>
      <c r="W1797" s="1" t="n">
        <v>0</v>
      </c>
      <c r="X1797" s="1" t="s">
        <v>1570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HEINZ YELLOW MUSTARD</v>
      </c>
      <c r="AC1797" s="1" t="n">
        <v>866347</v>
      </c>
    </row>
    <row r="1798" customFormat="false" ht="12.75" hidden="false" customHeight="true" outlineLevel="0" collapsed="false">
      <c r="A1798" s="1" t="n">
        <v>2</v>
      </c>
      <c r="B1798" s="17" t="n">
        <v>46260</v>
      </c>
      <c r="C1798" s="17" t="n">
        <v>46273</v>
      </c>
      <c r="D1798" s="1" t="n">
        <v>794</v>
      </c>
      <c r="E1798" s="1" t="s">
        <v>343</v>
      </c>
      <c r="F1798" s="1" t="n">
        <v>24</v>
      </c>
      <c r="G1798" s="1" t="s">
        <v>91</v>
      </c>
      <c r="H1798" s="1" t="n">
        <v>2110405</v>
      </c>
      <c r="I1798" s="1" t="s">
        <v>55</v>
      </c>
      <c r="J1798" s="1" t="n">
        <v>1604320</v>
      </c>
      <c r="L1798" s="1" t="n">
        <v>219749</v>
      </c>
      <c r="M1798" s="1" t="s">
        <v>36</v>
      </c>
      <c r="N1798" s="1" t="s">
        <v>50</v>
      </c>
      <c r="P1798" s="1" t="n">
        <v>113</v>
      </c>
      <c r="Q1798" s="1" t="s">
        <v>38</v>
      </c>
      <c r="R1798" s="1" t="s">
        <v>62</v>
      </c>
      <c r="S1798" s="1" t="n">
        <v>1130101</v>
      </c>
      <c r="T1798" s="1" t="s">
        <v>63</v>
      </c>
      <c r="U1798" s="1" t="n">
        <v>873.08</v>
      </c>
      <c r="W1798" s="1" t="n">
        <v>0</v>
      </c>
      <c r="X1798" s="1" t="s">
        <v>1571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VASS MADRID CONDOR C/CABO</v>
      </c>
      <c r="AC1798" s="1" t="n">
        <v>8744</v>
      </c>
    </row>
    <row r="1799" customFormat="false" ht="12.75" hidden="false" customHeight="true" outlineLevel="0" collapsed="false">
      <c r="A1799" s="1" t="n">
        <v>2</v>
      </c>
      <c r="B1799" s="17" t="n">
        <v>46265</v>
      </c>
      <c r="C1799" s="17" t="n">
        <v>46273</v>
      </c>
      <c r="D1799" s="1" t="n">
        <v>1196</v>
      </c>
      <c r="E1799" s="1" t="s">
        <v>1423</v>
      </c>
      <c r="F1799" s="1" t="n">
        <v>24</v>
      </c>
      <c r="G1799" s="1" t="s">
        <v>91</v>
      </c>
      <c r="H1799" s="1" t="n">
        <v>2110405</v>
      </c>
      <c r="I1799" s="1" t="s">
        <v>55</v>
      </c>
      <c r="J1799" s="1" t="n">
        <v>1629256</v>
      </c>
      <c r="L1799" s="1" t="n">
        <v>223466</v>
      </c>
      <c r="M1799" s="1" t="s">
        <v>36</v>
      </c>
      <c r="N1799" s="1" t="s">
        <v>50</v>
      </c>
      <c r="P1799" s="1" t="n">
        <v>113</v>
      </c>
      <c r="Q1799" s="1" t="s">
        <v>38</v>
      </c>
      <c r="R1799" s="1" t="s">
        <v>62</v>
      </c>
      <c r="S1799" s="1" t="n">
        <v>1130101</v>
      </c>
      <c r="T1799" s="1" t="s">
        <v>63</v>
      </c>
      <c r="U1799" s="1" t="n">
        <v>410</v>
      </c>
      <c r="W1799" s="1" t="n">
        <v>0</v>
      </c>
      <c r="X1799" s="1" t="s">
        <v>1572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ACUCAR CRISTAL DOCE TODO DIA 30X1KG</v>
      </c>
      <c r="AC1799" s="1" t="n">
        <v>13095</v>
      </c>
    </row>
    <row r="1800" customFormat="false" ht="12.75" hidden="false" customHeight="true" outlineLevel="0" collapsed="false">
      <c r="A1800" s="1" t="n">
        <v>2</v>
      </c>
      <c r="B1800" s="17" t="n">
        <v>46265</v>
      </c>
      <c r="C1800" s="17" t="n">
        <v>46273</v>
      </c>
      <c r="D1800" s="1" t="n">
        <v>1621</v>
      </c>
      <c r="E1800" s="1" t="s">
        <v>235</v>
      </c>
      <c r="F1800" s="1" t="n">
        <v>24</v>
      </c>
      <c r="G1800" s="1" t="s">
        <v>91</v>
      </c>
      <c r="H1800" s="1" t="n">
        <v>2110405</v>
      </c>
      <c r="I1800" s="1" t="s">
        <v>55</v>
      </c>
      <c r="J1800" s="1" t="n">
        <v>1630703</v>
      </c>
      <c r="L1800" s="1" t="n">
        <v>223795</v>
      </c>
      <c r="M1800" s="1" t="s">
        <v>36</v>
      </c>
      <c r="N1800" s="1" t="s">
        <v>50</v>
      </c>
      <c r="P1800" s="1" t="n">
        <v>113</v>
      </c>
      <c r="Q1800" s="1" t="s">
        <v>38</v>
      </c>
      <c r="R1800" s="1" t="s">
        <v>62</v>
      </c>
      <c r="S1800" s="1" t="n">
        <v>1130101</v>
      </c>
      <c r="T1800" s="1" t="s">
        <v>63</v>
      </c>
      <c r="U1800" s="1" t="n">
        <v>1825.37</v>
      </c>
      <c r="W1800" s="1" t="n">
        <v>0</v>
      </c>
      <c r="X1800" s="1" t="s">
        <v>1573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CERVEJANTARCTIC 1L</v>
      </c>
      <c r="AC1800" s="1" t="n">
        <v>982558</v>
      </c>
    </row>
    <row r="1801" customFormat="false" ht="12.75" hidden="false" customHeight="true" outlineLevel="0" collapsed="false">
      <c r="A1801" s="1" t="n">
        <v>2</v>
      </c>
      <c r="B1801" s="17" t="n">
        <v>46266</v>
      </c>
      <c r="C1801" s="17" t="n">
        <v>46273</v>
      </c>
      <c r="D1801" s="1" t="n">
        <v>1642</v>
      </c>
      <c r="E1801" s="1" t="s">
        <v>233</v>
      </c>
      <c r="F1801" s="1" t="n">
        <v>24</v>
      </c>
      <c r="G1801" s="1" t="s">
        <v>91</v>
      </c>
      <c r="H1801" s="1" t="n">
        <v>2110405</v>
      </c>
      <c r="I1801" s="1" t="s">
        <v>55</v>
      </c>
      <c r="J1801" s="1" t="n">
        <v>1633903</v>
      </c>
      <c r="L1801" s="1" t="n">
        <v>224228</v>
      </c>
      <c r="M1801" s="1" t="s">
        <v>36</v>
      </c>
      <c r="N1801" s="1" t="s">
        <v>50</v>
      </c>
      <c r="P1801" s="1" t="n">
        <v>113</v>
      </c>
      <c r="Q1801" s="1" t="s">
        <v>38</v>
      </c>
      <c r="R1801" s="1" t="s">
        <v>62</v>
      </c>
      <c r="S1801" s="1" t="n">
        <v>1130101</v>
      </c>
      <c r="T1801" s="1" t="s">
        <v>63</v>
      </c>
      <c r="U1801" s="1" t="n">
        <v>492.29</v>
      </c>
      <c r="W1801" s="1" t="n">
        <v>0</v>
      </c>
      <c r="X1801" s="1" t="s">
        <v>1574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PAO DE FORMA BROTHER</v>
      </c>
      <c r="AC1801" s="1" t="n">
        <v>1039683</v>
      </c>
    </row>
    <row r="1802" customFormat="false" ht="12.75" hidden="false" customHeight="true" outlineLevel="0" collapsed="false">
      <c r="A1802" s="1" t="n">
        <v>2</v>
      </c>
      <c r="B1802" s="17" t="n">
        <v>46266</v>
      </c>
      <c r="C1802" s="17" t="n">
        <v>46273</v>
      </c>
      <c r="D1802" s="1" t="n">
        <v>560</v>
      </c>
      <c r="E1802" s="1" t="s">
        <v>451</v>
      </c>
      <c r="F1802" s="1" t="n">
        <v>24</v>
      </c>
      <c r="G1802" s="1" t="s">
        <v>91</v>
      </c>
      <c r="H1802" s="1" t="n">
        <v>2110405</v>
      </c>
      <c r="I1802" s="1" t="s">
        <v>55</v>
      </c>
      <c r="J1802" s="1" t="n">
        <v>1635028</v>
      </c>
      <c r="L1802" s="1" t="n">
        <v>224552</v>
      </c>
      <c r="M1802" s="1" t="s">
        <v>36</v>
      </c>
      <c r="N1802" s="1" t="s">
        <v>50</v>
      </c>
      <c r="P1802" s="1" t="n">
        <v>113</v>
      </c>
      <c r="Q1802" s="1" t="s">
        <v>38</v>
      </c>
      <c r="R1802" s="1" t="s">
        <v>62</v>
      </c>
      <c r="S1802" s="1" t="n">
        <v>1130101</v>
      </c>
      <c r="T1802" s="1" t="s">
        <v>63</v>
      </c>
      <c r="U1802" s="1" t="n">
        <v>250</v>
      </c>
      <c r="W1802" s="1" t="n">
        <v>0</v>
      </c>
      <c r="X1802" s="1" t="s">
        <v>1575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BISCOITOS DA MARIA S</v>
      </c>
      <c r="AC1802" s="1" t="n">
        <v>2142</v>
      </c>
    </row>
    <row r="1803" customFormat="false" ht="12.75" hidden="false" customHeight="true" outlineLevel="0" collapsed="false">
      <c r="A1803" s="1" t="n">
        <v>2</v>
      </c>
      <c r="B1803" s="17" t="n">
        <v>46266</v>
      </c>
      <c r="C1803" s="17" t="n">
        <v>46273</v>
      </c>
      <c r="D1803" s="1" t="n">
        <v>1699</v>
      </c>
      <c r="E1803" s="1" t="s">
        <v>231</v>
      </c>
      <c r="F1803" s="1" t="n">
        <v>24</v>
      </c>
      <c r="G1803" s="1" t="s">
        <v>91</v>
      </c>
      <c r="H1803" s="1" t="n">
        <v>2110405</v>
      </c>
      <c r="I1803" s="1" t="s">
        <v>55</v>
      </c>
      <c r="J1803" s="1" t="n">
        <v>1635345</v>
      </c>
      <c r="L1803" s="1" t="n">
        <v>224604</v>
      </c>
      <c r="M1803" s="1" t="s">
        <v>36</v>
      </c>
      <c r="N1803" s="1" t="s">
        <v>50</v>
      </c>
      <c r="P1803" s="1" t="n">
        <v>113</v>
      </c>
      <c r="Q1803" s="1" t="s">
        <v>38</v>
      </c>
      <c r="R1803" s="1" t="s">
        <v>62</v>
      </c>
      <c r="S1803" s="1" t="n">
        <v>1130101</v>
      </c>
      <c r="T1803" s="1" t="s">
        <v>63</v>
      </c>
      <c r="U1803" s="1" t="n">
        <v>658.8</v>
      </c>
      <c r="W1803" s="1" t="n">
        <v>0</v>
      </c>
      <c r="X1803" s="1" t="s">
        <v>1471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SUCO JANDAI CAJU500M</v>
      </c>
      <c r="AC1803" s="1" t="n">
        <v>311270</v>
      </c>
    </row>
    <row r="1804" customFormat="false" ht="12.75" hidden="false" customHeight="true" outlineLevel="0" collapsed="false">
      <c r="A1804" s="1" t="n">
        <v>2</v>
      </c>
      <c r="B1804" s="17" t="n">
        <v>46267</v>
      </c>
      <c r="C1804" s="17" t="n">
        <v>46273</v>
      </c>
      <c r="D1804" s="1" t="n">
        <v>1625</v>
      </c>
      <c r="E1804" s="1" t="s">
        <v>272</v>
      </c>
      <c r="F1804" s="1" t="n">
        <v>24</v>
      </c>
      <c r="G1804" s="1" t="s">
        <v>91</v>
      </c>
      <c r="H1804" s="1" t="n">
        <v>2110405</v>
      </c>
      <c r="I1804" s="1" t="s">
        <v>55</v>
      </c>
      <c r="J1804" s="1" t="n">
        <v>1638627</v>
      </c>
      <c r="L1804" s="1" t="n">
        <v>225125</v>
      </c>
      <c r="M1804" s="1" t="s">
        <v>36</v>
      </c>
      <c r="N1804" s="1" t="s">
        <v>50</v>
      </c>
      <c r="P1804" s="1" t="n">
        <v>113</v>
      </c>
      <c r="Q1804" s="1" t="s">
        <v>38</v>
      </c>
      <c r="R1804" s="1" t="s">
        <v>62</v>
      </c>
      <c r="S1804" s="1" t="n">
        <v>1130101</v>
      </c>
      <c r="T1804" s="1" t="s">
        <v>63</v>
      </c>
      <c r="U1804" s="1" t="n">
        <v>4886.4</v>
      </c>
      <c r="W1804" s="1" t="n">
        <v>0</v>
      </c>
      <c r="X1804" s="1" t="s">
        <v>1576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TRASEIRO DE BOI L1</v>
      </c>
      <c r="AC1804" s="1" t="n">
        <v>15237</v>
      </c>
    </row>
    <row r="1805" customFormat="false" ht="12.75" hidden="false" customHeight="true" outlineLevel="0" collapsed="false">
      <c r="A1805" s="1" t="n">
        <v>2</v>
      </c>
      <c r="B1805" s="17" t="n">
        <v>46268</v>
      </c>
      <c r="C1805" s="17" t="n">
        <v>46273</v>
      </c>
      <c r="D1805" s="1" t="n">
        <v>1328</v>
      </c>
      <c r="E1805" s="1" t="s">
        <v>105</v>
      </c>
      <c r="F1805" s="1" t="n">
        <v>24</v>
      </c>
      <c r="G1805" s="1" t="s">
        <v>91</v>
      </c>
      <c r="H1805" s="1" t="n">
        <v>2110405</v>
      </c>
      <c r="I1805" s="1" t="s">
        <v>55</v>
      </c>
      <c r="J1805" s="1" t="n">
        <v>1646208</v>
      </c>
      <c r="L1805" s="1" t="n">
        <v>225890</v>
      </c>
      <c r="M1805" s="1" t="s">
        <v>36</v>
      </c>
      <c r="N1805" s="1" t="s">
        <v>50</v>
      </c>
      <c r="P1805" s="1" t="n">
        <v>113</v>
      </c>
      <c r="Q1805" s="1" t="s">
        <v>38</v>
      </c>
      <c r="R1805" s="1" t="s">
        <v>62</v>
      </c>
      <c r="S1805" s="1" t="n">
        <v>1130101</v>
      </c>
      <c r="T1805" s="1" t="s">
        <v>63</v>
      </c>
      <c r="U1805" s="1" t="n">
        <v>133.5</v>
      </c>
      <c r="W1805" s="1" t="n">
        <v>0</v>
      </c>
      <c r="X1805" s="1" t="s">
        <v>1577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PAO DE KIKAO 10</v>
      </c>
      <c r="AC1805" s="1" t="n">
        <v>4523</v>
      </c>
    </row>
    <row r="1806" customFormat="false" ht="12.75" hidden="false" customHeight="true" outlineLevel="0" collapsed="false">
      <c r="A1806" s="1" t="n">
        <v>2</v>
      </c>
      <c r="B1806" s="17" t="n">
        <v>46269</v>
      </c>
      <c r="C1806" s="17" t="n">
        <v>46273</v>
      </c>
      <c r="D1806" s="1" t="n">
        <v>10035</v>
      </c>
      <c r="E1806" s="1" t="s">
        <v>109</v>
      </c>
      <c r="F1806" s="1" t="n">
        <v>34</v>
      </c>
      <c r="G1806" s="1" t="s">
        <v>110</v>
      </c>
      <c r="H1806" s="1" t="n">
        <v>2110405</v>
      </c>
      <c r="I1806" s="1" t="s">
        <v>55</v>
      </c>
      <c r="J1806" s="1" t="n">
        <v>1651836</v>
      </c>
      <c r="L1806" s="1" t="n">
        <v>226891</v>
      </c>
      <c r="M1806" s="1" t="s">
        <v>36</v>
      </c>
      <c r="N1806" s="1" t="s">
        <v>50</v>
      </c>
      <c r="P1806" s="1" t="n">
        <v>113</v>
      </c>
      <c r="Q1806" s="1" t="s">
        <v>38</v>
      </c>
      <c r="R1806" s="1" t="s">
        <v>62</v>
      </c>
      <c r="S1806" s="1" t="n">
        <v>1130101</v>
      </c>
      <c r="T1806" s="1" t="s">
        <v>63</v>
      </c>
      <c r="U1806" s="1" t="n">
        <v>177.5</v>
      </c>
      <c r="W1806" s="1" t="n">
        <v>0</v>
      </c>
      <c r="X1806" s="1" t="s">
        <v>1578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CARVAO VEGETAL 3KG</v>
      </c>
      <c r="AC1806" s="1" t="n">
        <v>427</v>
      </c>
    </row>
    <row r="1807" customFormat="false" ht="12.75" hidden="false" customHeight="true" outlineLevel="0" collapsed="false">
      <c r="A1807" s="1" t="n">
        <v>2</v>
      </c>
      <c r="B1807" s="17" t="n">
        <v>46246</v>
      </c>
      <c r="C1807" s="17" t="n">
        <v>46274</v>
      </c>
      <c r="D1807" s="1" t="n">
        <v>1608</v>
      </c>
      <c r="E1807" s="1" t="s">
        <v>224</v>
      </c>
      <c r="F1807" s="1" t="n">
        <v>24</v>
      </c>
      <c r="G1807" s="1" t="s">
        <v>91</v>
      </c>
      <c r="H1807" s="1" t="n">
        <v>2110405</v>
      </c>
      <c r="I1807" s="1" t="s">
        <v>55</v>
      </c>
      <c r="J1807" s="1" t="n">
        <v>1534806</v>
      </c>
      <c r="L1807" s="1" t="n">
        <v>209429</v>
      </c>
      <c r="M1807" s="1" t="s">
        <v>36</v>
      </c>
      <c r="N1807" s="1" t="s">
        <v>50</v>
      </c>
      <c r="P1807" s="1" t="n">
        <v>113</v>
      </c>
      <c r="Q1807" s="1" t="s">
        <v>38</v>
      </c>
      <c r="R1807" s="1" t="s">
        <v>62</v>
      </c>
      <c r="S1807" s="1" t="n">
        <v>1130101</v>
      </c>
      <c r="T1807" s="1" t="s">
        <v>63</v>
      </c>
      <c r="U1807" s="1" t="n">
        <v>1279.58</v>
      </c>
      <c r="W1807" s="1" t="n">
        <v>0</v>
      </c>
      <c r="X1807" s="1" t="s">
        <v>1407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TODDYNHO CHOCOLATE</v>
      </c>
      <c r="AC1807" s="1" t="n">
        <v>1709601</v>
      </c>
    </row>
    <row r="1808" customFormat="false" ht="12.75" hidden="false" customHeight="true" outlineLevel="0" collapsed="false">
      <c r="A1808" s="1" t="n">
        <v>2</v>
      </c>
      <c r="B1808" s="17" t="n">
        <v>46247</v>
      </c>
      <c r="C1808" s="17" t="n">
        <v>46274</v>
      </c>
      <c r="D1808" s="1" t="n">
        <v>1624</v>
      </c>
      <c r="E1808" s="1" t="s">
        <v>338</v>
      </c>
      <c r="F1808" s="1" t="n">
        <v>24</v>
      </c>
      <c r="G1808" s="1" t="s">
        <v>91</v>
      </c>
      <c r="H1808" s="1" t="n">
        <v>2110405</v>
      </c>
      <c r="I1808" s="1" t="s">
        <v>55</v>
      </c>
      <c r="J1808" s="1" t="n">
        <v>1543917</v>
      </c>
      <c r="L1808" s="1" t="n">
        <v>210534</v>
      </c>
      <c r="M1808" s="1" t="s">
        <v>36</v>
      </c>
      <c r="N1808" s="1" t="s">
        <v>50</v>
      </c>
      <c r="P1808" s="1" t="n">
        <v>113</v>
      </c>
      <c r="Q1808" s="1" t="s">
        <v>38</v>
      </c>
      <c r="R1808" s="1" t="s">
        <v>62</v>
      </c>
      <c r="S1808" s="1" t="n">
        <v>1130101</v>
      </c>
      <c r="T1808" s="1" t="s">
        <v>63</v>
      </c>
      <c r="U1808" s="1" t="n">
        <v>830.13</v>
      </c>
      <c r="W1808" s="1" t="n">
        <v>0</v>
      </c>
      <c r="X1808" s="1" t="s">
        <v>1514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SAB SARNICIDA MATACURA 80G</v>
      </c>
      <c r="AC1808" s="1" t="n">
        <v>668739</v>
      </c>
    </row>
    <row r="1809" customFormat="false" ht="12.75" hidden="false" customHeight="true" outlineLevel="0" collapsed="false">
      <c r="A1809" s="1" t="n">
        <v>2</v>
      </c>
      <c r="B1809" s="17" t="n">
        <v>46252</v>
      </c>
      <c r="C1809" s="17" t="n">
        <v>46274</v>
      </c>
      <c r="D1809" s="1" t="n">
        <v>1612</v>
      </c>
      <c r="E1809" s="1" t="s">
        <v>90</v>
      </c>
      <c r="F1809" s="1" t="n">
        <v>24</v>
      </c>
      <c r="G1809" s="1" t="s">
        <v>91</v>
      </c>
      <c r="H1809" s="1" t="n">
        <v>2110405</v>
      </c>
      <c r="I1809" s="1" t="s">
        <v>55</v>
      </c>
      <c r="J1809" s="1" t="n">
        <v>1567419</v>
      </c>
      <c r="L1809" s="1" t="n">
        <v>214024</v>
      </c>
      <c r="M1809" s="1" t="s">
        <v>36</v>
      </c>
      <c r="N1809" s="1" t="s">
        <v>50</v>
      </c>
      <c r="P1809" s="1" t="n">
        <v>113</v>
      </c>
      <c r="Q1809" s="1" t="s">
        <v>38</v>
      </c>
      <c r="R1809" s="1" t="s">
        <v>62</v>
      </c>
      <c r="S1809" s="1" t="n">
        <v>1130101</v>
      </c>
      <c r="T1809" s="1" t="s">
        <v>63</v>
      </c>
      <c r="U1809" s="1" t="n">
        <v>1154.65</v>
      </c>
      <c r="W1809" s="1" t="n">
        <v>0</v>
      </c>
      <c r="X1809" s="1" t="s">
        <v>1515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AGUA SANI BRILUX1L</v>
      </c>
      <c r="AC1809" s="1" t="n">
        <v>2310769</v>
      </c>
    </row>
    <row r="1810" customFormat="false" ht="12.75" hidden="false" customHeight="true" outlineLevel="0" collapsed="false">
      <c r="A1810" s="1" t="n">
        <v>2</v>
      </c>
      <c r="B1810" s="17" t="n">
        <v>46260</v>
      </c>
      <c r="C1810" s="17" t="n">
        <v>46274</v>
      </c>
      <c r="D1810" s="1" t="n">
        <v>1705</v>
      </c>
      <c r="E1810" s="1" t="s">
        <v>131</v>
      </c>
      <c r="F1810" s="1" t="n">
        <v>24</v>
      </c>
      <c r="G1810" s="1" t="s">
        <v>91</v>
      </c>
      <c r="H1810" s="1" t="n">
        <v>2110405</v>
      </c>
      <c r="I1810" s="1" t="s">
        <v>55</v>
      </c>
      <c r="J1810" s="1" t="n">
        <v>1603826</v>
      </c>
      <c r="L1810" s="1" t="n">
        <v>219652</v>
      </c>
      <c r="M1810" s="1" t="s">
        <v>36</v>
      </c>
      <c r="N1810" s="1" t="s">
        <v>50</v>
      </c>
      <c r="P1810" s="1" t="n">
        <v>113</v>
      </c>
      <c r="Q1810" s="1" t="s">
        <v>38</v>
      </c>
      <c r="R1810" s="1" t="s">
        <v>62</v>
      </c>
      <c r="S1810" s="1" t="n">
        <v>1130101</v>
      </c>
      <c r="T1810" s="1" t="s">
        <v>63</v>
      </c>
      <c r="U1810" s="1" t="n">
        <v>264.36</v>
      </c>
      <c r="W1810" s="1" t="n">
        <v>0</v>
      </c>
      <c r="X1810" s="1" t="s">
        <v>1579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SPRITE LT 350ML</v>
      </c>
      <c r="AC1810" s="1" t="n">
        <v>1263938</v>
      </c>
    </row>
    <row r="1811" customFormat="false" ht="12.75" hidden="false" customHeight="true" outlineLevel="0" collapsed="false">
      <c r="A1811" s="1" t="n">
        <v>2</v>
      </c>
      <c r="B1811" s="17" t="n">
        <v>46260</v>
      </c>
      <c r="C1811" s="17" t="n">
        <v>46274</v>
      </c>
      <c r="D1811" s="1" t="n">
        <v>1705</v>
      </c>
      <c r="E1811" s="1" t="s">
        <v>131</v>
      </c>
      <c r="F1811" s="1" t="n">
        <v>24</v>
      </c>
      <c r="G1811" s="1" t="s">
        <v>91</v>
      </c>
      <c r="H1811" s="1" t="n">
        <v>2110405</v>
      </c>
      <c r="I1811" s="1" t="s">
        <v>55</v>
      </c>
      <c r="J1811" s="1" t="n">
        <v>1603844</v>
      </c>
      <c r="L1811" s="1" t="n">
        <v>219659</v>
      </c>
      <c r="M1811" s="1" t="s">
        <v>36</v>
      </c>
      <c r="N1811" s="1" t="s">
        <v>50</v>
      </c>
      <c r="P1811" s="1" t="n">
        <v>113</v>
      </c>
      <c r="Q1811" s="1" t="s">
        <v>38</v>
      </c>
      <c r="R1811" s="1" t="s">
        <v>62</v>
      </c>
      <c r="S1811" s="1" t="n">
        <v>1130101</v>
      </c>
      <c r="T1811" s="1" t="s">
        <v>63</v>
      </c>
      <c r="U1811" s="1" t="n">
        <v>3257.14</v>
      </c>
      <c r="W1811" s="1" t="n">
        <v>0</v>
      </c>
      <c r="X1811" s="1" t="s">
        <v>1580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REFR FANTA UVA 200ML</v>
      </c>
      <c r="AC1811" s="1" t="n">
        <v>2007955</v>
      </c>
    </row>
    <row r="1812" customFormat="false" ht="12.75" hidden="false" customHeight="true" outlineLevel="0" collapsed="false">
      <c r="A1812" s="1" t="n">
        <v>2</v>
      </c>
      <c r="B1812" s="17" t="n">
        <v>46260</v>
      </c>
      <c r="C1812" s="17" t="n">
        <v>46274</v>
      </c>
      <c r="D1812" s="1" t="n">
        <v>10019</v>
      </c>
      <c r="E1812" s="1" t="s">
        <v>274</v>
      </c>
      <c r="F1812" s="1" t="n">
        <v>24</v>
      </c>
      <c r="G1812" s="1" t="s">
        <v>91</v>
      </c>
      <c r="H1812" s="1" t="n">
        <v>2110405</v>
      </c>
      <c r="I1812" s="1" t="s">
        <v>55</v>
      </c>
      <c r="J1812" s="1" t="n">
        <v>1605124</v>
      </c>
      <c r="L1812" s="1" t="n">
        <v>219904</v>
      </c>
      <c r="M1812" s="1" t="s">
        <v>36</v>
      </c>
      <c r="N1812" s="1" t="s">
        <v>50</v>
      </c>
      <c r="P1812" s="1" t="n">
        <v>113</v>
      </c>
      <c r="Q1812" s="1" t="s">
        <v>38</v>
      </c>
      <c r="R1812" s="1" t="s">
        <v>62</v>
      </c>
      <c r="S1812" s="1" t="n">
        <v>1130101</v>
      </c>
      <c r="T1812" s="1" t="s">
        <v>63</v>
      </c>
      <c r="U1812" s="1" t="n">
        <v>2752.16</v>
      </c>
      <c r="W1812" s="1" t="n">
        <v>0</v>
      </c>
      <c r="X1812" s="1" t="s">
        <v>1516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PATINHO BOVINO KG</v>
      </c>
      <c r="AC1812" s="1" t="n">
        <v>33028</v>
      </c>
    </row>
    <row r="1813" customFormat="false" ht="12.75" hidden="false" customHeight="true" outlineLevel="0" collapsed="false">
      <c r="A1813" s="1" t="n">
        <v>2</v>
      </c>
      <c r="B1813" s="17" t="n">
        <v>46260</v>
      </c>
      <c r="C1813" s="17" t="n">
        <v>46274</v>
      </c>
      <c r="D1813" s="1" t="n">
        <v>1107</v>
      </c>
      <c r="E1813" s="1" t="s">
        <v>227</v>
      </c>
      <c r="F1813" s="1" t="n">
        <v>24</v>
      </c>
      <c r="G1813" s="1" t="s">
        <v>91</v>
      </c>
      <c r="H1813" s="1" t="n">
        <v>2110405</v>
      </c>
      <c r="I1813" s="1" t="s">
        <v>55</v>
      </c>
      <c r="J1813" s="1" t="n">
        <v>1605197</v>
      </c>
      <c r="L1813" s="1" t="n">
        <v>219908</v>
      </c>
      <c r="M1813" s="1" t="s">
        <v>36</v>
      </c>
      <c r="N1813" s="1" t="s">
        <v>50</v>
      </c>
      <c r="P1813" s="1" t="n">
        <v>113</v>
      </c>
      <c r="Q1813" s="1" t="s">
        <v>38</v>
      </c>
      <c r="R1813" s="1" t="s">
        <v>62</v>
      </c>
      <c r="S1813" s="1" t="n">
        <v>1130101</v>
      </c>
      <c r="T1813" s="1" t="s">
        <v>63</v>
      </c>
      <c r="U1813" s="1" t="n">
        <v>1510.33</v>
      </c>
      <c r="W1813" s="1" t="n">
        <v>0</v>
      </c>
      <c r="X1813" s="1" t="s">
        <v>1581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BOLINHO MORANGO 7308</v>
      </c>
      <c r="AC1813" s="1" t="n">
        <v>447609</v>
      </c>
    </row>
    <row r="1814" customFormat="false" ht="12.75" hidden="false" customHeight="true" outlineLevel="0" collapsed="false">
      <c r="A1814" s="1" t="n">
        <v>2</v>
      </c>
      <c r="B1814" s="17" t="n">
        <v>46260</v>
      </c>
      <c r="C1814" s="17" t="n">
        <v>46274</v>
      </c>
      <c r="D1814" s="1" t="n">
        <v>1626</v>
      </c>
      <c r="E1814" s="1" t="s">
        <v>96</v>
      </c>
      <c r="F1814" s="1" t="n">
        <v>24</v>
      </c>
      <c r="G1814" s="1" t="s">
        <v>91</v>
      </c>
      <c r="H1814" s="1" t="n">
        <v>2110405</v>
      </c>
      <c r="I1814" s="1" t="s">
        <v>55</v>
      </c>
      <c r="J1814" s="1" t="n">
        <v>1605220</v>
      </c>
      <c r="L1814" s="1" t="n">
        <v>219914</v>
      </c>
      <c r="M1814" s="1" t="s">
        <v>36</v>
      </c>
      <c r="N1814" s="1" t="s">
        <v>50</v>
      </c>
      <c r="P1814" s="1" t="n">
        <v>113</v>
      </c>
      <c r="Q1814" s="1" t="s">
        <v>38</v>
      </c>
      <c r="R1814" s="1" t="s">
        <v>62</v>
      </c>
      <c r="S1814" s="1" t="n">
        <v>1130101</v>
      </c>
      <c r="T1814" s="1" t="s">
        <v>63</v>
      </c>
      <c r="U1814" s="1" t="n">
        <v>679.16</v>
      </c>
      <c r="W1814" s="1" t="n">
        <v>0</v>
      </c>
      <c r="X1814" s="1" t="s">
        <v>1517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CALABRESA SEARA KG</v>
      </c>
      <c r="AC1814" s="1" t="n">
        <v>319020</v>
      </c>
    </row>
    <row r="1815" customFormat="false" ht="12.75" hidden="false" customHeight="true" outlineLevel="0" collapsed="false">
      <c r="A1815" s="1" t="n">
        <v>2</v>
      </c>
      <c r="B1815" s="17" t="n">
        <v>46261</v>
      </c>
      <c r="C1815" s="17" t="n">
        <v>46274</v>
      </c>
      <c r="D1815" s="1" t="n">
        <v>1636</v>
      </c>
      <c r="E1815" s="1" t="s">
        <v>98</v>
      </c>
      <c r="F1815" s="1" t="n">
        <v>24</v>
      </c>
      <c r="G1815" s="1" t="s">
        <v>91</v>
      </c>
      <c r="H1815" s="1" t="n">
        <v>2110405</v>
      </c>
      <c r="I1815" s="1" t="s">
        <v>55</v>
      </c>
      <c r="J1815" s="1" t="n">
        <v>1609062</v>
      </c>
      <c r="L1815" s="1" t="n">
        <v>220489</v>
      </c>
      <c r="M1815" s="1" t="s">
        <v>36</v>
      </c>
      <c r="N1815" s="1" t="s">
        <v>50</v>
      </c>
      <c r="P1815" s="1" t="n">
        <v>113</v>
      </c>
      <c r="Q1815" s="1" t="s">
        <v>38</v>
      </c>
      <c r="R1815" s="1" t="s">
        <v>62</v>
      </c>
      <c r="S1815" s="1" t="n">
        <v>1130101</v>
      </c>
      <c r="T1815" s="1" t="s">
        <v>63</v>
      </c>
      <c r="U1815" s="1" t="n">
        <v>733.77</v>
      </c>
      <c r="W1815" s="1" t="n">
        <v>0</v>
      </c>
      <c r="X1815" s="1" t="s">
        <v>1519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BISC. RICHESTER RECH QUAD CHOCO ANI 130G</v>
      </c>
      <c r="AC1815" s="1" t="n">
        <v>3242273</v>
      </c>
    </row>
    <row r="1816" customFormat="false" ht="12.75" hidden="false" customHeight="true" outlineLevel="0" collapsed="false">
      <c r="A1816" s="1" t="n">
        <v>2</v>
      </c>
      <c r="B1816" s="17" t="n">
        <v>46265</v>
      </c>
      <c r="C1816" s="17" t="n">
        <v>46274</v>
      </c>
      <c r="D1816" s="1" t="n">
        <v>1635</v>
      </c>
      <c r="E1816" s="1" t="s">
        <v>129</v>
      </c>
      <c r="F1816" s="1" t="n">
        <v>24</v>
      </c>
      <c r="G1816" s="1" t="s">
        <v>91</v>
      </c>
      <c r="H1816" s="1" t="n">
        <v>2110405</v>
      </c>
      <c r="I1816" s="1" t="s">
        <v>55</v>
      </c>
      <c r="J1816" s="1" t="n">
        <v>1628851</v>
      </c>
      <c r="L1816" s="1" t="n">
        <v>223368</v>
      </c>
      <c r="M1816" s="1" t="s">
        <v>36</v>
      </c>
      <c r="N1816" s="1" t="s">
        <v>50</v>
      </c>
      <c r="P1816" s="1" t="n">
        <v>113</v>
      </c>
      <c r="Q1816" s="1" t="s">
        <v>38</v>
      </c>
      <c r="R1816" s="1" t="s">
        <v>62</v>
      </c>
      <c r="S1816" s="1" t="n">
        <v>1130101</v>
      </c>
      <c r="T1816" s="1" t="s">
        <v>63</v>
      </c>
      <c r="U1816" s="1" t="n">
        <v>938.06</v>
      </c>
      <c r="W1816" s="1" t="n">
        <v>0</v>
      </c>
      <c r="X1816" s="1" t="s">
        <v>1582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FIGADO BOVINO KG</v>
      </c>
      <c r="AC1816" s="1" t="n">
        <v>4363</v>
      </c>
    </row>
    <row r="1817" customFormat="false" ht="12.75" hidden="false" customHeight="true" outlineLevel="0" collapsed="false">
      <c r="A1817" s="1" t="n">
        <v>2</v>
      </c>
      <c r="B1817" s="17" t="n">
        <v>46268</v>
      </c>
      <c r="C1817" s="17" t="n">
        <v>46274</v>
      </c>
      <c r="D1817" s="1" t="n">
        <v>666</v>
      </c>
      <c r="E1817" s="1" t="s">
        <v>428</v>
      </c>
      <c r="F1817" s="1" t="n">
        <v>24</v>
      </c>
      <c r="G1817" s="1" t="s">
        <v>91</v>
      </c>
      <c r="H1817" s="1" t="n">
        <v>2110405</v>
      </c>
      <c r="I1817" s="1" t="s">
        <v>55</v>
      </c>
      <c r="J1817" s="1" t="n">
        <v>1646676</v>
      </c>
      <c r="L1817" s="1" t="n">
        <v>226021</v>
      </c>
      <c r="M1817" s="1" t="s">
        <v>36</v>
      </c>
      <c r="N1817" s="1" t="s">
        <v>50</v>
      </c>
      <c r="P1817" s="1" t="n">
        <v>113</v>
      </c>
      <c r="Q1817" s="1" t="s">
        <v>38</v>
      </c>
      <c r="R1817" s="1" t="s">
        <v>62</v>
      </c>
      <c r="S1817" s="1" t="n">
        <v>1130101</v>
      </c>
      <c r="T1817" s="1" t="s">
        <v>63</v>
      </c>
      <c r="U1817" s="1" t="n">
        <v>260.83</v>
      </c>
      <c r="W1817" s="1" t="n">
        <v>0</v>
      </c>
      <c r="X1817" s="1" t="s">
        <v>1583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RACAO SABOR DOG FILH</v>
      </c>
      <c r="AC1817" s="1" t="n">
        <v>8180</v>
      </c>
    </row>
    <row r="1818" customFormat="false" ht="12.75" hidden="false" customHeight="true" outlineLevel="0" collapsed="false">
      <c r="A1818" s="1" t="n">
        <v>2</v>
      </c>
      <c r="B1818" s="17" t="n">
        <v>46268</v>
      </c>
      <c r="C1818" s="17" t="n">
        <v>46274</v>
      </c>
      <c r="D1818" s="1" t="n">
        <v>821</v>
      </c>
      <c r="E1818" s="1" t="s">
        <v>400</v>
      </c>
      <c r="F1818" s="1" t="n">
        <v>24</v>
      </c>
      <c r="G1818" s="1" t="s">
        <v>91</v>
      </c>
      <c r="H1818" s="1" t="n">
        <v>2110405</v>
      </c>
      <c r="I1818" s="1" t="s">
        <v>55</v>
      </c>
      <c r="J1818" s="1" t="n">
        <v>1646724</v>
      </c>
      <c r="L1818" s="1" t="n">
        <v>226033</v>
      </c>
      <c r="M1818" s="1" t="s">
        <v>36</v>
      </c>
      <c r="N1818" s="1" t="s">
        <v>50</v>
      </c>
      <c r="P1818" s="1" t="n">
        <v>113</v>
      </c>
      <c r="Q1818" s="1" t="s">
        <v>38</v>
      </c>
      <c r="R1818" s="1" t="s">
        <v>62</v>
      </c>
      <c r="S1818" s="1" t="n">
        <v>1130101</v>
      </c>
      <c r="T1818" s="1" t="s">
        <v>63</v>
      </c>
      <c r="U1818" s="1" t="n">
        <v>229.85</v>
      </c>
      <c r="W1818" s="1" t="n">
        <v>0</v>
      </c>
      <c r="X1818" s="1" t="s">
        <v>1584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CERV ITAIPAVA 250ML</v>
      </c>
      <c r="AC1818" s="1" t="n">
        <v>491629</v>
      </c>
    </row>
    <row r="1819" customFormat="false" ht="12.75" hidden="false" customHeight="true" outlineLevel="0" collapsed="false">
      <c r="A1819" s="1" t="n">
        <v>2</v>
      </c>
      <c r="B1819" s="17" t="n">
        <v>46191</v>
      </c>
      <c r="C1819" s="17" t="n">
        <v>46275</v>
      </c>
      <c r="D1819" s="1" t="n">
        <v>957</v>
      </c>
      <c r="E1819" s="1" t="s">
        <v>628</v>
      </c>
      <c r="F1819" s="1" t="n">
        <v>24</v>
      </c>
      <c r="G1819" s="1" t="s">
        <v>91</v>
      </c>
      <c r="H1819" s="1" t="n">
        <v>2110101</v>
      </c>
      <c r="I1819" s="1" t="s">
        <v>48</v>
      </c>
      <c r="J1819" s="1" t="n">
        <v>1268715</v>
      </c>
      <c r="L1819" s="1" t="n">
        <v>20440</v>
      </c>
      <c r="M1819" s="1" t="s">
        <v>36</v>
      </c>
      <c r="N1819" s="1" t="s">
        <v>68</v>
      </c>
      <c r="P1819" s="1" t="n">
        <v>113</v>
      </c>
      <c r="Q1819" s="1" t="s">
        <v>38</v>
      </c>
      <c r="R1819" s="1" t="s">
        <v>62</v>
      </c>
      <c r="S1819" s="1" t="n">
        <v>1130101</v>
      </c>
      <c r="T1819" s="1" t="s">
        <v>63</v>
      </c>
      <c r="U1819" s="1" t="n">
        <v>128.85</v>
      </c>
      <c r="W1819" s="1" t="n">
        <v>0</v>
      </c>
      <c r="X1819" s="1" t="s">
        <v>1585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PETISCOS GATO DREAMIES 40G</v>
      </c>
      <c r="AC1819" s="1" t="n">
        <v>20440</v>
      </c>
    </row>
    <row r="1820" customFormat="false" ht="12.75" hidden="false" customHeight="true" outlineLevel="0" collapsed="false">
      <c r="A1820" s="1" t="n">
        <v>2</v>
      </c>
      <c r="B1820" s="17" t="n">
        <v>46230</v>
      </c>
      <c r="C1820" s="17" t="n">
        <v>46275</v>
      </c>
      <c r="D1820" s="1" t="n">
        <v>513</v>
      </c>
      <c r="E1820" s="1" t="s">
        <v>352</v>
      </c>
      <c r="F1820" s="1" t="n">
        <v>24</v>
      </c>
      <c r="G1820" s="1" t="s">
        <v>91</v>
      </c>
      <c r="H1820" s="1" t="n">
        <v>2110405</v>
      </c>
      <c r="I1820" s="1" t="s">
        <v>55</v>
      </c>
      <c r="J1820" s="1" t="n">
        <v>1459285</v>
      </c>
      <c r="L1820" s="1" t="n">
        <v>197498</v>
      </c>
      <c r="M1820" s="1" t="s">
        <v>88</v>
      </c>
      <c r="N1820" s="1" t="s">
        <v>50</v>
      </c>
      <c r="P1820" s="1" t="n">
        <v>101</v>
      </c>
      <c r="Q1820" s="1" t="s">
        <v>56</v>
      </c>
      <c r="R1820" s="1" t="s">
        <v>39</v>
      </c>
      <c r="S1820" s="1" t="n">
        <v>4210315</v>
      </c>
      <c r="T1820" s="1" t="s">
        <v>283</v>
      </c>
      <c r="U1820" s="1" t="n">
        <v>160</v>
      </c>
      <c r="W1820" s="1" t="n">
        <v>0</v>
      </c>
      <c r="X1820" s="1" t="s">
        <v>805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" t="n">
        <v>2</v>
      </c>
      <c r="B1821" s="17" t="n">
        <v>46211</v>
      </c>
      <c r="C1821" s="17" t="n">
        <v>46275</v>
      </c>
      <c r="D1821" s="1" t="n">
        <v>33</v>
      </c>
      <c r="E1821" s="1" t="s">
        <v>305</v>
      </c>
      <c r="F1821" s="1" t="n">
        <v>34</v>
      </c>
      <c r="G1821" s="1" t="s">
        <v>110</v>
      </c>
      <c r="H1821" s="1" t="n">
        <v>2110405</v>
      </c>
      <c r="I1821" s="1" t="s">
        <v>55</v>
      </c>
      <c r="J1821" s="1" t="n">
        <v>1370733</v>
      </c>
      <c r="L1821" s="1" t="n">
        <v>184338</v>
      </c>
      <c r="M1821" s="1" t="s">
        <v>88</v>
      </c>
      <c r="N1821" s="1" t="s">
        <v>50</v>
      </c>
      <c r="P1821" s="1" t="n">
        <v>101</v>
      </c>
      <c r="Q1821" s="1" t="s">
        <v>56</v>
      </c>
      <c r="R1821" s="1" t="s">
        <v>70</v>
      </c>
      <c r="S1821" s="1" t="n">
        <v>4210222</v>
      </c>
      <c r="T1821" s="1" t="s">
        <v>1220</v>
      </c>
      <c r="U1821" s="1" t="n">
        <v>666.67</v>
      </c>
      <c r="W1821" s="1" t="n">
        <v>0</v>
      </c>
      <c r="X1821" s="1" t="s">
        <v>1221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" t="n">
        <v>2</v>
      </c>
      <c r="B1822" s="17" t="n">
        <v>46224</v>
      </c>
      <c r="C1822" s="17" t="n">
        <v>46275</v>
      </c>
      <c r="D1822" s="1" t="n">
        <v>1100</v>
      </c>
      <c r="E1822" s="1" t="s">
        <v>328</v>
      </c>
      <c r="F1822" s="1" t="n">
        <v>46</v>
      </c>
      <c r="G1822" s="1" t="s">
        <v>323</v>
      </c>
      <c r="H1822" s="1" t="n">
        <v>2110405</v>
      </c>
      <c r="I1822" s="1" t="s">
        <v>55</v>
      </c>
      <c r="J1822" s="1" t="n">
        <v>1427624</v>
      </c>
      <c r="L1822" s="1" t="n">
        <v>190916</v>
      </c>
      <c r="M1822" s="1" t="s">
        <v>88</v>
      </c>
      <c r="N1822" s="1" t="s">
        <v>50</v>
      </c>
      <c r="P1822" s="1" t="n">
        <v>113</v>
      </c>
      <c r="Q1822" s="1" t="s">
        <v>38</v>
      </c>
      <c r="R1822" s="1" t="s">
        <v>70</v>
      </c>
      <c r="S1822" s="1" t="n">
        <v>4210227</v>
      </c>
      <c r="T1822" s="1" t="s">
        <v>77</v>
      </c>
      <c r="U1822" s="1" t="n">
        <v>266.68</v>
      </c>
      <c r="W1822" s="1" t="n">
        <v>0</v>
      </c>
      <c r="X1822" s="1" t="s">
        <v>1586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MEMORIA HIKSEMI HIKER 8GB DDR4 3200 - HS</v>
      </c>
      <c r="AC1822" s="1" t="n">
        <v>9481</v>
      </c>
    </row>
    <row r="1823" customFormat="false" ht="12.75" hidden="false" customHeight="true" outlineLevel="0" collapsed="false">
      <c r="A1823" s="1" t="n">
        <v>2</v>
      </c>
      <c r="B1823" s="17" t="n">
        <v>46247</v>
      </c>
      <c r="C1823" s="17" t="n">
        <v>46275</v>
      </c>
      <c r="D1823" s="1" t="n">
        <v>1608</v>
      </c>
      <c r="E1823" s="1" t="s">
        <v>224</v>
      </c>
      <c r="F1823" s="1" t="n">
        <v>24</v>
      </c>
      <c r="G1823" s="1" t="s">
        <v>91</v>
      </c>
      <c r="H1823" s="1" t="n">
        <v>2110405</v>
      </c>
      <c r="I1823" s="1" t="s">
        <v>55</v>
      </c>
      <c r="J1823" s="1" t="n">
        <v>1540769</v>
      </c>
      <c r="L1823" s="1" t="n">
        <v>210180</v>
      </c>
      <c r="M1823" s="1" t="s">
        <v>36</v>
      </c>
      <c r="N1823" s="1" t="s">
        <v>50</v>
      </c>
      <c r="P1823" s="1" t="n">
        <v>113</v>
      </c>
      <c r="Q1823" s="1" t="s">
        <v>38</v>
      </c>
      <c r="R1823" s="1" t="s">
        <v>62</v>
      </c>
      <c r="S1823" s="1" t="n">
        <v>1130101</v>
      </c>
      <c r="T1823" s="1" t="s">
        <v>63</v>
      </c>
      <c r="U1823" s="1" t="n">
        <v>692.26</v>
      </c>
      <c r="W1823" s="1" t="n">
        <v>0</v>
      </c>
      <c r="X1823" s="1" t="s">
        <v>1419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SAZON CALDO CARNE 32</v>
      </c>
      <c r="AC1823" s="1" t="n">
        <v>1710665</v>
      </c>
    </row>
    <row r="1824" customFormat="false" ht="12.75" hidden="false" customHeight="true" outlineLevel="0" collapsed="false">
      <c r="A1824" s="1" t="n">
        <v>2</v>
      </c>
      <c r="B1824" s="17" t="n">
        <v>46248</v>
      </c>
      <c r="C1824" s="17" t="n">
        <v>46275</v>
      </c>
      <c r="D1824" s="1" t="n">
        <v>1678</v>
      </c>
      <c r="E1824" s="1" t="s">
        <v>844</v>
      </c>
      <c r="F1824" s="1" t="n">
        <v>24</v>
      </c>
      <c r="G1824" s="1" t="s">
        <v>91</v>
      </c>
      <c r="H1824" s="1" t="n">
        <v>2110405</v>
      </c>
      <c r="I1824" s="1" t="s">
        <v>55</v>
      </c>
      <c r="J1824" s="1" t="n">
        <v>1545805</v>
      </c>
      <c r="L1824" s="1" t="n">
        <v>211100</v>
      </c>
      <c r="M1824" s="1" t="s">
        <v>36</v>
      </c>
      <c r="N1824" s="1" t="s">
        <v>50</v>
      </c>
      <c r="P1824" s="1" t="n">
        <v>113</v>
      </c>
      <c r="Q1824" s="1" t="s">
        <v>38</v>
      </c>
      <c r="R1824" s="1" t="s">
        <v>62</v>
      </c>
      <c r="S1824" s="1" t="n">
        <v>1130101</v>
      </c>
      <c r="T1824" s="1" t="s">
        <v>63</v>
      </c>
      <c r="U1824" s="1" t="n">
        <v>2153.25</v>
      </c>
      <c r="W1824" s="1" t="n">
        <v>0</v>
      </c>
      <c r="X1824" s="1" t="s">
        <v>1587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AGUA SANI MODALVA 1L</v>
      </c>
      <c r="AC1824" s="1" t="n">
        <v>163912</v>
      </c>
    </row>
    <row r="1825" customFormat="false" ht="12.75" hidden="false" customHeight="true" outlineLevel="0" collapsed="false">
      <c r="A1825" s="1" t="n">
        <v>2</v>
      </c>
      <c r="B1825" s="17" t="n">
        <v>46251</v>
      </c>
      <c r="C1825" s="17" t="n">
        <v>46275</v>
      </c>
      <c r="D1825" s="1" t="n">
        <v>1637</v>
      </c>
      <c r="E1825" s="1" t="s">
        <v>870</v>
      </c>
      <c r="F1825" s="1" t="n">
        <v>24</v>
      </c>
      <c r="G1825" s="1" t="s">
        <v>91</v>
      </c>
      <c r="H1825" s="1" t="n">
        <v>2110405</v>
      </c>
      <c r="I1825" s="1" t="s">
        <v>55</v>
      </c>
      <c r="J1825" s="1" t="n">
        <v>1561330</v>
      </c>
      <c r="L1825" s="1" t="n">
        <v>213017</v>
      </c>
      <c r="M1825" s="1" t="s">
        <v>36</v>
      </c>
      <c r="N1825" s="1" t="s">
        <v>50</v>
      </c>
      <c r="P1825" s="1" t="n">
        <v>113</v>
      </c>
      <c r="Q1825" s="1" t="s">
        <v>38</v>
      </c>
      <c r="R1825" s="1" t="s">
        <v>62</v>
      </c>
      <c r="S1825" s="1" t="n">
        <v>1130101</v>
      </c>
      <c r="T1825" s="1" t="s">
        <v>63</v>
      </c>
      <c r="U1825" s="1" t="n">
        <v>561.84</v>
      </c>
      <c r="W1825" s="1" t="n">
        <v>0</v>
      </c>
      <c r="X1825" s="1" t="s">
        <v>1588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SALSICHA VIENA TARGET 300G</v>
      </c>
      <c r="AC1825" s="1" t="n">
        <v>1919900</v>
      </c>
    </row>
    <row r="1826" customFormat="false" ht="12.75" hidden="false" customHeight="true" outlineLevel="0" collapsed="false">
      <c r="A1826" s="1" t="n">
        <v>2</v>
      </c>
      <c r="B1826" s="17" t="n">
        <v>46252</v>
      </c>
      <c r="C1826" s="17" t="n">
        <v>46275</v>
      </c>
      <c r="D1826" s="1" t="n">
        <v>1671</v>
      </c>
      <c r="E1826" s="1" t="s">
        <v>101</v>
      </c>
      <c r="F1826" s="1" t="n">
        <v>24</v>
      </c>
      <c r="G1826" s="1" t="s">
        <v>91</v>
      </c>
      <c r="H1826" s="1" t="n">
        <v>2110405</v>
      </c>
      <c r="I1826" s="1" t="s">
        <v>55</v>
      </c>
      <c r="J1826" s="1" t="n">
        <v>1567132</v>
      </c>
      <c r="L1826" s="1" t="n">
        <v>213985</v>
      </c>
      <c r="M1826" s="1" t="s">
        <v>36</v>
      </c>
      <c r="N1826" s="1" t="s">
        <v>50</v>
      </c>
      <c r="P1826" s="1" t="n">
        <v>113</v>
      </c>
      <c r="Q1826" s="1" t="s">
        <v>38</v>
      </c>
      <c r="R1826" s="1" t="s">
        <v>62</v>
      </c>
      <c r="S1826" s="1" t="n">
        <v>1130101</v>
      </c>
      <c r="T1826" s="1" t="s">
        <v>63</v>
      </c>
      <c r="U1826" s="1" t="n">
        <v>793.81</v>
      </c>
      <c r="W1826" s="1" t="n">
        <v>0</v>
      </c>
      <c r="X1826" s="1" t="s">
        <v>1425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SAB LIQ PROTEX CREAM</v>
      </c>
      <c r="AC1826" s="1" t="n">
        <v>586415</v>
      </c>
    </row>
    <row r="1827" customFormat="false" ht="12.75" hidden="false" customHeight="true" outlineLevel="0" collapsed="false">
      <c r="A1827" s="1" t="n">
        <v>2</v>
      </c>
      <c r="B1827" s="17" t="n">
        <v>46256</v>
      </c>
      <c r="C1827" s="17" t="n">
        <v>46275</v>
      </c>
      <c r="D1827" s="1" t="n">
        <v>1745</v>
      </c>
      <c r="E1827" s="1" t="s">
        <v>170</v>
      </c>
      <c r="F1827" s="1" t="n">
        <v>24</v>
      </c>
      <c r="G1827" s="1" t="s">
        <v>91</v>
      </c>
      <c r="H1827" s="1" t="n">
        <v>2110405</v>
      </c>
      <c r="I1827" s="1" t="s">
        <v>55</v>
      </c>
      <c r="J1827" s="1" t="n">
        <v>1585074</v>
      </c>
      <c r="L1827" s="1" t="n">
        <v>216840</v>
      </c>
      <c r="M1827" s="1" t="s">
        <v>36</v>
      </c>
      <c r="N1827" s="1" t="s">
        <v>50</v>
      </c>
      <c r="P1827" s="1" t="n">
        <v>113</v>
      </c>
      <c r="Q1827" s="1" t="s">
        <v>38</v>
      </c>
      <c r="R1827" s="1" t="s">
        <v>62</v>
      </c>
      <c r="S1827" s="1" t="n">
        <v>1130101</v>
      </c>
      <c r="T1827" s="1" t="s">
        <v>63</v>
      </c>
      <c r="U1827" s="1" t="n">
        <v>182.8</v>
      </c>
      <c r="W1827" s="1" t="n">
        <v>0</v>
      </c>
      <c r="X1827" s="1" t="s">
        <v>1535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MILHO PIPOCA DONA CLARA 400G</v>
      </c>
      <c r="AC1827" s="1" t="n">
        <v>357892</v>
      </c>
    </row>
    <row r="1828" customFormat="false" ht="12.75" hidden="false" customHeight="true" outlineLevel="0" collapsed="false">
      <c r="A1828" s="1" t="n">
        <v>2</v>
      </c>
      <c r="B1828" s="17" t="n">
        <v>46256</v>
      </c>
      <c r="C1828" s="17" t="n">
        <v>46275</v>
      </c>
      <c r="D1828" s="1" t="n">
        <v>1713</v>
      </c>
      <c r="E1828" s="1" t="s">
        <v>75</v>
      </c>
      <c r="F1828" s="1" t="n">
        <v>46</v>
      </c>
      <c r="G1828" s="1" t="s">
        <v>323</v>
      </c>
      <c r="H1828" s="1" t="n">
        <v>2110405</v>
      </c>
      <c r="I1828" s="1" t="s">
        <v>55</v>
      </c>
      <c r="J1828" s="1" t="n">
        <v>1585399</v>
      </c>
      <c r="L1828" s="1" t="n">
        <v>216902</v>
      </c>
      <c r="M1828" s="1" t="s">
        <v>36</v>
      </c>
      <c r="N1828" s="1" t="s">
        <v>50</v>
      </c>
      <c r="P1828" s="1" t="n">
        <v>113</v>
      </c>
      <c r="Q1828" s="1" t="s">
        <v>38</v>
      </c>
      <c r="R1828" s="1" t="s">
        <v>70</v>
      </c>
      <c r="S1828" s="1" t="n">
        <v>4210227</v>
      </c>
      <c r="T1828" s="1" t="s">
        <v>77</v>
      </c>
      <c r="U1828" s="1" t="n">
        <v>79.8</v>
      </c>
      <c r="W1828" s="1" t="n">
        <v>0</v>
      </c>
      <c r="X1828" s="1" t="s">
        <v>1589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BARRA ROSCADA FERRO</v>
      </c>
      <c r="AC1828" s="1" t="n">
        <v>13976</v>
      </c>
    </row>
    <row r="1829" customFormat="false" ht="12.75" hidden="false" customHeight="true" outlineLevel="0" collapsed="false">
      <c r="A1829" s="1" t="n">
        <v>2</v>
      </c>
      <c r="B1829" s="17" t="n">
        <v>46256</v>
      </c>
      <c r="C1829" s="17" t="n">
        <v>46275</v>
      </c>
      <c r="D1829" s="1" t="n">
        <v>10106</v>
      </c>
      <c r="E1829" s="1" t="s">
        <v>1590</v>
      </c>
      <c r="F1829" s="1" t="n">
        <v>46</v>
      </c>
      <c r="G1829" s="1" t="s">
        <v>323</v>
      </c>
      <c r="H1829" s="1" t="n">
        <v>2110405</v>
      </c>
      <c r="I1829" s="1" t="s">
        <v>55</v>
      </c>
      <c r="J1829" s="1" t="n">
        <v>1585437</v>
      </c>
      <c r="L1829" s="1" t="n">
        <v>216905</v>
      </c>
      <c r="M1829" s="1" t="s">
        <v>36</v>
      </c>
      <c r="N1829" s="1" t="s">
        <v>50</v>
      </c>
      <c r="P1829" s="1" t="n">
        <v>113</v>
      </c>
      <c r="Q1829" s="1" t="s">
        <v>38</v>
      </c>
      <c r="R1829" s="1" t="s">
        <v>70</v>
      </c>
      <c r="S1829" s="1" t="n">
        <v>4210229</v>
      </c>
      <c r="T1829" s="1" t="s">
        <v>1090</v>
      </c>
      <c r="U1829" s="1" t="n">
        <v>203.8</v>
      </c>
      <c r="W1829" s="1" t="n">
        <v>0</v>
      </c>
      <c r="X1829" s="1" t="s">
        <v>1591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" t="n">
        <v>2</v>
      </c>
      <c r="B1830" s="17" t="n">
        <v>46260</v>
      </c>
      <c r="C1830" s="17" t="n">
        <v>46275</v>
      </c>
      <c r="D1830" s="1" t="n">
        <v>1672</v>
      </c>
      <c r="E1830" s="1" t="s">
        <v>340</v>
      </c>
      <c r="F1830" s="1" t="n">
        <v>24</v>
      </c>
      <c r="G1830" s="1" t="s">
        <v>91</v>
      </c>
      <c r="H1830" s="1" t="n">
        <v>2110405</v>
      </c>
      <c r="I1830" s="1" t="s">
        <v>55</v>
      </c>
      <c r="J1830" s="1" t="n">
        <v>1605100</v>
      </c>
      <c r="L1830" s="1" t="n">
        <v>219899</v>
      </c>
      <c r="M1830" s="1" t="s">
        <v>36</v>
      </c>
      <c r="N1830" s="1" t="s">
        <v>50</v>
      </c>
      <c r="P1830" s="1" t="n">
        <v>113</v>
      </c>
      <c r="Q1830" s="1" t="s">
        <v>38</v>
      </c>
      <c r="R1830" s="1" t="s">
        <v>62</v>
      </c>
      <c r="S1830" s="1" t="n">
        <v>1130101</v>
      </c>
      <c r="T1830" s="1" t="s">
        <v>63</v>
      </c>
      <c r="U1830" s="1" t="n">
        <v>1515.2</v>
      </c>
      <c r="W1830" s="1" t="n">
        <v>0</v>
      </c>
      <c r="X1830" s="1" t="s">
        <v>1592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AGUA MINE YARA 350ML</v>
      </c>
      <c r="AC1830" s="1" t="n">
        <v>1430146</v>
      </c>
    </row>
    <row r="1831" customFormat="false" ht="12.75" hidden="false" customHeight="true" outlineLevel="0" collapsed="false">
      <c r="A1831" s="1" t="n">
        <v>2</v>
      </c>
      <c r="B1831" s="17" t="n">
        <v>46260</v>
      </c>
      <c r="C1831" s="17" t="n">
        <v>46275</v>
      </c>
      <c r="D1831" s="1" t="n">
        <v>1835</v>
      </c>
      <c r="E1831" s="1" t="s">
        <v>1593</v>
      </c>
      <c r="F1831" s="1" t="n">
        <v>46</v>
      </c>
      <c r="G1831" s="1" t="s">
        <v>323</v>
      </c>
      <c r="H1831" s="1" t="n">
        <v>2110405</v>
      </c>
      <c r="I1831" s="1" t="s">
        <v>55</v>
      </c>
      <c r="J1831" s="1" t="n">
        <v>1605275</v>
      </c>
      <c r="L1831" s="1" t="n">
        <v>219925</v>
      </c>
      <c r="M1831" s="1" t="s">
        <v>36</v>
      </c>
      <c r="N1831" s="1" t="s">
        <v>50</v>
      </c>
      <c r="P1831" s="1" t="n">
        <v>113</v>
      </c>
      <c r="Q1831" s="1" t="s">
        <v>38</v>
      </c>
      <c r="R1831" s="1" t="s">
        <v>70</v>
      </c>
      <c r="S1831" s="1" t="n">
        <v>4210227</v>
      </c>
      <c r="T1831" s="1" t="s">
        <v>77</v>
      </c>
      <c r="U1831" s="1" t="n">
        <v>176.82</v>
      </c>
      <c r="W1831" s="1" t="n">
        <v>0</v>
      </c>
      <c r="X1831" s="1" t="s">
        <v>1594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TINTA ESMALTE FOSCO CITY 3L PRETO UN QTD</v>
      </c>
      <c r="AC1831" s="1" t="n">
        <v>110228</v>
      </c>
    </row>
    <row r="1832" customFormat="false" ht="12.75" hidden="false" customHeight="true" outlineLevel="0" collapsed="false">
      <c r="A1832" s="1" t="n">
        <v>2</v>
      </c>
      <c r="B1832" s="17" t="n">
        <v>46261</v>
      </c>
      <c r="C1832" s="17" t="n">
        <v>46275</v>
      </c>
      <c r="D1832" s="1" t="n">
        <v>1706</v>
      </c>
      <c r="E1832" s="1" t="s">
        <v>1595</v>
      </c>
      <c r="F1832" s="1" t="n">
        <v>24</v>
      </c>
      <c r="G1832" s="1" t="s">
        <v>91</v>
      </c>
      <c r="H1832" s="1" t="n">
        <v>2110405</v>
      </c>
      <c r="I1832" s="1" t="s">
        <v>55</v>
      </c>
      <c r="J1832" s="1" t="n">
        <v>1608551</v>
      </c>
      <c r="L1832" s="1" t="n">
        <v>220369</v>
      </c>
      <c r="M1832" s="1" t="s">
        <v>36</v>
      </c>
      <c r="N1832" s="1" t="s">
        <v>50</v>
      </c>
      <c r="P1832" s="1" t="n">
        <v>113</v>
      </c>
      <c r="Q1832" s="1" t="s">
        <v>38</v>
      </c>
      <c r="R1832" s="1" t="s">
        <v>62</v>
      </c>
      <c r="S1832" s="1" t="n">
        <v>1130101</v>
      </c>
      <c r="T1832" s="1" t="s">
        <v>63</v>
      </c>
      <c r="U1832" s="1" t="n">
        <v>805.4</v>
      </c>
      <c r="W1832" s="1" t="n">
        <v>0</v>
      </c>
      <c r="X1832" s="1" t="s">
        <v>1596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BATATA PRINGLES ORIGINAL 104G</v>
      </c>
      <c r="AC1832" s="1" t="n">
        <v>206697</v>
      </c>
    </row>
    <row r="1833" customFormat="false" ht="12.75" hidden="false" customHeight="true" outlineLevel="0" collapsed="false">
      <c r="A1833" s="1" t="n">
        <v>2</v>
      </c>
      <c r="B1833" s="17" t="n">
        <v>46261</v>
      </c>
      <c r="C1833" s="17" t="n">
        <v>46275</v>
      </c>
      <c r="D1833" s="1" t="n">
        <v>1134</v>
      </c>
      <c r="E1833" s="1" t="s">
        <v>1597</v>
      </c>
      <c r="F1833" s="1" t="n">
        <v>46</v>
      </c>
      <c r="G1833" s="1" t="s">
        <v>323</v>
      </c>
      <c r="H1833" s="1" t="n">
        <v>2110405</v>
      </c>
      <c r="I1833" s="1" t="s">
        <v>55</v>
      </c>
      <c r="J1833" s="1" t="n">
        <v>1608652</v>
      </c>
      <c r="L1833" s="1" t="n">
        <v>220390</v>
      </c>
      <c r="M1833" s="1" t="s">
        <v>36</v>
      </c>
      <c r="N1833" s="1" t="s">
        <v>50</v>
      </c>
      <c r="P1833" s="1" t="n">
        <v>113</v>
      </c>
      <c r="Q1833" s="1" t="s">
        <v>38</v>
      </c>
      <c r="R1833" s="1" t="s">
        <v>70</v>
      </c>
      <c r="S1833" s="1" t="n">
        <v>4210227</v>
      </c>
      <c r="T1833" s="1" t="s">
        <v>77</v>
      </c>
      <c r="U1833" s="1" t="n">
        <v>100</v>
      </c>
      <c r="W1833" s="1" t="n">
        <v>0</v>
      </c>
      <c r="X1833" s="1" t="s">
        <v>1598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" t="n">
        <v>2</v>
      </c>
      <c r="B1834" s="17" t="n">
        <v>46261</v>
      </c>
      <c r="C1834" s="17" t="n">
        <v>46275</v>
      </c>
      <c r="D1834" s="1" t="n">
        <v>1643</v>
      </c>
      <c r="E1834" s="1" t="s">
        <v>198</v>
      </c>
      <c r="F1834" s="1" t="n">
        <v>24</v>
      </c>
      <c r="G1834" s="1" t="s">
        <v>91</v>
      </c>
      <c r="H1834" s="1" t="n">
        <v>2110405</v>
      </c>
      <c r="I1834" s="1" t="s">
        <v>55</v>
      </c>
      <c r="J1834" s="1" t="n">
        <v>1608890</v>
      </c>
      <c r="L1834" s="1" t="n">
        <v>220447</v>
      </c>
      <c r="M1834" s="1" t="s">
        <v>36</v>
      </c>
      <c r="N1834" s="1" t="s">
        <v>50</v>
      </c>
      <c r="P1834" s="1" t="n">
        <v>113</v>
      </c>
      <c r="Q1834" s="1" t="s">
        <v>38</v>
      </c>
      <c r="R1834" s="1" t="s">
        <v>62</v>
      </c>
      <c r="S1834" s="1" t="n">
        <v>1130101</v>
      </c>
      <c r="T1834" s="1" t="s">
        <v>63</v>
      </c>
      <c r="U1834" s="1" t="n">
        <v>228</v>
      </c>
      <c r="W1834" s="1" t="n">
        <v>0</v>
      </c>
      <c r="X1834" s="1" t="s">
        <v>1599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COCADA CASMORENINH</v>
      </c>
      <c r="AC1834" s="1" t="n">
        <v>10951</v>
      </c>
    </row>
    <row r="1835" customFormat="false" ht="12.75" hidden="false" customHeight="true" outlineLevel="0" collapsed="false">
      <c r="A1835" s="1" t="n">
        <v>2</v>
      </c>
      <c r="B1835" s="17" t="n">
        <v>46261</v>
      </c>
      <c r="C1835" s="17" t="n">
        <v>46275</v>
      </c>
      <c r="D1835" s="1" t="n">
        <v>1270</v>
      </c>
      <c r="E1835" s="1" t="s">
        <v>925</v>
      </c>
      <c r="F1835" s="1" t="n">
        <v>24</v>
      </c>
      <c r="G1835" s="1" t="s">
        <v>91</v>
      </c>
      <c r="H1835" s="1" t="n">
        <v>2110405</v>
      </c>
      <c r="I1835" s="1" t="s">
        <v>55</v>
      </c>
      <c r="J1835" s="1" t="n">
        <v>1609996</v>
      </c>
      <c r="L1835" s="1" t="n">
        <v>220684</v>
      </c>
      <c r="M1835" s="1" t="s">
        <v>36</v>
      </c>
      <c r="N1835" s="1" t="s">
        <v>50</v>
      </c>
      <c r="P1835" s="1" t="n">
        <v>113</v>
      </c>
      <c r="Q1835" s="1" t="s">
        <v>38</v>
      </c>
      <c r="R1835" s="1" t="s">
        <v>62</v>
      </c>
      <c r="S1835" s="1" t="n">
        <v>1130101</v>
      </c>
      <c r="T1835" s="1" t="s">
        <v>63</v>
      </c>
      <c r="U1835" s="1" t="n">
        <v>190</v>
      </c>
      <c r="W1835" s="1" t="n">
        <v>0</v>
      </c>
      <c r="X1835" s="1" t="s">
        <v>1600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PASTA DE ALHO 200G</v>
      </c>
      <c r="AC1835" s="1" t="n">
        <v>2859</v>
      </c>
    </row>
    <row r="1836" customFormat="false" ht="12.75" hidden="false" customHeight="true" outlineLevel="0" collapsed="false">
      <c r="A1836" s="1" t="n">
        <v>2</v>
      </c>
      <c r="B1836" s="17" t="n">
        <v>46262</v>
      </c>
      <c r="C1836" s="17" t="n">
        <v>46275</v>
      </c>
      <c r="D1836" s="1" t="n">
        <v>1695</v>
      </c>
      <c r="E1836" s="1" t="s">
        <v>392</v>
      </c>
      <c r="F1836" s="1" t="n">
        <v>24</v>
      </c>
      <c r="G1836" s="1" t="s">
        <v>91</v>
      </c>
      <c r="H1836" s="1" t="n">
        <v>2110405</v>
      </c>
      <c r="I1836" s="1" t="s">
        <v>55</v>
      </c>
      <c r="J1836" s="1" t="n">
        <v>1613806</v>
      </c>
      <c r="L1836" s="1" t="n">
        <v>221286</v>
      </c>
      <c r="M1836" s="1" t="s">
        <v>36</v>
      </c>
      <c r="N1836" s="1" t="s">
        <v>50</v>
      </c>
      <c r="P1836" s="1" t="n">
        <v>113</v>
      </c>
      <c r="Q1836" s="1" t="s">
        <v>38</v>
      </c>
      <c r="R1836" s="1" t="s">
        <v>62</v>
      </c>
      <c r="S1836" s="1" t="n">
        <v>1130101</v>
      </c>
      <c r="T1836" s="1" t="s">
        <v>63</v>
      </c>
      <c r="U1836" s="1" t="n">
        <v>1063.84</v>
      </c>
      <c r="W1836" s="1" t="n">
        <v>0</v>
      </c>
      <c r="X1836" s="1" t="s">
        <v>1537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20104</v>
      </c>
    </row>
    <row r="1837" customFormat="false" ht="12.75" hidden="false" customHeight="true" outlineLevel="0" collapsed="false">
      <c r="A1837" s="1" t="n">
        <v>2</v>
      </c>
      <c r="B1837" s="17" t="n">
        <v>46262</v>
      </c>
      <c r="C1837" s="17" t="n">
        <v>46275</v>
      </c>
      <c r="D1837" s="1" t="n">
        <v>1196</v>
      </c>
      <c r="E1837" s="1" t="s">
        <v>1423</v>
      </c>
      <c r="F1837" s="1" t="n">
        <v>24</v>
      </c>
      <c r="G1837" s="1" t="s">
        <v>91</v>
      </c>
      <c r="H1837" s="1" t="n">
        <v>2110405</v>
      </c>
      <c r="I1837" s="1" t="s">
        <v>55</v>
      </c>
      <c r="J1837" s="1" t="n">
        <v>1614552</v>
      </c>
      <c r="L1837" s="1" t="n">
        <v>221460</v>
      </c>
      <c r="M1837" s="1" t="s">
        <v>36</v>
      </c>
      <c r="N1837" s="1" t="s">
        <v>50</v>
      </c>
      <c r="P1837" s="1" t="n">
        <v>113</v>
      </c>
      <c r="Q1837" s="1" t="s">
        <v>38</v>
      </c>
      <c r="R1837" s="1" t="s">
        <v>62</v>
      </c>
      <c r="S1837" s="1" t="n">
        <v>1130101</v>
      </c>
      <c r="T1837" s="1" t="s">
        <v>63</v>
      </c>
      <c r="U1837" s="1" t="n">
        <v>1213.95</v>
      </c>
      <c r="W1837" s="1" t="n">
        <v>0</v>
      </c>
      <c r="X1837" s="1" t="s">
        <v>1601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CAFÉ RANCHEIRO 250G</v>
      </c>
      <c r="AC1837" s="1" t="n">
        <v>13070</v>
      </c>
    </row>
    <row r="1838" customFormat="false" ht="12.75" hidden="false" customHeight="true" outlineLevel="0" collapsed="false">
      <c r="A1838" s="1" t="n">
        <v>2</v>
      </c>
      <c r="B1838" s="17" t="n">
        <v>46263</v>
      </c>
      <c r="C1838" s="17" t="n">
        <v>46275</v>
      </c>
      <c r="D1838" s="1" t="n">
        <v>10090</v>
      </c>
      <c r="E1838" s="1" t="s">
        <v>1539</v>
      </c>
      <c r="F1838" s="1" t="n">
        <v>24</v>
      </c>
      <c r="G1838" s="1" t="s">
        <v>91</v>
      </c>
      <c r="H1838" s="1" t="n">
        <v>2110405</v>
      </c>
      <c r="I1838" s="1" t="s">
        <v>55</v>
      </c>
      <c r="J1838" s="1" t="n">
        <v>1618583</v>
      </c>
      <c r="L1838" s="1" t="n">
        <v>221972</v>
      </c>
      <c r="M1838" s="1" t="s">
        <v>36</v>
      </c>
      <c r="N1838" s="1" t="s">
        <v>50</v>
      </c>
      <c r="P1838" s="1" t="n">
        <v>113</v>
      </c>
      <c r="Q1838" s="1" t="s">
        <v>38</v>
      </c>
      <c r="R1838" s="1" t="s">
        <v>62</v>
      </c>
      <c r="S1838" s="1" t="n">
        <v>1130101</v>
      </c>
      <c r="T1838" s="1" t="s">
        <v>63</v>
      </c>
      <c r="U1838" s="1" t="n">
        <v>1012.43</v>
      </c>
      <c r="W1838" s="1" t="n">
        <v>0</v>
      </c>
      <c r="X1838" s="1" t="s">
        <v>453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299</v>
      </c>
    </row>
    <row r="1839" customFormat="false" ht="12.75" hidden="false" customHeight="true" outlineLevel="0" collapsed="false">
      <c r="A1839" s="1" t="n">
        <v>2</v>
      </c>
      <c r="B1839" s="17" t="n">
        <v>46268</v>
      </c>
      <c r="C1839" s="17" t="n">
        <v>46275</v>
      </c>
      <c r="D1839" s="1" t="n">
        <v>1363</v>
      </c>
      <c r="E1839" s="1" t="s">
        <v>187</v>
      </c>
      <c r="F1839" s="1" t="n">
        <v>24</v>
      </c>
      <c r="G1839" s="1" t="s">
        <v>91</v>
      </c>
      <c r="H1839" s="1" t="n">
        <v>2110405</v>
      </c>
      <c r="I1839" s="1" t="s">
        <v>55</v>
      </c>
      <c r="J1839" s="1" t="n">
        <v>1647846</v>
      </c>
      <c r="L1839" s="1" t="n">
        <v>226313</v>
      </c>
      <c r="M1839" s="1" t="s">
        <v>36</v>
      </c>
      <c r="N1839" s="1" t="s">
        <v>50</v>
      </c>
      <c r="P1839" s="1" t="n">
        <v>113</v>
      </c>
      <c r="Q1839" s="1" t="s">
        <v>38</v>
      </c>
      <c r="R1839" s="1" t="s">
        <v>62</v>
      </c>
      <c r="S1839" s="1" t="n">
        <v>1130101</v>
      </c>
      <c r="T1839" s="1" t="s">
        <v>63</v>
      </c>
      <c r="U1839" s="1" t="n">
        <v>125</v>
      </c>
      <c r="W1839" s="1" t="n">
        <v>0</v>
      </c>
      <c r="X1839" s="1" t="s">
        <v>1602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PAO BOLINHA SANTO PAO</v>
      </c>
      <c r="AC1839" s="1" t="n">
        <v>3867</v>
      </c>
    </row>
    <row r="1840" customFormat="false" ht="12.75" hidden="false" customHeight="true" outlineLevel="0" collapsed="false">
      <c r="A1840" s="1" t="n">
        <v>2</v>
      </c>
      <c r="B1840" s="17" t="n">
        <v>46269</v>
      </c>
      <c r="C1840" s="17" t="n">
        <v>46275</v>
      </c>
      <c r="D1840" s="1" t="n">
        <v>10018</v>
      </c>
      <c r="E1840" s="1" t="s">
        <v>243</v>
      </c>
      <c r="F1840" s="1" t="n">
        <v>34</v>
      </c>
      <c r="G1840" s="1" t="s">
        <v>110</v>
      </c>
      <c r="H1840" s="1" t="n">
        <v>2110405</v>
      </c>
      <c r="I1840" s="1" t="s">
        <v>55</v>
      </c>
      <c r="J1840" s="1" t="n">
        <v>1653370</v>
      </c>
      <c r="L1840" s="1" t="n">
        <v>227145</v>
      </c>
      <c r="M1840" s="1" t="s">
        <v>36</v>
      </c>
      <c r="N1840" s="1" t="s">
        <v>50</v>
      </c>
      <c r="P1840" s="1" t="n">
        <v>113</v>
      </c>
      <c r="Q1840" s="1" t="s">
        <v>38</v>
      </c>
      <c r="R1840" s="1" t="s">
        <v>62</v>
      </c>
      <c r="S1840" s="1" t="n">
        <v>1130101</v>
      </c>
      <c r="T1840" s="1" t="s">
        <v>63</v>
      </c>
      <c r="U1840" s="1" t="n">
        <v>1045</v>
      </c>
      <c r="W1840" s="1" t="n">
        <v>0</v>
      </c>
      <c r="X1840" s="1" t="s">
        <v>1603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TRIGO TRIGOLAR SF 1K</v>
      </c>
      <c r="AC1840" s="1" t="n">
        <v>378</v>
      </c>
    </row>
    <row r="1841" customFormat="false" ht="12.75" hidden="false" customHeight="true" outlineLevel="0" collapsed="false">
      <c r="A1841" s="1" t="n">
        <v>2</v>
      </c>
      <c r="B1841" s="17" t="n">
        <v>46269</v>
      </c>
      <c r="C1841" s="17" t="n">
        <v>46275</v>
      </c>
      <c r="D1841" s="1" t="n">
        <v>1625</v>
      </c>
      <c r="E1841" s="1" t="s">
        <v>272</v>
      </c>
      <c r="F1841" s="1" t="n">
        <v>24</v>
      </c>
      <c r="G1841" s="1" t="s">
        <v>91</v>
      </c>
      <c r="H1841" s="1" t="n">
        <v>2110405</v>
      </c>
      <c r="I1841" s="1" t="s">
        <v>55</v>
      </c>
      <c r="J1841" s="1" t="n">
        <v>1653478</v>
      </c>
      <c r="L1841" s="1" t="n">
        <v>227162</v>
      </c>
      <c r="M1841" s="1" t="s">
        <v>36</v>
      </c>
      <c r="N1841" s="1" t="s">
        <v>50</v>
      </c>
      <c r="P1841" s="1" t="n">
        <v>113</v>
      </c>
      <c r="Q1841" s="1" t="s">
        <v>38</v>
      </c>
      <c r="R1841" s="1" t="s">
        <v>62</v>
      </c>
      <c r="S1841" s="1" t="n">
        <v>1130101</v>
      </c>
      <c r="T1841" s="1" t="s">
        <v>63</v>
      </c>
      <c r="U1841" s="1" t="n">
        <v>4057.6</v>
      </c>
      <c r="W1841" s="1" t="n">
        <v>0</v>
      </c>
      <c r="X1841" s="1" t="s">
        <v>1604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nao encontrado</v>
      </c>
      <c r="AC1841" s="1" t="n">
        <v>15256</v>
      </c>
    </row>
    <row r="1842" customFormat="false" ht="12.75" hidden="false" customHeight="true" outlineLevel="0" collapsed="false">
      <c r="A1842" s="1" t="n">
        <v>2</v>
      </c>
      <c r="B1842" s="17" t="n">
        <v>46256</v>
      </c>
      <c r="C1842" s="17" t="n">
        <v>46276</v>
      </c>
      <c r="D1842" s="1" t="n">
        <v>1666</v>
      </c>
      <c r="E1842" s="1" t="s">
        <v>229</v>
      </c>
      <c r="F1842" s="1" t="n">
        <v>24</v>
      </c>
      <c r="G1842" s="1" t="s">
        <v>91</v>
      </c>
      <c r="H1842" s="1" t="n">
        <v>2110405</v>
      </c>
      <c r="I1842" s="1" t="s">
        <v>55</v>
      </c>
      <c r="J1842" s="1" t="n">
        <v>1585303</v>
      </c>
      <c r="L1842" s="1" t="n">
        <v>216891</v>
      </c>
      <c r="M1842" s="1" t="s">
        <v>36</v>
      </c>
      <c r="N1842" s="1" t="s">
        <v>50</v>
      </c>
      <c r="P1842" s="1" t="n">
        <v>113</v>
      </c>
      <c r="Q1842" s="1" t="s">
        <v>38</v>
      </c>
      <c r="R1842" s="1" t="s">
        <v>62</v>
      </c>
      <c r="S1842" s="1" t="n">
        <v>1130101</v>
      </c>
      <c r="T1842" s="1" t="s">
        <v>63</v>
      </c>
      <c r="U1842" s="1" t="n">
        <v>5894.1</v>
      </c>
      <c r="W1842" s="1" t="n">
        <v>0</v>
      </c>
      <c r="X1842" s="1" t="s">
        <v>1439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DUNHILL CARLTON BLEN</v>
      </c>
      <c r="AC1842" s="1" t="n">
        <v>570907</v>
      </c>
    </row>
    <row r="1843" customFormat="false" ht="12.75" hidden="false" customHeight="true" outlineLevel="0" collapsed="false">
      <c r="A1843" s="1" t="n">
        <v>2</v>
      </c>
      <c r="B1843" s="17" t="n">
        <v>46262</v>
      </c>
      <c r="C1843" s="17" t="n">
        <v>46276</v>
      </c>
      <c r="D1843" s="1" t="n">
        <v>10002</v>
      </c>
      <c r="E1843" s="1" t="s">
        <v>196</v>
      </c>
      <c r="F1843" s="1" t="n">
        <v>24</v>
      </c>
      <c r="G1843" s="1" t="s">
        <v>91</v>
      </c>
      <c r="H1843" s="1" t="n">
        <v>2110405</v>
      </c>
      <c r="I1843" s="1" t="s">
        <v>55</v>
      </c>
      <c r="J1843" s="1" t="n">
        <v>1614688</v>
      </c>
      <c r="L1843" s="1" t="n">
        <v>221482</v>
      </c>
      <c r="M1843" s="1" t="s">
        <v>36</v>
      </c>
      <c r="N1843" s="1" t="s">
        <v>50</v>
      </c>
      <c r="P1843" s="1" t="n">
        <v>113</v>
      </c>
      <c r="Q1843" s="1" t="s">
        <v>38</v>
      </c>
      <c r="R1843" s="1" t="s">
        <v>62</v>
      </c>
      <c r="S1843" s="1" t="n">
        <v>1130101</v>
      </c>
      <c r="T1843" s="1" t="s">
        <v>63</v>
      </c>
      <c r="U1843" s="1" t="n">
        <v>624.41</v>
      </c>
      <c r="W1843" s="1" t="n">
        <v>0</v>
      </c>
      <c r="X1843" s="1" t="s">
        <v>1605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POLPA MANGA BRASFRUT</v>
      </c>
      <c r="AC1843" s="1" t="n">
        <v>197945</v>
      </c>
    </row>
    <row r="1844" customFormat="false" ht="12.75" hidden="false" customHeight="true" outlineLevel="0" collapsed="false">
      <c r="A1844" s="1" t="n">
        <v>2</v>
      </c>
      <c r="B1844" s="17" t="n">
        <v>46265</v>
      </c>
      <c r="C1844" s="17" t="n">
        <v>46276</v>
      </c>
      <c r="D1844" s="1" t="n">
        <v>1616</v>
      </c>
      <c r="E1844" s="1" t="s">
        <v>94</v>
      </c>
      <c r="F1844" s="1" t="n">
        <v>24</v>
      </c>
      <c r="G1844" s="1" t="s">
        <v>91</v>
      </c>
      <c r="H1844" s="1" t="n">
        <v>2110405</v>
      </c>
      <c r="I1844" s="1" t="s">
        <v>55</v>
      </c>
      <c r="J1844" s="1" t="n">
        <v>1629531</v>
      </c>
      <c r="L1844" s="1" t="n">
        <v>223542</v>
      </c>
      <c r="M1844" s="1" t="s">
        <v>36</v>
      </c>
      <c r="N1844" s="1" t="s">
        <v>50</v>
      </c>
      <c r="P1844" s="1" t="n">
        <v>113</v>
      </c>
      <c r="Q1844" s="1" t="s">
        <v>38</v>
      </c>
      <c r="R1844" s="1" t="s">
        <v>62</v>
      </c>
      <c r="S1844" s="1" t="n">
        <v>1130101</v>
      </c>
      <c r="T1844" s="1" t="s">
        <v>63</v>
      </c>
      <c r="U1844" s="1" t="n">
        <v>610.2</v>
      </c>
      <c r="W1844" s="1" t="n">
        <v>0</v>
      </c>
      <c r="X1844" s="1" t="s">
        <v>1606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ESPONJA BRILHUS 1UNI</v>
      </c>
      <c r="AC1844" s="1" t="n">
        <v>656817</v>
      </c>
    </row>
    <row r="1845" customFormat="false" ht="12.75" hidden="false" customHeight="true" outlineLevel="0" collapsed="false">
      <c r="A1845" s="1" t="n">
        <v>2</v>
      </c>
      <c r="B1845" s="17" t="n">
        <v>46269</v>
      </c>
      <c r="C1845" s="17" t="n">
        <v>46276</v>
      </c>
      <c r="D1845" s="1" t="n">
        <v>911</v>
      </c>
      <c r="E1845" s="1" t="s">
        <v>477</v>
      </c>
      <c r="F1845" s="1" t="n">
        <v>24</v>
      </c>
      <c r="G1845" s="1" t="s">
        <v>91</v>
      </c>
      <c r="H1845" s="1" t="n">
        <v>2110405</v>
      </c>
      <c r="I1845" s="1" t="s">
        <v>55</v>
      </c>
      <c r="J1845" s="1" t="n">
        <v>1652166</v>
      </c>
      <c r="L1845" s="1" t="n">
        <v>226960</v>
      </c>
      <c r="M1845" s="1" t="s">
        <v>36</v>
      </c>
      <c r="N1845" s="1" t="s">
        <v>50</v>
      </c>
      <c r="P1845" s="1" t="n">
        <v>113</v>
      </c>
      <c r="Q1845" s="1" t="s">
        <v>38</v>
      </c>
      <c r="R1845" s="1" t="s">
        <v>62</v>
      </c>
      <c r="S1845" s="1" t="n">
        <v>1130101</v>
      </c>
      <c r="T1845" s="1" t="s">
        <v>63</v>
      </c>
      <c r="U1845" s="1" t="n">
        <v>247.55</v>
      </c>
      <c r="W1845" s="1" t="n">
        <v>0</v>
      </c>
      <c r="X1845" s="1" t="s">
        <v>1607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PURAGUA SODA COM GAS</v>
      </c>
      <c r="AC1845" s="1" t="n">
        <v>58376</v>
      </c>
    </row>
    <row r="1846" customFormat="false" ht="12.75" hidden="false" customHeight="true" outlineLevel="0" collapsed="false">
      <c r="A1846" s="1" t="n">
        <v>2</v>
      </c>
      <c r="B1846" s="17" t="n">
        <v>46269</v>
      </c>
      <c r="C1846" s="17" t="n">
        <v>46276</v>
      </c>
      <c r="D1846" s="1" t="n">
        <v>1608</v>
      </c>
      <c r="E1846" s="1" t="s">
        <v>224</v>
      </c>
      <c r="F1846" s="1" t="n">
        <v>24</v>
      </c>
      <c r="G1846" s="1" t="s">
        <v>91</v>
      </c>
      <c r="H1846" s="1" t="n">
        <v>2110405</v>
      </c>
      <c r="I1846" s="1" t="s">
        <v>55</v>
      </c>
      <c r="J1846" s="1" t="n">
        <v>1652225</v>
      </c>
      <c r="L1846" s="1" t="n">
        <v>226976</v>
      </c>
      <c r="M1846" s="1" t="s">
        <v>36</v>
      </c>
      <c r="N1846" s="1" t="s">
        <v>50</v>
      </c>
      <c r="P1846" s="1" t="n">
        <v>113</v>
      </c>
      <c r="Q1846" s="1" t="s">
        <v>38</v>
      </c>
      <c r="R1846" s="1" t="s">
        <v>62</v>
      </c>
      <c r="S1846" s="1" t="n">
        <v>1130101</v>
      </c>
      <c r="T1846" s="1" t="s">
        <v>63</v>
      </c>
      <c r="U1846" s="1" t="n">
        <v>832.2</v>
      </c>
      <c r="W1846" s="1" t="n">
        <v>0</v>
      </c>
      <c r="X1846" s="1" t="s">
        <v>1608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DANONE GREGO UNID FR</v>
      </c>
      <c r="AC1846" s="1" t="n">
        <v>1724730</v>
      </c>
    </row>
    <row r="1847" customFormat="false" ht="12.75" hidden="false" customHeight="true" outlineLevel="0" collapsed="false">
      <c r="A1847" s="1" t="n">
        <v>2</v>
      </c>
      <c r="B1847" s="17" t="n">
        <v>46269</v>
      </c>
      <c r="C1847" s="17" t="n">
        <v>46276</v>
      </c>
      <c r="D1847" s="1" t="n">
        <v>1815</v>
      </c>
      <c r="E1847" s="1" t="s">
        <v>180</v>
      </c>
      <c r="F1847" s="1" t="n">
        <v>24</v>
      </c>
      <c r="G1847" s="1" t="s">
        <v>91</v>
      </c>
      <c r="H1847" s="1" t="n">
        <v>2110405</v>
      </c>
      <c r="I1847" s="1" t="s">
        <v>55</v>
      </c>
      <c r="J1847" s="1" t="n">
        <v>1652435</v>
      </c>
      <c r="L1847" s="1" t="n">
        <v>227015</v>
      </c>
      <c r="M1847" s="1" t="s">
        <v>36</v>
      </c>
      <c r="N1847" s="1" t="s">
        <v>50</v>
      </c>
      <c r="P1847" s="1" t="n">
        <v>113</v>
      </c>
      <c r="Q1847" s="1" t="s">
        <v>38</v>
      </c>
      <c r="R1847" s="1" t="s">
        <v>62</v>
      </c>
      <c r="S1847" s="1" t="n">
        <v>1130101</v>
      </c>
      <c r="T1847" s="1" t="s">
        <v>63</v>
      </c>
      <c r="U1847" s="1" t="n">
        <v>474.45</v>
      </c>
      <c r="W1847" s="1" t="n">
        <v>0</v>
      </c>
      <c r="X1847" s="1" t="s">
        <v>1609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COXINHA DA ASA KG</v>
      </c>
      <c r="AC1847" s="1" t="n">
        <v>401423</v>
      </c>
    </row>
    <row r="1848" customFormat="false" ht="12.75" hidden="false" customHeight="true" outlineLevel="0" collapsed="false">
      <c r="A1848" s="1" t="n">
        <v>2</v>
      </c>
      <c r="B1848" s="17" t="n">
        <v>46265</v>
      </c>
      <c r="C1848" s="17" t="n">
        <v>46276</v>
      </c>
      <c r="D1848" s="1" t="n">
        <v>1000054</v>
      </c>
      <c r="E1848" s="1" t="s">
        <v>1610</v>
      </c>
      <c r="F1848" s="1" t="n">
        <v>26</v>
      </c>
      <c r="G1848" s="1" t="s">
        <v>1611</v>
      </c>
      <c r="H1848" s="1" t="n">
        <v>2110701</v>
      </c>
      <c r="I1848" s="1" t="s">
        <v>1612</v>
      </c>
      <c r="J1848" s="1" t="n">
        <v>1652675</v>
      </c>
      <c r="L1848" s="1" t="n">
        <v>227051</v>
      </c>
      <c r="M1848" s="1" t="s">
        <v>36</v>
      </c>
      <c r="N1848" s="1" t="s">
        <v>1613</v>
      </c>
      <c r="P1848" s="1" t="n">
        <v>113</v>
      </c>
      <c r="Q1848" s="1" t="s">
        <v>38</v>
      </c>
      <c r="R1848" s="1" t="s">
        <v>1366</v>
      </c>
      <c r="S1848" s="1" t="n">
        <v>3110302</v>
      </c>
      <c r="T1848" s="1" t="s">
        <v>1614</v>
      </c>
      <c r="U1848" s="1" t="n">
        <v>3313.57</v>
      </c>
      <c r="W1848" s="1" t="n">
        <v>0</v>
      </c>
      <c r="X1848" s="1" t="s">
        <v>1615</v>
      </c>
      <c r="Z1848" s="1" t="str">
        <f aca="false">IF($T1848="","",IFERROR(INDEX('Resumo Grupos'!$AC$3:$AC$200,MATCH($T1848,'Resumo Grupos'!$AB$3:$AB$200,0)),"n/d"))</f>
        <v>Impostos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" t="n">
        <v>2</v>
      </c>
      <c r="B1849" s="17" t="n">
        <v>46248</v>
      </c>
      <c r="C1849" s="17" t="n">
        <v>46277</v>
      </c>
      <c r="D1849" s="1" t="n">
        <v>1718</v>
      </c>
      <c r="E1849" s="1" t="s">
        <v>222</v>
      </c>
      <c r="F1849" s="1" t="n">
        <v>24</v>
      </c>
      <c r="G1849" s="1" t="s">
        <v>91</v>
      </c>
      <c r="H1849" s="1" t="n">
        <v>2110405</v>
      </c>
      <c r="I1849" s="1" t="s">
        <v>55</v>
      </c>
      <c r="J1849" s="1" t="n">
        <v>1547763</v>
      </c>
      <c r="L1849" s="1" t="n">
        <v>211395</v>
      </c>
      <c r="M1849" s="1" t="s">
        <v>36</v>
      </c>
      <c r="N1849" s="1" t="s">
        <v>50</v>
      </c>
      <c r="P1849" s="1" t="n">
        <v>113</v>
      </c>
      <c r="Q1849" s="1" t="s">
        <v>38</v>
      </c>
      <c r="R1849" s="1" t="s">
        <v>62</v>
      </c>
      <c r="S1849" s="1" t="n">
        <v>1130101</v>
      </c>
      <c r="T1849" s="1" t="s">
        <v>63</v>
      </c>
      <c r="U1849" s="1" t="n">
        <v>706.55</v>
      </c>
      <c r="W1849" s="1" t="n">
        <v>0</v>
      </c>
      <c r="X1849" s="1" t="s">
        <v>1451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CAFE PILAO 250G</v>
      </c>
      <c r="AC1849" s="1" t="n">
        <v>689222</v>
      </c>
    </row>
    <row r="1850" customFormat="false" ht="12.75" hidden="false" customHeight="true" outlineLevel="0" collapsed="false">
      <c r="A1850" s="1" t="n">
        <v>2</v>
      </c>
      <c r="B1850" s="17" t="n">
        <v>46249</v>
      </c>
      <c r="C1850" s="17" t="n">
        <v>46277</v>
      </c>
      <c r="D1850" s="1" t="n">
        <v>1718</v>
      </c>
      <c r="E1850" s="1" t="s">
        <v>222</v>
      </c>
      <c r="F1850" s="1" t="n">
        <v>24</v>
      </c>
      <c r="G1850" s="1" t="s">
        <v>91</v>
      </c>
      <c r="H1850" s="1" t="n">
        <v>2110405</v>
      </c>
      <c r="I1850" s="1" t="s">
        <v>55</v>
      </c>
      <c r="J1850" s="1" t="n">
        <v>1551508</v>
      </c>
      <c r="L1850" s="1" t="n">
        <v>211719</v>
      </c>
      <c r="M1850" s="1" t="s">
        <v>36</v>
      </c>
      <c r="N1850" s="1" t="s">
        <v>50</v>
      </c>
      <c r="P1850" s="1" t="n">
        <v>113</v>
      </c>
      <c r="Q1850" s="1" t="s">
        <v>38</v>
      </c>
      <c r="R1850" s="1" t="s">
        <v>62</v>
      </c>
      <c r="S1850" s="1" t="n">
        <v>1130101</v>
      </c>
      <c r="T1850" s="1" t="s">
        <v>63</v>
      </c>
      <c r="U1850" s="1" t="n">
        <v>1422.68</v>
      </c>
      <c r="W1850" s="1" t="n">
        <v>0</v>
      </c>
      <c r="X1850" s="1" t="s">
        <v>1452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TRIDENT CANELA</v>
      </c>
      <c r="AC1850" s="1" t="n">
        <v>689224</v>
      </c>
    </row>
    <row r="1851" customFormat="false" ht="12.75" hidden="false" customHeight="true" outlineLevel="0" collapsed="false">
      <c r="A1851" s="1" t="n">
        <v>2</v>
      </c>
      <c r="B1851" s="17" t="n">
        <v>46261</v>
      </c>
      <c r="C1851" s="17" t="n">
        <v>46277</v>
      </c>
      <c r="D1851" s="1" t="n">
        <v>1671</v>
      </c>
      <c r="E1851" s="1" t="s">
        <v>101</v>
      </c>
      <c r="F1851" s="1" t="n">
        <v>24</v>
      </c>
      <c r="G1851" s="1" t="s">
        <v>91</v>
      </c>
      <c r="H1851" s="1" t="n">
        <v>2110405</v>
      </c>
      <c r="I1851" s="1" t="s">
        <v>55</v>
      </c>
      <c r="J1851" s="1" t="n">
        <v>1610059</v>
      </c>
      <c r="L1851" s="1" t="n">
        <v>220696</v>
      </c>
      <c r="M1851" s="1" t="s">
        <v>36</v>
      </c>
      <c r="N1851" s="1" t="s">
        <v>50</v>
      </c>
      <c r="P1851" s="1" t="n">
        <v>113</v>
      </c>
      <c r="Q1851" s="1" t="s">
        <v>38</v>
      </c>
      <c r="R1851" s="1" t="s">
        <v>62</v>
      </c>
      <c r="S1851" s="1" t="n">
        <v>1130101</v>
      </c>
      <c r="T1851" s="1" t="s">
        <v>63</v>
      </c>
      <c r="U1851" s="1" t="n">
        <v>271.46</v>
      </c>
      <c r="W1851" s="1" t="n">
        <v>0</v>
      </c>
      <c r="X1851" s="1" t="s">
        <v>1616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AER NIVEA DRY 150ML</v>
      </c>
      <c r="AC1851" s="1" t="n">
        <v>588254</v>
      </c>
    </row>
    <row r="1852" customFormat="false" ht="12.75" hidden="false" customHeight="true" outlineLevel="0" collapsed="false">
      <c r="A1852" s="1" t="n">
        <v>2</v>
      </c>
      <c r="B1852" s="17" t="n">
        <v>46269</v>
      </c>
      <c r="C1852" s="17" t="n">
        <v>46277</v>
      </c>
      <c r="D1852" s="1" t="n">
        <v>1659</v>
      </c>
      <c r="E1852" s="1" t="s">
        <v>220</v>
      </c>
      <c r="F1852" s="1" t="n">
        <v>24</v>
      </c>
      <c r="G1852" s="1" t="s">
        <v>91</v>
      </c>
      <c r="H1852" s="1" t="n">
        <v>2110405</v>
      </c>
      <c r="I1852" s="1" t="s">
        <v>55</v>
      </c>
      <c r="J1852" s="1" t="n">
        <v>1652079</v>
      </c>
      <c r="L1852" s="1" t="n">
        <v>226955</v>
      </c>
      <c r="M1852" s="1" t="s">
        <v>36</v>
      </c>
      <c r="N1852" s="1" t="s">
        <v>50</v>
      </c>
      <c r="P1852" s="1" t="n">
        <v>113</v>
      </c>
      <c r="Q1852" s="1" t="s">
        <v>38</v>
      </c>
      <c r="R1852" s="1" t="s">
        <v>62</v>
      </c>
      <c r="S1852" s="1" t="n">
        <v>1130101</v>
      </c>
      <c r="T1852" s="1" t="s">
        <v>63</v>
      </c>
      <c r="U1852" s="1" t="n">
        <v>365</v>
      </c>
      <c r="W1852" s="1" t="n">
        <v>0</v>
      </c>
      <c r="X1852" s="1" t="s">
        <v>1617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MOCOQUINHA 200ML</v>
      </c>
      <c r="AC1852" s="1" t="n">
        <v>894544</v>
      </c>
    </row>
    <row r="1853" customFormat="false" ht="12.75" hidden="false" customHeight="true" outlineLevel="0" collapsed="false">
      <c r="A1853" s="1" t="n">
        <v>2</v>
      </c>
      <c r="B1853" s="17" t="n">
        <v>46253</v>
      </c>
      <c r="C1853" s="17" t="n">
        <v>46279</v>
      </c>
      <c r="D1853" s="1" t="n">
        <v>616</v>
      </c>
      <c r="E1853" s="1" t="s">
        <v>939</v>
      </c>
      <c r="F1853" s="1" t="n">
        <v>24</v>
      </c>
      <c r="G1853" s="1" t="s">
        <v>91</v>
      </c>
      <c r="H1853" s="1" t="n">
        <v>2110405</v>
      </c>
      <c r="I1853" s="1" t="s">
        <v>55</v>
      </c>
      <c r="J1853" s="1" t="n">
        <v>1572201</v>
      </c>
      <c r="L1853" s="1" t="n">
        <v>214774</v>
      </c>
      <c r="M1853" s="1" t="s">
        <v>36</v>
      </c>
      <c r="N1853" s="1" t="s">
        <v>50</v>
      </c>
      <c r="P1853" s="1" t="n">
        <v>113</v>
      </c>
      <c r="Q1853" s="1" t="s">
        <v>38</v>
      </c>
      <c r="R1853" s="1" t="s">
        <v>62</v>
      </c>
      <c r="S1853" s="1" t="n">
        <v>1130101</v>
      </c>
      <c r="T1853" s="1" t="s">
        <v>63</v>
      </c>
      <c r="U1853" s="1" t="n">
        <v>983.77</v>
      </c>
      <c r="W1853" s="1" t="n">
        <v>0</v>
      </c>
      <c r="X1853" s="1" t="s">
        <v>1562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" t="n">
        <v>2</v>
      </c>
      <c r="B1854" s="17" t="n">
        <v>46254</v>
      </c>
      <c r="C1854" s="17" t="n">
        <v>46279</v>
      </c>
      <c r="D1854" s="1" t="n">
        <v>10012</v>
      </c>
      <c r="E1854" s="1" t="s">
        <v>176</v>
      </c>
      <c r="F1854" s="1" t="n">
        <v>24</v>
      </c>
      <c r="G1854" s="1" t="s">
        <v>91</v>
      </c>
      <c r="H1854" s="1" t="n">
        <v>2110405</v>
      </c>
      <c r="I1854" s="1" t="s">
        <v>55</v>
      </c>
      <c r="J1854" s="1" t="n">
        <v>1577219</v>
      </c>
      <c r="L1854" s="1" t="n">
        <v>215619</v>
      </c>
      <c r="M1854" s="1" t="s">
        <v>36</v>
      </c>
      <c r="N1854" s="1" t="s">
        <v>50</v>
      </c>
      <c r="P1854" s="1" t="n">
        <v>113</v>
      </c>
      <c r="Q1854" s="1" t="s">
        <v>38</v>
      </c>
      <c r="R1854" s="1" t="s">
        <v>62</v>
      </c>
      <c r="S1854" s="1" t="n">
        <v>1130101</v>
      </c>
      <c r="T1854" s="1" t="s">
        <v>63</v>
      </c>
      <c r="U1854" s="1" t="n">
        <v>521.58</v>
      </c>
      <c r="W1854" s="1" t="n">
        <v>0</v>
      </c>
      <c r="X1854" s="1" t="s">
        <v>1563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SAB PHEBO ODOR90G</v>
      </c>
      <c r="AC1854" s="1" t="n">
        <v>1966312</v>
      </c>
    </row>
    <row r="1855" customFormat="false" ht="12.75" hidden="false" customHeight="true" outlineLevel="0" collapsed="false">
      <c r="A1855" s="1" t="n">
        <v>2</v>
      </c>
      <c r="B1855" s="17" t="n">
        <v>46259</v>
      </c>
      <c r="C1855" s="17" t="n">
        <v>46279</v>
      </c>
      <c r="D1855" s="1" t="n">
        <v>10009</v>
      </c>
      <c r="E1855" s="1" t="s">
        <v>469</v>
      </c>
      <c r="F1855" s="1" t="n">
        <v>24</v>
      </c>
      <c r="G1855" s="1" t="s">
        <v>91</v>
      </c>
      <c r="H1855" s="1" t="n">
        <v>2110405</v>
      </c>
      <c r="I1855" s="1" t="s">
        <v>55</v>
      </c>
      <c r="J1855" s="1" t="n">
        <v>1600194</v>
      </c>
      <c r="L1855" s="1" t="n">
        <v>219123</v>
      </c>
      <c r="M1855" s="1" t="s">
        <v>36</v>
      </c>
      <c r="N1855" s="1" t="s">
        <v>50</v>
      </c>
      <c r="P1855" s="1" t="n">
        <v>113</v>
      </c>
      <c r="Q1855" s="1" t="s">
        <v>38</v>
      </c>
      <c r="R1855" s="1" t="s">
        <v>62</v>
      </c>
      <c r="S1855" s="1" t="n">
        <v>1130101</v>
      </c>
      <c r="T1855" s="1" t="s">
        <v>63</v>
      </c>
      <c r="U1855" s="1" t="n">
        <v>1268.78</v>
      </c>
      <c r="W1855" s="1" t="n">
        <v>0</v>
      </c>
      <c r="X1855" s="1" t="s">
        <v>1618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BIS NESTL CLASS140G</v>
      </c>
      <c r="AC1855" s="1" t="n">
        <v>1442200</v>
      </c>
    </row>
    <row r="1856" customFormat="false" ht="12.75" hidden="false" customHeight="true" outlineLevel="0" collapsed="false">
      <c r="A1856" s="1" t="n">
        <v>2</v>
      </c>
      <c r="B1856" s="17" t="n">
        <v>46259</v>
      </c>
      <c r="C1856" s="17" t="n">
        <v>46279</v>
      </c>
      <c r="D1856" s="1" t="n">
        <v>10009</v>
      </c>
      <c r="E1856" s="1" t="s">
        <v>469</v>
      </c>
      <c r="F1856" s="1" t="n">
        <v>24</v>
      </c>
      <c r="G1856" s="1" t="s">
        <v>91</v>
      </c>
      <c r="H1856" s="1" t="n">
        <v>2110405</v>
      </c>
      <c r="I1856" s="1" t="s">
        <v>55</v>
      </c>
      <c r="J1856" s="1" t="n">
        <v>1600353</v>
      </c>
      <c r="L1856" s="1" t="n">
        <v>219142</v>
      </c>
      <c r="M1856" s="1" t="s">
        <v>36</v>
      </c>
      <c r="N1856" s="1" t="s">
        <v>50</v>
      </c>
      <c r="P1856" s="1" t="n">
        <v>113</v>
      </c>
      <c r="Q1856" s="1" t="s">
        <v>38</v>
      </c>
      <c r="R1856" s="1" t="s">
        <v>62</v>
      </c>
      <c r="S1856" s="1" t="n">
        <v>1130101</v>
      </c>
      <c r="T1856" s="1" t="s">
        <v>63</v>
      </c>
      <c r="U1856" s="1" t="n">
        <v>2477.62</v>
      </c>
      <c r="W1856" s="1" t="n">
        <v>0</v>
      </c>
      <c r="X1856" s="1" t="s">
        <v>1619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NESFIT CACAU E AVELA</v>
      </c>
      <c r="AC1856" s="1" t="n">
        <v>1442668</v>
      </c>
    </row>
    <row r="1857" customFormat="false" ht="12.75" hidden="false" customHeight="true" outlineLevel="0" collapsed="false">
      <c r="A1857" s="1" t="n">
        <v>2</v>
      </c>
      <c r="B1857" s="17" t="n">
        <v>46266</v>
      </c>
      <c r="C1857" s="17" t="n">
        <v>46279</v>
      </c>
      <c r="D1857" s="1" t="n">
        <v>794</v>
      </c>
      <c r="E1857" s="1" t="s">
        <v>343</v>
      </c>
      <c r="F1857" s="1" t="n">
        <v>24</v>
      </c>
      <c r="G1857" s="1" t="s">
        <v>91</v>
      </c>
      <c r="H1857" s="1" t="n">
        <v>2110405</v>
      </c>
      <c r="I1857" s="1" t="s">
        <v>55</v>
      </c>
      <c r="J1857" s="1" t="n">
        <v>1633934</v>
      </c>
      <c r="L1857" s="1" t="n">
        <v>224229</v>
      </c>
      <c r="M1857" s="1" t="s">
        <v>36</v>
      </c>
      <c r="N1857" s="1" t="s">
        <v>50</v>
      </c>
      <c r="P1857" s="1" t="n">
        <v>113</v>
      </c>
      <c r="Q1857" s="1" t="s">
        <v>38</v>
      </c>
      <c r="R1857" s="1" t="s">
        <v>70</v>
      </c>
      <c r="S1857" s="1" t="n">
        <v>4210299</v>
      </c>
      <c r="T1857" s="1" t="s">
        <v>127</v>
      </c>
      <c r="U1857" s="1" t="n">
        <v>1332.55</v>
      </c>
      <c r="W1857" s="1" t="n">
        <v>0</v>
      </c>
      <c r="X1857" s="1" t="s">
        <v>1620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SACOLA BRC. L. ALIP.</v>
      </c>
      <c r="AC1857" s="1" t="n">
        <v>8802</v>
      </c>
    </row>
    <row r="1858" customFormat="false" ht="12.75" hidden="false" customHeight="true" outlineLevel="0" collapsed="false">
      <c r="A1858" s="1" t="n">
        <v>2</v>
      </c>
      <c r="B1858" s="17" t="n">
        <v>46268</v>
      </c>
      <c r="C1858" s="17" t="n">
        <v>46279</v>
      </c>
      <c r="D1858" s="1" t="n">
        <v>1611</v>
      </c>
      <c r="E1858" s="1" t="s">
        <v>172</v>
      </c>
      <c r="F1858" s="1" t="n">
        <v>24</v>
      </c>
      <c r="G1858" s="1" t="s">
        <v>91</v>
      </c>
      <c r="H1858" s="1" t="n">
        <v>2110405</v>
      </c>
      <c r="I1858" s="1" t="s">
        <v>55</v>
      </c>
      <c r="J1858" s="1" t="n">
        <v>1646250</v>
      </c>
      <c r="L1858" s="1" t="n">
        <v>225903</v>
      </c>
      <c r="M1858" s="1" t="s">
        <v>36</v>
      </c>
      <c r="N1858" s="1" t="s">
        <v>50</v>
      </c>
      <c r="P1858" s="1" t="n">
        <v>113</v>
      </c>
      <c r="Q1858" s="1" t="s">
        <v>38</v>
      </c>
      <c r="R1858" s="1" t="s">
        <v>62</v>
      </c>
      <c r="S1858" s="1" t="n">
        <v>1130101</v>
      </c>
      <c r="T1858" s="1" t="s">
        <v>63</v>
      </c>
      <c r="U1858" s="1" t="n">
        <v>176.58</v>
      </c>
      <c r="W1858" s="1" t="n">
        <v>0</v>
      </c>
      <c r="X1858" s="1" t="s">
        <v>1621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2</v>
      </c>
      <c r="B1859" s="17" t="n">
        <v>46268</v>
      </c>
      <c r="C1859" s="17" t="n">
        <v>46279</v>
      </c>
      <c r="D1859" s="1" t="n">
        <v>1621</v>
      </c>
      <c r="E1859" s="1" t="s">
        <v>235</v>
      </c>
      <c r="F1859" s="1" t="n">
        <v>24</v>
      </c>
      <c r="G1859" s="1" t="s">
        <v>91</v>
      </c>
      <c r="H1859" s="1" t="n">
        <v>2110405</v>
      </c>
      <c r="I1859" s="1" t="s">
        <v>55</v>
      </c>
      <c r="J1859" s="1" t="n">
        <v>1646646</v>
      </c>
      <c r="L1859" s="1" t="n">
        <v>226012</v>
      </c>
      <c r="M1859" s="1" t="s">
        <v>36</v>
      </c>
      <c r="N1859" s="1" t="s">
        <v>50</v>
      </c>
      <c r="P1859" s="1" t="n">
        <v>113</v>
      </c>
      <c r="Q1859" s="1" t="s">
        <v>38</v>
      </c>
      <c r="R1859" s="1" t="s">
        <v>62</v>
      </c>
      <c r="S1859" s="1" t="n">
        <v>1130101</v>
      </c>
      <c r="T1859" s="1" t="s">
        <v>63</v>
      </c>
      <c r="U1859" s="1" t="n">
        <v>489.74</v>
      </c>
      <c r="W1859" s="1" t="n">
        <v>0</v>
      </c>
      <c r="X1859" s="1" t="s">
        <v>1622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REFR PEPSI 2L</v>
      </c>
      <c r="AC1859" s="1" t="n">
        <v>993555</v>
      </c>
    </row>
    <row r="1860" customFormat="false" ht="12.75" hidden="false" customHeight="true" outlineLevel="0" collapsed="false">
      <c r="A1860" s="1" t="n">
        <v>2</v>
      </c>
      <c r="B1860" s="17" t="n">
        <v>46097</v>
      </c>
      <c r="C1860" s="17" t="n">
        <v>46280</v>
      </c>
      <c r="D1860" s="1" t="n">
        <v>1867</v>
      </c>
      <c r="E1860" s="1" t="s">
        <v>406</v>
      </c>
      <c r="F1860" s="1" t="n">
        <v>24</v>
      </c>
      <c r="G1860" s="1" t="s">
        <v>91</v>
      </c>
      <c r="H1860" s="1" t="n">
        <v>2110405</v>
      </c>
      <c r="I1860" s="1" t="s">
        <v>55</v>
      </c>
      <c r="J1860" s="1" t="n">
        <v>808550</v>
      </c>
      <c r="L1860" s="1" t="n">
        <v>2026</v>
      </c>
      <c r="M1860" s="1" t="s">
        <v>49</v>
      </c>
      <c r="N1860" s="1" t="s">
        <v>50</v>
      </c>
      <c r="P1860" s="1" t="n">
        <v>101</v>
      </c>
      <c r="Q1860" s="1" t="s">
        <v>56</v>
      </c>
      <c r="R1860" s="1" t="s">
        <v>407</v>
      </c>
      <c r="S1860" s="1" t="n">
        <v>4210401</v>
      </c>
      <c r="T1860" s="1" t="s">
        <v>408</v>
      </c>
      <c r="U1860" s="1" t="n">
        <v>228.88</v>
      </c>
      <c r="W1860" s="1" t="n">
        <v>0</v>
      </c>
      <c r="X1860" s="1" t="s">
        <v>1623</v>
      </c>
      <c r="Z1860" s="1" t="str">
        <f aca="false">IF($T1860="","",IFERROR(INDEX('Resumo Grupos'!$AC$3:$AC$200,MATCH($T1860,'Resumo Grupos'!$AB$3:$AB$200,0)),"n/d"))</f>
        <v>Impostos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" t="n">
        <v>2</v>
      </c>
      <c r="B1861" s="17" t="n">
        <v>46127</v>
      </c>
      <c r="C1861" s="17" t="n">
        <v>46280</v>
      </c>
      <c r="D1861" s="1" t="n">
        <v>512</v>
      </c>
      <c r="E1861" s="1" t="s">
        <v>410</v>
      </c>
      <c r="F1861" s="1" t="n">
        <v>34</v>
      </c>
      <c r="G1861" s="1" t="s">
        <v>110</v>
      </c>
      <c r="H1861" s="1" t="n">
        <v>2110405</v>
      </c>
      <c r="I1861" s="1" t="s">
        <v>55</v>
      </c>
      <c r="J1861" s="1" t="n">
        <v>954215</v>
      </c>
      <c r="L1861" s="1" t="n">
        <v>126220</v>
      </c>
      <c r="M1861" s="1" t="s">
        <v>61</v>
      </c>
      <c r="N1861" s="1" t="s">
        <v>50</v>
      </c>
      <c r="P1861" s="1" t="n">
        <v>101</v>
      </c>
      <c r="Q1861" s="1" t="s">
        <v>56</v>
      </c>
      <c r="R1861" s="1" t="s">
        <v>411</v>
      </c>
      <c r="S1861" s="1" t="n">
        <v>4210111</v>
      </c>
      <c r="T1861" s="1" t="s">
        <v>412</v>
      </c>
      <c r="U1861" s="1" t="n">
        <v>5700</v>
      </c>
      <c r="W1861" s="1" t="n">
        <v>0</v>
      </c>
      <c r="X1861" s="1" t="s">
        <v>413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" t="n">
        <v>2</v>
      </c>
      <c r="B1862" s="17" t="n">
        <v>46252</v>
      </c>
      <c r="C1862" s="17" t="n">
        <v>46280</v>
      </c>
      <c r="D1862" s="1" t="n">
        <v>1697</v>
      </c>
      <c r="E1862" s="1" t="s">
        <v>775</v>
      </c>
      <c r="F1862" s="1" t="n">
        <v>24</v>
      </c>
      <c r="G1862" s="1" t="s">
        <v>91</v>
      </c>
      <c r="H1862" s="1" t="n">
        <v>2110405</v>
      </c>
      <c r="I1862" s="1" t="s">
        <v>55</v>
      </c>
      <c r="J1862" s="1" t="n">
        <v>1566735</v>
      </c>
      <c r="L1862" s="1" t="n">
        <v>213868</v>
      </c>
      <c r="M1862" s="1" t="s">
        <v>36</v>
      </c>
      <c r="N1862" s="1" t="s">
        <v>50</v>
      </c>
      <c r="P1862" s="1" t="n">
        <v>113</v>
      </c>
      <c r="Q1862" s="1" t="s">
        <v>38</v>
      </c>
      <c r="R1862" s="1" t="s">
        <v>62</v>
      </c>
      <c r="S1862" s="1" t="n">
        <v>1130101</v>
      </c>
      <c r="T1862" s="1" t="s">
        <v>63</v>
      </c>
      <c r="U1862" s="1" t="n">
        <v>584.64</v>
      </c>
      <c r="W1862" s="1" t="n">
        <v>0</v>
      </c>
      <c r="X1862" s="1" t="s">
        <v>1489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LEITE ITALAC DESN 1L</v>
      </c>
      <c r="AC1862" s="1" t="n">
        <v>211355</v>
      </c>
    </row>
    <row r="1863" customFormat="false" ht="12.75" hidden="false" customHeight="true" outlineLevel="0" collapsed="false">
      <c r="A1863" s="1" t="n">
        <v>2</v>
      </c>
      <c r="B1863" s="17" t="n">
        <v>46252</v>
      </c>
      <c r="C1863" s="17" t="n">
        <v>46280</v>
      </c>
      <c r="D1863" s="1" t="n">
        <v>1711</v>
      </c>
      <c r="E1863" s="1" t="s">
        <v>1491</v>
      </c>
      <c r="F1863" s="1" t="n">
        <v>24</v>
      </c>
      <c r="G1863" s="1" t="s">
        <v>91</v>
      </c>
      <c r="H1863" s="1" t="n">
        <v>2110405</v>
      </c>
      <c r="I1863" s="1" t="s">
        <v>55</v>
      </c>
      <c r="J1863" s="1" t="n">
        <v>1568100</v>
      </c>
      <c r="L1863" s="1" t="n">
        <v>214112</v>
      </c>
      <c r="M1863" s="1" t="s">
        <v>36</v>
      </c>
      <c r="N1863" s="1" t="s">
        <v>50</v>
      </c>
      <c r="P1863" s="1" t="n">
        <v>113</v>
      </c>
      <c r="Q1863" s="1" t="s">
        <v>38</v>
      </c>
      <c r="R1863" s="1" t="s">
        <v>62</v>
      </c>
      <c r="S1863" s="1" t="n">
        <v>1130101</v>
      </c>
      <c r="T1863" s="1" t="s">
        <v>63</v>
      </c>
      <c r="U1863" s="1" t="n">
        <v>645.71</v>
      </c>
      <c r="W1863" s="1" t="n">
        <v>0</v>
      </c>
      <c r="X1863" s="1" t="s">
        <v>1492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CAD BROCH UNIV COST</v>
      </c>
      <c r="AC1863" s="1" t="n">
        <v>160332</v>
      </c>
    </row>
    <row r="1864" customFormat="false" ht="12.75" hidden="false" customHeight="true" outlineLevel="0" collapsed="false">
      <c r="A1864" s="1" t="n">
        <v>2</v>
      </c>
      <c r="B1864" s="17" t="n">
        <v>46253</v>
      </c>
      <c r="C1864" s="17" t="n">
        <v>46280</v>
      </c>
      <c r="D1864" s="1" t="n">
        <v>1708</v>
      </c>
      <c r="E1864" s="1" t="s">
        <v>269</v>
      </c>
      <c r="F1864" s="1" t="n">
        <v>24</v>
      </c>
      <c r="G1864" s="1" t="s">
        <v>91</v>
      </c>
      <c r="H1864" s="1" t="n">
        <v>2110405</v>
      </c>
      <c r="I1864" s="1" t="s">
        <v>55</v>
      </c>
      <c r="J1864" s="1" t="n">
        <v>1572979</v>
      </c>
      <c r="L1864" s="1" t="n">
        <v>214928</v>
      </c>
      <c r="M1864" s="1" t="s">
        <v>36</v>
      </c>
      <c r="N1864" s="1" t="s">
        <v>50</v>
      </c>
      <c r="P1864" s="1" t="n">
        <v>113</v>
      </c>
      <c r="Q1864" s="1" t="s">
        <v>38</v>
      </c>
      <c r="R1864" s="1" t="s">
        <v>62</v>
      </c>
      <c r="S1864" s="1" t="n">
        <v>1130101</v>
      </c>
      <c r="T1864" s="1" t="s">
        <v>63</v>
      </c>
      <c r="U1864" s="1" t="n">
        <v>548.18</v>
      </c>
      <c r="W1864" s="1" t="n">
        <v>0</v>
      </c>
      <c r="X1864" s="1" t="s">
        <v>1494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DISQUETI 18G</v>
      </c>
      <c r="AC1864" s="1" t="n">
        <v>265359</v>
      </c>
    </row>
    <row r="1865" customFormat="false" ht="12.75" hidden="false" customHeight="true" outlineLevel="0" collapsed="false">
      <c r="A1865" s="1" t="n">
        <v>2</v>
      </c>
      <c r="B1865" s="17" t="n">
        <v>46260</v>
      </c>
      <c r="C1865" s="17" t="n">
        <v>46280</v>
      </c>
      <c r="D1865" s="1" t="n">
        <v>1601</v>
      </c>
      <c r="E1865" s="1" t="s">
        <v>192</v>
      </c>
      <c r="F1865" s="1" t="n">
        <v>24</v>
      </c>
      <c r="G1865" s="1" t="s">
        <v>91</v>
      </c>
      <c r="H1865" s="1" t="n">
        <v>2110405</v>
      </c>
      <c r="I1865" s="1" t="s">
        <v>55</v>
      </c>
      <c r="J1865" s="1" t="n">
        <v>1603998</v>
      </c>
      <c r="L1865" s="1" t="n">
        <v>219686</v>
      </c>
      <c r="M1865" s="1" t="s">
        <v>36</v>
      </c>
      <c r="N1865" s="1" t="s">
        <v>50</v>
      </c>
      <c r="P1865" s="1" t="n">
        <v>113</v>
      </c>
      <c r="Q1865" s="1" t="s">
        <v>38</v>
      </c>
      <c r="R1865" s="1" t="s">
        <v>62</v>
      </c>
      <c r="S1865" s="1" t="n">
        <v>1130101</v>
      </c>
      <c r="T1865" s="1" t="s">
        <v>63</v>
      </c>
      <c r="U1865" s="1" t="n">
        <v>843.65</v>
      </c>
      <c r="W1865" s="1" t="n">
        <v>0</v>
      </c>
      <c r="X1865" s="1" t="s">
        <v>1570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HEINZ YELLOW MUSTARD</v>
      </c>
      <c r="AC1865" s="1" t="n">
        <v>866347</v>
      </c>
    </row>
    <row r="1866" customFormat="false" ht="12.75" hidden="false" customHeight="true" outlineLevel="0" collapsed="false">
      <c r="A1866" s="1" t="n">
        <v>2</v>
      </c>
      <c r="B1866" s="17" t="n">
        <v>46260</v>
      </c>
      <c r="C1866" s="17" t="n">
        <v>46280</v>
      </c>
      <c r="D1866" s="1" t="n">
        <v>794</v>
      </c>
      <c r="E1866" s="1" t="s">
        <v>343</v>
      </c>
      <c r="F1866" s="1" t="n">
        <v>24</v>
      </c>
      <c r="G1866" s="1" t="s">
        <v>91</v>
      </c>
      <c r="H1866" s="1" t="n">
        <v>2110405</v>
      </c>
      <c r="I1866" s="1" t="s">
        <v>55</v>
      </c>
      <c r="J1866" s="1" t="n">
        <v>1604324</v>
      </c>
      <c r="L1866" s="1" t="n">
        <v>219750</v>
      </c>
      <c r="M1866" s="1" t="s">
        <v>36</v>
      </c>
      <c r="N1866" s="1" t="s">
        <v>50</v>
      </c>
      <c r="P1866" s="1" t="n">
        <v>113</v>
      </c>
      <c r="Q1866" s="1" t="s">
        <v>38</v>
      </c>
      <c r="R1866" s="1" t="s">
        <v>62</v>
      </c>
      <c r="S1866" s="1" t="n">
        <v>1130101</v>
      </c>
      <c r="T1866" s="1" t="s">
        <v>63</v>
      </c>
      <c r="U1866" s="1" t="n">
        <v>873.08</v>
      </c>
      <c r="W1866" s="1" t="n">
        <v>0</v>
      </c>
      <c r="X1866" s="1" t="s">
        <v>1571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VASS MADRID CONDOR C/CABO</v>
      </c>
      <c r="AC1866" s="1" t="n">
        <v>8744</v>
      </c>
    </row>
    <row r="1867" customFormat="false" ht="12.75" hidden="false" customHeight="true" outlineLevel="0" collapsed="false">
      <c r="A1867" s="1" t="n">
        <v>2</v>
      </c>
      <c r="B1867" s="17" t="n">
        <v>46261</v>
      </c>
      <c r="C1867" s="17" t="n">
        <v>46280</v>
      </c>
      <c r="D1867" s="1" t="n">
        <v>1637</v>
      </c>
      <c r="E1867" s="1" t="s">
        <v>870</v>
      </c>
      <c r="F1867" s="1" t="n">
        <v>24</v>
      </c>
      <c r="G1867" s="1" t="s">
        <v>91</v>
      </c>
      <c r="H1867" s="1" t="n">
        <v>2110405</v>
      </c>
      <c r="I1867" s="1" t="s">
        <v>55</v>
      </c>
      <c r="J1867" s="1" t="n">
        <v>1608926</v>
      </c>
      <c r="L1867" s="1" t="n">
        <v>220453</v>
      </c>
      <c r="M1867" s="1" t="s">
        <v>36</v>
      </c>
      <c r="N1867" s="1" t="s">
        <v>50</v>
      </c>
      <c r="P1867" s="1" t="n">
        <v>113</v>
      </c>
      <c r="Q1867" s="1" t="s">
        <v>38</v>
      </c>
      <c r="R1867" s="1" t="s">
        <v>62</v>
      </c>
      <c r="S1867" s="1" t="n">
        <v>1130101</v>
      </c>
      <c r="T1867" s="1" t="s">
        <v>63</v>
      </c>
      <c r="U1867" s="1" t="n">
        <v>974.55</v>
      </c>
      <c r="W1867" s="1" t="n">
        <v>0</v>
      </c>
      <c r="X1867" s="1" t="s">
        <v>1624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LEITE EM PO PIRACANJUBA 400G</v>
      </c>
      <c r="AC1867" s="1" t="n">
        <v>1925382</v>
      </c>
    </row>
    <row r="1868" customFormat="false" ht="12.75" hidden="false" customHeight="true" outlineLevel="0" collapsed="false">
      <c r="A1868" s="1" t="n">
        <v>2</v>
      </c>
      <c r="B1868" s="17" t="n">
        <v>46265</v>
      </c>
      <c r="C1868" s="17" t="n">
        <v>46280</v>
      </c>
      <c r="D1868" s="1" t="n">
        <v>1196</v>
      </c>
      <c r="E1868" s="1" t="s">
        <v>1423</v>
      </c>
      <c r="F1868" s="1" t="n">
        <v>24</v>
      </c>
      <c r="G1868" s="1" t="s">
        <v>91</v>
      </c>
      <c r="H1868" s="1" t="n">
        <v>2110405</v>
      </c>
      <c r="I1868" s="1" t="s">
        <v>55</v>
      </c>
      <c r="J1868" s="1" t="n">
        <v>1629259</v>
      </c>
      <c r="L1868" s="1" t="n">
        <v>223468</v>
      </c>
      <c r="M1868" s="1" t="s">
        <v>36</v>
      </c>
      <c r="N1868" s="1" t="s">
        <v>50</v>
      </c>
      <c r="P1868" s="1" t="n">
        <v>113</v>
      </c>
      <c r="Q1868" s="1" t="s">
        <v>38</v>
      </c>
      <c r="R1868" s="1" t="s">
        <v>62</v>
      </c>
      <c r="S1868" s="1" t="n">
        <v>1130101</v>
      </c>
      <c r="T1868" s="1" t="s">
        <v>63</v>
      </c>
      <c r="U1868" s="1" t="n">
        <v>410</v>
      </c>
      <c r="W1868" s="1" t="n">
        <v>0</v>
      </c>
      <c r="X1868" s="1" t="s">
        <v>1572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ACUCAR CRISTAL DOCE TODO DIA 30X1KG</v>
      </c>
      <c r="AC1868" s="1" t="n">
        <v>13095</v>
      </c>
    </row>
    <row r="1869" customFormat="false" ht="12.75" hidden="false" customHeight="true" outlineLevel="0" collapsed="false">
      <c r="A1869" s="1" t="n">
        <v>2</v>
      </c>
      <c r="B1869" s="17" t="n">
        <v>46265</v>
      </c>
      <c r="C1869" s="17" t="n">
        <v>46280</v>
      </c>
      <c r="D1869" s="1" t="n">
        <v>1705</v>
      </c>
      <c r="E1869" s="1" t="s">
        <v>131</v>
      </c>
      <c r="F1869" s="1" t="n">
        <v>24</v>
      </c>
      <c r="G1869" s="1" t="s">
        <v>91</v>
      </c>
      <c r="H1869" s="1" t="n">
        <v>2110405</v>
      </c>
      <c r="I1869" s="1" t="s">
        <v>55</v>
      </c>
      <c r="J1869" s="1" t="n">
        <v>1630554</v>
      </c>
      <c r="L1869" s="1" t="n">
        <v>223766</v>
      </c>
      <c r="M1869" s="1" t="s">
        <v>36</v>
      </c>
      <c r="N1869" s="1" t="s">
        <v>50</v>
      </c>
      <c r="P1869" s="1" t="n">
        <v>113</v>
      </c>
      <c r="Q1869" s="1" t="s">
        <v>38</v>
      </c>
      <c r="R1869" s="1" t="s">
        <v>62</v>
      </c>
      <c r="S1869" s="1" t="n">
        <v>1130101</v>
      </c>
      <c r="T1869" s="1" t="s">
        <v>63</v>
      </c>
      <c r="U1869" s="1" t="n">
        <v>1139.35</v>
      </c>
      <c r="W1869" s="1" t="n">
        <v>0</v>
      </c>
      <c r="X1869" s="1" t="s">
        <v>1625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MONSTER ENERGY 473ML</v>
      </c>
      <c r="AC1869" s="1" t="n">
        <v>1272321</v>
      </c>
    </row>
    <row r="1870" customFormat="false" ht="12.75" hidden="false" customHeight="true" outlineLevel="0" collapsed="false">
      <c r="A1870" s="1" t="n">
        <v>2</v>
      </c>
      <c r="B1870" s="17" t="n">
        <v>46266</v>
      </c>
      <c r="C1870" s="17" t="n">
        <v>46280</v>
      </c>
      <c r="D1870" s="1" t="n">
        <v>1921</v>
      </c>
      <c r="E1870" s="1" t="s">
        <v>182</v>
      </c>
      <c r="F1870" s="1" t="n">
        <v>24</v>
      </c>
      <c r="G1870" s="1" t="s">
        <v>91</v>
      </c>
      <c r="H1870" s="1" t="n">
        <v>2110405</v>
      </c>
      <c r="I1870" s="1" t="s">
        <v>55</v>
      </c>
      <c r="J1870" s="1" t="n">
        <v>1633947</v>
      </c>
      <c r="L1870" s="1" t="n">
        <v>224242</v>
      </c>
      <c r="M1870" s="1" t="s">
        <v>36</v>
      </c>
      <c r="N1870" s="1" t="s">
        <v>50</v>
      </c>
      <c r="P1870" s="1" t="n">
        <v>113</v>
      </c>
      <c r="Q1870" s="1" t="s">
        <v>38</v>
      </c>
      <c r="R1870" s="1" t="s">
        <v>62</v>
      </c>
      <c r="S1870" s="1" t="n">
        <v>1130101</v>
      </c>
      <c r="T1870" s="1" t="s">
        <v>63</v>
      </c>
      <c r="U1870" s="1" t="n">
        <v>540.99</v>
      </c>
      <c r="W1870" s="1" t="n">
        <v>0</v>
      </c>
      <c r="X1870" s="1" t="s">
        <v>1626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TEMPERO COMPLETO CHU</v>
      </c>
      <c r="AC1870" s="1" t="n">
        <v>21345</v>
      </c>
    </row>
    <row r="1871" customFormat="false" ht="12.75" hidden="false" customHeight="true" outlineLevel="0" collapsed="false">
      <c r="A1871" s="1" t="n">
        <v>2</v>
      </c>
      <c r="B1871" s="17" t="n">
        <v>46267</v>
      </c>
      <c r="C1871" s="17" t="n">
        <v>46280</v>
      </c>
      <c r="D1871" s="1" t="n">
        <v>1683</v>
      </c>
      <c r="E1871" s="1" t="s">
        <v>416</v>
      </c>
      <c r="F1871" s="1" t="n">
        <v>34</v>
      </c>
      <c r="G1871" s="1" t="s">
        <v>110</v>
      </c>
      <c r="H1871" s="1" t="n">
        <v>2110405</v>
      </c>
      <c r="I1871" s="1" t="s">
        <v>55</v>
      </c>
      <c r="J1871" s="1" t="n">
        <v>1639288</v>
      </c>
      <c r="L1871" s="1" t="n">
        <v>225300</v>
      </c>
      <c r="M1871" s="1" t="s">
        <v>36</v>
      </c>
      <c r="N1871" s="1" t="s">
        <v>50</v>
      </c>
      <c r="P1871" s="1" t="n">
        <v>113</v>
      </c>
      <c r="Q1871" s="1" t="s">
        <v>38</v>
      </c>
      <c r="R1871" s="1" t="s">
        <v>62</v>
      </c>
      <c r="S1871" s="1" t="n">
        <v>1130101</v>
      </c>
      <c r="T1871" s="1" t="s">
        <v>63</v>
      </c>
      <c r="U1871" s="1" t="n">
        <v>96</v>
      </c>
      <c r="W1871" s="1" t="n">
        <v>0</v>
      </c>
      <c r="X1871" s="1" t="s">
        <v>418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" t="n">
        <v>2</v>
      </c>
      <c r="B1872" s="17" t="n">
        <v>46269</v>
      </c>
      <c r="C1872" s="17" t="n">
        <v>46280</v>
      </c>
      <c r="D1872" s="1" t="n">
        <v>1683</v>
      </c>
      <c r="E1872" s="1" t="s">
        <v>416</v>
      </c>
      <c r="F1872" s="1" t="n">
        <v>34</v>
      </c>
      <c r="G1872" s="1" t="s">
        <v>110</v>
      </c>
      <c r="H1872" s="1" t="n">
        <v>2110405</v>
      </c>
      <c r="I1872" s="1" t="s">
        <v>55</v>
      </c>
      <c r="J1872" s="1" t="n">
        <v>1652479</v>
      </c>
      <c r="L1872" s="1" t="n">
        <v>227018</v>
      </c>
      <c r="M1872" s="1" t="s">
        <v>36</v>
      </c>
      <c r="N1872" s="1" t="s">
        <v>50</v>
      </c>
      <c r="P1872" s="1" t="n">
        <v>113</v>
      </c>
      <c r="Q1872" s="1" t="s">
        <v>38</v>
      </c>
      <c r="R1872" s="1" t="s">
        <v>62</v>
      </c>
      <c r="S1872" s="1" t="n">
        <v>1130101</v>
      </c>
      <c r="T1872" s="1" t="s">
        <v>63</v>
      </c>
      <c r="U1872" s="1" t="n">
        <v>166.5</v>
      </c>
      <c r="W1872" s="1" t="n">
        <v>0</v>
      </c>
      <c r="X1872" s="1" t="s">
        <v>418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2</v>
      </c>
      <c r="B1873" s="17" t="n">
        <v>46226</v>
      </c>
      <c r="C1873" s="17" t="n">
        <v>46281</v>
      </c>
      <c r="D1873" s="1" t="n">
        <v>957</v>
      </c>
      <c r="E1873" s="1" t="s">
        <v>628</v>
      </c>
      <c r="F1873" s="1" t="n">
        <v>24</v>
      </c>
      <c r="G1873" s="1" t="s">
        <v>91</v>
      </c>
      <c r="H1873" s="1" t="n">
        <v>2110405</v>
      </c>
      <c r="I1873" s="1" t="s">
        <v>55</v>
      </c>
      <c r="J1873" s="1" t="n">
        <v>1438939</v>
      </c>
      <c r="L1873" s="1" t="n">
        <v>194433</v>
      </c>
      <c r="M1873" s="1" t="s">
        <v>36</v>
      </c>
      <c r="N1873" s="1" t="s">
        <v>50</v>
      </c>
      <c r="P1873" s="1" t="n">
        <v>113</v>
      </c>
      <c r="Q1873" s="1" t="s">
        <v>38</v>
      </c>
      <c r="R1873" s="1" t="s">
        <v>62</v>
      </c>
      <c r="S1873" s="1" t="n">
        <v>1130101</v>
      </c>
      <c r="T1873" s="1" t="s">
        <v>63</v>
      </c>
      <c r="U1873" s="1" t="n">
        <v>1501.38</v>
      </c>
      <c r="W1873" s="1" t="n">
        <v>0</v>
      </c>
      <c r="X1873" s="1" t="s">
        <v>1261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WHISKA FRANGO KG AGR</v>
      </c>
      <c r="AC1873" s="1" t="n">
        <v>21189</v>
      </c>
    </row>
    <row r="1874" customFormat="false" ht="12.75" hidden="false" customHeight="true" outlineLevel="0" collapsed="false">
      <c r="A1874" s="1" t="n">
        <v>2</v>
      </c>
      <c r="B1874" s="17" t="n">
        <v>46247</v>
      </c>
      <c r="C1874" s="17" t="n">
        <v>46281</v>
      </c>
      <c r="D1874" s="1" t="n">
        <v>1624</v>
      </c>
      <c r="E1874" s="1" t="s">
        <v>338</v>
      </c>
      <c r="F1874" s="1" t="n">
        <v>24</v>
      </c>
      <c r="G1874" s="1" t="s">
        <v>91</v>
      </c>
      <c r="H1874" s="1" t="n">
        <v>2110405</v>
      </c>
      <c r="I1874" s="1" t="s">
        <v>55</v>
      </c>
      <c r="J1874" s="1" t="n">
        <v>1543920</v>
      </c>
      <c r="L1874" s="1" t="n">
        <v>210536</v>
      </c>
      <c r="M1874" s="1" t="s">
        <v>36</v>
      </c>
      <c r="N1874" s="1" t="s">
        <v>50</v>
      </c>
      <c r="P1874" s="1" t="n">
        <v>113</v>
      </c>
      <c r="Q1874" s="1" t="s">
        <v>38</v>
      </c>
      <c r="R1874" s="1" t="s">
        <v>62</v>
      </c>
      <c r="S1874" s="1" t="n">
        <v>1130101</v>
      </c>
      <c r="T1874" s="1" t="s">
        <v>63</v>
      </c>
      <c r="U1874" s="1" t="n">
        <v>830.13</v>
      </c>
      <c r="W1874" s="1" t="n">
        <v>0</v>
      </c>
      <c r="X1874" s="1" t="s">
        <v>1514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SAB SARNICIDA MATACURA 80G</v>
      </c>
      <c r="AC1874" s="1" t="n">
        <v>668739</v>
      </c>
    </row>
    <row r="1875" customFormat="false" ht="12.75" hidden="false" customHeight="true" outlineLevel="0" collapsed="false">
      <c r="A1875" s="1" t="n">
        <v>2</v>
      </c>
      <c r="B1875" s="17" t="n">
        <v>46252</v>
      </c>
      <c r="C1875" s="17" t="n">
        <v>46281</v>
      </c>
      <c r="D1875" s="1" t="n">
        <v>1612</v>
      </c>
      <c r="E1875" s="1" t="s">
        <v>90</v>
      </c>
      <c r="F1875" s="1" t="n">
        <v>24</v>
      </c>
      <c r="G1875" s="1" t="s">
        <v>91</v>
      </c>
      <c r="H1875" s="1" t="n">
        <v>2110405</v>
      </c>
      <c r="I1875" s="1" t="s">
        <v>55</v>
      </c>
      <c r="J1875" s="1" t="n">
        <v>1567422</v>
      </c>
      <c r="L1875" s="1" t="n">
        <v>214026</v>
      </c>
      <c r="M1875" s="1" t="s">
        <v>36</v>
      </c>
      <c r="N1875" s="1" t="s">
        <v>50</v>
      </c>
      <c r="P1875" s="1" t="n">
        <v>113</v>
      </c>
      <c r="Q1875" s="1" t="s">
        <v>38</v>
      </c>
      <c r="R1875" s="1" t="s">
        <v>62</v>
      </c>
      <c r="S1875" s="1" t="n">
        <v>1130101</v>
      </c>
      <c r="T1875" s="1" t="s">
        <v>63</v>
      </c>
      <c r="U1875" s="1" t="n">
        <v>1154.65</v>
      </c>
      <c r="W1875" s="1" t="n">
        <v>0</v>
      </c>
      <c r="X1875" s="1" t="s">
        <v>1515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AGUA SANI BRILUX1L</v>
      </c>
      <c r="AC1875" s="1" t="n">
        <v>2310769</v>
      </c>
    </row>
    <row r="1876" customFormat="false" ht="12.75" hidden="false" customHeight="true" outlineLevel="0" collapsed="false">
      <c r="A1876" s="1" t="n">
        <v>2</v>
      </c>
      <c r="B1876" s="17" t="n">
        <v>46253</v>
      </c>
      <c r="C1876" s="17" t="n">
        <v>46281</v>
      </c>
      <c r="D1876" s="1" t="n">
        <v>1830</v>
      </c>
      <c r="E1876" s="1" t="s">
        <v>507</v>
      </c>
      <c r="F1876" s="1" t="n">
        <v>24</v>
      </c>
      <c r="G1876" s="1" t="s">
        <v>91</v>
      </c>
      <c r="H1876" s="1" t="n">
        <v>2110405</v>
      </c>
      <c r="I1876" s="1" t="s">
        <v>55</v>
      </c>
      <c r="J1876" s="1" t="n">
        <v>1573122</v>
      </c>
      <c r="L1876" s="1" t="n">
        <v>1308</v>
      </c>
      <c r="M1876" s="1" t="s">
        <v>36</v>
      </c>
      <c r="N1876" s="1" t="s">
        <v>50</v>
      </c>
      <c r="P1876" s="1" t="n">
        <v>101</v>
      </c>
      <c r="Q1876" s="1" t="s">
        <v>56</v>
      </c>
      <c r="R1876" s="1" t="s">
        <v>39</v>
      </c>
      <c r="S1876" s="1" t="n">
        <v>4210319</v>
      </c>
      <c r="T1876" s="1" t="s">
        <v>508</v>
      </c>
      <c r="U1876" s="1" t="n">
        <v>58</v>
      </c>
      <c r="W1876" s="1" t="n">
        <v>0</v>
      </c>
      <c r="X1876" s="1" t="s">
        <v>1627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" t="n">
        <v>2</v>
      </c>
      <c r="B1877" s="17" t="n">
        <v>46260</v>
      </c>
      <c r="C1877" s="17" t="n">
        <v>46281</v>
      </c>
      <c r="D1877" s="1" t="n">
        <v>1107</v>
      </c>
      <c r="E1877" s="1" t="s">
        <v>227</v>
      </c>
      <c r="F1877" s="1" t="n">
        <v>24</v>
      </c>
      <c r="G1877" s="1" t="s">
        <v>91</v>
      </c>
      <c r="H1877" s="1" t="n">
        <v>2110405</v>
      </c>
      <c r="I1877" s="1" t="s">
        <v>55</v>
      </c>
      <c r="J1877" s="1" t="n">
        <v>1605198</v>
      </c>
      <c r="L1877" s="1" t="n">
        <v>219909</v>
      </c>
      <c r="M1877" s="1" t="s">
        <v>36</v>
      </c>
      <c r="N1877" s="1" t="s">
        <v>50</v>
      </c>
      <c r="P1877" s="1" t="n">
        <v>113</v>
      </c>
      <c r="Q1877" s="1" t="s">
        <v>38</v>
      </c>
      <c r="R1877" s="1" t="s">
        <v>62</v>
      </c>
      <c r="S1877" s="1" t="n">
        <v>1130101</v>
      </c>
      <c r="T1877" s="1" t="s">
        <v>63</v>
      </c>
      <c r="U1877" s="1" t="n">
        <v>1510.34</v>
      </c>
      <c r="W1877" s="1" t="n">
        <v>0</v>
      </c>
      <c r="X1877" s="1" t="s">
        <v>1581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BOLINHO MORANGO 7308</v>
      </c>
      <c r="AC1877" s="1" t="n">
        <v>447609</v>
      </c>
    </row>
    <row r="1878" customFormat="false" ht="12.75" hidden="false" customHeight="true" outlineLevel="0" collapsed="false">
      <c r="A1878" s="1" t="n">
        <v>2</v>
      </c>
      <c r="B1878" s="17" t="n">
        <v>46260</v>
      </c>
      <c r="C1878" s="17" t="n">
        <v>46281</v>
      </c>
      <c r="D1878" s="1" t="n">
        <v>1626</v>
      </c>
      <c r="E1878" s="1" t="s">
        <v>96</v>
      </c>
      <c r="F1878" s="1" t="n">
        <v>24</v>
      </c>
      <c r="G1878" s="1" t="s">
        <v>91</v>
      </c>
      <c r="H1878" s="1" t="n">
        <v>2110405</v>
      </c>
      <c r="I1878" s="1" t="s">
        <v>55</v>
      </c>
      <c r="J1878" s="1" t="n">
        <v>1605224</v>
      </c>
      <c r="L1878" s="1" t="n">
        <v>219915</v>
      </c>
      <c r="M1878" s="1" t="s">
        <v>36</v>
      </c>
      <c r="N1878" s="1" t="s">
        <v>50</v>
      </c>
      <c r="P1878" s="1" t="n">
        <v>113</v>
      </c>
      <c r="Q1878" s="1" t="s">
        <v>38</v>
      </c>
      <c r="R1878" s="1" t="s">
        <v>62</v>
      </c>
      <c r="S1878" s="1" t="n">
        <v>1130101</v>
      </c>
      <c r="T1878" s="1" t="s">
        <v>63</v>
      </c>
      <c r="U1878" s="1" t="n">
        <v>679.16</v>
      </c>
      <c r="W1878" s="1" t="n">
        <v>0</v>
      </c>
      <c r="X1878" s="1" t="s">
        <v>1517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CALABRESA SEARA KG</v>
      </c>
      <c r="AC1878" s="1" t="n">
        <v>319020</v>
      </c>
    </row>
    <row r="1879" customFormat="false" ht="12.75" hidden="false" customHeight="true" outlineLevel="0" collapsed="false">
      <c r="A1879" s="1" t="n">
        <v>2</v>
      </c>
      <c r="B1879" s="17" t="n">
        <v>46261</v>
      </c>
      <c r="C1879" s="17" t="n">
        <v>46281</v>
      </c>
      <c r="D1879" s="1" t="n">
        <v>1636</v>
      </c>
      <c r="E1879" s="1" t="s">
        <v>98</v>
      </c>
      <c r="F1879" s="1" t="n">
        <v>24</v>
      </c>
      <c r="G1879" s="1" t="s">
        <v>91</v>
      </c>
      <c r="H1879" s="1" t="n">
        <v>2110405</v>
      </c>
      <c r="I1879" s="1" t="s">
        <v>55</v>
      </c>
      <c r="J1879" s="1" t="n">
        <v>1609066</v>
      </c>
      <c r="L1879" s="1" t="n">
        <v>220491</v>
      </c>
      <c r="M1879" s="1" t="s">
        <v>36</v>
      </c>
      <c r="N1879" s="1" t="s">
        <v>50</v>
      </c>
      <c r="P1879" s="1" t="n">
        <v>113</v>
      </c>
      <c r="Q1879" s="1" t="s">
        <v>38</v>
      </c>
      <c r="R1879" s="1" t="s">
        <v>62</v>
      </c>
      <c r="S1879" s="1" t="n">
        <v>1130101</v>
      </c>
      <c r="T1879" s="1" t="s">
        <v>63</v>
      </c>
      <c r="U1879" s="1" t="n">
        <v>733.77</v>
      </c>
      <c r="W1879" s="1" t="n">
        <v>0</v>
      </c>
      <c r="X1879" s="1" t="s">
        <v>1519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BISC. RICHESTER RECH QUAD CHOCO ANI 130G</v>
      </c>
      <c r="AC1879" s="1" t="n">
        <v>3242273</v>
      </c>
    </row>
    <row r="1880" customFormat="false" ht="12.75" hidden="false" customHeight="true" outlineLevel="0" collapsed="false">
      <c r="A1880" s="1" t="n">
        <v>2</v>
      </c>
      <c r="B1880" s="17" t="n">
        <v>46268</v>
      </c>
      <c r="C1880" s="17" t="n">
        <v>46281</v>
      </c>
      <c r="D1880" s="1" t="n">
        <v>1635</v>
      </c>
      <c r="E1880" s="1" t="s">
        <v>129</v>
      </c>
      <c r="F1880" s="1" t="n">
        <v>24</v>
      </c>
      <c r="G1880" s="1" t="s">
        <v>91</v>
      </c>
      <c r="H1880" s="1" t="n">
        <v>2110405</v>
      </c>
      <c r="I1880" s="1" t="s">
        <v>55</v>
      </c>
      <c r="J1880" s="1" t="n">
        <v>1647282</v>
      </c>
      <c r="L1880" s="1" t="n">
        <v>226188</v>
      </c>
      <c r="M1880" s="1" t="s">
        <v>36</v>
      </c>
      <c r="N1880" s="1" t="s">
        <v>50</v>
      </c>
      <c r="P1880" s="1" t="n">
        <v>113</v>
      </c>
      <c r="Q1880" s="1" t="s">
        <v>38</v>
      </c>
      <c r="R1880" s="1" t="s">
        <v>62</v>
      </c>
      <c r="S1880" s="1" t="n">
        <v>1130101</v>
      </c>
      <c r="T1880" s="1" t="s">
        <v>63</v>
      </c>
      <c r="U1880" s="1" t="n">
        <v>278.1</v>
      </c>
      <c r="W1880" s="1" t="n">
        <v>0</v>
      </c>
      <c r="X1880" s="1" t="s">
        <v>1628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BATATA LUTOSA 1KG </v>
      </c>
      <c r="AC1880" s="1" t="n">
        <v>4884</v>
      </c>
    </row>
    <row r="1881" customFormat="false" ht="12.75" hidden="false" customHeight="true" outlineLevel="0" collapsed="false">
      <c r="A1881" s="1" t="n">
        <v>2</v>
      </c>
      <c r="B1881" s="17" t="n">
        <v>46269</v>
      </c>
      <c r="C1881" s="17" t="n">
        <v>46281</v>
      </c>
      <c r="D1881" s="1" t="n">
        <v>1613</v>
      </c>
      <c r="E1881" s="1" t="s">
        <v>107</v>
      </c>
      <c r="F1881" s="1" t="n">
        <v>24</v>
      </c>
      <c r="G1881" s="1" t="s">
        <v>91</v>
      </c>
      <c r="H1881" s="1" t="n">
        <v>2110405</v>
      </c>
      <c r="I1881" s="1" t="s">
        <v>55</v>
      </c>
      <c r="J1881" s="1" t="n">
        <v>1653084</v>
      </c>
      <c r="L1881" s="1" t="n">
        <v>227107</v>
      </c>
      <c r="M1881" s="1" t="s">
        <v>36</v>
      </c>
      <c r="N1881" s="1" t="s">
        <v>50</v>
      </c>
      <c r="P1881" s="1" t="n">
        <v>113</v>
      </c>
      <c r="Q1881" s="1" t="s">
        <v>38</v>
      </c>
      <c r="R1881" s="1" t="s">
        <v>62</v>
      </c>
      <c r="S1881" s="1" t="n">
        <v>1130101</v>
      </c>
      <c r="T1881" s="1" t="s">
        <v>63</v>
      </c>
      <c r="U1881" s="1" t="n">
        <v>2296</v>
      </c>
      <c r="W1881" s="1" t="n">
        <v>0</v>
      </c>
      <c r="X1881" s="1" t="s">
        <v>1629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COSTELA SUINA KG</v>
      </c>
      <c r="AC1881" s="1" t="n">
        <v>1627324</v>
      </c>
    </row>
    <row r="1882" customFormat="false" ht="12.75" hidden="false" customHeight="true" outlineLevel="0" collapsed="false">
      <c r="A1882" s="1" t="n">
        <v>2</v>
      </c>
      <c r="B1882" s="17" t="n">
        <v>46248</v>
      </c>
      <c r="C1882" s="17" t="n">
        <v>46282</v>
      </c>
      <c r="D1882" s="1" t="n">
        <v>10011</v>
      </c>
      <c r="E1882" s="1" t="s">
        <v>330</v>
      </c>
      <c r="F1882" s="1" t="n">
        <v>24</v>
      </c>
      <c r="G1882" s="1" t="s">
        <v>91</v>
      </c>
      <c r="H1882" s="1" t="n">
        <v>2110405</v>
      </c>
      <c r="I1882" s="1" t="s">
        <v>55</v>
      </c>
      <c r="J1882" s="1" t="n">
        <v>1545976</v>
      </c>
      <c r="L1882" s="1" t="n">
        <v>211185</v>
      </c>
      <c r="M1882" s="1" t="s">
        <v>36</v>
      </c>
      <c r="N1882" s="1" t="s">
        <v>50</v>
      </c>
      <c r="P1882" s="1" t="n">
        <v>113</v>
      </c>
      <c r="Q1882" s="1" t="s">
        <v>38</v>
      </c>
      <c r="R1882" s="1" t="s">
        <v>62</v>
      </c>
      <c r="S1882" s="1" t="n">
        <v>1130101</v>
      </c>
      <c r="T1882" s="1" t="s">
        <v>63</v>
      </c>
      <c r="U1882" s="1" t="n">
        <v>685.15</v>
      </c>
      <c r="W1882" s="1" t="n">
        <v>0</v>
      </c>
      <c r="X1882" s="1" t="s">
        <v>1630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RACAO GP ADU CARNE E ARROZ KG</v>
      </c>
      <c r="AC1882" s="1" t="n">
        <v>35161</v>
      </c>
    </row>
    <row r="1883" customFormat="false" ht="12.75" hidden="false" customHeight="true" outlineLevel="0" collapsed="false">
      <c r="A1883" s="1" t="n">
        <v>2</v>
      </c>
      <c r="B1883" s="17" t="n">
        <v>46252</v>
      </c>
      <c r="C1883" s="17" t="n">
        <v>46282</v>
      </c>
      <c r="D1883" s="1" t="n">
        <v>1671</v>
      </c>
      <c r="E1883" s="1" t="s">
        <v>101</v>
      </c>
      <c r="F1883" s="1" t="n">
        <v>24</v>
      </c>
      <c r="G1883" s="1" t="s">
        <v>91</v>
      </c>
      <c r="H1883" s="1" t="n">
        <v>2110405</v>
      </c>
      <c r="I1883" s="1" t="s">
        <v>55</v>
      </c>
      <c r="J1883" s="1" t="n">
        <v>1567135</v>
      </c>
      <c r="L1883" s="1" t="n">
        <v>213986</v>
      </c>
      <c r="M1883" s="1" t="s">
        <v>36</v>
      </c>
      <c r="N1883" s="1" t="s">
        <v>50</v>
      </c>
      <c r="P1883" s="1" t="n">
        <v>113</v>
      </c>
      <c r="Q1883" s="1" t="s">
        <v>38</v>
      </c>
      <c r="R1883" s="1" t="s">
        <v>62</v>
      </c>
      <c r="S1883" s="1" t="n">
        <v>1130101</v>
      </c>
      <c r="T1883" s="1" t="s">
        <v>63</v>
      </c>
      <c r="U1883" s="1" t="n">
        <v>793.81</v>
      </c>
      <c r="W1883" s="1" t="n">
        <v>0</v>
      </c>
      <c r="X1883" s="1" t="s">
        <v>1425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SAB LIQ PROTEX CREAM</v>
      </c>
      <c r="AC1883" s="1" t="n">
        <v>586415</v>
      </c>
    </row>
    <row r="1884" customFormat="false" ht="12.75" hidden="false" customHeight="true" outlineLevel="0" collapsed="false">
      <c r="A1884" s="1" t="n">
        <v>2</v>
      </c>
      <c r="B1884" s="17" t="n">
        <v>46256</v>
      </c>
      <c r="C1884" s="17" t="n">
        <v>46282</v>
      </c>
      <c r="D1884" s="1" t="n">
        <v>1745</v>
      </c>
      <c r="E1884" s="1" t="s">
        <v>170</v>
      </c>
      <c r="F1884" s="1" t="n">
        <v>24</v>
      </c>
      <c r="G1884" s="1" t="s">
        <v>91</v>
      </c>
      <c r="H1884" s="1" t="n">
        <v>2110405</v>
      </c>
      <c r="I1884" s="1" t="s">
        <v>55</v>
      </c>
      <c r="J1884" s="1" t="n">
        <v>1585080</v>
      </c>
      <c r="L1884" s="1" t="n">
        <v>216841</v>
      </c>
      <c r="M1884" s="1" t="s">
        <v>36</v>
      </c>
      <c r="N1884" s="1" t="s">
        <v>50</v>
      </c>
      <c r="P1884" s="1" t="n">
        <v>113</v>
      </c>
      <c r="Q1884" s="1" t="s">
        <v>38</v>
      </c>
      <c r="R1884" s="1" t="s">
        <v>62</v>
      </c>
      <c r="S1884" s="1" t="n">
        <v>1130101</v>
      </c>
      <c r="T1884" s="1" t="s">
        <v>63</v>
      </c>
      <c r="U1884" s="1" t="n">
        <v>182.82</v>
      </c>
      <c r="W1884" s="1" t="n">
        <v>0</v>
      </c>
      <c r="X1884" s="1" t="s">
        <v>1535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MILHO PIPOCA DONA CLARA 400G</v>
      </c>
      <c r="AC1884" s="1" t="n">
        <v>357892</v>
      </c>
    </row>
    <row r="1885" customFormat="false" ht="12.75" hidden="false" customHeight="true" outlineLevel="0" collapsed="false">
      <c r="A1885" s="1" t="n">
        <v>2</v>
      </c>
      <c r="B1885" s="17" t="n">
        <v>46261</v>
      </c>
      <c r="C1885" s="17" t="n">
        <v>46282</v>
      </c>
      <c r="D1885" s="1" t="n">
        <v>1706</v>
      </c>
      <c r="E1885" s="1" t="s">
        <v>1595</v>
      </c>
      <c r="F1885" s="1" t="n">
        <v>24</v>
      </c>
      <c r="G1885" s="1" t="s">
        <v>91</v>
      </c>
      <c r="H1885" s="1" t="n">
        <v>2110405</v>
      </c>
      <c r="I1885" s="1" t="s">
        <v>55</v>
      </c>
      <c r="J1885" s="1" t="n">
        <v>1608553</v>
      </c>
      <c r="L1885" s="1" t="n">
        <v>220370</v>
      </c>
      <c r="M1885" s="1" t="s">
        <v>36</v>
      </c>
      <c r="N1885" s="1" t="s">
        <v>50</v>
      </c>
      <c r="P1885" s="1" t="n">
        <v>113</v>
      </c>
      <c r="Q1885" s="1" t="s">
        <v>38</v>
      </c>
      <c r="R1885" s="1" t="s">
        <v>62</v>
      </c>
      <c r="S1885" s="1" t="n">
        <v>1130101</v>
      </c>
      <c r="T1885" s="1" t="s">
        <v>63</v>
      </c>
      <c r="U1885" s="1" t="n">
        <v>805.4</v>
      </c>
      <c r="W1885" s="1" t="n">
        <v>0</v>
      </c>
      <c r="X1885" s="1" t="s">
        <v>1596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BATATA PRINGLES ORIGINAL 104G</v>
      </c>
      <c r="AC1885" s="1" t="n">
        <v>206697</v>
      </c>
    </row>
    <row r="1886" customFormat="false" ht="12.75" hidden="false" customHeight="true" outlineLevel="0" collapsed="false">
      <c r="A1886" s="1" t="n">
        <v>2</v>
      </c>
      <c r="B1886" s="17" t="n">
        <v>46262</v>
      </c>
      <c r="C1886" s="17" t="n">
        <v>46282</v>
      </c>
      <c r="D1886" s="1" t="n">
        <v>1695</v>
      </c>
      <c r="E1886" s="1" t="s">
        <v>392</v>
      </c>
      <c r="F1886" s="1" t="n">
        <v>24</v>
      </c>
      <c r="G1886" s="1" t="s">
        <v>91</v>
      </c>
      <c r="H1886" s="1" t="n">
        <v>2110405</v>
      </c>
      <c r="I1886" s="1" t="s">
        <v>55</v>
      </c>
      <c r="J1886" s="1" t="n">
        <v>1613813</v>
      </c>
      <c r="L1886" s="1" t="n">
        <v>221290</v>
      </c>
      <c r="M1886" s="1" t="s">
        <v>36</v>
      </c>
      <c r="N1886" s="1" t="s">
        <v>50</v>
      </c>
      <c r="P1886" s="1" t="n">
        <v>113</v>
      </c>
      <c r="Q1886" s="1" t="s">
        <v>38</v>
      </c>
      <c r="R1886" s="1" t="s">
        <v>62</v>
      </c>
      <c r="S1886" s="1" t="n">
        <v>1130101</v>
      </c>
      <c r="T1886" s="1" t="s">
        <v>63</v>
      </c>
      <c r="U1886" s="1" t="n">
        <v>1063.84</v>
      </c>
      <c r="W1886" s="1" t="n">
        <v>0</v>
      </c>
      <c r="X1886" s="1" t="s">
        <v>1537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CAFE KIMINO 250G</v>
      </c>
      <c r="AC1886" s="1" t="n">
        <v>20104</v>
      </c>
    </row>
    <row r="1887" customFormat="false" ht="12.75" hidden="false" customHeight="true" outlineLevel="0" collapsed="false">
      <c r="A1887" s="1" t="n">
        <v>2</v>
      </c>
      <c r="B1887" s="17" t="n">
        <v>46262</v>
      </c>
      <c r="C1887" s="17" t="n">
        <v>46282</v>
      </c>
      <c r="D1887" s="1" t="n">
        <v>1196</v>
      </c>
      <c r="E1887" s="1" t="s">
        <v>1423</v>
      </c>
      <c r="F1887" s="1" t="n">
        <v>24</v>
      </c>
      <c r="G1887" s="1" t="s">
        <v>91</v>
      </c>
      <c r="H1887" s="1" t="n">
        <v>2110405</v>
      </c>
      <c r="I1887" s="1" t="s">
        <v>55</v>
      </c>
      <c r="J1887" s="1" t="n">
        <v>1614556</v>
      </c>
      <c r="L1887" s="1" t="n">
        <v>221461</v>
      </c>
      <c r="M1887" s="1" t="s">
        <v>36</v>
      </c>
      <c r="N1887" s="1" t="s">
        <v>50</v>
      </c>
      <c r="P1887" s="1" t="n">
        <v>113</v>
      </c>
      <c r="Q1887" s="1" t="s">
        <v>38</v>
      </c>
      <c r="R1887" s="1" t="s">
        <v>62</v>
      </c>
      <c r="S1887" s="1" t="n">
        <v>1130101</v>
      </c>
      <c r="T1887" s="1" t="s">
        <v>63</v>
      </c>
      <c r="U1887" s="1" t="n">
        <v>1213.95</v>
      </c>
      <c r="W1887" s="1" t="n">
        <v>0</v>
      </c>
      <c r="X1887" s="1" t="s">
        <v>1601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CAFÉ RANCHEIRO 250G</v>
      </c>
      <c r="AC1887" s="1" t="n">
        <v>13070</v>
      </c>
    </row>
    <row r="1888" customFormat="false" ht="12.75" hidden="false" customHeight="true" outlineLevel="0" collapsed="false">
      <c r="A1888" s="1" t="n">
        <v>2</v>
      </c>
      <c r="B1888" s="17" t="n">
        <v>46268</v>
      </c>
      <c r="C1888" s="17" t="n">
        <v>46282</v>
      </c>
      <c r="D1888" s="1" t="n">
        <v>1666</v>
      </c>
      <c r="E1888" s="1" t="s">
        <v>229</v>
      </c>
      <c r="F1888" s="1" t="n">
        <v>24</v>
      </c>
      <c r="G1888" s="1" t="s">
        <v>91</v>
      </c>
      <c r="H1888" s="1" t="n">
        <v>2110405</v>
      </c>
      <c r="I1888" s="1" t="s">
        <v>55</v>
      </c>
      <c r="J1888" s="1" t="n">
        <v>1647469</v>
      </c>
      <c r="L1888" s="1" t="n">
        <v>226240</v>
      </c>
      <c r="M1888" s="1" t="s">
        <v>36</v>
      </c>
      <c r="N1888" s="1" t="s">
        <v>50</v>
      </c>
      <c r="P1888" s="1" t="n">
        <v>113</v>
      </c>
      <c r="Q1888" s="1" t="s">
        <v>38</v>
      </c>
      <c r="R1888" s="1" t="s">
        <v>62</v>
      </c>
      <c r="S1888" s="1" t="n">
        <v>1130101</v>
      </c>
      <c r="T1888" s="1" t="s">
        <v>63</v>
      </c>
      <c r="U1888" s="1" t="n">
        <v>4761.77</v>
      </c>
      <c r="W1888" s="1" t="n">
        <v>0</v>
      </c>
      <c r="X1888" s="1" t="s">
        <v>1631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ISQUEIRO BIC G</v>
      </c>
      <c r="AC1888" s="1" t="n">
        <v>572518</v>
      </c>
    </row>
    <row r="1889" customFormat="false" ht="12.75" hidden="false" customHeight="true" outlineLevel="0" collapsed="false">
      <c r="A1889" s="1" t="n">
        <v>2</v>
      </c>
      <c r="B1889" s="17" t="n">
        <v>46206</v>
      </c>
      <c r="C1889" s="17" t="n">
        <v>46283</v>
      </c>
      <c r="D1889" s="1" t="n">
        <v>33</v>
      </c>
      <c r="E1889" s="1" t="s">
        <v>305</v>
      </c>
      <c r="F1889" s="1" t="n">
        <v>34</v>
      </c>
      <c r="G1889" s="1" t="s">
        <v>110</v>
      </c>
      <c r="H1889" s="1" t="n">
        <v>2110405</v>
      </c>
      <c r="I1889" s="1" t="s">
        <v>55</v>
      </c>
      <c r="J1889" s="1" t="n">
        <v>1345312</v>
      </c>
      <c r="L1889" s="1" t="n">
        <v>180690</v>
      </c>
      <c r="M1889" s="1" t="s">
        <v>76</v>
      </c>
      <c r="N1889" s="1" t="s">
        <v>50</v>
      </c>
      <c r="P1889" s="1" t="n">
        <v>101</v>
      </c>
      <c r="Q1889" s="1" t="s">
        <v>56</v>
      </c>
      <c r="R1889" s="1" t="s">
        <v>70</v>
      </c>
      <c r="S1889" s="1" t="n">
        <v>4210203</v>
      </c>
      <c r="T1889" s="1" t="s">
        <v>750</v>
      </c>
      <c r="U1889" s="1" t="n">
        <v>247.27</v>
      </c>
      <c r="W1889" s="1" t="n">
        <v>0</v>
      </c>
      <c r="X1889" s="1" t="s">
        <v>935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2</v>
      </c>
      <c r="B1890" s="17" t="n">
        <v>46265</v>
      </c>
      <c r="C1890" s="17" t="n">
        <v>46283</v>
      </c>
      <c r="D1890" s="1" t="n">
        <v>1616</v>
      </c>
      <c r="E1890" s="1" t="s">
        <v>94</v>
      </c>
      <c r="F1890" s="1" t="n">
        <v>24</v>
      </c>
      <c r="G1890" s="1" t="s">
        <v>91</v>
      </c>
      <c r="H1890" s="1" t="n">
        <v>2110405</v>
      </c>
      <c r="I1890" s="1" t="s">
        <v>55</v>
      </c>
      <c r="J1890" s="1" t="n">
        <v>1629536</v>
      </c>
      <c r="L1890" s="1" t="n">
        <v>223544</v>
      </c>
      <c r="M1890" s="1" t="s">
        <v>36</v>
      </c>
      <c r="N1890" s="1" t="s">
        <v>50</v>
      </c>
      <c r="P1890" s="1" t="n">
        <v>113</v>
      </c>
      <c r="Q1890" s="1" t="s">
        <v>38</v>
      </c>
      <c r="R1890" s="1" t="s">
        <v>62</v>
      </c>
      <c r="S1890" s="1" t="n">
        <v>1130101</v>
      </c>
      <c r="T1890" s="1" t="s">
        <v>63</v>
      </c>
      <c r="U1890" s="1" t="n">
        <v>610.19</v>
      </c>
      <c r="W1890" s="1" t="n">
        <v>0</v>
      </c>
      <c r="X1890" s="1" t="s">
        <v>1606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ESPONJA BRILHUS 1UNI</v>
      </c>
      <c r="AC1890" s="1" t="n">
        <v>656817</v>
      </c>
    </row>
    <row r="1891" customFormat="false" ht="12.75" hidden="false" customHeight="true" outlineLevel="0" collapsed="false">
      <c r="A1891" s="1" t="n">
        <v>2</v>
      </c>
      <c r="B1891" s="17" t="n">
        <v>46269</v>
      </c>
      <c r="C1891" s="17" t="n">
        <v>46283</v>
      </c>
      <c r="D1891" s="1" t="n">
        <v>911</v>
      </c>
      <c r="E1891" s="1" t="s">
        <v>477</v>
      </c>
      <c r="F1891" s="1" t="n">
        <v>24</v>
      </c>
      <c r="G1891" s="1" t="s">
        <v>91</v>
      </c>
      <c r="H1891" s="1" t="n">
        <v>2110405</v>
      </c>
      <c r="I1891" s="1" t="s">
        <v>55</v>
      </c>
      <c r="J1891" s="1" t="n">
        <v>1652172</v>
      </c>
      <c r="L1891" s="1" t="n">
        <v>226965</v>
      </c>
      <c r="M1891" s="1" t="s">
        <v>36</v>
      </c>
      <c r="N1891" s="1" t="s">
        <v>50</v>
      </c>
      <c r="P1891" s="1" t="n">
        <v>113</v>
      </c>
      <c r="Q1891" s="1" t="s">
        <v>38</v>
      </c>
      <c r="R1891" s="1" t="s">
        <v>62</v>
      </c>
      <c r="S1891" s="1" t="n">
        <v>1130101</v>
      </c>
      <c r="T1891" s="1" t="s">
        <v>63</v>
      </c>
      <c r="U1891" s="1" t="n">
        <v>247.56</v>
      </c>
      <c r="W1891" s="1" t="n">
        <v>0</v>
      </c>
      <c r="X1891" s="1" t="s">
        <v>1607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PURAGUA SODA COM GAS</v>
      </c>
      <c r="AC1891" s="1" t="n">
        <v>58376</v>
      </c>
    </row>
    <row r="1892" customFormat="false" ht="12.75" hidden="false" customHeight="true" outlineLevel="0" collapsed="false">
      <c r="A1892" s="1" t="n">
        <v>2</v>
      </c>
      <c r="B1892" s="17" t="n">
        <v>46269</v>
      </c>
      <c r="C1892" s="17" t="n">
        <v>46283</v>
      </c>
      <c r="D1892" s="1" t="n">
        <v>1608</v>
      </c>
      <c r="E1892" s="1" t="s">
        <v>224</v>
      </c>
      <c r="F1892" s="1" t="n">
        <v>24</v>
      </c>
      <c r="G1892" s="1" t="s">
        <v>91</v>
      </c>
      <c r="H1892" s="1" t="n">
        <v>2110405</v>
      </c>
      <c r="I1892" s="1" t="s">
        <v>55</v>
      </c>
      <c r="J1892" s="1" t="n">
        <v>1653001</v>
      </c>
      <c r="L1892" s="1" t="n">
        <v>227088</v>
      </c>
      <c r="M1892" s="1" t="s">
        <v>36</v>
      </c>
      <c r="N1892" s="1" t="s">
        <v>50</v>
      </c>
      <c r="P1892" s="1" t="n">
        <v>113</v>
      </c>
      <c r="Q1892" s="1" t="s">
        <v>38</v>
      </c>
      <c r="R1892" s="1" t="s">
        <v>62</v>
      </c>
      <c r="S1892" s="1" t="n">
        <v>1130101</v>
      </c>
      <c r="T1892" s="1" t="s">
        <v>63</v>
      </c>
      <c r="U1892" s="1" t="n">
        <v>1333.11</v>
      </c>
      <c r="W1892" s="1" t="n">
        <v>0</v>
      </c>
      <c r="X1892" s="1" t="s">
        <v>1632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ACHOC TODDY 200G</v>
      </c>
      <c r="AC1892" s="1" t="n">
        <v>1724435</v>
      </c>
    </row>
    <row r="1893" customFormat="false" ht="12.75" hidden="false" customHeight="true" outlineLevel="0" collapsed="false">
      <c r="A1893" s="1" t="n">
        <v>2</v>
      </c>
      <c r="B1893" s="17" t="n">
        <v>46223</v>
      </c>
      <c r="C1893" s="17" t="n">
        <v>46285</v>
      </c>
      <c r="D1893" s="1" t="n">
        <v>33</v>
      </c>
      <c r="E1893" s="1" t="s">
        <v>305</v>
      </c>
      <c r="F1893" s="1" t="n">
        <v>34</v>
      </c>
      <c r="G1893" s="1" t="s">
        <v>110</v>
      </c>
      <c r="H1893" s="1" t="n">
        <v>2110405</v>
      </c>
      <c r="I1893" s="1" t="s">
        <v>55</v>
      </c>
      <c r="J1893" s="1" t="n">
        <v>1424244</v>
      </c>
      <c r="L1893" s="1" t="n">
        <v>190900</v>
      </c>
      <c r="M1893" s="1" t="s">
        <v>76</v>
      </c>
      <c r="N1893" s="1" t="s">
        <v>50</v>
      </c>
      <c r="P1893" s="1" t="n">
        <v>101</v>
      </c>
      <c r="Q1893" s="1" t="s">
        <v>56</v>
      </c>
      <c r="R1893" s="1" t="s">
        <v>411</v>
      </c>
      <c r="S1893" s="1" t="n">
        <v>4210107</v>
      </c>
      <c r="T1893" s="1" t="s">
        <v>497</v>
      </c>
      <c r="U1893" s="1" t="n">
        <v>138.3</v>
      </c>
      <c r="W1893" s="1" t="n">
        <v>0</v>
      </c>
      <c r="X1893" s="1" t="s">
        <v>1633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12.75" hidden="false" customHeight="true" outlineLevel="0" collapsed="false">
      <c r="A1894" s="1" t="n">
        <v>2</v>
      </c>
      <c r="B1894" s="17" t="n">
        <v>46241</v>
      </c>
      <c r="C1894" s="17" t="n">
        <v>46285</v>
      </c>
      <c r="D1894" s="1" t="n">
        <v>10028</v>
      </c>
      <c r="E1894" s="1" t="s">
        <v>495</v>
      </c>
      <c r="F1894" s="1" t="n">
        <v>24</v>
      </c>
      <c r="G1894" s="1" t="s">
        <v>91</v>
      </c>
      <c r="H1894" s="1" t="n">
        <v>2110405</v>
      </c>
      <c r="I1894" s="1" t="s">
        <v>55</v>
      </c>
      <c r="J1894" s="1" t="n">
        <v>1370757</v>
      </c>
      <c r="L1894" s="1" t="n">
        <v>184341</v>
      </c>
      <c r="M1894" s="1" t="s">
        <v>76</v>
      </c>
      <c r="N1894" s="1" t="s">
        <v>50</v>
      </c>
      <c r="P1894" s="1" t="n">
        <v>101</v>
      </c>
      <c r="Q1894" s="1" t="s">
        <v>56</v>
      </c>
      <c r="R1894" s="1" t="s">
        <v>39</v>
      </c>
      <c r="S1894" s="1" t="n">
        <v>4210315</v>
      </c>
      <c r="T1894" s="1" t="s">
        <v>283</v>
      </c>
      <c r="U1894" s="1" t="n">
        <v>595.9</v>
      </c>
      <c r="W1894" s="1" t="n">
        <v>0</v>
      </c>
      <c r="X1894" s="1" t="s">
        <v>496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" t="n">
        <v>2</v>
      </c>
      <c r="B1895" s="17" t="n">
        <v>46253</v>
      </c>
      <c r="C1895" s="17" t="n">
        <v>46286</v>
      </c>
      <c r="D1895" s="1" t="n">
        <v>616</v>
      </c>
      <c r="E1895" s="1" t="s">
        <v>939</v>
      </c>
      <c r="F1895" s="1" t="n">
        <v>24</v>
      </c>
      <c r="G1895" s="1" t="s">
        <v>91</v>
      </c>
      <c r="H1895" s="1" t="n">
        <v>2110405</v>
      </c>
      <c r="I1895" s="1" t="s">
        <v>55</v>
      </c>
      <c r="J1895" s="1" t="n">
        <v>1572206</v>
      </c>
      <c r="L1895" s="1" t="n">
        <v>214775</v>
      </c>
      <c r="M1895" s="1" t="s">
        <v>36</v>
      </c>
      <c r="N1895" s="1" t="s">
        <v>50</v>
      </c>
      <c r="P1895" s="1" t="n">
        <v>113</v>
      </c>
      <c r="Q1895" s="1" t="s">
        <v>38</v>
      </c>
      <c r="R1895" s="1" t="s">
        <v>62</v>
      </c>
      <c r="S1895" s="1" t="n">
        <v>1130101</v>
      </c>
      <c r="T1895" s="1" t="s">
        <v>63</v>
      </c>
      <c r="U1895" s="1" t="n">
        <v>983.77</v>
      </c>
      <c r="W1895" s="1" t="n">
        <v>0</v>
      </c>
      <c r="X1895" s="1" t="s">
        <v>1562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2</v>
      </c>
      <c r="B1896" s="17" t="n">
        <v>46254</v>
      </c>
      <c r="C1896" s="17" t="n">
        <v>46286</v>
      </c>
      <c r="D1896" s="1" t="n">
        <v>10012</v>
      </c>
      <c r="E1896" s="1" t="s">
        <v>176</v>
      </c>
      <c r="F1896" s="1" t="n">
        <v>24</v>
      </c>
      <c r="G1896" s="1" t="s">
        <v>91</v>
      </c>
      <c r="H1896" s="1" t="n">
        <v>2110405</v>
      </c>
      <c r="I1896" s="1" t="s">
        <v>55</v>
      </c>
      <c r="J1896" s="1" t="n">
        <v>1577225</v>
      </c>
      <c r="L1896" s="1" t="n">
        <v>215620</v>
      </c>
      <c r="M1896" s="1" t="s">
        <v>36</v>
      </c>
      <c r="N1896" s="1" t="s">
        <v>50</v>
      </c>
      <c r="P1896" s="1" t="n">
        <v>113</v>
      </c>
      <c r="Q1896" s="1" t="s">
        <v>38</v>
      </c>
      <c r="R1896" s="1" t="s">
        <v>62</v>
      </c>
      <c r="S1896" s="1" t="n">
        <v>1130101</v>
      </c>
      <c r="T1896" s="1" t="s">
        <v>63</v>
      </c>
      <c r="U1896" s="1" t="n">
        <v>521.74</v>
      </c>
      <c r="W1896" s="1" t="n">
        <v>0</v>
      </c>
      <c r="X1896" s="1" t="s">
        <v>1563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SAB PHEBO ODOR90G</v>
      </c>
      <c r="AC1896" s="1" t="n">
        <v>1966312</v>
      </c>
    </row>
    <row r="1897" customFormat="false" ht="12.75" hidden="false" customHeight="true" outlineLevel="0" collapsed="false">
      <c r="A1897" s="1" t="n">
        <v>2</v>
      </c>
      <c r="B1897" s="17" t="n">
        <v>46259</v>
      </c>
      <c r="C1897" s="17" t="n">
        <v>46286</v>
      </c>
      <c r="D1897" s="1" t="n">
        <v>10009</v>
      </c>
      <c r="E1897" s="1" t="s">
        <v>469</v>
      </c>
      <c r="F1897" s="1" t="n">
        <v>24</v>
      </c>
      <c r="G1897" s="1" t="s">
        <v>91</v>
      </c>
      <c r="H1897" s="1" t="n">
        <v>2110405</v>
      </c>
      <c r="I1897" s="1" t="s">
        <v>55</v>
      </c>
      <c r="J1897" s="1" t="n">
        <v>1600247</v>
      </c>
      <c r="L1897" s="1" t="n">
        <v>219128</v>
      </c>
      <c r="M1897" s="1" t="s">
        <v>36</v>
      </c>
      <c r="N1897" s="1" t="s">
        <v>50</v>
      </c>
      <c r="P1897" s="1" t="n">
        <v>113</v>
      </c>
      <c r="Q1897" s="1" t="s">
        <v>38</v>
      </c>
      <c r="R1897" s="1" t="s">
        <v>62</v>
      </c>
      <c r="S1897" s="1" t="n">
        <v>1130101</v>
      </c>
      <c r="T1897" s="1" t="s">
        <v>63</v>
      </c>
      <c r="U1897" s="1" t="n">
        <v>1255.7</v>
      </c>
      <c r="W1897" s="1" t="n">
        <v>0</v>
      </c>
      <c r="X1897" s="1" t="s">
        <v>1634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TALENTO CSTN 85G</v>
      </c>
      <c r="AC1897" s="1" t="n">
        <v>1441731</v>
      </c>
    </row>
    <row r="1898" customFormat="false" ht="12.75" hidden="false" customHeight="true" outlineLevel="0" collapsed="false">
      <c r="A1898" s="1" t="n">
        <v>2</v>
      </c>
      <c r="B1898" s="17" t="n">
        <v>46266</v>
      </c>
      <c r="C1898" s="17" t="n">
        <v>46286</v>
      </c>
      <c r="D1898" s="1" t="n">
        <v>794</v>
      </c>
      <c r="E1898" s="1" t="s">
        <v>343</v>
      </c>
      <c r="F1898" s="1" t="n">
        <v>24</v>
      </c>
      <c r="G1898" s="1" t="s">
        <v>91</v>
      </c>
      <c r="H1898" s="1" t="n">
        <v>2110405</v>
      </c>
      <c r="I1898" s="1" t="s">
        <v>55</v>
      </c>
      <c r="J1898" s="1" t="n">
        <v>1633936</v>
      </c>
      <c r="L1898" s="1" t="n">
        <v>224235</v>
      </c>
      <c r="M1898" s="1" t="s">
        <v>36</v>
      </c>
      <c r="N1898" s="1" t="s">
        <v>50</v>
      </c>
      <c r="P1898" s="1" t="n">
        <v>113</v>
      </c>
      <c r="Q1898" s="1" t="s">
        <v>38</v>
      </c>
      <c r="R1898" s="1" t="s">
        <v>70</v>
      </c>
      <c r="S1898" s="1" t="n">
        <v>4210299</v>
      </c>
      <c r="T1898" s="1" t="s">
        <v>127</v>
      </c>
      <c r="U1898" s="1" t="n">
        <v>1332.55</v>
      </c>
      <c r="W1898" s="1" t="n">
        <v>0</v>
      </c>
      <c r="X1898" s="1" t="s">
        <v>1620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SACOLA BRC. L. ALIP.</v>
      </c>
      <c r="AC1898" s="1" t="n">
        <v>8802</v>
      </c>
    </row>
    <row r="1899" customFormat="false" ht="12.75" hidden="false" customHeight="true" outlineLevel="0" collapsed="false">
      <c r="A1899" s="1" t="n">
        <v>2</v>
      </c>
      <c r="B1899" s="17" t="n">
        <v>46268</v>
      </c>
      <c r="C1899" s="17" t="n">
        <v>46286</v>
      </c>
      <c r="D1899" s="1" t="n">
        <v>1611</v>
      </c>
      <c r="E1899" s="1" t="s">
        <v>172</v>
      </c>
      <c r="F1899" s="1" t="n">
        <v>24</v>
      </c>
      <c r="G1899" s="1" t="s">
        <v>91</v>
      </c>
      <c r="H1899" s="1" t="n">
        <v>2110405</v>
      </c>
      <c r="I1899" s="1" t="s">
        <v>55</v>
      </c>
      <c r="J1899" s="1" t="n">
        <v>1646253</v>
      </c>
      <c r="L1899" s="1" t="n">
        <v>225904</v>
      </c>
      <c r="M1899" s="1" t="s">
        <v>36</v>
      </c>
      <c r="N1899" s="1" t="s">
        <v>50</v>
      </c>
      <c r="P1899" s="1" t="n">
        <v>113</v>
      </c>
      <c r="Q1899" s="1" t="s">
        <v>38</v>
      </c>
      <c r="R1899" s="1" t="s">
        <v>62</v>
      </c>
      <c r="S1899" s="1" t="n">
        <v>1130101</v>
      </c>
      <c r="T1899" s="1" t="s">
        <v>63</v>
      </c>
      <c r="U1899" s="1" t="n">
        <v>176.57</v>
      </c>
      <c r="W1899" s="1" t="n">
        <v>0</v>
      </c>
      <c r="X1899" s="1" t="s">
        <v>1621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" t="n">
        <v>2</v>
      </c>
      <c r="B1900" s="17" t="n">
        <v>46260</v>
      </c>
      <c r="C1900" s="17" t="n">
        <v>46287</v>
      </c>
      <c r="D1900" s="1" t="n">
        <v>1601</v>
      </c>
      <c r="E1900" s="1" t="s">
        <v>192</v>
      </c>
      <c r="F1900" s="1" t="n">
        <v>24</v>
      </c>
      <c r="G1900" s="1" t="s">
        <v>91</v>
      </c>
      <c r="H1900" s="1" t="n">
        <v>2110405</v>
      </c>
      <c r="I1900" s="1" t="s">
        <v>55</v>
      </c>
      <c r="J1900" s="1" t="n">
        <v>1604000</v>
      </c>
      <c r="L1900" s="1" t="n">
        <v>219688</v>
      </c>
      <c r="M1900" s="1" t="s">
        <v>36</v>
      </c>
      <c r="N1900" s="1" t="s">
        <v>50</v>
      </c>
      <c r="P1900" s="1" t="n">
        <v>113</v>
      </c>
      <c r="Q1900" s="1" t="s">
        <v>38</v>
      </c>
      <c r="R1900" s="1" t="s">
        <v>62</v>
      </c>
      <c r="S1900" s="1" t="n">
        <v>1130101</v>
      </c>
      <c r="T1900" s="1" t="s">
        <v>63</v>
      </c>
      <c r="U1900" s="1" t="n">
        <v>843.65</v>
      </c>
      <c r="W1900" s="1" t="n">
        <v>0</v>
      </c>
      <c r="X1900" s="1" t="s">
        <v>1570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HEINZ YELLOW MUSTARD</v>
      </c>
      <c r="AC1900" s="1" t="n">
        <v>866347</v>
      </c>
    </row>
    <row r="1901" customFormat="false" ht="12.75" hidden="false" customHeight="true" outlineLevel="0" collapsed="false">
      <c r="A1901" s="1" t="n">
        <v>2</v>
      </c>
      <c r="B1901" s="17" t="n">
        <v>46260</v>
      </c>
      <c r="C1901" s="17" t="n">
        <v>46287</v>
      </c>
      <c r="D1901" s="1" t="n">
        <v>794</v>
      </c>
      <c r="E1901" s="1" t="s">
        <v>343</v>
      </c>
      <c r="F1901" s="1" t="n">
        <v>24</v>
      </c>
      <c r="G1901" s="1" t="s">
        <v>91</v>
      </c>
      <c r="H1901" s="1" t="n">
        <v>2110405</v>
      </c>
      <c r="I1901" s="1" t="s">
        <v>55</v>
      </c>
      <c r="J1901" s="1" t="n">
        <v>1604329</v>
      </c>
      <c r="L1901" s="1" t="n">
        <v>219752</v>
      </c>
      <c r="M1901" s="1" t="s">
        <v>36</v>
      </c>
      <c r="N1901" s="1" t="s">
        <v>50</v>
      </c>
      <c r="P1901" s="1" t="n">
        <v>113</v>
      </c>
      <c r="Q1901" s="1" t="s">
        <v>38</v>
      </c>
      <c r="R1901" s="1" t="s">
        <v>62</v>
      </c>
      <c r="S1901" s="1" t="n">
        <v>1130101</v>
      </c>
      <c r="T1901" s="1" t="s">
        <v>63</v>
      </c>
      <c r="U1901" s="1" t="n">
        <v>873.08</v>
      </c>
      <c r="W1901" s="1" t="n">
        <v>0</v>
      </c>
      <c r="X1901" s="1" t="s">
        <v>1571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VASS MADRID CONDOR C/CABO</v>
      </c>
      <c r="AC1901" s="1" t="n">
        <v>8744</v>
      </c>
    </row>
    <row r="1902" customFormat="false" ht="12.75" hidden="false" customHeight="true" outlineLevel="0" collapsed="false">
      <c r="A1902" s="1" t="n">
        <v>2</v>
      </c>
      <c r="B1902" s="17" t="n">
        <v>46261</v>
      </c>
      <c r="C1902" s="17" t="n">
        <v>46287</v>
      </c>
      <c r="D1902" s="1" t="n">
        <v>1637</v>
      </c>
      <c r="E1902" s="1" t="s">
        <v>870</v>
      </c>
      <c r="F1902" s="1" t="n">
        <v>24</v>
      </c>
      <c r="G1902" s="1" t="s">
        <v>91</v>
      </c>
      <c r="H1902" s="1" t="n">
        <v>2110405</v>
      </c>
      <c r="I1902" s="1" t="s">
        <v>55</v>
      </c>
      <c r="J1902" s="1" t="n">
        <v>1609012</v>
      </c>
      <c r="L1902" s="1" t="n">
        <v>220473</v>
      </c>
      <c r="M1902" s="1" t="s">
        <v>36</v>
      </c>
      <c r="N1902" s="1" t="s">
        <v>50</v>
      </c>
      <c r="P1902" s="1" t="n">
        <v>113</v>
      </c>
      <c r="Q1902" s="1" t="s">
        <v>38</v>
      </c>
      <c r="R1902" s="1" t="s">
        <v>62</v>
      </c>
      <c r="S1902" s="1" t="n">
        <v>1130101</v>
      </c>
      <c r="T1902" s="1" t="s">
        <v>63</v>
      </c>
      <c r="U1902" s="1" t="n">
        <v>942.69</v>
      </c>
      <c r="W1902" s="1" t="n">
        <v>0</v>
      </c>
      <c r="X1902" s="1" t="s">
        <v>1635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LEITE NINHO INTEGRAL380G LT</v>
      </c>
      <c r="AC1902" s="1" t="n">
        <v>1925381</v>
      </c>
    </row>
    <row r="1903" customFormat="false" ht="12.75" hidden="false" customHeight="true" outlineLevel="0" collapsed="false">
      <c r="A1903" s="1" t="n">
        <v>2</v>
      </c>
      <c r="B1903" s="17" t="n">
        <v>46269</v>
      </c>
      <c r="C1903" s="17" t="n">
        <v>46287</v>
      </c>
      <c r="D1903" s="1" t="n">
        <v>1672</v>
      </c>
      <c r="E1903" s="1" t="s">
        <v>340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1651551</v>
      </c>
      <c r="L1903" s="1" t="n">
        <v>226827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1917.5</v>
      </c>
      <c r="W1903" s="1" t="n">
        <v>0</v>
      </c>
      <c r="X1903" s="1" t="s">
        <v>1636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REFRIG MAGISTRAL 2L</v>
      </c>
      <c r="AC1903" s="1" t="n">
        <v>1440541</v>
      </c>
    </row>
    <row r="1904" customFormat="false" ht="12.75" hidden="false" customHeight="true" outlineLevel="0" collapsed="false">
      <c r="A1904" s="1" t="n">
        <v>2</v>
      </c>
      <c r="B1904" s="17" t="n">
        <v>46260</v>
      </c>
      <c r="C1904" s="17" t="n">
        <v>46288</v>
      </c>
      <c r="D1904" s="1" t="n">
        <v>1107</v>
      </c>
      <c r="E1904" s="1" t="s">
        <v>227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1605200</v>
      </c>
      <c r="L1904" s="1" t="n">
        <v>219910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1510.34</v>
      </c>
      <c r="W1904" s="1" t="n">
        <v>0</v>
      </c>
      <c r="X1904" s="1" t="s">
        <v>1581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BOLINHO MORANGO 7308</v>
      </c>
      <c r="AC1904" s="1" t="n">
        <v>447609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46288</v>
      </c>
      <c r="D1905" s="1" t="n">
        <v>1613</v>
      </c>
      <c r="E1905" s="1" t="s">
        <v>107</v>
      </c>
      <c r="F1905" s="1" t="n">
        <v>24</v>
      </c>
      <c r="G1905" s="1" t="s">
        <v>91</v>
      </c>
      <c r="H1905" s="1" t="n">
        <v>2110405</v>
      </c>
      <c r="I1905" s="1" t="s">
        <v>55</v>
      </c>
      <c r="J1905" s="1" t="n">
        <v>1653086</v>
      </c>
      <c r="L1905" s="1" t="n">
        <v>227108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2295.99</v>
      </c>
      <c r="W1905" s="1" t="n">
        <v>0</v>
      </c>
      <c r="X1905" s="1" t="s">
        <v>1629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COSTELA SUINA KG</v>
      </c>
      <c r="AC1905" s="1" t="n">
        <v>1627324</v>
      </c>
    </row>
    <row r="1906" customFormat="false" ht="12.75" hidden="false" customHeight="true" outlineLevel="0" collapsed="false">
      <c r="A1906" s="1" t="n">
        <v>2</v>
      </c>
      <c r="B1906" s="17" t="n">
        <v>46244</v>
      </c>
      <c r="C1906" s="17" t="n">
        <v>46289</v>
      </c>
      <c r="D1906" s="1" t="n">
        <v>1789</v>
      </c>
      <c r="E1906" s="1" t="s">
        <v>549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1529685</v>
      </c>
      <c r="L1906" s="1" t="n">
        <v>208126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411</v>
      </c>
      <c r="S1906" s="1" t="n">
        <v>4210112</v>
      </c>
      <c r="T1906" s="1" t="s">
        <v>550</v>
      </c>
      <c r="U1906" s="1" t="n">
        <v>10645.93</v>
      </c>
      <c r="W1906" s="1" t="n">
        <v>0</v>
      </c>
      <c r="X1906" s="1" t="s">
        <v>1637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" t="n">
        <v>2</v>
      </c>
      <c r="B1907" s="17" t="n">
        <v>46261</v>
      </c>
      <c r="C1907" s="17" t="n">
        <v>46289</v>
      </c>
      <c r="D1907" s="1" t="n">
        <v>1706</v>
      </c>
      <c r="E1907" s="1" t="s">
        <v>1595</v>
      </c>
      <c r="F1907" s="1" t="n">
        <v>24</v>
      </c>
      <c r="G1907" s="1" t="s">
        <v>91</v>
      </c>
      <c r="H1907" s="1" t="n">
        <v>2110405</v>
      </c>
      <c r="I1907" s="1" t="s">
        <v>55</v>
      </c>
      <c r="J1907" s="1" t="n">
        <v>1608557</v>
      </c>
      <c r="L1907" s="1" t="n">
        <v>220371</v>
      </c>
      <c r="M1907" s="1" t="s">
        <v>36</v>
      </c>
      <c r="N1907" s="1" t="s">
        <v>50</v>
      </c>
      <c r="P1907" s="1" t="n">
        <v>113</v>
      </c>
      <c r="Q1907" s="1" t="s">
        <v>38</v>
      </c>
      <c r="R1907" s="1" t="s">
        <v>62</v>
      </c>
      <c r="S1907" s="1" t="n">
        <v>1130101</v>
      </c>
      <c r="T1907" s="1" t="s">
        <v>63</v>
      </c>
      <c r="U1907" s="1" t="n">
        <v>805.4</v>
      </c>
      <c r="W1907" s="1" t="n">
        <v>0</v>
      </c>
      <c r="X1907" s="1" t="s">
        <v>1596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BATATA PRINGLES ORIGINAL 104G</v>
      </c>
      <c r="AC1907" s="1" t="n">
        <v>206697</v>
      </c>
    </row>
    <row r="1908" customFormat="false" ht="12.75" hidden="false" customHeight="true" outlineLevel="0" collapsed="false">
      <c r="A1908" s="1" t="n">
        <v>2</v>
      </c>
      <c r="B1908" s="17" t="n">
        <v>46262</v>
      </c>
      <c r="C1908" s="17" t="n">
        <v>46289</v>
      </c>
      <c r="D1908" s="1" t="n">
        <v>1196</v>
      </c>
      <c r="E1908" s="1" t="s">
        <v>1423</v>
      </c>
      <c r="F1908" s="1" t="n">
        <v>24</v>
      </c>
      <c r="G1908" s="1" t="s">
        <v>91</v>
      </c>
      <c r="H1908" s="1" t="n">
        <v>2110405</v>
      </c>
      <c r="I1908" s="1" t="s">
        <v>55</v>
      </c>
      <c r="J1908" s="1" t="n">
        <v>1614562</v>
      </c>
      <c r="L1908" s="1" t="n">
        <v>221462</v>
      </c>
      <c r="M1908" s="1" t="s">
        <v>36</v>
      </c>
      <c r="N1908" s="1" t="s">
        <v>50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1213.96</v>
      </c>
      <c r="W1908" s="1" t="n">
        <v>0</v>
      </c>
      <c r="X1908" s="1" t="s">
        <v>1601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CAFÉ RANCHEIRO 250G</v>
      </c>
      <c r="AC1908" s="1" t="n">
        <v>13070</v>
      </c>
    </row>
    <row r="1909" customFormat="false" ht="12.75" hidden="false" customHeight="true" outlineLevel="0" collapsed="false">
      <c r="A1909" s="1" t="n">
        <v>2</v>
      </c>
      <c r="B1909" s="17" t="n">
        <v>46268</v>
      </c>
      <c r="C1909" s="17" t="n">
        <v>46289</v>
      </c>
      <c r="D1909" s="1" t="n">
        <v>1666</v>
      </c>
      <c r="E1909" s="1" t="s">
        <v>229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1647476</v>
      </c>
      <c r="L1909" s="1" t="n">
        <v>226243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4761.78</v>
      </c>
      <c r="W1909" s="1" t="n">
        <v>0</v>
      </c>
      <c r="X1909" s="1" t="s">
        <v>1631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ISQUEIRO BIC G</v>
      </c>
      <c r="AC1909" s="1" t="n">
        <v>572518</v>
      </c>
    </row>
    <row r="1910" customFormat="false" ht="12.75" hidden="false" customHeight="true" outlineLevel="0" collapsed="false">
      <c r="A1910" s="1" t="n">
        <v>2</v>
      </c>
      <c r="B1910" s="17" t="n">
        <v>46013</v>
      </c>
      <c r="C1910" s="17" t="n">
        <v>46290</v>
      </c>
      <c r="D1910" s="1" t="n">
        <v>17</v>
      </c>
      <c r="E1910" s="1" t="s">
        <v>490</v>
      </c>
      <c r="F1910" s="1" t="n">
        <v>48</v>
      </c>
      <c r="G1910" s="1" t="s">
        <v>569</v>
      </c>
      <c r="H1910" s="1" t="n">
        <v>2110405</v>
      </c>
      <c r="I1910" s="1" t="s">
        <v>55</v>
      </c>
      <c r="J1910" s="1" t="n">
        <v>660421</v>
      </c>
      <c r="L1910" s="1" t="n">
        <v>86128</v>
      </c>
      <c r="M1910" s="1" t="s">
        <v>1118</v>
      </c>
      <c r="N1910" s="1" t="s">
        <v>50</v>
      </c>
      <c r="P1910" s="1" t="n">
        <v>101</v>
      </c>
      <c r="Q1910" s="1" t="s">
        <v>56</v>
      </c>
      <c r="R1910" s="1" t="s">
        <v>57</v>
      </c>
      <c r="S1910" s="1" t="n">
        <v>4220199</v>
      </c>
      <c r="T1910" s="1" t="s">
        <v>58</v>
      </c>
      <c r="U1910" s="1" t="n">
        <v>362.14</v>
      </c>
      <c r="W1910" s="1" t="n">
        <v>0</v>
      </c>
      <c r="X1910" s="1" t="s">
        <v>571</v>
      </c>
      <c r="Z1910" s="1" t="str">
        <f aca="false">IF($T1910="","",IFERROR(INDEX('Resumo Grupos'!$AC$3:$AC$200,MATCH($T1910,'Resumo Grupos'!$AB$3:$AB$200,0)),"n/d"))</f>
        <v>Pagamentos outros não operacionais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2</v>
      </c>
      <c r="B1911" s="17" t="n">
        <v>46029</v>
      </c>
      <c r="C1911" s="17" t="n">
        <v>46290</v>
      </c>
      <c r="D1911" s="1" t="n">
        <v>17</v>
      </c>
      <c r="E1911" s="1" t="s">
        <v>490</v>
      </c>
      <c r="F1911" s="1" t="n">
        <v>48</v>
      </c>
      <c r="G1911" s="1" t="s">
        <v>569</v>
      </c>
      <c r="H1911" s="1" t="n">
        <v>2110405</v>
      </c>
      <c r="I1911" s="1" t="s">
        <v>55</v>
      </c>
      <c r="J1911" s="1" t="n">
        <v>660305</v>
      </c>
      <c r="L1911" s="1" t="n">
        <v>86116</v>
      </c>
      <c r="M1911" s="1" t="s">
        <v>1118</v>
      </c>
      <c r="N1911" s="1" t="s">
        <v>50</v>
      </c>
      <c r="P1911" s="1" t="n">
        <v>101</v>
      </c>
      <c r="Q1911" s="1" t="s">
        <v>56</v>
      </c>
      <c r="R1911" s="1" t="s">
        <v>57</v>
      </c>
      <c r="S1911" s="1" t="n">
        <v>4220199</v>
      </c>
      <c r="T1911" s="1" t="s">
        <v>58</v>
      </c>
      <c r="U1911" s="1" t="n">
        <v>84.03</v>
      </c>
      <c r="W1911" s="1" t="n">
        <v>0</v>
      </c>
      <c r="X1911" s="1" t="s">
        <v>570</v>
      </c>
      <c r="Z1911" s="1" t="str">
        <f aca="false">IF($T1911="","",IFERROR(INDEX('Resumo Grupos'!$AC$3:$AC$200,MATCH($T1911,'Resumo Grupos'!$AB$3:$AB$200,0)),"n/d"))</f>
        <v>Pagamentos outros não operacionais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2</v>
      </c>
      <c r="B1912" s="17" t="n">
        <v>46243</v>
      </c>
      <c r="C1912" s="17" t="n">
        <v>46290</v>
      </c>
      <c r="D1912" s="1" t="n">
        <v>17</v>
      </c>
      <c r="E1912" s="1" t="s">
        <v>490</v>
      </c>
      <c r="F1912" s="1" t="n">
        <v>48</v>
      </c>
      <c r="G1912" s="1" t="s">
        <v>569</v>
      </c>
      <c r="H1912" s="1" t="n">
        <v>2110405</v>
      </c>
      <c r="I1912" s="1" t="s">
        <v>55</v>
      </c>
      <c r="J1912" s="1" t="n">
        <v>1551938</v>
      </c>
      <c r="L1912" s="1" t="n">
        <v>211786</v>
      </c>
      <c r="M1912" s="1" t="s">
        <v>88</v>
      </c>
      <c r="N1912" s="1" t="s">
        <v>50</v>
      </c>
      <c r="P1912" s="1" t="n">
        <v>101</v>
      </c>
      <c r="Q1912" s="1" t="s">
        <v>56</v>
      </c>
      <c r="R1912" s="1" t="s">
        <v>57</v>
      </c>
      <c r="S1912" s="1" t="n">
        <v>4220199</v>
      </c>
      <c r="T1912" s="1" t="s">
        <v>58</v>
      </c>
      <c r="U1912" s="1" t="n">
        <v>52.52</v>
      </c>
      <c r="W1912" s="1" t="n">
        <v>0</v>
      </c>
      <c r="X1912" s="1" t="s">
        <v>1638</v>
      </c>
      <c r="Z1912" s="1" t="str">
        <f aca="false">IF($T1912="","",IFERROR(INDEX('Resumo Grupos'!$AC$3:$AC$200,MATCH($T1912,'Resumo Grupos'!$AB$3:$AB$200,0)),"n/d"))</f>
        <v>Pagamentos outros não operacionais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2</v>
      </c>
      <c r="B1913" s="17" t="n">
        <v>46256</v>
      </c>
      <c r="C1913" s="17" t="n">
        <v>46290</v>
      </c>
      <c r="D1913" s="1" t="n">
        <v>1782</v>
      </c>
      <c r="E1913" s="1" t="s">
        <v>1639</v>
      </c>
      <c r="F1913" s="1" t="n">
        <v>48</v>
      </c>
      <c r="G1913" s="1" t="s">
        <v>569</v>
      </c>
      <c r="H1913" s="1" t="n">
        <v>2110405</v>
      </c>
      <c r="I1913" s="1" t="s">
        <v>55</v>
      </c>
      <c r="J1913" s="1" t="n">
        <v>1595448</v>
      </c>
      <c r="L1913" s="1" t="n">
        <v>2208</v>
      </c>
      <c r="M1913" s="1" t="s">
        <v>36</v>
      </c>
      <c r="N1913" s="1" t="s">
        <v>50</v>
      </c>
      <c r="P1913" s="1" t="n">
        <v>101</v>
      </c>
      <c r="Q1913" s="1" t="s">
        <v>56</v>
      </c>
      <c r="R1913" s="1" t="s">
        <v>70</v>
      </c>
      <c r="S1913" s="1" t="n">
        <v>4210232</v>
      </c>
      <c r="T1913" s="1" t="s">
        <v>324</v>
      </c>
      <c r="U1913" s="1" t="n">
        <v>79.9</v>
      </c>
      <c r="W1913" s="1" t="n">
        <v>0</v>
      </c>
      <c r="X1913" s="1" t="s">
        <v>1640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2</v>
      </c>
      <c r="B1914" s="17" t="n">
        <v>46265</v>
      </c>
      <c r="C1914" s="17" t="n">
        <v>46290</v>
      </c>
      <c r="D1914" s="1" t="n">
        <v>1616</v>
      </c>
      <c r="E1914" s="1" t="s">
        <v>94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1629541</v>
      </c>
      <c r="L1914" s="1" t="n">
        <v>223546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610.19</v>
      </c>
      <c r="W1914" s="1" t="n">
        <v>0</v>
      </c>
      <c r="X1914" s="1" t="s">
        <v>1606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ESPONJA BRILHUS 1UNI</v>
      </c>
      <c r="AC1914" s="1" t="n">
        <v>656817</v>
      </c>
    </row>
    <row r="1915" customFormat="false" ht="12.75" hidden="false" customHeight="true" outlineLevel="0" collapsed="false">
      <c r="A1915" s="1" t="n">
        <v>2</v>
      </c>
      <c r="B1915" s="17" t="n">
        <v>46269</v>
      </c>
      <c r="C1915" s="17" t="n">
        <v>46290</v>
      </c>
      <c r="D1915" s="1" t="n">
        <v>1608</v>
      </c>
      <c r="E1915" s="1" t="s">
        <v>224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1653005</v>
      </c>
      <c r="L1915" s="1" t="n">
        <v>227090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1333.12</v>
      </c>
      <c r="W1915" s="1" t="n">
        <v>0</v>
      </c>
      <c r="X1915" s="1" t="s">
        <v>1632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ACHOC TODDY 200G</v>
      </c>
      <c r="AC1915" s="1" t="n">
        <v>1724435</v>
      </c>
    </row>
    <row r="1916" customFormat="false" ht="12.75" hidden="false" customHeight="true" outlineLevel="0" collapsed="false">
      <c r="A1916" s="1" t="n">
        <v>2</v>
      </c>
      <c r="B1916" s="17" t="n">
        <v>46023</v>
      </c>
      <c r="C1916" s="17" t="n">
        <v>46293</v>
      </c>
      <c r="D1916" s="1" t="n">
        <v>515</v>
      </c>
      <c r="E1916" s="1" t="s">
        <v>157</v>
      </c>
      <c r="F1916" s="1" t="n">
        <v>34</v>
      </c>
      <c r="G1916" s="1" t="s">
        <v>110</v>
      </c>
      <c r="H1916" s="1" t="n">
        <v>2110405</v>
      </c>
      <c r="I1916" s="1" t="s">
        <v>55</v>
      </c>
      <c r="J1916" s="1" t="n">
        <v>1012266</v>
      </c>
      <c r="L1916" s="1" t="n">
        <v>133812</v>
      </c>
      <c r="M1916" s="1" t="s">
        <v>1118</v>
      </c>
      <c r="N1916" s="1" t="s">
        <v>50</v>
      </c>
      <c r="P1916" s="1" t="n">
        <v>101</v>
      </c>
      <c r="Q1916" s="1" t="s">
        <v>56</v>
      </c>
      <c r="R1916" s="1" t="s">
        <v>333</v>
      </c>
      <c r="S1916" s="1" t="n">
        <v>2110901</v>
      </c>
      <c r="T1916" s="1" t="s">
        <v>334</v>
      </c>
      <c r="U1916" s="1" t="n">
        <v>4168.41</v>
      </c>
      <c r="W1916" s="1" t="n">
        <v>0</v>
      </c>
      <c r="X1916" s="1" t="s">
        <v>1641</v>
      </c>
      <c r="Z1916" s="1" t="str">
        <f aca="false">IF($T1916="","",IFERROR(INDEX('Resumo Grupos'!$AC$3:$AC$200,MATCH($T1916,'Resumo Grupos'!$AB$3:$AB$200,0)),"n/d"))</f>
        <v>Empréstimo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2</v>
      </c>
      <c r="B1917" s="17" t="n">
        <v>46265</v>
      </c>
      <c r="C1917" s="17" t="n">
        <v>46293</v>
      </c>
      <c r="D1917" s="1" t="n">
        <v>1637</v>
      </c>
      <c r="E1917" s="1" t="s">
        <v>870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1629204</v>
      </c>
      <c r="L1917" s="1" t="n">
        <v>223450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1348.29</v>
      </c>
      <c r="W1917" s="1" t="n">
        <v>0</v>
      </c>
      <c r="X1917" s="1" t="s">
        <v>1642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LEITE NINHO INTEGRAL380G LT</v>
      </c>
      <c r="AC1917" s="1" t="n">
        <v>1927745</v>
      </c>
    </row>
    <row r="1918" customFormat="false" ht="12.75" hidden="false" customHeight="true" outlineLevel="0" collapsed="false">
      <c r="A1918" s="1" t="n">
        <v>2</v>
      </c>
      <c r="B1918" s="17" t="n">
        <v>46266</v>
      </c>
      <c r="C1918" s="17" t="n">
        <v>46293</v>
      </c>
      <c r="D1918" s="1" t="n">
        <v>794</v>
      </c>
      <c r="E1918" s="1" t="s">
        <v>343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1633937</v>
      </c>
      <c r="L1918" s="1" t="n">
        <v>224236</v>
      </c>
      <c r="M1918" s="1" t="s">
        <v>36</v>
      </c>
      <c r="N1918" s="1" t="s">
        <v>50</v>
      </c>
      <c r="P1918" s="1" t="n">
        <v>113</v>
      </c>
      <c r="Q1918" s="1" t="s">
        <v>38</v>
      </c>
      <c r="R1918" s="1" t="s">
        <v>70</v>
      </c>
      <c r="S1918" s="1" t="n">
        <v>4210299</v>
      </c>
      <c r="T1918" s="1" t="s">
        <v>127</v>
      </c>
      <c r="U1918" s="1" t="n">
        <v>1332.55</v>
      </c>
      <c r="W1918" s="1" t="n">
        <v>0</v>
      </c>
      <c r="X1918" s="1" t="s">
        <v>1620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SACOLA BRC. L. ALIP.</v>
      </c>
      <c r="AC1918" s="1" t="n">
        <v>8802</v>
      </c>
    </row>
    <row r="1919" customFormat="false" ht="12.75" hidden="false" customHeight="true" outlineLevel="0" collapsed="false">
      <c r="A1919" s="1" t="n">
        <v>2</v>
      </c>
      <c r="B1919" s="17" t="n">
        <v>46268</v>
      </c>
      <c r="C1919" s="17" t="n">
        <v>46293</v>
      </c>
      <c r="D1919" s="1" t="n">
        <v>1611</v>
      </c>
      <c r="E1919" s="1" t="s">
        <v>172</v>
      </c>
      <c r="F1919" s="1" t="n">
        <v>24</v>
      </c>
      <c r="G1919" s="1" t="s">
        <v>91</v>
      </c>
      <c r="H1919" s="1" t="n">
        <v>2110101</v>
      </c>
      <c r="I1919" s="1" t="s">
        <v>48</v>
      </c>
      <c r="J1919" s="1" t="n">
        <v>1646259</v>
      </c>
      <c r="L1919" s="1" t="n">
        <v>225906</v>
      </c>
      <c r="M1919" s="1" t="s">
        <v>36</v>
      </c>
      <c r="N1919" s="1" t="s">
        <v>50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176.57</v>
      </c>
      <c r="W1919" s="1" t="n">
        <v>0</v>
      </c>
      <c r="X1919" s="1" t="s">
        <v>1621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2</v>
      </c>
      <c r="B1920" s="17" t="n">
        <v>46260</v>
      </c>
      <c r="C1920" s="17" t="n">
        <v>46294</v>
      </c>
      <c r="D1920" s="1" t="n">
        <v>1390</v>
      </c>
      <c r="E1920" s="1" t="s">
        <v>1643</v>
      </c>
      <c r="F1920" s="1" t="n">
        <v>24</v>
      </c>
      <c r="G1920" s="1" t="s">
        <v>91</v>
      </c>
      <c r="H1920" s="1" t="n">
        <v>2110405</v>
      </c>
      <c r="I1920" s="1" t="s">
        <v>55</v>
      </c>
      <c r="J1920" s="1" t="n">
        <v>1603783</v>
      </c>
      <c r="L1920" s="1" t="n">
        <v>219644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348.18</v>
      </c>
      <c r="W1920" s="1" t="n">
        <v>0</v>
      </c>
      <c r="X1920" s="1" t="s">
        <v>1644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LOLLIPOP DONUTS SORTIDOS 15G</v>
      </c>
      <c r="AC1920" s="1" t="n">
        <v>7287</v>
      </c>
    </row>
    <row r="1921" customFormat="false" ht="12.75" hidden="false" customHeight="true" outlineLevel="0" collapsed="false">
      <c r="A1921" s="1" t="n">
        <v>2</v>
      </c>
      <c r="B1921" s="17" t="n">
        <v>46260</v>
      </c>
      <c r="C1921" s="17" t="n">
        <v>46294</v>
      </c>
      <c r="D1921" s="1" t="n">
        <v>794</v>
      </c>
      <c r="E1921" s="1" t="s">
        <v>343</v>
      </c>
      <c r="F1921" s="1" t="n">
        <v>24</v>
      </c>
      <c r="G1921" s="1" t="s">
        <v>91</v>
      </c>
      <c r="H1921" s="1" t="n">
        <v>2110405</v>
      </c>
      <c r="I1921" s="1" t="s">
        <v>55</v>
      </c>
      <c r="J1921" s="1" t="n">
        <v>1604332</v>
      </c>
      <c r="L1921" s="1" t="n">
        <v>219753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873.06</v>
      </c>
      <c r="W1921" s="1" t="n">
        <v>0</v>
      </c>
      <c r="X1921" s="1" t="s">
        <v>1571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VASS MADRID CONDOR C/CABO</v>
      </c>
      <c r="AC1921" s="1" t="n">
        <v>8744</v>
      </c>
    </row>
    <row r="1922" customFormat="false" ht="12.75" hidden="false" customHeight="true" outlineLevel="0" collapsed="false">
      <c r="A1922" s="1" t="n">
        <v>2</v>
      </c>
      <c r="B1922" s="17" t="n">
        <v>46265</v>
      </c>
      <c r="C1922" s="17" t="n">
        <v>46295</v>
      </c>
      <c r="D1922" s="1" t="n">
        <v>1150</v>
      </c>
      <c r="E1922" s="1" t="s">
        <v>1593</v>
      </c>
      <c r="F1922" s="1" t="n">
        <v>46</v>
      </c>
      <c r="G1922" s="1" t="s">
        <v>323</v>
      </c>
      <c r="H1922" s="1" t="n">
        <v>2110405</v>
      </c>
      <c r="I1922" s="1" t="s">
        <v>55</v>
      </c>
      <c r="J1922" s="1" t="n">
        <v>1656987</v>
      </c>
      <c r="L1922" s="1" t="n">
        <v>87916</v>
      </c>
      <c r="M1922" s="1" t="s">
        <v>36</v>
      </c>
      <c r="N1922" s="1" t="s">
        <v>50</v>
      </c>
      <c r="P1922" s="1" t="n">
        <v>101</v>
      </c>
      <c r="Q1922" s="1" t="s">
        <v>56</v>
      </c>
      <c r="R1922" s="1" t="s">
        <v>70</v>
      </c>
      <c r="S1922" s="1" t="n">
        <v>4210227</v>
      </c>
      <c r="T1922" s="1" t="s">
        <v>77</v>
      </c>
      <c r="U1922" s="1" t="n">
        <v>241.82</v>
      </c>
      <c r="W1922" s="1" t="n">
        <v>0</v>
      </c>
      <c r="X1922" s="1"/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2</v>
      </c>
      <c r="B1923" s="17" t="n">
        <v>46270</v>
      </c>
      <c r="C1923" s="17" t="n">
        <v>46295</v>
      </c>
      <c r="D1923" s="1" t="n">
        <v>639</v>
      </c>
      <c r="E1923" s="1" t="s">
        <v>501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1141287</v>
      </c>
      <c r="L1923" s="1" t="n">
        <v>151507</v>
      </c>
      <c r="M1923" s="1" t="s">
        <v>76</v>
      </c>
      <c r="N1923" s="1" t="s">
        <v>50</v>
      </c>
      <c r="P1923" s="1" t="n">
        <v>101</v>
      </c>
      <c r="Q1923" s="1" t="s">
        <v>56</v>
      </c>
      <c r="R1923" s="1" t="s">
        <v>70</v>
      </c>
      <c r="S1923" s="1" t="n">
        <v>4210216</v>
      </c>
      <c r="T1923" s="1" t="s">
        <v>502</v>
      </c>
      <c r="U1923" s="1" t="n">
        <v>420</v>
      </c>
      <c r="W1923" s="1" t="n">
        <v>0</v>
      </c>
      <c r="X1923" s="1" t="s">
        <v>992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" t="n">
        <v>2</v>
      </c>
      <c r="B1924" s="17" t="n">
        <v>46055</v>
      </c>
      <c r="C1924" s="17" t="n">
        <v>46296</v>
      </c>
      <c r="D1924" s="1" t="n">
        <v>10039</v>
      </c>
      <c r="E1924" s="1" t="s">
        <v>84</v>
      </c>
      <c r="F1924" s="1" t="n">
        <v>47</v>
      </c>
      <c r="G1924" s="1" t="s">
        <v>47</v>
      </c>
      <c r="H1924" s="1" t="n">
        <v>2110405</v>
      </c>
      <c r="I1924" s="1" t="s">
        <v>55</v>
      </c>
      <c r="J1924" s="1" t="n">
        <v>846832</v>
      </c>
      <c r="L1924" s="1" t="n">
        <v>111506</v>
      </c>
      <c r="M1924" s="1" t="s">
        <v>678</v>
      </c>
      <c r="N1924" s="1" t="s">
        <v>50</v>
      </c>
      <c r="P1924" s="1" t="n">
        <v>113</v>
      </c>
      <c r="Q1924" s="1" t="s">
        <v>38</v>
      </c>
      <c r="R1924" s="1" t="s">
        <v>70</v>
      </c>
      <c r="S1924" s="1" t="n">
        <v>4210227</v>
      </c>
      <c r="T1924" s="1" t="s">
        <v>77</v>
      </c>
      <c r="U1924" s="1" t="n">
        <v>378.82</v>
      </c>
      <c r="W1924" s="1" t="n">
        <v>0</v>
      </c>
      <c r="X1924" s="1" t="s">
        <v>1645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nao encontrado</v>
      </c>
      <c r="AC1924" s="1" t="n">
        <v>258</v>
      </c>
    </row>
    <row r="1925" customFormat="false" ht="12.75" hidden="false" customHeight="true" outlineLevel="0" collapsed="false">
      <c r="A1925" s="1" t="n">
        <v>2</v>
      </c>
      <c r="B1925" s="17" t="n">
        <v>46246</v>
      </c>
      <c r="C1925" s="17" t="n">
        <v>46296</v>
      </c>
      <c r="D1925" s="1" t="n">
        <v>875</v>
      </c>
      <c r="E1925" s="1" t="s">
        <v>87</v>
      </c>
      <c r="F1925" s="1" t="n">
        <v>47</v>
      </c>
      <c r="G1925" s="1" t="s">
        <v>47</v>
      </c>
      <c r="H1925" s="1" t="n">
        <v>2110405</v>
      </c>
      <c r="I1925" s="1" t="s">
        <v>55</v>
      </c>
      <c r="J1925" s="1" t="n">
        <v>1534947</v>
      </c>
      <c r="L1925" s="1" t="n">
        <v>209452</v>
      </c>
      <c r="M1925" s="1" t="s">
        <v>88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638.75</v>
      </c>
      <c r="W1925" s="1" t="n">
        <v>0</v>
      </c>
      <c r="X1925" s="1" t="s">
        <v>1646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FONE DE OUVIDO DO IP</v>
      </c>
      <c r="AC1925" s="1" t="n">
        <v>1898</v>
      </c>
    </row>
    <row r="1926" customFormat="false" ht="12.75" hidden="false" customHeight="true" outlineLevel="0" collapsed="false">
      <c r="A1926" s="1" t="n">
        <v>2</v>
      </c>
      <c r="B1926" s="17" t="n">
        <v>46269</v>
      </c>
      <c r="C1926" s="17" t="n">
        <v>46297</v>
      </c>
      <c r="D1926" s="1" t="n">
        <v>1608</v>
      </c>
      <c r="E1926" s="1" t="s">
        <v>224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1653008</v>
      </c>
      <c r="L1926" s="1" t="n">
        <v>227092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1333.12</v>
      </c>
      <c r="W1926" s="1" t="n">
        <v>0</v>
      </c>
      <c r="X1926" s="1" t="s">
        <v>1632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ACHOC TODDY 200G</v>
      </c>
      <c r="AC1926" s="1" t="n">
        <v>1724435</v>
      </c>
    </row>
    <row r="1927" customFormat="false" ht="12.75" hidden="false" customHeight="true" outlineLevel="0" collapsed="false">
      <c r="A1927" s="1" t="n">
        <v>2</v>
      </c>
      <c r="B1927" s="17" t="n">
        <v>46238</v>
      </c>
      <c r="C1927" s="17" t="n">
        <v>46299</v>
      </c>
      <c r="D1927" s="1" t="n">
        <v>862</v>
      </c>
      <c r="E1927" s="1" t="s">
        <v>322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1498421</v>
      </c>
      <c r="L1927" s="1" t="n">
        <v>202608</v>
      </c>
      <c r="M1927" s="1" t="s">
        <v>76</v>
      </c>
      <c r="N1927" s="1" t="s">
        <v>50</v>
      </c>
      <c r="P1927" s="1" t="n">
        <v>101</v>
      </c>
      <c r="Q1927" s="1" t="s">
        <v>56</v>
      </c>
      <c r="R1927" s="1" t="s">
        <v>70</v>
      </c>
      <c r="S1927" s="1" t="n">
        <v>4210233</v>
      </c>
      <c r="T1927" s="1" t="s">
        <v>203</v>
      </c>
      <c r="U1927" s="1" t="n">
        <v>270.9</v>
      </c>
      <c r="W1927" s="1" t="n">
        <v>0</v>
      </c>
      <c r="X1927" s="1"/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2</v>
      </c>
      <c r="B1928" s="17" t="n">
        <v>46244</v>
      </c>
      <c r="C1928" s="17" t="n">
        <v>46300</v>
      </c>
      <c r="D1928" s="1" t="n">
        <v>33</v>
      </c>
      <c r="E1928" s="1" t="s">
        <v>305</v>
      </c>
      <c r="F1928" s="1" t="n">
        <v>34</v>
      </c>
      <c r="G1928" s="1" t="s">
        <v>110</v>
      </c>
      <c r="H1928" s="1" t="n">
        <v>2110405</v>
      </c>
      <c r="I1928" s="1" t="s">
        <v>55</v>
      </c>
      <c r="J1928" s="1" t="n">
        <v>1530158</v>
      </c>
      <c r="L1928" s="1" t="n">
        <v>208205</v>
      </c>
      <c r="M1928" s="1" t="s">
        <v>88</v>
      </c>
      <c r="N1928" s="1" t="s">
        <v>50</v>
      </c>
      <c r="P1928" s="1" t="n">
        <v>101</v>
      </c>
      <c r="Q1928" s="1" t="s">
        <v>56</v>
      </c>
      <c r="R1928" s="1" t="s">
        <v>39</v>
      </c>
      <c r="S1928" s="1" t="n">
        <v>4210301</v>
      </c>
      <c r="T1928" s="1" t="s">
        <v>253</v>
      </c>
      <c r="U1928" s="1" t="n">
        <v>250.1</v>
      </c>
      <c r="W1928" s="1" t="n">
        <v>0</v>
      </c>
      <c r="X1928" s="1" t="s">
        <v>1555</v>
      </c>
      <c r="Z1928" s="1" t="str">
        <f aca="false">IF($T1928="","",IFERROR(INDEX('Resumo Grupos'!$AC$3:$AC$200,MATCH($T1928,'Resumo Grupos'!$AB$3:$AB$200,0)),"n/d"))</f>
        <v>Salários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2</v>
      </c>
      <c r="B1929" s="17" t="n">
        <v>46266</v>
      </c>
      <c r="C1929" s="17" t="n">
        <v>46300</v>
      </c>
      <c r="D1929" s="1" t="n">
        <v>794</v>
      </c>
      <c r="E1929" s="1" t="s">
        <v>343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1633939</v>
      </c>
      <c r="L1929" s="1" t="n">
        <v>224238</v>
      </c>
      <c r="M1929" s="1" t="s">
        <v>36</v>
      </c>
      <c r="N1929" s="1" t="s">
        <v>50</v>
      </c>
      <c r="P1929" s="1" t="n">
        <v>113</v>
      </c>
      <c r="Q1929" s="1" t="s">
        <v>38</v>
      </c>
      <c r="R1929" s="1" t="s">
        <v>70</v>
      </c>
      <c r="S1929" s="1" t="n">
        <v>4210299</v>
      </c>
      <c r="T1929" s="1" t="s">
        <v>127</v>
      </c>
      <c r="U1929" s="1" t="n">
        <v>1332.55</v>
      </c>
      <c r="W1929" s="1" t="n">
        <v>0</v>
      </c>
      <c r="X1929" s="1" t="s">
        <v>1620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SACOLA BRC. L. ALIP.</v>
      </c>
      <c r="AC1929" s="1" t="n">
        <v>8802</v>
      </c>
    </row>
    <row r="1930" customFormat="false" ht="12.75" hidden="false" customHeight="true" outlineLevel="0" collapsed="false">
      <c r="A1930" s="1" t="n">
        <v>2</v>
      </c>
      <c r="B1930" s="17" t="n">
        <v>46232</v>
      </c>
      <c r="C1930" s="17" t="n">
        <v>46302</v>
      </c>
      <c r="D1930" s="1" t="n">
        <v>1932</v>
      </c>
      <c r="E1930" s="1" t="s">
        <v>282</v>
      </c>
      <c r="F1930" s="1" t="n">
        <v>34</v>
      </c>
      <c r="G1930" s="1" t="s">
        <v>110</v>
      </c>
      <c r="H1930" s="1" t="n">
        <v>2110405</v>
      </c>
      <c r="I1930" s="1" t="s">
        <v>55</v>
      </c>
      <c r="J1930" s="1" t="n">
        <v>1469462</v>
      </c>
      <c r="L1930" s="1" t="n">
        <v>199057</v>
      </c>
      <c r="M1930" s="1" t="s">
        <v>76</v>
      </c>
      <c r="N1930" s="1" t="s">
        <v>50</v>
      </c>
      <c r="P1930" s="1" t="n">
        <v>101</v>
      </c>
      <c r="Q1930" s="1" t="s">
        <v>56</v>
      </c>
      <c r="R1930" s="1" t="s">
        <v>39</v>
      </c>
      <c r="S1930" s="1" t="n">
        <v>4210315</v>
      </c>
      <c r="T1930" s="1" t="s">
        <v>283</v>
      </c>
      <c r="U1930" s="1" t="n">
        <v>119.97</v>
      </c>
      <c r="W1930" s="1" t="n">
        <v>0</v>
      </c>
      <c r="X1930" s="1" t="s">
        <v>1203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2</v>
      </c>
      <c r="B1931" s="17" t="n">
        <v>46211</v>
      </c>
      <c r="C1931" s="17" t="n">
        <v>46305</v>
      </c>
      <c r="D1931" s="1" t="n">
        <v>33</v>
      </c>
      <c r="E1931" s="1" t="s">
        <v>305</v>
      </c>
      <c r="F1931" s="1" t="n">
        <v>34</v>
      </c>
      <c r="G1931" s="1" t="s">
        <v>110</v>
      </c>
      <c r="H1931" s="1" t="n">
        <v>2110405</v>
      </c>
      <c r="I1931" s="1" t="s">
        <v>55</v>
      </c>
      <c r="J1931" s="1" t="n">
        <v>1370733</v>
      </c>
      <c r="L1931" s="1" t="n">
        <v>184338</v>
      </c>
      <c r="M1931" s="1" t="s">
        <v>76</v>
      </c>
      <c r="N1931" s="1" t="s">
        <v>50</v>
      </c>
      <c r="P1931" s="1" t="n">
        <v>101</v>
      </c>
      <c r="Q1931" s="1" t="s">
        <v>56</v>
      </c>
      <c r="R1931" s="1" t="s">
        <v>70</v>
      </c>
      <c r="S1931" s="1" t="n">
        <v>4210222</v>
      </c>
      <c r="T1931" s="1" t="s">
        <v>1220</v>
      </c>
      <c r="U1931" s="1" t="n">
        <v>666.67</v>
      </c>
      <c r="W1931" s="1" t="n">
        <v>0</v>
      </c>
      <c r="X1931" s="1" t="s">
        <v>1221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63.75" hidden="false" customHeight="true" outlineLevel="0" collapsed="false">
      <c r="A1932" s="10" t="n">
        <v>2</v>
      </c>
      <c r="B1932" s="11" t="n">
        <v>46242</v>
      </c>
      <c r="C1932" s="11" t="n">
        <v>46305</v>
      </c>
      <c r="D1932" s="10" t="n">
        <v>1100</v>
      </c>
      <c r="E1932" s="12" t="s">
        <v>328</v>
      </c>
      <c r="F1932" s="10" t="n">
        <v>46</v>
      </c>
      <c r="G1932" s="12" t="s">
        <v>323</v>
      </c>
      <c r="H1932" s="10" t="n">
        <v>2110405</v>
      </c>
      <c r="I1932" s="12" t="s">
        <v>55</v>
      </c>
      <c r="J1932" s="10" t="n">
        <v>1427624</v>
      </c>
      <c r="L1932" s="10" t="n">
        <v>190916</v>
      </c>
      <c r="M1932" s="12" t="s">
        <v>76</v>
      </c>
      <c r="N1932" s="12" t="s">
        <v>50</v>
      </c>
      <c r="P1932" s="10" t="n">
        <v>101</v>
      </c>
      <c r="Q1932" s="12" t="s">
        <v>56</v>
      </c>
      <c r="R1932" s="12" t="s">
        <v>70</v>
      </c>
      <c r="S1932" s="10" t="n">
        <v>4210227</v>
      </c>
      <c r="T1932" s="12" t="s">
        <v>77</v>
      </c>
      <c r="U1932" s="13" t="n">
        <v>266.68</v>
      </c>
      <c r="W1932" s="13" t="n">
        <v>0</v>
      </c>
      <c r="X1932" s="12" t="s">
        <v>1647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MEMORIA HIKSEMI HIKER 8GB DDR4 3200 - HS</v>
      </c>
      <c r="AC1932" s="1" t="n">
        <v>9481</v>
      </c>
    </row>
    <row r="1933" customFormat="false" ht="54.75" hidden="false" customHeight="true" outlineLevel="0" collapsed="false">
      <c r="A1933" s="10" t="n">
        <v>2</v>
      </c>
      <c r="B1933" s="11" t="n">
        <v>46260</v>
      </c>
      <c r="C1933" s="11" t="n">
        <v>46305</v>
      </c>
      <c r="D1933" s="10" t="n">
        <v>1835</v>
      </c>
      <c r="E1933" s="12" t="s">
        <v>1593</v>
      </c>
      <c r="F1933" s="10" t="n">
        <v>46</v>
      </c>
      <c r="G1933" s="12" t="s">
        <v>323</v>
      </c>
      <c r="H1933" s="10" t="n">
        <v>2110405</v>
      </c>
      <c r="I1933" s="12" t="s">
        <v>55</v>
      </c>
      <c r="J1933" s="10" t="n">
        <v>1605275</v>
      </c>
      <c r="L1933" s="10" t="n">
        <v>219925</v>
      </c>
      <c r="M1933" s="12" t="s">
        <v>88</v>
      </c>
      <c r="N1933" s="12" t="s">
        <v>50</v>
      </c>
      <c r="P1933" s="10" t="n">
        <v>113</v>
      </c>
      <c r="Q1933" s="12" t="s">
        <v>38</v>
      </c>
      <c r="R1933" s="12" t="s">
        <v>70</v>
      </c>
      <c r="S1933" s="10" t="n">
        <v>4210227</v>
      </c>
      <c r="T1933" s="12" t="s">
        <v>77</v>
      </c>
      <c r="U1933" s="13" t="n">
        <v>176.81</v>
      </c>
      <c r="W1933" s="13" t="n">
        <v>0</v>
      </c>
      <c r="X1933" s="12" t="s">
        <v>1648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TINTA ESMALTE FOSCO CITY 3L PRETO UN QTD</v>
      </c>
      <c r="AC1933" s="1" t="n">
        <v>110228</v>
      </c>
    </row>
    <row r="1934" customFormat="false" ht="45.75" hidden="false" customHeight="true" outlineLevel="0" collapsed="false">
      <c r="A1934" s="10" t="n">
        <v>2</v>
      </c>
      <c r="B1934" s="11" t="n">
        <v>46254</v>
      </c>
      <c r="C1934" s="11" t="n">
        <v>46308</v>
      </c>
      <c r="D1934" s="10" t="n">
        <v>33</v>
      </c>
      <c r="E1934" s="12" t="s">
        <v>305</v>
      </c>
      <c r="F1934" s="10" t="n">
        <v>34</v>
      </c>
      <c r="G1934" s="12" t="s">
        <v>110</v>
      </c>
      <c r="H1934" s="10" t="n">
        <v>2110405</v>
      </c>
      <c r="I1934" s="12" t="s">
        <v>55</v>
      </c>
      <c r="J1934" s="10" t="n">
        <v>1577428</v>
      </c>
      <c r="L1934" s="10" t="n">
        <v>215659</v>
      </c>
      <c r="M1934" s="12" t="s">
        <v>36</v>
      </c>
      <c r="N1934" s="12" t="s">
        <v>50</v>
      </c>
      <c r="P1934" s="10" t="n">
        <v>101</v>
      </c>
      <c r="Q1934" s="12" t="s">
        <v>56</v>
      </c>
      <c r="R1934" s="12" t="s">
        <v>70</v>
      </c>
      <c r="S1934" s="10" t="n">
        <v>4210222</v>
      </c>
      <c r="T1934" s="12" t="s">
        <v>1220</v>
      </c>
      <c r="U1934" s="13" t="n">
        <v>522.5</v>
      </c>
      <c r="W1934" s="13" t="n">
        <v>0</v>
      </c>
      <c r="X1934" s="12" t="s">
        <v>1649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46097</v>
      </c>
      <c r="C1935" s="11" t="n">
        <v>46310</v>
      </c>
      <c r="D1935" s="10" t="n">
        <v>1867</v>
      </c>
      <c r="E1935" s="12" t="s">
        <v>406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808550</v>
      </c>
      <c r="L1935" s="10" t="n">
        <v>2026</v>
      </c>
      <c r="M1935" s="12" t="s">
        <v>678</v>
      </c>
      <c r="N1935" s="12" t="s">
        <v>50</v>
      </c>
      <c r="P1935" s="10" t="n">
        <v>101</v>
      </c>
      <c r="Q1935" s="12" t="s">
        <v>56</v>
      </c>
      <c r="R1935" s="12" t="s">
        <v>407</v>
      </c>
      <c r="S1935" s="10" t="n">
        <v>4210401</v>
      </c>
      <c r="T1935" s="12" t="s">
        <v>408</v>
      </c>
      <c r="U1935" s="13" t="n">
        <v>228.88</v>
      </c>
      <c r="W1935" s="13" t="n">
        <v>0</v>
      </c>
      <c r="X1935" s="12" t="s">
        <v>1650</v>
      </c>
      <c r="Z1935" s="1" t="str">
        <f aca="false">IF($T1935="","",IFERROR(INDEX('Resumo Grupos'!$AC$3:$AC$200,MATCH($T1935,'Resumo Grupos'!$AB$3:$AB$200,0)),"n/d"))</f>
        <v>Impostos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27.75" hidden="false" customHeight="true" outlineLevel="0" collapsed="false">
      <c r="A1936" s="10" t="n">
        <v>2</v>
      </c>
      <c r="B1936" s="11" t="n">
        <v>46127</v>
      </c>
      <c r="C1936" s="11" t="n">
        <v>46310</v>
      </c>
      <c r="D1936" s="10" t="n">
        <v>512</v>
      </c>
      <c r="E1936" s="12" t="s">
        <v>410</v>
      </c>
      <c r="F1936" s="10" t="n">
        <v>34</v>
      </c>
      <c r="G1936" s="12" t="s">
        <v>110</v>
      </c>
      <c r="H1936" s="10" t="n">
        <v>2110405</v>
      </c>
      <c r="I1936" s="12" t="s">
        <v>55</v>
      </c>
      <c r="J1936" s="10" t="n">
        <v>954215</v>
      </c>
      <c r="L1936" s="10" t="n">
        <v>126220</v>
      </c>
      <c r="M1936" s="12" t="s">
        <v>49</v>
      </c>
      <c r="N1936" s="12" t="s">
        <v>50</v>
      </c>
      <c r="P1936" s="10" t="n">
        <v>101</v>
      </c>
      <c r="Q1936" s="12" t="s">
        <v>56</v>
      </c>
      <c r="R1936" s="12" t="s">
        <v>411</v>
      </c>
      <c r="S1936" s="10" t="n">
        <v>4210111</v>
      </c>
      <c r="T1936" s="12" t="s">
        <v>412</v>
      </c>
      <c r="U1936" s="13" t="n">
        <v>5700</v>
      </c>
      <c r="W1936" s="13" t="n">
        <v>0</v>
      </c>
      <c r="X1936" s="12" t="s">
        <v>413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45.75" hidden="false" customHeight="true" outlineLevel="0" collapsed="false">
      <c r="A1937" s="10" t="n">
        <v>2</v>
      </c>
      <c r="B1937" s="11" t="n">
        <v>46206</v>
      </c>
      <c r="C1937" s="11" t="n">
        <v>46313</v>
      </c>
      <c r="D1937" s="10" t="n">
        <v>33</v>
      </c>
      <c r="E1937" s="12" t="s">
        <v>305</v>
      </c>
      <c r="F1937" s="10" t="n">
        <v>34</v>
      </c>
      <c r="G1937" s="12" t="s">
        <v>110</v>
      </c>
      <c r="H1937" s="10" t="n">
        <v>2110405</v>
      </c>
      <c r="I1937" s="12" t="s">
        <v>55</v>
      </c>
      <c r="J1937" s="10" t="n">
        <v>1345312</v>
      </c>
      <c r="L1937" s="10" t="n">
        <v>180690</v>
      </c>
      <c r="M1937" s="12" t="s">
        <v>85</v>
      </c>
      <c r="N1937" s="12" t="s">
        <v>50</v>
      </c>
      <c r="P1937" s="10" t="n">
        <v>101</v>
      </c>
      <c r="Q1937" s="12" t="s">
        <v>56</v>
      </c>
      <c r="R1937" s="12" t="s">
        <v>70</v>
      </c>
      <c r="S1937" s="10" t="n">
        <v>4210203</v>
      </c>
      <c r="T1937" s="12" t="s">
        <v>750</v>
      </c>
      <c r="U1937" s="13" t="n">
        <v>247.27</v>
      </c>
      <c r="W1937" s="13" t="n">
        <v>0</v>
      </c>
      <c r="X1937" s="12" t="s">
        <v>935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46013</v>
      </c>
      <c r="C1938" s="11" t="n">
        <v>46320</v>
      </c>
      <c r="D1938" s="10" t="n">
        <v>17</v>
      </c>
      <c r="E1938" s="12" t="s">
        <v>490</v>
      </c>
      <c r="F1938" s="10" t="n">
        <v>48</v>
      </c>
      <c r="G1938" s="12" t="s">
        <v>569</v>
      </c>
      <c r="H1938" s="10" t="n">
        <v>2110405</v>
      </c>
      <c r="I1938" s="12" t="s">
        <v>55</v>
      </c>
      <c r="J1938" s="10" t="n">
        <v>660421</v>
      </c>
      <c r="L1938" s="10" t="n">
        <v>86128</v>
      </c>
      <c r="M1938" s="12" t="s">
        <v>1481</v>
      </c>
      <c r="N1938" s="12" t="s">
        <v>50</v>
      </c>
      <c r="P1938" s="10" t="n">
        <v>101</v>
      </c>
      <c r="Q1938" s="12" t="s">
        <v>56</v>
      </c>
      <c r="R1938" s="12" t="s">
        <v>57</v>
      </c>
      <c r="S1938" s="10" t="n">
        <v>4220199</v>
      </c>
      <c r="T1938" s="12" t="s">
        <v>58</v>
      </c>
      <c r="U1938" s="13" t="n">
        <v>362.14</v>
      </c>
      <c r="W1938" s="13" t="n">
        <v>0</v>
      </c>
      <c r="X1938" s="12" t="s">
        <v>571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45.75" hidden="false" customHeight="true" outlineLevel="0" collapsed="false">
      <c r="A1939" s="10" t="n">
        <v>2</v>
      </c>
      <c r="B1939" s="11" t="n">
        <v>46029</v>
      </c>
      <c r="C1939" s="11" t="n">
        <v>46320</v>
      </c>
      <c r="D1939" s="10" t="n">
        <v>17</v>
      </c>
      <c r="E1939" s="12" t="s">
        <v>490</v>
      </c>
      <c r="F1939" s="10" t="n">
        <v>48</v>
      </c>
      <c r="G1939" s="12" t="s">
        <v>569</v>
      </c>
      <c r="H1939" s="10" t="n">
        <v>2110405</v>
      </c>
      <c r="I1939" s="12" t="s">
        <v>55</v>
      </c>
      <c r="J1939" s="10" t="n">
        <v>660305</v>
      </c>
      <c r="L1939" s="10" t="n">
        <v>86116</v>
      </c>
      <c r="M1939" s="12" t="s">
        <v>1481</v>
      </c>
      <c r="N1939" s="12" t="s">
        <v>50</v>
      </c>
      <c r="P1939" s="10" t="n">
        <v>101</v>
      </c>
      <c r="Q1939" s="12" t="s">
        <v>56</v>
      </c>
      <c r="R1939" s="12" t="s">
        <v>57</v>
      </c>
      <c r="S1939" s="10" t="n">
        <v>4220199</v>
      </c>
      <c r="T1939" s="12" t="s">
        <v>58</v>
      </c>
      <c r="U1939" s="13" t="n">
        <v>84.03</v>
      </c>
      <c r="W1939" s="13" t="n">
        <v>0</v>
      </c>
      <c r="X1939" s="12" t="s">
        <v>570</v>
      </c>
      <c r="Z1939" s="1" t="str">
        <f aca="false">IF($T1939="","",IFERROR(INDEX('Resumo Grupos'!$AC$3:$AC$200,MATCH($T1939,'Resumo Grupos'!$AB$3:$AB$200,0)),"n/d"))</f>
        <v>Pagamentos outros não operacionais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46256</v>
      </c>
      <c r="C1940" s="11" t="n">
        <v>46320</v>
      </c>
      <c r="D1940" s="10" t="n">
        <v>1782</v>
      </c>
      <c r="E1940" s="12" t="s">
        <v>1639</v>
      </c>
      <c r="F1940" s="10" t="n">
        <v>48</v>
      </c>
      <c r="G1940" s="12" t="s">
        <v>569</v>
      </c>
      <c r="H1940" s="10" t="n">
        <v>2110405</v>
      </c>
      <c r="I1940" s="12" t="s">
        <v>55</v>
      </c>
      <c r="J1940" s="10" t="n">
        <v>1595448</v>
      </c>
      <c r="L1940" s="10" t="n">
        <v>2208</v>
      </c>
      <c r="M1940" s="12" t="s">
        <v>88</v>
      </c>
      <c r="N1940" s="12" t="s">
        <v>50</v>
      </c>
      <c r="P1940" s="10" t="n">
        <v>101</v>
      </c>
      <c r="Q1940" s="12" t="s">
        <v>56</v>
      </c>
      <c r="R1940" s="12" t="s">
        <v>70</v>
      </c>
      <c r="S1940" s="10" t="n">
        <v>4210232</v>
      </c>
      <c r="T1940" s="12" t="s">
        <v>324</v>
      </c>
      <c r="U1940" s="13" t="n">
        <v>79.9</v>
      </c>
      <c r="W1940" s="13" t="n">
        <v>0</v>
      </c>
      <c r="X1940" s="12" t="s">
        <v>1651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45.75" hidden="false" customHeight="true" outlineLevel="0" collapsed="false">
      <c r="A1941" s="10" t="n">
        <v>2</v>
      </c>
      <c r="B1941" s="11" t="n">
        <v>46023</v>
      </c>
      <c r="C1941" s="11" t="n">
        <v>46321</v>
      </c>
      <c r="D1941" s="10" t="n">
        <v>515</v>
      </c>
      <c r="E1941" s="12" t="s">
        <v>157</v>
      </c>
      <c r="F1941" s="10" t="n">
        <v>34</v>
      </c>
      <c r="G1941" s="12" t="s">
        <v>110</v>
      </c>
      <c r="H1941" s="10" t="n">
        <v>2110405</v>
      </c>
      <c r="I1941" s="12" t="s">
        <v>55</v>
      </c>
      <c r="J1941" s="10" t="n">
        <v>1012266</v>
      </c>
      <c r="L1941" s="10" t="n">
        <v>133812</v>
      </c>
      <c r="M1941" s="12" t="s">
        <v>1481</v>
      </c>
      <c r="N1941" s="12" t="s">
        <v>50</v>
      </c>
      <c r="P1941" s="10" t="n">
        <v>101</v>
      </c>
      <c r="Q1941" s="12" t="s">
        <v>56</v>
      </c>
      <c r="R1941" s="12" t="s">
        <v>333</v>
      </c>
      <c r="S1941" s="10" t="n">
        <v>2110901</v>
      </c>
      <c r="T1941" s="12" t="s">
        <v>334</v>
      </c>
      <c r="U1941" s="13" t="n">
        <v>4168.41</v>
      </c>
      <c r="W1941" s="13" t="n">
        <v>0</v>
      </c>
      <c r="X1941" s="12" t="s">
        <v>1652</v>
      </c>
      <c r="Z1941" s="1" t="str">
        <f aca="false">IF($T1941="","",IFERROR(INDEX('Resumo Grupos'!$AC$3:$AC$200,MATCH($T1941,'Resumo Grupos'!$AB$3:$AB$200,0)),"n/d"))</f>
        <v>Empréstimo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45.75" hidden="false" customHeight="true" outlineLevel="0" collapsed="false">
      <c r="A1942" s="10" t="n">
        <v>2</v>
      </c>
      <c r="B1942" s="11" t="n">
        <v>46265</v>
      </c>
      <c r="C1942" s="11" t="n">
        <v>46325</v>
      </c>
      <c r="D1942" s="10" t="n">
        <v>1150</v>
      </c>
      <c r="E1942" s="12" t="s">
        <v>1593</v>
      </c>
      <c r="F1942" s="10" t="n">
        <v>46</v>
      </c>
      <c r="G1942" s="12" t="s">
        <v>323</v>
      </c>
      <c r="H1942" s="10" t="n">
        <v>2110405</v>
      </c>
      <c r="I1942" s="12" t="s">
        <v>55</v>
      </c>
      <c r="J1942" s="10" t="n">
        <v>1656987</v>
      </c>
      <c r="L1942" s="10" t="n">
        <v>87916</v>
      </c>
      <c r="M1942" s="12" t="s">
        <v>88</v>
      </c>
      <c r="N1942" s="12" t="s">
        <v>50</v>
      </c>
      <c r="P1942" s="10" t="n">
        <v>101</v>
      </c>
      <c r="Q1942" s="12" t="s">
        <v>56</v>
      </c>
      <c r="R1942" s="12" t="s">
        <v>70</v>
      </c>
      <c r="S1942" s="10" t="n">
        <v>4210227</v>
      </c>
      <c r="T1942" s="12" t="s">
        <v>77</v>
      </c>
      <c r="U1942" s="13" t="n">
        <v>241.82</v>
      </c>
      <c r="W1942" s="13" t="n">
        <v>0</v>
      </c>
      <c r="X1942" s="12"/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45.75" hidden="false" customHeight="true" outlineLevel="0" collapsed="false">
      <c r="A1943" s="10" t="n">
        <v>2</v>
      </c>
      <c r="B1943" s="11" t="n">
        <v>46055</v>
      </c>
      <c r="C1943" s="11" t="n">
        <v>46327</v>
      </c>
      <c r="D1943" s="10" t="n">
        <v>10039</v>
      </c>
      <c r="E1943" s="12" t="s">
        <v>84</v>
      </c>
      <c r="F1943" s="10" t="n">
        <v>47</v>
      </c>
      <c r="G1943" s="12" t="s">
        <v>47</v>
      </c>
      <c r="H1943" s="10" t="n">
        <v>2110405</v>
      </c>
      <c r="I1943" s="12" t="s">
        <v>55</v>
      </c>
      <c r="J1943" s="10" t="n">
        <v>846832</v>
      </c>
      <c r="L1943" s="10" t="n">
        <v>111506</v>
      </c>
      <c r="M1943" s="12" t="s">
        <v>1118</v>
      </c>
      <c r="N1943" s="12" t="s">
        <v>50</v>
      </c>
      <c r="P1943" s="10" t="n">
        <v>113</v>
      </c>
      <c r="Q1943" s="12" t="s">
        <v>38</v>
      </c>
      <c r="R1943" s="12" t="s">
        <v>70</v>
      </c>
      <c r="S1943" s="10" t="n">
        <v>4210227</v>
      </c>
      <c r="T1943" s="12" t="s">
        <v>77</v>
      </c>
      <c r="U1943" s="13" t="n">
        <v>378.82</v>
      </c>
      <c r="W1943" s="13" t="n">
        <v>0</v>
      </c>
      <c r="X1943" s="12" t="s">
        <v>1653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nao encontrado</v>
      </c>
      <c r="AC1943" s="1" t="n">
        <v>258</v>
      </c>
    </row>
    <row r="1944" customFormat="false" ht="36.75" hidden="false" customHeight="true" outlineLevel="0" collapsed="false">
      <c r="A1944" s="10" t="n">
        <v>2</v>
      </c>
      <c r="B1944" s="11" t="n">
        <v>46244</v>
      </c>
      <c r="C1944" s="11" t="n">
        <v>46331</v>
      </c>
      <c r="D1944" s="10" t="n">
        <v>33</v>
      </c>
      <c r="E1944" s="12" t="s">
        <v>305</v>
      </c>
      <c r="F1944" s="10" t="n">
        <v>34</v>
      </c>
      <c r="G1944" s="12" t="s">
        <v>110</v>
      </c>
      <c r="H1944" s="10" t="n">
        <v>2110405</v>
      </c>
      <c r="I1944" s="12" t="s">
        <v>55</v>
      </c>
      <c r="J1944" s="10" t="n">
        <v>1530158</v>
      </c>
      <c r="L1944" s="10" t="n">
        <v>208205</v>
      </c>
      <c r="M1944" s="12" t="s">
        <v>76</v>
      </c>
      <c r="N1944" s="12" t="s">
        <v>50</v>
      </c>
      <c r="P1944" s="10" t="n">
        <v>101</v>
      </c>
      <c r="Q1944" s="12" t="s">
        <v>56</v>
      </c>
      <c r="R1944" s="12" t="s">
        <v>39</v>
      </c>
      <c r="S1944" s="10" t="n">
        <v>4210301</v>
      </c>
      <c r="T1944" s="12" t="s">
        <v>253</v>
      </c>
      <c r="U1944" s="13" t="n">
        <v>250.1</v>
      </c>
      <c r="W1944" s="13" t="n">
        <v>0</v>
      </c>
      <c r="X1944" s="12" t="s">
        <v>1555</v>
      </c>
      <c r="Z1944" s="1" t="str">
        <f aca="false">IF($T1944="","",IFERROR(INDEX('Resumo Grupos'!$AC$3:$AC$200,MATCH($T1944,'Resumo Grupos'!$AB$3:$AB$200,0)),"n/d"))</f>
        <v>Salários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46211</v>
      </c>
      <c r="C1945" s="11" t="n">
        <v>46336</v>
      </c>
      <c r="D1945" s="10" t="n">
        <v>33</v>
      </c>
      <c r="E1945" s="12" t="s">
        <v>305</v>
      </c>
      <c r="F1945" s="10" t="n">
        <v>34</v>
      </c>
      <c r="G1945" s="12" t="s">
        <v>110</v>
      </c>
      <c r="H1945" s="10" t="n">
        <v>2110405</v>
      </c>
      <c r="I1945" s="12" t="s">
        <v>55</v>
      </c>
      <c r="J1945" s="10" t="n">
        <v>1370733</v>
      </c>
      <c r="L1945" s="10" t="n">
        <v>184338</v>
      </c>
      <c r="M1945" s="12" t="s">
        <v>85</v>
      </c>
      <c r="N1945" s="12" t="s">
        <v>50</v>
      </c>
      <c r="P1945" s="10" t="n">
        <v>101</v>
      </c>
      <c r="Q1945" s="12" t="s">
        <v>56</v>
      </c>
      <c r="R1945" s="12" t="s">
        <v>70</v>
      </c>
      <c r="S1945" s="10" t="n">
        <v>4210222</v>
      </c>
      <c r="T1945" s="12" t="s">
        <v>1220</v>
      </c>
      <c r="U1945" s="13" t="n">
        <v>666.67</v>
      </c>
      <c r="W1945" s="13" t="n">
        <v>0</v>
      </c>
      <c r="X1945" s="12" t="s">
        <v>1221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45.75" hidden="false" customHeight="true" outlineLevel="0" collapsed="false">
      <c r="A1946" s="10" t="n">
        <v>2</v>
      </c>
      <c r="B1946" s="11" t="n">
        <v>46097</v>
      </c>
      <c r="C1946" s="11" t="n">
        <v>46341</v>
      </c>
      <c r="D1946" s="10" t="n">
        <v>1867</v>
      </c>
      <c r="E1946" s="12" t="s">
        <v>406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808550</v>
      </c>
      <c r="L1946" s="10" t="n">
        <v>2026</v>
      </c>
      <c r="M1946" s="12" t="s">
        <v>1118</v>
      </c>
      <c r="N1946" s="12" t="s">
        <v>50</v>
      </c>
      <c r="P1946" s="10" t="n">
        <v>101</v>
      </c>
      <c r="Q1946" s="12" t="s">
        <v>56</v>
      </c>
      <c r="R1946" s="12" t="s">
        <v>407</v>
      </c>
      <c r="S1946" s="10" t="n">
        <v>4210401</v>
      </c>
      <c r="T1946" s="12" t="s">
        <v>408</v>
      </c>
      <c r="U1946" s="13" t="n">
        <v>228.88</v>
      </c>
      <c r="W1946" s="13" t="n">
        <v>0</v>
      </c>
      <c r="X1946" s="12" t="s">
        <v>1654</v>
      </c>
      <c r="Z1946" s="1" t="str">
        <f aca="false">IF($T1946="","",IFERROR(INDEX('Resumo Grupos'!$AC$3:$AC$200,MATCH($T1946,'Resumo Grupos'!$AB$3:$AB$200,0)),"n/d"))</f>
        <v>Impostos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27.75" hidden="false" customHeight="true" outlineLevel="0" collapsed="false">
      <c r="A1947" s="10" t="n">
        <v>2</v>
      </c>
      <c r="B1947" s="11" t="n">
        <v>46127</v>
      </c>
      <c r="C1947" s="11" t="n">
        <v>46341</v>
      </c>
      <c r="D1947" s="10" t="n">
        <v>512</v>
      </c>
      <c r="E1947" s="12" t="s">
        <v>410</v>
      </c>
      <c r="F1947" s="10" t="n">
        <v>34</v>
      </c>
      <c r="G1947" s="12" t="s">
        <v>110</v>
      </c>
      <c r="H1947" s="10" t="n">
        <v>2110405</v>
      </c>
      <c r="I1947" s="12" t="s">
        <v>55</v>
      </c>
      <c r="J1947" s="10" t="n">
        <v>954215</v>
      </c>
      <c r="L1947" s="10" t="n">
        <v>126220</v>
      </c>
      <c r="M1947" s="12" t="s">
        <v>678</v>
      </c>
      <c r="N1947" s="12" t="s">
        <v>50</v>
      </c>
      <c r="P1947" s="10" t="n">
        <v>101</v>
      </c>
      <c r="Q1947" s="12" t="s">
        <v>56</v>
      </c>
      <c r="R1947" s="12" t="s">
        <v>411</v>
      </c>
      <c r="S1947" s="10" t="n">
        <v>4210111</v>
      </c>
      <c r="T1947" s="12" t="s">
        <v>412</v>
      </c>
      <c r="U1947" s="13" t="n">
        <v>5700</v>
      </c>
      <c r="W1947" s="13" t="n">
        <v>0</v>
      </c>
      <c r="X1947" s="12" t="s">
        <v>413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45.75" hidden="false" customHeight="true" outlineLevel="0" collapsed="false">
      <c r="A1948" s="10" t="n">
        <v>2</v>
      </c>
      <c r="B1948" s="11" t="n">
        <v>46206</v>
      </c>
      <c r="C1948" s="11" t="n">
        <v>46344</v>
      </c>
      <c r="D1948" s="10" t="n">
        <v>33</v>
      </c>
      <c r="E1948" s="12" t="s">
        <v>305</v>
      </c>
      <c r="F1948" s="10" t="n">
        <v>34</v>
      </c>
      <c r="G1948" s="12" t="s">
        <v>110</v>
      </c>
      <c r="H1948" s="10" t="n">
        <v>2110405</v>
      </c>
      <c r="I1948" s="12" t="s">
        <v>55</v>
      </c>
      <c r="J1948" s="10" t="n">
        <v>1345312</v>
      </c>
      <c r="L1948" s="10" t="n">
        <v>180690</v>
      </c>
      <c r="M1948" s="12" t="s">
        <v>67</v>
      </c>
      <c r="N1948" s="12" t="s">
        <v>50</v>
      </c>
      <c r="P1948" s="10" t="n">
        <v>101</v>
      </c>
      <c r="Q1948" s="12" t="s">
        <v>56</v>
      </c>
      <c r="R1948" s="12" t="s">
        <v>70</v>
      </c>
      <c r="S1948" s="10" t="n">
        <v>4210203</v>
      </c>
      <c r="T1948" s="12" t="s">
        <v>750</v>
      </c>
      <c r="U1948" s="13" t="n">
        <v>247.27</v>
      </c>
      <c r="W1948" s="13" t="n">
        <v>0</v>
      </c>
      <c r="X1948" s="12" t="s">
        <v>935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46256</v>
      </c>
      <c r="C1949" s="11" t="n">
        <v>46351</v>
      </c>
      <c r="D1949" s="10" t="n">
        <v>1782</v>
      </c>
      <c r="E1949" s="12" t="s">
        <v>1639</v>
      </c>
      <c r="F1949" s="10" t="n">
        <v>48</v>
      </c>
      <c r="G1949" s="12" t="s">
        <v>569</v>
      </c>
      <c r="H1949" s="10" t="n">
        <v>2110405</v>
      </c>
      <c r="I1949" s="12" t="s">
        <v>55</v>
      </c>
      <c r="J1949" s="10" t="n">
        <v>1595448</v>
      </c>
      <c r="L1949" s="10" t="n">
        <v>2208</v>
      </c>
      <c r="M1949" s="12" t="s">
        <v>76</v>
      </c>
      <c r="N1949" s="12" t="s">
        <v>50</v>
      </c>
      <c r="P1949" s="10" t="n">
        <v>101</v>
      </c>
      <c r="Q1949" s="12" t="s">
        <v>56</v>
      </c>
      <c r="R1949" s="12" t="s">
        <v>70</v>
      </c>
      <c r="S1949" s="10" t="n">
        <v>4210232</v>
      </c>
      <c r="T1949" s="12" t="s">
        <v>324</v>
      </c>
      <c r="U1949" s="13" t="n">
        <v>79.9</v>
      </c>
      <c r="W1949" s="13" t="n">
        <v>0</v>
      </c>
      <c r="X1949" s="12" t="s">
        <v>1655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45.75" hidden="false" customHeight="true" outlineLevel="0" collapsed="false">
      <c r="A1950" s="10" t="n">
        <v>2</v>
      </c>
      <c r="B1950" s="11" t="n">
        <v>46023</v>
      </c>
      <c r="C1950" s="11" t="n">
        <v>46352</v>
      </c>
      <c r="D1950" s="10" t="n">
        <v>515</v>
      </c>
      <c r="E1950" s="12" t="s">
        <v>157</v>
      </c>
      <c r="F1950" s="10" t="n">
        <v>34</v>
      </c>
      <c r="G1950" s="12" t="s">
        <v>110</v>
      </c>
      <c r="H1950" s="10" t="n">
        <v>2110405</v>
      </c>
      <c r="I1950" s="12" t="s">
        <v>55</v>
      </c>
      <c r="J1950" s="10" t="n">
        <v>1012266</v>
      </c>
      <c r="L1950" s="10" t="n">
        <v>133812</v>
      </c>
      <c r="M1950" s="12" t="s">
        <v>1656</v>
      </c>
      <c r="N1950" s="12" t="s">
        <v>50</v>
      </c>
      <c r="P1950" s="10" t="n">
        <v>101</v>
      </c>
      <c r="Q1950" s="12" t="s">
        <v>56</v>
      </c>
      <c r="R1950" s="12" t="s">
        <v>333</v>
      </c>
      <c r="S1950" s="10" t="n">
        <v>2110901</v>
      </c>
      <c r="T1950" s="12" t="s">
        <v>334</v>
      </c>
      <c r="U1950" s="13" t="n">
        <v>4168.41</v>
      </c>
      <c r="W1950" s="13" t="n">
        <v>0</v>
      </c>
      <c r="X1950" s="12" t="s">
        <v>1657</v>
      </c>
      <c r="Z1950" s="1" t="str">
        <f aca="false">IF($T1950="","",IFERROR(INDEX('Resumo Grupos'!$AC$3:$AC$200,MATCH($T1950,'Resumo Grupos'!$AB$3:$AB$200,0)),"n/d"))</f>
        <v>Empréstimo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5.75" hidden="false" customHeight="true" outlineLevel="0" collapsed="false">
      <c r="A1951" s="10" t="n">
        <v>2</v>
      </c>
      <c r="B1951" s="11" t="n">
        <v>46265</v>
      </c>
      <c r="C1951" s="11" t="n">
        <v>46355</v>
      </c>
      <c r="D1951" s="10" t="n">
        <v>1150</v>
      </c>
      <c r="E1951" s="12" t="s">
        <v>1593</v>
      </c>
      <c r="F1951" s="10" t="n">
        <v>46</v>
      </c>
      <c r="G1951" s="12" t="s">
        <v>323</v>
      </c>
      <c r="H1951" s="10" t="n">
        <v>2110405</v>
      </c>
      <c r="I1951" s="12" t="s">
        <v>55</v>
      </c>
      <c r="J1951" s="10" t="n">
        <v>1656987</v>
      </c>
      <c r="L1951" s="10" t="n">
        <v>87916</v>
      </c>
      <c r="M1951" s="12" t="s">
        <v>76</v>
      </c>
      <c r="N1951" s="12" t="s">
        <v>50</v>
      </c>
      <c r="P1951" s="10" t="n">
        <v>101</v>
      </c>
      <c r="Q1951" s="12" t="s">
        <v>56</v>
      </c>
      <c r="R1951" s="12" t="s">
        <v>70</v>
      </c>
      <c r="S1951" s="10" t="n">
        <v>4210227</v>
      </c>
      <c r="T1951" s="12" t="s">
        <v>77</v>
      </c>
      <c r="U1951" s="13" t="n">
        <v>241.83</v>
      </c>
      <c r="W1951" s="13" t="n">
        <v>0</v>
      </c>
      <c r="X1951" s="12"/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46055</v>
      </c>
      <c r="C1952" s="11" t="n">
        <v>46357</v>
      </c>
      <c r="D1952" s="10" t="n">
        <v>10039</v>
      </c>
      <c r="E1952" s="12" t="s">
        <v>84</v>
      </c>
      <c r="F1952" s="10" t="n">
        <v>47</v>
      </c>
      <c r="G1952" s="12" t="s">
        <v>47</v>
      </c>
      <c r="H1952" s="10" t="n">
        <v>2110405</v>
      </c>
      <c r="I1952" s="12" t="s">
        <v>55</v>
      </c>
      <c r="J1952" s="10" t="n">
        <v>846832</v>
      </c>
      <c r="L1952" s="10" t="n">
        <v>111506</v>
      </c>
      <c r="M1952" s="12" t="s">
        <v>1481</v>
      </c>
      <c r="N1952" s="12" t="s">
        <v>50</v>
      </c>
      <c r="P1952" s="10" t="n">
        <v>113</v>
      </c>
      <c r="Q1952" s="12" t="s">
        <v>38</v>
      </c>
      <c r="R1952" s="12" t="s">
        <v>70</v>
      </c>
      <c r="S1952" s="10" t="n">
        <v>4210227</v>
      </c>
      <c r="T1952" s="12" t="s">
        <v>77</v>
      </c>
      <c r="U1952" s="13" t="n">
        <v>378.82</v>
      </c>
      <c r="W1952" s="13" t="n">
        <v>0</v>
      </c>
      <c r="X1952" s="12" t="s">
        <v>1658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nao encontrado</v>
      </c>
      <c r="AC1952" s="1" t="n">
        <v>258</v>
      </c>
    </row>
    <row r="1953" customFormat="false" ht="36.75" hidden="false" customHeight="true" outlineLevel="0" collapsed="false">
      <c r="A1953" s="10" t="n">
        <v>2</v>
      </c>
      <c r="B1953" s="11" t="n">
        <v>46244</v>
      </c>
      <c r="C1953" s="11" t="n">
        <v>46361</v>
      </c>
      <c r="D1953" s="10" t="n">
        <v>33</v>
      </c>
      <c r="E1953" s="12" t="s">
        <v>305</v>
      </c>
      <c r="F1953" s="10" t="n">
        <v>34</v>
      </c>
      <c r="G1953" s="12" t="s">
        <v>110</v>
      </c>
      <c r="H1953" s="10" t="n">
        <v>2110405</v>
      </c>
      <c r="I1953" s="12" t="s">
        <v>55</v>
      </c>
      <c r="J1953" s="10" t="n">
        <v>1530158</v>
      </c>
      <c r="L1953" s="10" t="n">
        <v>208205</v>
      </c>
      <c r="M1953" s="12" t="s">
        <v>85</v>
      </c>
      <c r="N1953" s="12" t="s">
        <v>50</v>
      </c>
      <c r="P1953" s="10" t="n">
        <v>101</v>
      </c>
      <c r="Q1953" s="12" t="s">
        <v>56</v>
      </c>
      <c r="R1953" s="12" t="s">
        <v>39</v>
      </c>
      <c r="S1953" s="10" t="n">
        <v>4210301</v>
      </c>
      <c r="T1953" s="12" t="s">
        <v>253</v>
      </c>
      <c r="U1953" s="13" t="n">
        <v>250.1</v>
      </c>
      <c r="W1953" s="13" t="n">
        <v>0</v>
      </c>
      <c r="X1953" s="12" t="s">
        <v>1555</v>
      </c>
      <c r="Z1953" s="1" t="str">
        <f aca="false">IF($T1953="","",IFERROR(INDEX('Resumo Grupos'!$AC$3:$AC$200,MATCH($T1953,'Resumo Grupos'!$AB$3:$AB$200,0)),"n/d"))</f>
        <v>Salários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46211</v>
      </c>
      <c r="C1954" s="11" t="n">
        <v>46366</v>
      </c>
      <c r="D1954" s="10" t="n">
        <v>33</v>
      </c>
      <c r="E1954" s="12" t="s">
        <v>305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1370733</v>
      </c>
      <c r="L1954" s="10" t="n">
        <v>184338</v>
      </c>
      <c r="M1954" s="12" t="s">
        <v>67</v>
      </c>
      <c r="N1954" s="12" t="s">
        <v>50</v>
      </c>
      <c r="P1954" s="10" t="n">
        <v>101</v>
      </c>
      <c r="Q1954" s="12" t="s">
        <v>56</v>
      </c>
      <c r="R1954" s="12" t="s">
        <v>70</v>
      </c>
      <c r="S1954" s="10" t="n">
        <v>4210222</v>
      </c>
      <c r="T1954" s="12" t="s">
        <v>1220</v>
      </c>
      <c r="U1954" s="13" t="n">
        <v>666.67</v>
      </c>
      <c r="W1954" s="13" t="n">
        <v>0</v>
      </c>
      <c r="X1954" s="12" t="s">
        <v>1221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46097</v>
      </c>
      <c r="C1955" s="11" t="n">
        <v>46371</v>
      </c>
      <c r="D1955" s="10" t="n">
        <v>1867</v>
      </c>
      <c r="E1955" s="12" t="s">
        <v>406</v>
      </c>
      <c r="F1955" s="10" t="n">
        <v>24</v>
      </c>
      <c r="G1955" s="12" t="s">
        <v>91</v>
      </c>
      <c r="H1955" s="10" t="n">
        <v>2110405</v>
      </c>
      <c r="I1955" s="12" t="s">
        <v>55</v>
      </c>
      <c r="J1955" s="10" t="n">
        <v>808550</v>
      </c>
      <c r="L1955" s="10" t="n">
        <v>2026</v>
      </c>
      <c r="M1955" s="12" t="s">
        <v>1481</v>
      </c>
      <c r="N1955" s="12" t="s">
        <v>50</v>
      </c>
      <c r="P1955" s="10" t="n">
        <v>101</v>
      </c>
      <c r="Q1955" s="12" t="s">
        <v>56</v>
      </c>
      <c r="R1955" s="12" t="s">
        <v>407</v>
      </c>
      <c r="S1955" s="10" t="n">
        <v>4210401</v>
      </c>
      <c r="T1955" s="12" t="s">
        <v>408</v>
      </c>
      <c r="U1955" s="13" t="n">
        <v>228.88</v>
      </c>
      <c r="W1955" s="13" t="n">
        <v>0</v>
      </c>
      <c r="X1955" s="12" t="s">
        <v>1659</v>
      </c>
      <c r="Z1955" s="1" t="str">
        <f aca="false">IF($T1955="","",IFERROR(INDEX('Resumo Grupos'!$AC$3:$AC$200,MATCH($T1955,'Resumo Grupos'!$AB$3:$AB$200,0)),"n/d"))</f>
        <v>Impostos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46127</v>
      </c>
      <c r="C1956" s="11" t="n">
        <v>46371</v>
      </c>
      <c r="D1956" s="10" t="n">
        <v>512</v>
      </c>
      <c r="E1956" s="12" t="s">
        <v>410</v>
      </c>
      <c r="F1956" s="10" t="n">
        <v>34</v>
      </c>
      <c r="G1956" s="12" t="s">
        <v>110</v>
      </c>
      <c r="H1956" s="10" t="n">
        <v>2110405</v>
      </c>
      <c r="I1956" s="12" t="s">
        <v>55</v>
      </c>
      <c r="J1956" s="10" t="n">
        <v>954215</v>
      </c>
      <c r="L1956" s="10" t="n">
        <v>126220</v>
      </c>
      <c r="M1956" s="12" t="s">
        <v>1118</v>
      </c>
      <c r="N1956" s="12" t="s">
        <v>50</v>
      </c>
      <c r="P1956" s="10" t="n">
        <v>101</v>
      </c>
      <c r="Q1956" s="12" t="s">
        <v>56</v>
      </c>
      <c r="R1956" s="12" t="s">
        <v>411</v>
      </c>
      <c r="S1956" s="10" t="n">
        <v>4210111</v>
      </c>
      <c r="T1956" s="12" t="s">
        <v>412</v>
      </c>
      <c r="U1956" s="13" t="n">
        <v>5700</v>
      </c>
      <c r="W1956" s="13" t="n">
        <v>0</v>
      </c>
      <c r="X1956" s="12" t="s">
        <v>413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46206</v>
      </c>
      <c r="C1957" s="11" t="n">
        <v>46374</v>
      </c>
      <c r="D1957" s="10" t="n">
        <v>33</v>
      </c>
      <c r="E1957" s="12" t="s">
        <v>305</v>
      </c>
      <c r="F1957" s="10" t="n">
        <v>34</v>
      </c>
      <c r="G1957" s="12" t="s">
        <v>110</v>
      </c>
      <c r="H1957" s="10" t="n">
        <v>2110405</v>
      </c>
      <c r="I1957" s="12" t="s">
        <v>55</v>
      </c>
      <c r="J1957" s="10" t="n">
        <v>1345312</v>
      </c>
      <c r="L1957" s="10" t="n">
        <v>180690</v>
      </c>
      <c r="M1957" s="12" t="s">
        <v>61</v>
      </c>
      <c r="N1957" s="12" t="s">
        <v>50</v>
      </c>
      <c r="P1957" s="10" t="n">
        <v>101</v>
      </c>
      <c r="Q1957" s="12" t="s">
        <v>56</v>
      </c>
      <c r="R1957" s="12" t="s">
        <v>70</v>
      </c>
      <c r="S1957" s="10" t="n">
        <v>4210203</v>
      </c>
      <c r="T1957" s="12" t="s">
        <v>750</v>
      </c>
      <c r="U1957" s="13" t="n">
        <v>247.27</v>
      </c>
      <c r="W1957" s="13" t="n">
        <v>0</v>
      </c>
      <c r="X1957" s="12" t="s">
        <v>935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46011</v>
      </c>
      <c r="C1958" s="11" t="n">
        <v>46376</v>
      </c>
      <c r="D1958" s="10" t="n">
        <v>10028</v>
      </c>
      <c r="E1958" s="12" t="s">
        <v>495</v>
      </c>
      <c r="F1958" s="10" t="n">
        <v>24</v>
      </c>
      <c r="G1958" s="12" t="s">
        <v>91</v>
      </c>
      <c r="H1958" s="10" t="n">
        <v>2110405</v>
      </c>
      <c r="I1958" s="12" t="s">
        <v>55</v>
      </c>
      <c r="J1958" s="10" t="n">
        <v>375619</v>
      </c>
      <c r="L1958" s="10" t="n">
        <v>664</v>
      </c>
      <c r="M1958" s="12" t="s">
        <v>88</v>
      </c>
      <c r="N1958" s="12" t="s">
        <v>50</v>
      </c>
      <c r="P1958" s="10" t="n">
        <v>101</v>
      </c>
      <c r="Q1958" s="12" t="s">
        <v>56</v>
      </c>
      <c r="R1958" s="12" t="s">
        <v>39</v>
      </c>
      <c r="S1958" s="10" t="n">
        <v>4210315</v>
      </c>
      <c r="T1958" s="12" t="s">
        <v>283</v>
      </c>
      <c r="U1958" s="13" t="n">
        <v>595.9</v>
      </c>
      <c r="W1958" s="13" t="n">
        <v>0</v>
      </c>
      <c r="X1958" s="12" t="s">
        <v>1660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46256</v>
      </c>
      <c r="C1959" s="11" t="n">
        <v>46381</v>
      </c>
      <c r="D1959" s="10" t="n">
        <v>1782</v>
      </c>
      <c r="E1959" s="12" t="s">
        <v>1639</v>
      </c>
      <c r="F1959" s="10" t="n">
        <v>48</v>
      </c>
      <c r="G1959" s="12" t="s">
        <v>569</v>
      </c>
      <c r="H1959" s="10" t="n">
        <v>2110405</v>
      </c>
      <c r="I1959" s="12" t="s">
        <v>55</v>
      </c>
      <c r="J1959" s="10" t="n">
        <v>1595448</v>
      </c>
      <c r="L1959" s="10" t="n">
        <v>2208</v>
      </c>
      <c r="M1959" s="12" t="s">
        <v>85</v>
      </c>
      <c r="N1959" s="12" t="s">
        <v>50</v>
      </c>
      <c r="P1959" s="10" t="n">
        <v>101</v>
      </c>
      <c r="Q1959" s="12" t="s">
        <v>56</v>
      </c>
      <c r="R1959" s="12" t="s">
        <v>70</v>
      </c>
      <c r="S1959" s="10" t="n">
        <v>4210232</v>
      </c>
      <c r="T1959" s="12" t="s">
        <v>324</v>
      </c>
      <c r="U1959" s="13" t="n">
        <v>79.9</v>
      </c>
      <c r="W1959" s="13" t="n">
        <v>0</v>
      </c>
      <c r="X1959" s="12" t="s">
        <v>1661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46023</v>
      </c>
      <c r="C1960" s="11" t="n">
        <v>46383</v>
      </c>
      <c r="D1960" s="10" t="n">
        <v>515</v>
      </c>
      <c r="E1960" s="12" t="s">
        <v>157</v>
      </c>
      <c r="F1960" s="10" t="n">
        <v>34</v>
      </c>
      <c r="G1960" s="12" t="s">
        <v>110</v>
      </c>
      <c r="H1960" s="10" t="n">
        <v>2110405</v>
      </c>
      <c r="I1960" s="12" t="s">
        <v>55</v>
      </c>
      <c r="J1960" s="10" t="n">
        <v>1012266</v>
      </c>
      <c r="L1960" s="10" t="n">
        <v>133812</v>
      </c>
      <c r="M1960" s="12" t="s">
        <v>1662</v>
      </c>
      <c r="N1960" s="12" t="s">
        <v>50</v>
      </c>
      <c r="P1960" s="10" t="n">
        <v>101</v>
      </c>
      <c r="Q1960" s="12" t="s">
        <v>56</v>
      </c>
      <c r="R1960" s="12" t="s">
        <v>333</v>
      </c>
      <c r="S1960" s="10" t="n">
        <v>2110901</v>
      </c>
      <c r="T1960" s="12" t="s">
        <v>334</v>
      </c>
      <c r="U1960" s="13" t="n">
        <v>4168.41</v>
      </c>
      <c r="W1960" s="13" t="n">
        <v>0</v>
      </c>
      <c r="X1960" s="12" t="s">
        <v>1663</v>
      </c>
      <c r="Z1960" s="1" t="str">
        <f aca="false">IF($T1960="","",IFERROR(INDEX('Resumo Grupos'!$AC$3:$AC$200,MATCH($T1960,'Resumo Grupos'!$AB$3:$AB$200,0)),"n/d"))</f>
        <v>Empréstimo</v>
      </c>
      <c r="AA1960" s="1" t="str">
        <f aca="false">IF($T1960="","",IF(COUNTIF('Resumo Grupos'!$AE$3:$AE$40,$T1960)&gt;0,"NAO","SIM"))</f>
        <v>SIM</v>
      </c>
      <c r="AB1960" s="1"/>
      <c r="AC1960" s="1"/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1664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EDSON AGUIAR DE SOUZA</v>
      </c>
      <c r="C1072" s="16" t="n">
        <f aca="false">Report!U1660</f>
        <v>137</v>
      </c>
      <c r="D1072" s="1" t="str">
        <f aca="false">Report!X1660</f>
        <v>COMPRAS - CHEIRO-VERDE -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MARQUES &amp; MELO LTDA - FILIAL</v>
      </c>
      <c r="C1073" s="16" t="n">
        <f aca="false">Report!U1661</f>
        <v>470.34</v>
      </c>
      <c r="D1073" s="1" t="str">
        <f aca="false">Report!X1661</f>
        <v>NF 508442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431.3</v>
      </c>
      <c r="D1074" s="1" t="str">
        <f aca="false">Report!X1662</f>
        <v>NF 654908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DURAES DISTRIBUIDORA DE ESTIVAS LTDA</v>
      </c>
      <c r="C1075" s="16" t="n">
        <f aca="false">Report!U1663</f>
        <v>606.55</v>
      </c>
      <c r="D1075" s="1" t="str">
        <f aca="false">Report!X1663</f>
        <v>NF 654907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156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100.5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EDSON AGUIAR DE SOUZA</v>
      </c>
      <c r="C1078" s="16" t="n">
        <f aca="false">Report!U1666</f>
        <v>140</v>
      </c>
      <c r="D1078" s="1" t="str">
        <f aca="false">Report!X1666</f>
        <v>COMPRAS - CHEIRO-VERDE -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NORTELAC DISTRIBUIDORA DE FRIOS LTDA</v>
      </c>
      <c r="C1079" s="16" t="n">
        <f aca="false">Report!U1667</f>
        <v>460</v>
      </c>
      <c r="D1079" s="1" t="str">
        <f aca="false">Report!X1667</f>
        <v>NF 46622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NOVA FRIOS COMERCIO ATACADISTA DE LATICINIOS LTDA</v>
      </c>
      <c r="C1080" s="16" t="n">
        <f aca="false">Report!U1668</f>
        <v>215.9</v>
      </c>
      <c r="D1080" s="1" t="str">
        <f aca="false">Report!X1668</f>
        <v>NF 4446 ELLEN</v>
      </c>
    </row>
    <row r="1081" customFormat="false" ht="12.75" hidden="false" customHeight="true" outlineLevel="0" collapsed="false">
      <c r="A1081" s="15" t="n">
        <f aca="false">Report!C1669</f>
        <v>46265</v>
      </c>
      <c r="B1081" s="1" t="str">
        <f aca="false">Report!E1669</f>
        <v>EDSON AGUIAR DE SOUZA</v>
      </c>
      <c r="C1081" s="16" t="n">
        <f aca="false">Report!U1669</f>
        <v>126</v>
      </c>
      <c r="D1081" s="1" t="str">
        <f aca="false">Report!X1669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793.81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Report!C1757</f>
        <v>46269</v>
      </c>
      <c r="B1135" s="1" t="str">
        <f aca="false">Report!E1757</f>
        <v>VIA CERTA IMPORTACAO E DISTRIBUICAO DE A</v>
      </c>
      <c r="C1135" s="16" t="n">
        <f aca="false">Report!U1757</f>
        <v>1393.49</v>
      </c>
      <c r="D1135" s="1" t="str">
        <f aca="false">Report!X1757</f>
        <v>NF 53859 ELLEN</v>
      </c>
    </row>
    <row r="1136" customFormat="false" ht="12.75" hidden="false" customHeight="true" outlineLevel="0" collapsed="false">
      <c r="A1136" s="15" t="n">
        <f aca="false">Report!C1758</f>
        <v>46269</v>
      </c>
      <c r="B1136" s="1" t="str">
        <f aca="false">Report!E1758</f>
        <v>DUNORTE DISTRIBUIDORA DE PRODUTOS DE CONSUMO LTDA</v>
      </c>
      <c r="C1136" s="16" t="n">
        <f aca="false">Report!U1758</f>
        <v>748.32</v>
      </c>
      <c r="D1136" s="1" t="str">
        <f aca="false">Report!X1758</f>
        <v>NF 3237036 ELLEN</v>
      </c>
    </row>
    <row r="1137" customFormat="false" ht="12.75" hidden="false" customHeight="true" outlineLevel="0" collapsed="false">
      <c r="A1137" s="15" t="n">
        <f aca="false">Report!C1759</f>
        <v>46269</v>
      </c>
      <c r="B1137" s="1" t="str">
        <f aca="false">Report!E1759</f>
        <v>L S M COMERCIO DE ALIMENTOS E NAVEGACAO</v>
      </c>
      <c r="C1137" s="16" t="n">
        <f aca="false">Report!U1759</f>
        <v>474.75</v>
      </c>
      <c r="D1137" s="1" t="str">
        <f aca="false">Report!X1759</f>
        <v>NF 311351 ELLEN</v>
      </c>
    </row>
    <row r="1138" customFormat="false" ht="12.75" hidden="false" customHeight="true" outlineLevel="0" collapsed="false">
      <c r="A1138" s="15" t="n">
        <f aca="false">Report!C1760</f>
        <v>46269</v>
      </c>
      <c r="B1138" s="1" t="str">
        <f aca="false">Report!E1760</f>
        <v>SOUZA CRUZ LTDA.</v>
      </c>
      <c r="C1138" s="16" t="n">
        <f aca="false">Report!U1760</f>
        <v>5720.74</v>
      </c>
      <c r="D1138" s="1" t="str">
        <f aca="false">Report!X1760</f>
        <v>NF 570907 ELLEN</v>
      </c>
    </row>
    <row r="1139" customFormat="false" ht="12.75" hidden="false" customHeight="true" outlineLevel="0" collapsed="false">
      <c r="A1139" s="15" t="n">
        <f aca="false">Report!C1761</f>
        <v>46269</v>
      </c>
      <c r="B1139" s="1" t="str">
        <f aca="false">Report!E1761</f>
        <v>LIMA E BARANDA COMERCIO DE PRODUTOS REGI</v>
      </c>
      <c r="C1139" s="16" t="n">
        <f aca="false">Report!U1761</f>
        <v>264</v>
      </c>
      <c r="D1139" s="1" t="str">
        <f aca="false">Report!X1761</f>
        <v>NF 32154 ELLEN</v>
      </c>
    </row>
    <row r="1140" customFormat="false" ht="12.75" hidden="false" customHeight="true" outlineLevel="0" collapsed="false">
      <c r="A1140" s="15" t="n">
        <f aca="false">Report!C1762</f>
        <v>46269</v>
      </c>
      <c r="B1140" s="1" t="str">
        <f aca="false">Report!E1762</f>
        <v>MAXFRI DISTRIUIDORA LTDA</v>
      </c>
      <c r="C1140" s="16" t="n">
        <f aca="false">Report!U1762</f>
        <v>2771.2</v>
      </c>
      <c r="D1140" s="1" t="str">
        <f aca="false">Report!X1762</f>
        <v>NF 15192 ELLEN</v>
      </c>
    </row>
    <row r="1141" customFormat="false" ht="12.75" hidden="false" customHeight="true" outlineLevel="0" collapsed="false">
      <c r="A1141" s="15" t="n">
        <f aca="false">Report!C1763</f>
        <v>46269</v>
      </c>
      <c r="B1141" s="1" t="str">
        <f aca="false">Report!E1763</f>
        <v>NOVA FRIOS COMERCIO ATACADISTA DE LATICINIOS LTDA</v>
      </c>
      <c r="C1141" s="16" t="n">
        <f aca="false">Report!U1763</f>
        <v>300</v>
      </c>
      <c r="D1141" s="1" t="str">
        <f aca="false">Report!X1763</f>
        <v>NF 4492 ELLEN</v>
      </c>
    </row>
    <row r="1142" customFormat="false" ht="12.75" hidden="false" customHeight="true" outlineLevel="0" collapsed="false">
      <c r="A1142" s="15" t="n">
        <f aca="false">Report!C1764</f>
        <v>46269</v>
      </c>
      <c r="B1142" s="1" t="str">
        <f aca="false">Report!E1764</f>
        <v>PANIFICADORA E CONFEITARIA REAL MADRI LTDA</v>
      </c>
      <c r="C1142" s="16" t="n">
        <f aca="false">Report!U1764</f>
        <v>90</v>
      </c>
      <c r="D1142" s="1" t="str">
        <f aca="false">Report!X1764</f>
        <v>NF 782 ELLEN</v>
      </c>
    </row>
    <row r="1143" customFormat="false" ht="12.75" hidden="false" customHeight="true" outlineLevel="0" collapsed="false">
      <c r="A1143" s="15" t="n">
        <f aca="false">Report!C1766</f>
        <v>46269</v>
      </c>
      <c r="B1143" s="1" t="str">
        <f aca="false">Report!E1766</f>
        <v>NEYLIANE S DE OLIVEIRA &amp; CIA LTDA</v>
      </c>
      <c r="C1143" s="16" t="n">
        <f aca="false">Report!U1766</f>
        <v>300</v>
      </c>
      <c r="D1143" s="1" t="str">
        <f aca="false">Report!X1766</f>
        <v>20L DE AÇAI - PG NO P 4/9/26 - ELLEN</v>
      </c>
    </row>
    <row r="1144" customFormat="false" ht="12.75" hidden="false" customHeight="true" outlineLevel="0" collapsed="false">
      <c r="A1144" s="15" t="n">
        <f aca="false">Report!C1768</f>
        <v>46269</v>
      </c>
      <c r="B1144" s="1" t="str">
        <f aca="false">Report!E1768</f>
        <v>NEYLIANE S DE OLIVEIRA &amp; CIA LTDA</v>
      </c>
      <c r="C1144" s="16" t="n">
        <f aca="false">Report!U1768</f>
        <v>340</v>
      </c>
      <c r="D1144" s="1" t="str">
        <f aca="false">Report!X1768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Report!C1769</f>
        <v>46269</v>
      </c>
      <c r="B1145" s="1" t="str">
        <f aca="false">Report!E1769</f>
        <v>NEYLIANE S DE OLIVEIRA &amp; CIA LTDA</v>
      </c>
      <c r="C1145" s="16" t="n">
        <f aca="false">Report!U1769</f>
        <v>1972</v>
      </c>
      <c r="D1145" s="1" t="str">
        <f aca="false">Report!X1769</f>
        <v>FEIRA-PG P C6-BANK/RENATO - ELLEN</v>
      </c>
    </row>
    <row r="1146" customFormat="false" ht="12.75" hidden="false" customHeight="true" outlineLevel="0" collapsed="false">
      <c r="A1146" s="15" t="n">
        <f aca="false">Report!C1770</f>
        <v>46269</v>
      </c>
      <c r="B1146" s="1" t="str">
        <f aca="false">Report!E1770</f>
        <v>FEIRA</v>
      </c>
      <c r="C1146" s="16" t="n">
        <f aca="false">Report!U1770</f>
        <v>200</v>
      </c>
      <c r="D1146" s="1" t="str">
        <f aca="false">Report!X1770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Report!C1773</f>
        <v>46270</v>
      </c>
      <c r="B1147" s="1" t="str">
        <f aca="false">Report!E1773</f>
        <v>DISTRIBUIDORA FARIAS LTDA.</v>
      </c>
      <c r="C1147" s="16" t="n">
        <f aca="false">Report!U1773</f>
        <v>706.56</v>
      </c>
      <c r="D1147" s="1" t="str">
        <f aca="false">Report!X1773</f>
        <v>NF 689222 ELLEN</v>
      </c>
    </row>
    <row r="1148" customFormat="false" ht="12.75" hidden="false" customHeight="true" outlineLevel="0" collapsed="false">
      <c r="A1148" s="15" t="n">
        <f aca="false">Report!C1774</f>
        <v>46270</v>
      </c>
      <c r="B1148" s="1" t="str">
        <f aca="false">Report!E1774</f>
        <v>DISTRIBUIDORA FARIAS LTDA.</v>
      </c>
      <c r="C1148" s="16" t="n">
        <f aca="false">Report!U1774</f>
        <v>1422.67</v>
      </c>
      <c r="D1148" s="1" t="str">
        <f aca="false">Report!X1774</f>
        <v>NF 689224 ELLEN</v>
      </c>
    </row>
    <row r="1149" customFormat="false" ht="12.75" hidden="false" customHeight="true" outlineLevel="0" collapsed="false">
      <c r="A1149" s="15" t="n">
        <f aca="false">Report!C1776</f>
        <v>46270</v>
      </c>
      <c r="B1149" s="1" t="str">
        <f aca="false">Report!E1776</f>
        <v>JAB COMERCIO DE PRODUTOS ALIMENTICIOS LT</v>
      </c>
      <c r="C1149" s="16" t="n">
        <f aca="false">Report!U1776</f>
        <v>125</v>
      </c>
      <c r="D1149" s="1" t="str">
        <f aca="false">Report!X1776</f>
        <v>NF 3829 ELLEN</v>
      </c>
    </row>
    <row r="1150" customFormat="false" ht="12.75" hidden="false" customHeight="true" outlineLevel="0" collapsed="false">
      <c r="A1150" s="15" t="n">
        <f aca="false">Report!C1777</f>
        <v>46270</v>
      </c>
      <c r="B1150" s="1" t="str">
        <f aca="false">Report!E1777</f>
        <v>MAXFRI DISTRIUIDORA LTDA</v>
      </c>
      <c r="C1150" s="16" t="n">
        <f aca="false">Report!U1777</f>
        <v>1557.6</v>
      </c>
      <c r="D1150" s="1" t="str">
        <f aca="false">Report!X1777</f>
        <v>NF 15213 ELLEN</v>
      </c>
    </row>
    <row r="1151" customFormat="false" ht="12.75" hidden="false" customHeight="true" outlineLevel="0" collapsed="false">
      <c r="A1151" s="15" t="n">
        <f aca="false">Report!C1779</f>
        <v>46272</v>
      </c>
      <c r="B1151" s="1" t="str">
        <f aca="false">Report!E1779</f>
        <v>NATUREZA COMERCIO DE DESCARTAVEIS LTDA</v>
      </c>
      <c r="C1151" s="16" t="n">
        <f aca="false">Report!U1779</f>
        <v>509.85</v>
      </c>
      <c r="D1151" s="1" t="str">
        <f aca="false">Report!X1779</f>
        <v>NF 747704 ELLEN</v>
      </c>
    </row>
    <row r="1152" customFormat="false" ht="12.75" hidden="false" customHeight="true" outlineLevel="0" collapsed="false">
      <c r="A1152" s="15" t="n">
        <f aca="false">Report!C1780</f>
        <v>46272</v>
      </c>
      <c r="B1152" s="1" t="str">
        <f aca="false">Report!E1780</f>
        <v>TAPAJOS COM DE PERFUMARIA COSMETICOS E G</v>
      </c>
      <c r="C1152" s="16" t="n">
        <f aca="false">Report!U1780</f>
        <v>271.2</v>
      </c>
      <c r="D1152" s="1" t="str">
        <f aca="false">Report!X1780</f>
        <v>NF 586317 ELLEN</v>
      </c>
    </row>
    <row r="1153" customFormat="false" ht="12.75" hidden="false" customHeight="true" outlineLevel="0" collapsed="false">
      <c r="A1153" s="15" t="n">
        <f aca="false">Report!C1781</f>
        <v>46272</v>
      </c>
      <c r="B1153" s="1" t="str">
        <f aca="false">Report!E1781</f>
        <v>BF COMERCIO DE ALIMENTOS REPRESENTACAO L</v>
      </c>
      <c r="C1153" s="16" t="n">
        <f aca="false">Report!U1781</f>
        <v>691.91</v>
      </c>
      <c r="D1153" s="1" t="str">
        <f aca="false">Report!X1781</f>
        <v>NF 21279 ELLEN</v>
      </c>
    </row>
    <row r="1154" customFormat="false" ht="12.75" hidden="false" customHeight="true" outlineLevel="0" collapsed="false">
      <c r="A1154" s="15" t="n">
        <f aca="false">Report!C1782</f>
        <v>46272</v>
      </c>
      <c r="B1154" s="1" t="str">
        <f aca="false">Report!E1782</f>
        <v>DUNORTE DISTRIBUIDORA DE PRODUTOS DE CONSUMO LTDA</v>
      </c>
      <c r="C1154" s="16" t="n">
        <f aca="false">Report!U1782</f>
        <v>1352.12</v>
      </c>
      <c r="D1154" s="1" t="str">
        <f aca="false">Report!X1782</f>
        <v>NF 3237634 ELLEN</v>
      </c>
    </row>
    <row r="1155" customFormat="false" ht="12.75" hidden="false" customHeight="true" outlineLevel="0" collapsed="false">
      <c r="A1155" s="15" t="n">
        <f aca="false">Report!C1783</f>
        <v>46272</v>
      </c>
      <c r="B1155" s="1" t="str">
        <f aca="false">Report!E1783</f>
        <v>DURAES DISTRIBUIDORA DE ESTIVAS LTDA</v>
      </c>
      <c r="C1155" s="16" t="n">
        <f aca="false">Report!U1783</f>
        <v>606.56</v>
      </c>
      <c r="D1155" s="1" t="str">
        <f aca="false">Report!X1783</f>
        <v>NF 654907 ELLEN</v>
      </c>
    </row>
    <row r="1156" customFormat="false" ht="12.75" hidden="false" customHeight="true" outlineLevel="0" collapsed="false">
      <c r="A1156" s="15" t="n">
        <f aca="false">Report!C1784</f>
        <v>46272</v>
      </c>
      <c r="B1156" s="1" t="str">
        <f aca="false">Report!E1784</f>
        <v>MAXPEL COMERCIAL LTDA</v>
      </c>
      <c r="C1156" s="16" t="n">
        <f aca="false">Report!U1784</f>
        <v>983.76</v>
      </c>
      <c r="D1156" s="1" t="str">
        <f aca="false">Report!X1784</f>
        <v>NFS 319296/319297 - ELLEN</v>
      </c>
    </row>
    <row r="1157" customFormat="false" ht="12.75" hidden="false" customHeight="true" outlineLevel="0" collapsed="false">
      <c r="A1157" s="15" t="n">
        <f aca="false">Report!C1785</f>
        <v>46272</v>
      </c>
      <c r="B1157" s="1" t="str">
        <f aca="false">Report!E1785</f>
        <v>SB COMERCIO LTDA</v>
      </c>
      <c r="C1157" s="16" t="n">
        <f aca="false">Report!U1785</f>
        <v>521.58</v>
      </c>
      <c r="D1157" s="1" t="str">
        <f aca="false">Report!X1785</f>
        <v>NF 1966312 ELLEN</v>
      </c>
    </row>
    <row r="1158" customFormat="false" ht="12.75" hidden="false" customHeight="true" outlineLevel="0" collapsed="false">
      <c r="A1158" s="15" t="n">
        <f aca="false">Report!C1786</f>
        <v>46272</v>
      </c>
      <c r="B1158" s="1" t="str">
        <f aca="false">Report!E1786</f>
        <v>PANIFICADORA E CONFEITARIA REAL MADRI LTDA</v>
      </c>
      <c r="C1158" s="16" t="n">
        <f aca="false">Report!U1786</f>
        <v>204.77</v>
      </c>
      <c r="D1158" s="1" t="str">
        <f aca="false">Report!X1786</f>
        <v>NF 790 ELLEN</v>
      </c>
    </row>
    <row r="1159" customFormat="false" ht="12.75" hidden="false" customHeight="true" outlineLevel="0" collapsed="false">
      <c r="A1159" s="15" t="n">
        <f aca="false">Report!C1787</f>
        <v>46273</v>
      </c>
      <c r="B1159" s="1" t="str">
        <f aca="false">Report!E1787</f>
        <v>ATACADAO S.A.</v>
      </c>
      <c r="C1159" s="16" t="n">
        <f aca="false">Report!U1787</f>
        <v>1184.7</v>
      </c>
      <c r="D1159" s="1" t="str">
        <f aca="false">Report!X1787</f>
        <v>NF 1915876 ELLEN</v>
      </c>
    </row>
    <row r="1160" customFormat="false" ht="12.75" hidden="false" customHeight="true" outlineLevel="0" collapsed="false">
      <c r="A1160" s="15" t="n">
        <f aca="false">Report!C1788</f>
        <v>46273</v>
      </c>
      <c r="B1160" s="1" t="str">
        <f aca="false">Report!E1788</f>
        <v>PIARARA COMERCIO, IMPORTACAO E EXPORTACAO LTDA</v>
      </c>
      <c r="C1160" s="16" t="n">
        <f aca="false">Report!U1788</f>
        <v>599.85</v>
      </c>
      <c r="D1160" s="1" t="str">
        <f aca="false">Report!X1788</f>
        <v>NF 195597 ELLEN</v>
      </c>
    </row>
    <row r="1161" customFormat="false" ht="12.75" hidden="false" customHeight="true" outlineLevel="0" collapsed="false">
      <c r="A1161" s="15" t="n">
        <f aca="false">Report!C1789</f>
        <v>46273</v>
      </c>
      <c r="B1161" s="1" t="str">
        <f aca="false">Report!E1789</f>
        <v>ROCHA E PAIVA LTDA</v>
      </c>
      <c r="C1161" s="16" t="n">
        <f aca="false">Report!U1789</f>
        <v>584.64</v>
      </c>
      <c r="D1161" s="1" t="str">
        <f aca="false">Report!X1789</f>
        <v>NF 211355 ELLEN</v>
      </c>
    </row>
    <row r="1162" customFormat="false" ht="12.75" hidden="false" customHeight="true" outlineLevel="0" collapsed="false">
      <c r="A1162" s="15" t="n">
        <f aca="false">Report!C1790</f>
        <v>46273</v>
      </c>
      <c r="B1162" s="1" t="str">
        <f aca="false">Report!E1790</f>
        <v>J. A. F. DE LIMA</v>
      </c>
      <c r="C1162" s="16" t="n">
        <f aca="false">Report!U1790</f>
        <v>645.71</v>
      </c>
      <c r="D1162" s="1" t="str">
        <f aca="false">Report!X1790</f>
        <v>NF 160332 ELLEN</v>
      </c>
    </row>
    <row r="1163" customFormat="false" ht="12.75" hidden="false" customHeight="true" outlineLevel="0" collapsed="false">
      <c r="A1163" s="15" t="n">
        <f aca="false">Report!C1791</f>
        <v>46273</v>
      </c>
      <c r="B1163" s="1" t="str">
        <f aca="false">Report!E1791</f>
        <v>SUPER CANCUN COMERCIO DE PRODUTOS ALIMEN</v>
      </c>
      <c r="C1163" s="16" t="n">
        <f aca="false">Report!U1791</f>
        <v>548.18</v>
      </c>
      <c r="D1163" s="1" t="str">
        <f aca="false">Report!X1791</f>
        <v>NF 265359 ELLEN</v>
      </c>
    </row>
    <row r="1164" customFormat="false" ht="12.75" hidden="false" customHeight="true" outlineLevel="0" collapsed="false">
      <c r="A1164" s="15" t="n">
        <f aca="false">Report!C1792</f>
        <v>46273</v>
      </c>
      <c r="B1164" s="1" t="str">
        <f aca="false">Report!E1792</f>
        <v>L. J. DA SILVA LTDA</v>
      </c>
      <c r="C1164" s="16" t="n">
        <f aca="false">Report!U1792</f>
        <v>421</v>
      </c>
      <c r="D1164" s="1" t="str">
        <f aca="false">Report!X1792</f>
        <v>NF 37213 ELLEN</v>
      </c>
    </row>
    <row r="1165" customFormat="false" ht="12.75" hidden="false" customHeight="true" outlineLevel="0" collapsed="false">
      <c r="A1165" s="15" t="n">
        <f aca="false">Report!C1793</f>
        <v>46273</v>
      </c>
      <c r="B1165" s="1" t="str">
        <f aca="false">Report!E1793</f>
        <v>BRASIL NORTE BEBIDAS S/A</v>
      </c>
      <c r="C1165" s="16" t="n">
        <f aca="false">Report!U1793</f>
        <v>639.05</v>
      </c>
      <c r="D1165" s="1" t="str">
        <f aca="false">Report!X1793</f>
        <v>NF 1262093 ELLEN</v>
      </c>
    </row>
    <row r="1166" customFormat="false" ht="12.75" hidden="false" customHeight="true" outlineLevel="0" collapsed="false">
      <c r="A1166" s="15" t="n">
        <f aca="false">Report!C1794</f>
        <v>46273</v>
      </c>
      <c r="B1166" s="1" t="str">
        <f aca="false">Report!E1794</f>
        <v>BRASIL NORTE BEBIDAS S/A</v>
      </c>
      <c r="C1166" s="16" t="n">
        <f aca="false">Report!U1794</f>
        <v>3064.41</v>
      </c>
      <c r="D1166" s="1" t="str">
        <f aca="false">Report!X1794</f>
        <v>NF 2004983 ELLEN</v>
      </c>
    </row>
    <row r="1167" customFormat="false" ht="12.75" hidden="false" customHeight="true" outlineLevel="0" collapsed="false">
      <c r="A1167" s="15" t="n">
        <f aca="false">Report!C1795</f>
        <v>46273</v>
      </c>
      <c r="B1167" s="1" t="str">
        <f aca="false">Report!E1795</f>
        <v>NESTLÉ BRASIL LTDA.</v>
      </c>
      <c r="C1167" s="16" t="n">
        <f aca="false">Report!U1795</f>
        <v>1509.12</v>
      </c>
      <c r="D1167" s="1" t="str">
        <f aca="false">Report!X1795</f>
        <v>NF 1442202 ELLEN</v>
      </c>
    </row>
    <row r="1168" customFormat="false" ht="12.75" hidden="false" customHeight="true" outlineLevel="0" collapsed="false">
      <c r="A1168" s="15" t="n">
        <f aca="false">Report!C1796</f>
        <v>46273</v>
      </c>
      <c r="B1168" s="1" t="str">
        <f aca="false">Report!E1796</f>
        <v>NESTLÉ BRASIL LTDA.</v>
      </c>
      <c r="C1168" s="16" t="n">
        <f aca="false">Report!U1796</f>
        <v>202.95</v>
      </c>
      <c r="D1168" s="1" t="str">
        <f aca="false">Report!X1796</f>
        <v>NF 1441732 ELLEN</v>
      </c>
    </row>
    <row r="1169" customFormat="false" ht="12.75" hidden="false" customHeight="true" outlineLevel="0" collapsed="false">
      <c r="A1169" s="15" t="n">
        <f aca="false">Report!C1797</f>
        <v>46273</v>
      </c>
      <c r="B1169" s="1" t="str">
        <f aca="false">Report!E1797</f>
        <v>CB COMERCIO E DISTRIBUIDORA DE ALIMENTOS</v>
      </c>
      <c r="C1169" s="16" t="n">
        <f aca="false">Report!U1797</f>
        <v>843.65</v>
      </c>
      <c r="D1169" s="1" t="str">
        <f aca="false">Report!X1797</f>
        <v>NF 866347 ELLEN</v>
      </c>
    </row>
    <row r="1170" customFormat="false" ht="12.75" hidden="false" customHeight="true" outlineLevel="0" collapsed="false">
      <c r="A1170" s="15" t="n">
        <f aca="false">Report!C1798</f>
        <v>46273</v>
      </c>
      <c r="B1170" s="1" t="str">
        <f aca="false">Report!E1798</f>
        <v>EDMARA COMERCIO DE HIGIENE PESSOAL LTDA</v>
      </c>
      <c r="C1170" s="16" t="n">
        <f aca="false">Report!U1798</f>
        <v>873.08</v>
      </c>
      <c r="D1170" s="1" t="str">
        <f aca="false">Report!X1798</f>
        <v>NF 8744 ELLEN</v>
      </c>
    </row>
    <row r="1171" customFormat="false" ht="12.75" hidden="false" customHeight="true" outlineLevel="0" collapsed="false">
      <c r="A1171" s="15" t="n">
        <f aca="false">Report!C1799</f>
        <v>46273</v>
      </c>
      <c r="B1171" s="1" t="str">
        <f aca="false">Report!E1799</f>
        <v>VICTORIA COMERCIO INTERNACIONAL DE ALIME</v>
      </c>
      <c r="C1171" s="16" t="n">
        <f aca="false">Report!U1799</f>
        <v>410</v>
      </c>
      <c r="D1171" s="1" t="str">
        <f aca="false">Report!X1799</f>
        <v>NF 13095 ELLEN</v>
      </c>
    </row>
    <row r="1172" customFormat="false" ht="12.75" hidden="false" customHeight="true" outlineLevel="0" collapsed="false">
      <c r="A1172" s="15" t="n">
        <f aca="false">Report!C1800</f>
        <v>46273</v>
      </c>
      <c r="B1172" s="1" t="str">
        <f aca="false">Report!E1800</f>
        <v>CRBS S/A</v>
      </c>
      <c r="C1172" s="16" t="n">
        <f aca="false">Report!U1800</f>
        <v>1825.37</v>
      </c>
      <c r="D1172" s="1" t="str">
        <f aca="false">Report!X1800</f>
        <v>NF 982558 ELLEN</v>
      </c>
    </row>
    <row r="1173" customFormat="false" ht="12.75" hidden="false" customHeight="true" outlineLevel="0" collapsed="false">
      <c r="A1173" s="15" t="n">
        <f aca="false">Report!C1801</f>
        <v>46273</v>
      </c>
      <c r="B1173" s="1" t="str">
        <f aca="false">Report!E1801</f>
        <v>BROTHERS  INDUSTRIA DE ALIMENTOS LTDA</v>
      </c>
      <c r="C1173" s="16" t="n">
        <f aca="false">Report!U1801</f>
        <v>492.29</v>
      </c>
      <c r="D1173" s="1" t="str">
        <f aca="false">Report!X1801</f>
        <v>NF 1039683 ELLEN</v>
      </c>
    </row>
    <row r="1174" customFormat="false" ht="12.75" hidden="false" customHeight="true" outlineLevel="0" collapsed="false">
      <c r="A1174" s="15" t="n">
        <f aca="false">Report!C1802</f>
        <v>46273</v>
      </c>
      <c r="B1174" s="1" t="str">
        <f aca="false">Report!E1802</f>
        <v>KAROLINY RODRIGUES SOUZA VENANCIO 915783</v>
      </c>
      <c r="C1174" s="16" t="n">
        <f aca="false">Report!U1802</f>
        <v>250</v>
      </c>
      <c r="D1174" s="1" t="str">
        <f aca="false">Report!X1802</f>
        <v>NF 2142 ELLEN</v>
      </c>
    </row>
    <row r="1175" customFormat="false" ht="12.75" hidden="false" customHeight="true" outlineLevel="0" collapsed="false">
      <c r="A1175" s="15" t="n">
        <f aca="false">Report!C1803</f>
        <v>46273</v>
      </c>
      <c r="B1175" s="1" t="str">
        <f aca="false">Report!E1803</f>
        <v>L S M COMERCIO DE ALIMENTOS E NAVEGACAO</v>
      </c>
      <c r="C1175" s="16" t="n">
        <f aca="false">Report!U1803</f>
        <v>658.8</v>
      </c>
      <c r="D1175" s="1" t="str">
        <f aca="false">Report!X1803</f>
        <v>NF 311270 ELLEN</v>
      </c>
    </row>
    <row r="1176" customFormat="false" ht="12.75" hidden="false" customHeight="true" outlineLevel="0" collapsed="false">
      <c r="A1176" s="15" t="n">
        <f aca="false">Report!C1804</f>
        <v>46273</v>
      </c>
      <c r="B1176" s="1" t="str">
        <f aca="false">Report!E1804</f>
        <v>MAXFRI DISTRIUIDORA LTDA</v>
      </c>
      <c r="C1176" s="16" t="n">
        <f aca="false">Report!U1804</f>
        <v>4886.4</v>
      </c>
      <c r="D1176" s="1" t="str">
        <f aca="false">Report!X1804</f>
        <v>NF 15237 ELLEN</v>
      </c>
    </row>
    <row r="1177" customFormat="false" ht="12.75" hidden="false" customHeight="true" outlineLevel="0" collapsed="false">
      <c r="A1177" s="15" t="n">
        <f aca="false">Report!C1805</f>
        <v>46273</v>
      </c>
      <c r="B1177" s="1" t="str">
        <f aca="false">Report!E1805</f>
        <v>NOVA FRIOS COMERCIO ATACADISTA DE LATICINIOS LTDA</v>
      </c>
      <c r="C1177" s="16" t="n">
        <f aca="false">Report!U1805</f>
        <v>133.5</v>
      </c>
      <c r="D1177" s="1" t="str">
        <f aca="false">Report!X1805</f>
        <v>NF 4523 ELLEN</v>
      </c>
    </row>
    <row r="1178" customFormat="false" ht="12.75" hidden="false" customHeight="true" outlineLevel="0" collapsed="false">
      <c r="A1178" s="15" t="n">
        <f aca="false">Report!C1806</f>
        <v>46273</v>
      </c>
      <c r="B1178" s="1" t="str">
        <f aca="false">Report!E1806</f>
        <v>J W N DOS SANTOS</v>
      </c>
      <c r="C1178" s="16" t="n">
        <f aca="false">Report!U1806</f>
        <v>177.5</v>
      </c>
      <c r="D1178" s="1" t="str">
        <f aca="false">Report!X1806</f>
        <v>NF 427 ELLEN</v>
      </c>
    </row>
    <row r="1179" customFormat="false" ht="12.75" hidden="false" customHeight="true" outlineLevel="0" collapsed="false">
      <c r="A1179" s="15" t="n">
        <f aca="false">Report!C1807</f>
        <v>46274</v>
      </c>
      <c r="B1179" s="1" t="str">
        <f aca="false">Report!E1807</f>
        <v>DISTRIBUIDORA LOPES LTDA</v>
      </c>
      <c r="C1179" s="16" t="n">
        <f aca="false">Report!U1807</f>
        <v>1279.58</v>
      </c>
      <c r="D1179" s="1" t="str">
        <f aca="false">Report!X1807</f>
        <v>NF 1709601 ELLEN</v>
      </c>
    </row>
    <row r="1180" customFormat="false" ht="12.75" hidden="false" customHeight="true" outlineLevel="0" collapsed="false">
      <c r="A1180" s="15" t="n">
        <f aca="false">Report!C1808</f>
        <v>46274</v>
      </c>
      <c r="B1180" s="1" t="str">
        <f aca="false">Report!E1808</f>
        <v>RISADINHA LTDA</v>
      </c>
      <c r="C1180" s="16" t="n">
        <f aca="false">Report!U1808</f>
        <v>830.13</v>
      </c>
      <c r="D1180" s="1" t="str">
        <f aca="false">Report!X1808</f>
        <v>NF 668739 ELLEN</v>
      </c>
    </row>
    <row r="1181" customFormat="false" ht="12.75" hidden="false" customHeight="true" outlineLevel="0" collapsed="false">
      <c r="A1181" s="15" t="n">
        <f aca="false">Report!C1809</f>
        <v>46274</v>
      </c>
      <c r="B1181" s="1" t="str">
        <f aca="false">Report!E1809</f>
        <v>EMPRESA BRASILEIRA DE DISTRIBUICAO LTDA</v>
      </c>
      <c r="C1181" s="16" t="n">
        <f aca="false">Report!U1809</f>
        <v>1154.65</v>
      </c>
      <c r="D1181" s="1" t="str">
        <f aca="false">Report!X1809</f>
        <v>NF 2310769 ELLEN</v>
      </c>
    </row>
    <row r="1182" customFormat="false" ht="12.75" hidden="false" customHeight="true" outlineLevel="0" collapsed="false">
      <c r="A1182" s="15" t="n">
        <f aca="false">Report!C1810</f>
        <v>46274</v>
      </c>
      <c r="B1182" s="1" t="str">
        <f aca="false">Report!E1810</f>
        <v>BRASIL NORTE BEBIDAS S/A</v>
      </c>
      <c r="C1182" s="16" t="n">
        <f aca="false">Report!U1810</f>
        <v>264.36</v>
      </c>
      <c r="D1182" s="1" t="str">
        <f aca="false">Report!X1810</f>
        <v>NF 1263938 ELLEN</v>
      </c>
    </row>
    <row r="1183" customFormat="false" ht="12.75" hidden="false" customHeight="true" outlineLevel="0" collapsed="false">
      <c r="A1183" s="15" t="n">
        <f aca="false">Report!C1811</f>
        <v>46274</v>
      </c>
      <c r="B1183" s="1" t="str">
        <f aca="false">Report!E1811</f>
        <v>BRASIL NORTE BEBIDAS S/A</v>
      </c>
      <c r="C1183" s="16" t="n">
        <f aca="false">Report!U1811</f>
        <v>3257.14</v>
      </c>
      <c r="D1183" s="1" t="str">
        <f aca="false">Report!X1811</f>
        <v>NF 2007955 ELLEN</v>
      </c>
    </row>
    <row r="1184" customFormat="false" ht="12.75" hidden="false" customHeight="true" outlineLevel="0" collapsed="false">
      <c r="A1184" s="15" t="n">
        <f aca="false">Report!C1812</f>
        <v>46274</v>
      </c>
      <c r="B1184" s="1" t="str">
        <f aca="false">Report!E1812</f>
        <v>FALCAO INDUSTRIA DE ALIMENTOS LTDA</v>
      </c>
      <c r="C1184" s="16" t="n">
        <f aca="false">Report!U1812</f>
        <v>2752.16</v>
      </c>
      <c r="D1184" s="1" t="str">
        <f aca="false">Report!X1812</f>
        <v>NF 33028 ELLEN</v>
      </c>
    </row>
    <row r="1185" customFormat="false" ht="12.75" hidden="false" customHeight="true" outlineLevel="0" collapsed="false">
      <c r="A1185" s="15" t="n">
        <f aca="false">Report!C1813</f>
        <v>46274</v>
      </c>
      <c r="B1185" s="1" t="str">
        <f aca="false">Report!E1813</f>
        <v>OESA COMERCIO E REPRESENTACOES S/A</v>
      </c>
      <c r="C1185" s="16" t="n">
        <f aca="false">Report!U1813</f>
        <v>1510.33</v>
      </c>
      <c r="D1185" s="1" t="str">
        <f aca="false">Report!X1813</f>
        <v>NF 447609 ELLEN</v>
      </c>
    </row>
    <row r="1186" customFormat="false" ht="12.75" hidden="false" customHeight="true" outlineLevel="0" collapsed="false">
      <c r="A1186" s="15" t="n">
        <f aca="false">Report!C1814</f>
        <v>46274</v>
      </c>
      <c r="B1186" s="1" t="str">
        <f aca="false">Report!E1814</f>
        <v>FENNIX BRASIL DISTRIBUIDORA DE PRODUTOS</v>
      </c>
      <c r="C1186" s="16" t="n">
        <f aca="false">Report!U1814</f>
        <v>679.16</v>
      </c>
      <c r="D1186" s="1" t="str">
        <f aca="false">Report!X1814</f>
        <v>NF 319020 ELLEN</v>
      </c>
    </row>
    <row r="1187" customFormat="false" ht="12.75" hidden="false" customHeight="true" outlineLevel="0" collapsed="false">
      <c r="A1187" s="15" t="n">
        <f aca="false">Report!C1815</f>
        <v>46274</v>
      </c>
      <c r="B1187" s="1" t="str">
        <f aca="false">Report!E1815</f>
        <v>DUNORTE DISTRIBUIDORA DE PRODUTOS DE CONSUMO LTDA</v>
      </c>
      <c r="C1187" s="16" t="n">
        <f aca="false">Report!U1815</f>
        <v>733.77</v>
      </c>
      <c r="D1187" s="1" t="str">
        <f aca="false">Report!X1815</f>
        <v>NF 3242273 ELLEN</v>
      </c>
    </row>
    <row r="1188" customFormat="false" ht="12.75" hidden="false" customHeight="true" outlineLevel="0" collapsed="false">
      <c r="A1188" s="15" t="n">
        <f aca="false">Report!C1816</f>
        <v>46274</v>
      </c>
      <c r="B1188" s="1" t="str">
        <f aca="false">Report!E1816</f>
        <v>BONNA VITTA INDUSTRIA E COMERCIO LTDA.</v>
      </c>
      <c r="C1188" s="16" t="n">
        <f aca="false">Report!U1816</f>
        <v>938.06</v>
      </c>
      <c r="D1188" s="1" t="str">
        <f aca="false">Report!X1816</f>
        <v>NF 4363 ELLEN</v>
      </c>
    </row>
    <row r="1189" customFormat="false" ht="12.75" hidden="false" customHeight="true" outlineLevel="0" collapsed="false">
      <c r="A1189" s="15" t="n">
        <f aca="false">Report!C1817</f>
        <v>46274</v>
      </c>
      <c r="B1189" s="1" t="str">
        <f aca="false">Report!E1817</f>
        <v>NSB COMERCIO ATACADISTA E VAREJISTA DE P</v>
      </c>
      <c r="C1189" s="16" t="n">
        <f aca="false">Report!U1817</f>
        <v>260.83</v>
      </c>
      <c r="D1189" s="1" t="str">
        <f aca="false">Report!X1817</f>
        <v>NF 8180 ELLEN</v>
      </c>
    </row>
    <row r="1190" customFormat="false" ht="12.75" hidden="false" customHeight="true" outlineLevel="0" collapsed="false">
      <c r="A1190" s="15" t="n">
        <f aca="false">Report!C1818</f>
        <v>46274</v>
      </c>
      <c r="B1190" s="1" t="str">
        <f aca="false">Report!E1818</f>
        <v>ADF DISTRIBUIDORA DE BEBIDAS LTDA</v>
      </c>
      <c r="C1190" s="16" t="n">
        <f aca="false">Report!U1818</f>
        <v>229.85</v>
      </c>
      <c r="D1190" s="1" t="str">
        <f aca="false">Report!X1818</f>
        <v>NF 491629 ELLEN</v>
      </c>
    </row>
    <row r="1191" customFormat="false" ht="12.75" hidden="false" customHeight="true" outlineLevel="0" collapsed="false">
      <c r="A1191" s="15" t="n">
        <f aca="false">Report!C1819</f>
        <v>46275</v>
      </c>
      <c r="B1191" s="1" t="str">
        <f aca="false">Report!E1819</f>
        <v>FUNNY PET DISTRIBUIDORA DE ALIMENTOS PAR</v>
      </c>
      <c r="C1191" s="16" t="n">
        <f aca="false">Report!U1819</f>
        <v>128.85</v>
      </c>
      <c r="D1191" s="1" t="str">
        <f aca="false">Report!X1819</f>
        <v>NF 20440 ELLEN</v>
      </c>
    </row>
    <row r="1192" customFormat="false" ht="12.75" hidden="false" customHeight="true" outlineLevel="0" collapsed="false">
      <c r="A1192" s="15" t="n">
        <f aca="false">Report!C1823</f>
        <v>46275</v>
      </c>
      <c r="B1192" s="1" t="str">
        <f aca="false">Report!E1823</f>
        <v>DISTRIBUIDORA LOPES LTDA</v>
      </c>
      <c r="C1192" s="16" t="n">
        <f aca="false">Report!U1823</f>
        <v>692.26</v>
      </c>
      <c r="D1192" s="1" t="str">
        <f aca="false">Report!X1823</f>
        <v>NF 1710665 ELLEN</v>
      </c>
    </row>
    <row r="1193" customFormat="false" ht="12.75" hidden="false" customHeight="true" outlineLevel="0" collapsed="false">
      <c r="A1193" s="15" t="n">
        <f aca="false">Report!C1824</f>
        <v>46275</v>
      </c>
      <c r="B1193" s="1" t="str">
        <f aca="false">Report!E1824</f>
        <v>AGM COMERCIO E DISTRIBUIDORA DE MATERIAS DE PERFUMARIA E LIMPEZA LTDA</v>
      </c>
      <c r="C1193" s="16" t="n">
        <f aca="false">Report!U1824</f>
        <v>2153.25</v>
      </c>
      <c r="D1193" s="1" t="str">
        <f aca="false">Report!X1824</f>
        <v>NF 163912 ELLEN</v>
      </c>
    </row>
    <row r="1194" customFormat="false" ht="12.75" hidden="false" customHeight="true" outlineLevel="0" collapsed="false">
      <c r="A1194" s="15" t="n">
        <f aca="false">Report!C1825</f>
        <v>46275</v>
      </c>
      <c r="B1194" s="1" t="str">
        <f aca="false">Report!E1825</f>
        <v>ATACADAO S.A.</v>
      </c>
      <c r="C1194" s="16" t="n">
        <f aca="false">Report!U1825</f>
        <v>561.84</v>
      </c>
      <c r="D1194" s="1" t="str">
        <f aca="false">Report!X1825</f>
        <v>NF 1919900 ELLEN</v>
      </c>
    </row>
    <row r="1195" customFormat="false" ht="12.75" hidden="false" customHeight="true" outlineLevel="0" collapsed="false">
      <c r="A1195" s="15" t="n">
        <f aca="false">Report!C1826</f>
        <v>46275</v>
      </c>
      <c r="B1195" s="1" t="str">
        <f aca="false">Report!E1826</f>
        <v>TAPAJOS COM DE PERFUMARIA COSMETICOS E G</v>
      </c>
      <c r="C1195" s="16" t="n">
        <f aca="false">Report!U1826</f>
        <v>793.81</v>
      </c>
      <c r="D1195" s="1" t="str">
        <f aca="false">Report!X1826</f>
        <v>NF 586415 ELLEN</v>
      </c>
    </row>
    <row r="1196" customFormat="false" ht="12.75" hidden="false" customHeight="true" outlineLevel="0" collapsed="false">
      <c r="A1196" s="15" t="n">
        <f aca="false">Report!C1827</f>
        <v>46275</v>
      </c>
      <c r="B1196" s="1" t="str">
        <f aca="false">Report!E1827</f>
        <v>TRES CORACOES ALIMENTOS S.A.</v>
      </c>
      <c r="C1196" s="16" t="n">
        <f aca="false">Report!U1827</f>
        <v>182.8</v>
      </c>
      <c r="D1196" s="1" t="str">
        <f aca="false">Report!X1827</f>
        <v>NF 357892 ELLEN</v>
      </c>
    </row>
    <row r="1197" customFormat="false" ht="12.75" hidden="false" customHeight="true" outlineLevel="0" collapsed="false">
      <c r="A1197" s="15" t="n">
        <f aca="false">Report!C1830</f>
        <v>46275</v>
      </c>
      <c r="B1197" s="1" t="str">
        <f aca="false">Report!E1830</f>
        <v>MARE DISTRIBUIDORA DE BEBIDAS E DE PRODUTOS ALIMENTICIOS LTDA</v>
      </c>
      <c r="C1197" s="16" t="n">
        <f aca="false">Report!U1830</f>
        <v>1515.2</v>
      </c>
      <c r="D1197" s="1" t="str">
        <f aca="false">Report!X1830</f>
        <v>NF 1430146 ELLEN</v>
      </c>
    </row>
    <row r="1198" customFormat="false" ht="12.75" hidden="false" customHeight="true" outlineLevel="0" collapsed="false">
      <c r="A1198" s="15" t="n">
        <f aca="false">Report!C1832</f>
        <v>46275</v>
      </c>
      <c r="B1198" s="1" t="str">
        <f aca="false">Report!E1832</f>
        <v>AMAZON MILK IND. E COMERCIO LTDA</v>
      </c>
      <c r="C1198" s="16" t="n">
        <f aca="false">Report!U1832</f>
        <v>805.4</v>
      </c>
      <c r="D1198" s="1" t="str">
        <f aca="false">Report!X1832</f>
        <v>NF 206697 ELLEN</v>
      </c>
    </row>
    <row r="1199" customFormat="false" ht="12.75" hidden="false" customHeight="true" outlineLevel="0" collapsed="false">
      <c r="A1199" s="15" t="n">
        <f aca="false">Report!C1834</f>
        <v>46275</v>
      </c>
      <c r="B1199" s="1" t="str">
        <f aca="false">Report!E1834</f>
        <v>T A DE MATTOS COMIM EIRELI</v>
      </c>
      <c r="C1199" s="16" t="n">
        <f aca="false">Report!U1834</f>
        <v>228</v>
      </c>
      <c r="D1199" s="1" t="str">
        <f aca="false">Report!X1834</f>
        <v>NF 10951 ELLEN</v>
      </c>
    </row>
    <row r="1200" customFormat="false" ht="12.75" hidden="false" customHeight="true" outlineLevel="0" collapsed="false">
      <c r="A1200" s="15" t="n">
        <f aca="false">Report!C1835</f>
        <v>46275</v>
      </c>
      <c r="B1200" s="1" t="str">
        <f aca="false">Report!E1835</f>
        <v>J. S. MOREIRA ALVES LTDA</v>
      </c>
      <c r="C1200" s="16" t="n">
        <f aca="false">Report!U1835</f>
        <v>190</v>
      </c>
      <c r="D1200" s="1" t="str">
        <f aca="false">Report!X1835</f>
        <v>NF 2859 ELLEN</v>
      </c>
    </row>
    <row r="1201" customFormat="false" ht="12.75" hidden="false" customHeight="true" outlineLevel="0" collapsed="false">
      <c r="A1201" s="15" t="n">
        <f aca="false">Report!C1836</f>
        <v>46275</v>
      </c>
      <c r="B1201" s="1" t="str">
        <f aca="false">Report!E1836</f>
        <v>BRAGA TABACARIA EIRELI ME</v>
      </c>
      <c r="C1201" s="16" t="n">
        <f aca="false">Report!U1836</f>
        <v>1063.84</v>
      </c>
      <c r="D1201" s="1" t="str">
        <f aca="false">Report!X1836</f>
        <v>NF 20104 ELLEN</v>
      </c>
    </row>
    <row r="1202" customFormat="false" ht="12.75" hidden="false" customHeight="true" outlineLevel="0" collapsed="false">
      <c r="A1202" s="15" t="n">
        <f aca="false">Report!C1837</f>
        <v>46275</v>
      </c>
      <c r="B1202" s="1" t="str">
        <f aca="false">Report!E1837</f>
        <v>VICTORIA COMERCIO INTERNACIONAL DE ALIME</v>
      </c>
      <c r="C1202" s="16" t="n">
        <f aca="false">Report!U1837</f>
        <v>1213.95</v>
      </c>
      <c r="D1202" s="1" t="str">
        <f aca="false">Report!X1837</f>
        <v>NF 13070 ELLEN</v>
      </c>
    </row>
    <row r="1203" customFormat="false" ht="12.75" hidden="false" customHeight="true" outlineLevel="0" collapsed="false">
      <c r="A1203" s="15" t="n">
        <f aca="false">Report!C1838</f>
        <v>46275</v>
      </c>
      <c r="B1203" s="1" t="str">
        <f aca="false">Report!E1838</f>
        <v>ALEXSANDRO BEZERRA DA SILVA</v>
      </c>
      <c r="C1203" s="16" t="n">
        <f aca="false">Report!U1838</f>
        <v>1012.43</v>
      </c>
      <c r="D1203" s="1" t="str">
        <f aca="false">Report!X1838</f>
        <v>NF 299 ELLEN</v>
      </c>
    </row>
    <row r="1204" customFormat="false" ht="12.75" hidden="false" customHeight="true" outlineLevel="0" collapsed="false">
      <c r="A1204" s="15" t="n">
        <f aca="false">Report!C1839</f>
        <v>46275</v>
      </c>
      <c r="B1204" s="1" t="str">
        <f aca="false">Report!E1839</f>
        <v>JAB COMERCIO DE PRODUTOS ALIMENTICIOS LT</v>
      </c>
      <c r="C1204" s="16" t="n">
        <f aca="false">Report!U1839</f>
        <v>125</v>
      </c>
      <c r="D1204" s="1" t="str">
        <f aca="false">Report!X1839</f>
        <v>NF 3867 ELLEN</v>
      </c>
    </row>
    <row r="1205" customFormat="false" ht="12.75" hidden="false" customHeight="true" outlineLevel="0" collapsed="false">
      <c r="A1205" s="15" t="n">
        <f aca="false">Report!C1840</f>
        <v>46275</v>
      </c>
      <c r="B1205" s="1" t="str">
        <f aca="false">Report!E1840</f>
        <v>ADRIANO FEITOSA OLIVEIRA LTDA</v>
      </c>
      <c r="C1205" s="16" t="n">
        <f aca="false">Report!U1840</f>
        <v>1045</v>
      </c>
      <c r="D1205" s="1" t="str">
        <f aca="false">Report!X1840</f>
        <v>NF 378 ELLEN</v>
      </c>
    </row>
    <row r="1206" customFormat="false" ht="12.75" hidden="false" customHeight="true" outlineLevel="0" collapsed="false">
      <c r="A1206" s="15" t="n">
        <f aca="false">Report!C1841</f>
        <v>46275</v>
      </c>
      <c r="B1206" s="1" t="str">
        <f aca="false">Report!E1841</f>
        <v>MAXFRI DISTRIUIDORA LTDA</v>
      </c>
      <c r="C1206" s="16" t="n">
        <f aca="false">Report!U1841</f>
        <v>4057.6</v>
      </c>
      <c r="D1206" s="1" t="str">
        <f aca="false">Report!X1841</f>
        <v>NF 15256 ELLEN</v>
      </c>
    </row>
    <row r="1207" customFormat="false" ht="12.75" hidden="false" customHeight="true" outlineLevel="0" collapsed="false">
      <c r="A1207" s="15" t="n">
        <f aca="false">Report!C1842</f>
        <v>46276</v>
      </c>
      <c r="B1207" s="1" t="str">
        <f aca="false">Report!E1842</f>
        <v>SOUZA CRUZ LTDA.</v>
      </c>
      <c r="C1207" s="16" t="n">
        <f aca="false">Report!U1842</f>
        <v>5894.1</v>
      </c>
      <c r="D1207" s="1" t="str">
        <f aca="false">Report!X1842</f>
        <v>NF 570907 ELLEN</v>
      </c>
    </row>
    <row r="1208" customFormat="false" ht="12.75" hidden="false" customHeight="true" outlineLevel="0" collapsed="false">
      <c r="A1208" s="15" t="n">
        <f aca="false">Report!C1843</f>
        <v>46276</v>
      </c>
      <c r="B1208" s="1" t="str">
        <f aca="false">Report!E1843</f>
        <v>DA FRUTA DISTRIBUIDORA LTDA</v>
      </c>
      <c r="C1208" s="16" t="n">
        <f aca="false">Report!U1843</f>
        <v>624.41</v>
      </c>
      <c r="D1208" s="1" t="str">
        <f aca="false">Report!X1843</f>
        <v>NF 197945 ELLEN</v>
      </c>
    </row>
    <row r="1209" customFormat="false" ht="12.75" hidden="false" customHeight="true" outlineLevel="0" collapsed="false">
      <c r="A1209" s="15" t="n">
        <f aca="false">Report!C1844</f>
        <v>46276</v>
      </c>
      <c r="B1209" s="1" t="str">
        <f aca="false">Report!E1844</f>
        <v>DURAES DISTRIBUIDORA DE ESTIVAS LTDA</v>
      </c>
      <c r="C1209" s="16" t="n">
        <f aca="false">Report!U1844</f>
        <v>610.2</v>
      </c>
      <c r="D1209" s="1" t="str">
        <f aca="false">Report!X1844</f>
        <v>NF 656817 ELLEN</v>
      </c>
    </row>
    <row r="1210" customFormat="false" ht="12.75" hidden="false" customHeight="true" outlineLevel="0" collapsed="false">
      <c r="A1210" s="15" t="n">
        <f aca="false">Report!C1845</f>
        <v>46276</v>
      </c>
      <c r="B1210" s="1" t="str">
        <f aca="false">Report!E1845</f>
        <v>FEMAR IND E COM DE BEBIDAS LTDA</v>
      </c>
      <c r="C1210" s="16" t="n">
        <f aca="false">Report!U1845</f>
        <v>247.55</v>
      </c>
      <c r="D1210" s="1" t="str">
        <f aca="false">Report!X1845</f>
        <v>NF 58376 ELLEN</v>
      </c>
    </row>
    <row r="1211" customFormat="false" ht="12.75" hidden="false" customHeight="true" outlineLevel="0" collapsed="false">
      <c r="A1211" s="15" t="n">
        <f aca="false">Report!C1846</f>
        <v>46276</v>
      </c>
      <c r="B1211" s="1" t="str">
        <f aca="false">Report!E1846</f>
        <v>DISTRIBUIDORA LOPES LTDA</v>
      </c>
      <c r="C1211" s="16" t="n">
        <f aca="false">Report!U1846</f>
        <v>832.2</v>
      </c>
      <c r="D1211" s="1" t="str">
        <f aca="false">Report!X1846</f>
        <v>NF 1724730 ELLEN</v>
      </c>
    </row>
    <row r="1212" customFormat="false" ht="12.75" hidden="false" customHeight="true" outlineLevel="0" collapsed="false">
      <c r="A1212" s="15" t="n">
        <f aca="false">Report!C1847</f>
        <v>46276</v>
      </c>
      <c r="B1212" s="1" t="str">
        <f aca="false">Report!E1847</f>
        <v>J G COMERCIO DE PRODUTOS ALIMENTICIOS LTDA</v>
      </c>
      <c r="C1212" s="16" t="n">
        <f aca="false">Report!U1847</f>
        <v>474.45</v>
      </c>
      <c r="D1212" s="1" t="str">
        <f aca="false">Report!X1847</f>
        <v>NF 401423 ELLEN</v>
      </c>
    </row>
    <row r="1213" customFormat="false" ht="12.75" hidden="false" customHeight="true" outlineLevel="0" collapsed="false">
      <c r="A1213" s="15" t="n">
        <f aca="false">Report!C1849</f>
        <v>46277</v>
      </c>
      <c r="B1213" s="1" t="str">
        <f aca="false">Report!E1849</f>
        <v>DISTRIBUIDORA FARIAS LTDA.</v>
      </c>
      <c r="C1213" s="16" t="n">
        <f aca="false">Report!U1849</f>
        <v>706.55</v>
      </c>
      <c r="D1213" s="1" t="str">
        <f aca="false">Report!X1849</f>
        <v>NF 689222 ELLEN</v>
      </c>
    </row>
    <row r="1214" customFormat="false" ht="12.75" hidden="false" customHeight="true" outlineLevel="0" collapsed="false">
      <c r="A1214" s="15" t="n">
        <f aca="false">Report!C1850</f>
        <v>46277</v>
      </c>
      <c r="B1214" s="1" t="str">
        <f aca="false">Report!E1850</f>
        <v>DISTRIBUIDORA FARIAS LTDA.</v>
      </c>
      <c r="C1214" s="16" t="n">
        <f aca="false">Report!U1850</f>
        <v>1422.68</v>
      </c>
      <c r="D1214" s="1" t="str">
        <f aca="false">Report!X1850</f>
        <v>NF 689224 ELLEN</v>
      </c>
    </row>
    <row r="1215" customFormat="false" ht="12.75" hidden="false" customHeight="true" outlineLevel="0" collapsed="false">
      <c r="A1215" s="15" t="n">
        <f aca="false">Report!C1851</f>
        <v>46277</v>
      </c>
      <c r="B1215" s="1" t="str">
        <f aca="false">Report!E1851</f>
        <v>TAPAJOS COM DE PERFUMARIA COSMETICOS E G</v>
      </c>
      <c r="C1215" s="16" t="n">
        <f aca="false">Report!U1851</f>
        <v>271.46</v>
      </c>
      <c r="D1215" s="1" t="str">
        <f aca="false">Report!X1851</f>
        <v>NF 588254 ELLEN</v>
      </c>
    </row>
    <row r="1216" customFormat="false" ht="12.75" hidden="false" customHeight="true" outlineLevel="0" collapsed="false">
      <c r="A1216" s="15" t="n">
        <f aca="false">Report!C1852</f>
        <v>46277</v>
      </c>
      <c r="B1216" s="1" t="str">
        <f aca="false">Report!E1852</f>
        <v>ADRIANA DISTRIBUIDORA DE PRODUTOS ALIMEN</v>
      </c>
      <c r="C1216" s="16" t="n">
        <f aca="false">Report!U1852</f>
        <v>365</v>
      </c>
      <c r="D1216" s="1" t="str">
        <f aca="false">Report!X1852</f>
        <v>NF 894544 ELLEN</v>
      </c>
    </row>
    <row r="1217" customFormat="false" ht="12.75" hidden="false" customHeight="true" outlineLevel="0" collapsed="false">
      <c r="A1217" s="15" t="n">
        <f aca="false">Report!C1853</f>
        <v>46279</v>
      </c>
      <c r="B1217" s="1" t="str">
        <f aca="false">Report!E1853</f>
        <v>MAXPEL COMERCIAL LTDA</v>
      </c>
      <c r="C1217" s="16" t="n">
        <f aca="false">Report!U1853</f>
        <v>983.77</v>
      </c>
      <c r="D1217" s="1" t="str">
        <f aca="false">Report!X1853</f>
        <v>NFS 319296/319297 - ELLEN</v>
      </c>
    </row>
    <row r="1218" customFormat="false" ht="12.75" hidden="false" customHeight="true" outlineLevel="0" collapsed="false">
      <c r="A1218" s="15" t="n">
        <f aca="false">Report!C1854</f>
        <v>46279</v>
      </c>
      <c r="B1218" s="1" t="str">
        <f aca="false">Report!E1854</f>
        <v>SB COMERCIO LTDA</v>
      </c>
      <c r="C1218" s="16" t="n">
        <f aca="false">Report!U1854</f>
        <v>521.58</v>
      </c>
      <c r="D1218" s="1" t="str">
        <f aca="false">Report!X1854</f>
        <v>NF 1966312 ELLEN</v>
      </c>
    </row>
    <row r="1219" customFormat="false" ht="12.75" hidden="false" customHeight="true" outlineLevel="0" collapsed="false">
      <c r="A1219" s="15" t="n">
        <f aca="false">Report!C1855</f>
        <v>46279</v>
      </c>
      <c r="B1219" s="1" t="str">
        <f aca="false">Report!E1855</f>
        <v>NESTLÉ BRASIL LTDA.</v>
      </c>
      <c r="C1219" s="16" t="n">
        <f aca="false">Report!U1855</f>
        <v>1268.78</v>
      </c>
      <c r="D1219" s="1" t="str">
        <f aca="false">Report!X1855</f>
        <v>NF 1442200 ELLEN</v>
      </c>
    </row>
    <row r="1220" customFormat="false" ht="12.75" hidden="false" customHeight="true" outlineLevel="0" collapsed="false">
      <c r="A1220" s="15" t="n">
        <f aca="false">Report!C1856</f>
        <v>46279</v>
      </c>
      <c r="B1220" s="1" t="str">
        <f aca="false">Report!E1856</f>
        <v>NESTLÉ BRASIL LTDA.</v>
      </c>
      <c r="C1220" s="16" t="n">
        <f aca="false">Report!U1856</f>
        <v>2477.62</v>
      </c>
      <c r="D1220" s="1" t="str">
        <f aca="false">Report!X1856</f>
        <v>NF 1442668 ELLEN</v>
      </c>
    </row>
    <row r="1221" customFormat="false" ht="12.75" hidden="false" customHeight="true" outlineLevel="0" collapsed="false">
      <c r="A1221" s="15" t="n">
        <f aca="false">Report!C1858</f>
        <v>46279</v>
      </c>
      <c r="B1221" s="1" t="str">
        <f aca="false">Report!E1858</f>
        <v>MARTINS COM SERV DISTR SA</v>
      </c>
      <c r="C1221" s="16" t="n">
        <f aca="false">Report!U1858</f>
        <v>176.58</v>
      </c>
      <c r="D1221" s="1" t="str">
        <f aca="false">Report!X1858</f>
        <v>NF'S 1796899/1796900 ELLEN</v>
      </c>
    </row>
    <row r="1222" customFormat="false" ht="12.75" hidden="false" customHeight="true" outlineLevel="0" collapsed="false">
      <c r="A1222" s="15" t="n">
        <f aca="false">Report!C1859</f>
        <v>46279</v>
      </c>
      <c r="B1222" s="1" t="str">
        <f aca="false">Report!E1859</f>
        <v>CRBS S/A</v>
      </c>
      <c r="C1222" s="16" t="n">
        <f aca="false">Report!U1859</f>
        <v>489.74</v>
      </c>
      <c r="D1222" s="1" t="str">
        <f aca="false">Report!X1859</f>
        <v>NF 993555 ELLEN</v>
      </c>
    </row>
    <row r="1223" customFormat="false" ht="12.75" hidden="false" customHeight="true" outlineLevel="0" collapsed="false">
      <c r="A1223" s="15" t="n">
        <f aca="false">Report!C1862</f>
        <v>46280</v>
      </c>
      <c r="B1223" s="1" t="str">
        <f aca="false">Report!E1862</f>
        <v>ROCHA E PAIVA LTDA</v>
      </c>
      <c r="C1223" s="16" t="n">
        <f aca="false">Report!U1862</f>
        <v>584.64</v>
      </c>
      <c r="D1223" s="1" t="str">
        <f aca="false">Report!X1862</f>
        <v>NF 211355 ELLEN</v>
      </c>
    </row>
    <row r="1224" customFormat="false" ht="12.75" hidden="false" customHeight="true" outlineLevel="0" collapsed="false">
      <c r="A1224" s="15" t="n">
        <f aca="false">Report!C1863</f>
        <v>46280</v>
      </c>
      <c r="B1224" s="1" t="str">
        <f aca="false">Report!E1863</f>
        <v>J. A. F. DE LIMA</v>
      </c>
      <c r="C1224" s="16" t="n">
        <f aca="false">Report!U1863</f>
        <v>645.71</v>
      </c>
      <c r="D1224" s="1" t="str">
        <f aca="false">Report!X1863</f>
        <v>NF 160332 ELLEN</v>
      </c>
    </row>
    <row r="1225" customFormat="false" ht="12.75" hidden="false" customHeight="true" outlineLevel="0" collapsed="false">
      <c r="A1225" s="15" t="n">
        <f aca="false">Report!C1864</f>
        <v>46280</v>
      </c>
      <c r="B1225" s="1" t="str">
        <f aca="false">Report!E1864</f>
        <v>SUPER CANCUN COMERCIO DE PRODUTOS ALIMEN</v>
      </c>
      <c r="C1225" s="16" t="n">
        <f aca="false">Report!U1864</f>
        <v>548.18</v>
      </c>
      <c r="D1225" s="1" t="str">
        <f aca="false">Report!X1864</f>
        <v>NF 265359 ELLEN</v>
      </c>
    </row>
    <row r="1226" customFormat="false" ht="12.75" hidden="false" customHeight="true" outlineLevel="0" collapsed="false">
      <c r="A1226" s="15" t="n">
        <f aca="false">Report!C1865</f>
        <v>46280</v>
      </c>
      <c r="B1226" s="1" t="str">
        <f aca="false">Report!E1865</f>
        <v>CB COMERCIO E DISTRIBUIDORA DE ALIMENTOS</v>
      </c>
      <c r="C1226" s="16" t="n">
        <f aca="false">Report!U1865</f>
        <v>843.65</v>
      </c>
      <c r="D1226" s="1" t="str">
        <f aca="false">Report!X1865</f>
        <v>NF 866347 ELLEN</v>
      </c>
    </row>
    <row r="1227" customFormat="false" ht="12.75" hidden="false" customHeight="true" outlineLevel="0" collapsed="false">
      <c r="A1227" s="15" t="n">
        <f aca="false">Report!C1866</f>
        <v>46280</v>
      </c>
      <c r="B1227" s="1" t="str">
        <f aca="false">Report!E1866</f>
        <v>EDMARA COMERCIO DE HIGIENE PESSOAL LTDA</v>
      </c>
      <c r="C1227" s="16" t="n">
        <f aca="false">Report!U1866</f>
        <v>873.08</v>
      </c>
      <c r="D1227" s="1" t="str">
        <f aca="false">Report!X1866</f>
        <v>NF 8744 ELLEN</v>
      </c>
    </row>
    <row r="1228" customFormat="false" ht="12.75" hidden="false" customHeight="true" outlineLevel="0" collapsed="false">
      <c r="A1228" s="15" t="n">
        <f aca="false">Report!C1867</f>
        <v>46280</v>
      </c>
      <c r="B1228" s="1" t="str">
        <f aca="false">Report!E1867</f>
        <v>ATACADAO S.A.</v>
      </c>
      <c r="C1228" s="16" t="n">
        <f aca="false">Report!U1867</f>
        <v>974.55</v>
      </c>
      <c r="D1228" s="1" t="str">
        <f aca="false">Report!X1867</f>
        <v>NF 1925382 ELLEN</v>
      </c>
    </row>
    <row r="1229" customFormat="false" ht="12.75" hidden="false" customHeight="true" outlineLevel="0" collapsed="false">
      <c r="A1229" s="15" t="n">
        <f aca="false">Report!C1868</f>
        <v>46280</v>
      </c>
      <c r="B1229" s="1" t="str">
        <f aca="false">Report!E1868</f>
        <v>VICTORIA COMERCIO INTERNACIONAL DE ALIME</v>
      </c>
      <c r="C1229" s="16" t="n">
        <f aca="false">Report!U1868</f>
        <v>410</v>
      </c>
      <c r="D1229" s="1" t="str">
        <f aca="false">Report!X1868</f>
        <v>NF 13095 ELLEN</v>
      </c>
    </row>
    <row r="1230" customFormat="false" ht="12.75" hidden="false" customHeight="true" outlineLevel="0" collapsed="false">
      <c r="A1230" s="15" t="n">
        <f aca="false">Report!C1869</f>
        <v>46280</v>
      </c>
      <c r="B1230" s="1" t="str">
        <f aca="false">Report!E1869</f>
        <v>BRASIL NORTE BEBIDAS S/A</v>
      </c>
      <c r="C1230" s="16" t="n">
        <f aca="false">Report!U1869</f>
        <v>1139.35</v>
      </c>
      <c r="D1230" s="1" t="str">
        <f aca="false">Report!X1869</f>
        <v>NF 1272321 ELLEN</v>
      </c>
    </row>
    <row r="1231" customFormat="false" ht="12.75" hidden="false" customHeight="true" outlineLevel="0" collapsed="false">
      <c r="A1231" s="15" t="n">
        <f aca="false">Report!C1870</f>
        <v>46280</v>
      </c>
      <c r="B1231" s="1" t="str">
        <f aca="false">Report!E1870</f>
        <v>BF COMERCIO DE ALIMENTOS REPRESENTACAO L</v>
      </c>
      <c r="C1231" s="16" t="n">
        <f aca="false">Report!U1870</f>
        <v>540.99</v>
      </c>
      <c r="D1231" s="1" t="str">
        <f aca="false">Report!X1870</f>
        <v>NF 21345 ELLEN</v>
      </c>
    </row>
    <row r="1232" customFormat="false" ht="12.75" hidden="false" customHeight="true" outlineLevel="0" collapsed="false">
      <c r="A1232" s="15" t="n">
        <f aca="false">Report!C1871</f>
        <v>46280</v>
      </c>
      <c r="B1232" s="1" t="str">
        <f aca="false">Report!E1871</f>
        <v>EDSON AGUIAR DE SOUZA</v>
      </c>
      <c r="C1232" s="16" t="n">
        <f aca="false">Report!U1871</f>
        <v>96</v>
      </c>
      <c r="D1232" s="1" t="str">
        <f aca="false">Report!X1871</f>
        <v>COMPRAS - CHEIRO-VERDE - ELLEN</v>
      </c>
    </row>
    <row r="1233" customFormat="false" ht="12.75" hidden="false" customHeight="true" outlineLevel="0" collapsed="false">
      <c r="A1233" s="15" t="n">
        <f aca="false">Report!C1872</f>
        <v>46280</v>
      </c>
      <c r="B1233" s="1" t="str">
        <f aca="false">Report!E1872</f>
        <v>EDSON AGUIAR DE SOUZA</v>
      </c>
      <c r="C1233" s="16" t="n">
        <f aca="false">Report!U1872</f>
        <v>166.5</v>
      </c>
      <c r="D1233" s="1" t="str">
        <f aca="false">Report!X1872</f>
        <v>COMPRAS - CHEIRO-VERDE - ELLEN</v>
      </c>
    </row>
    <row r="1234" customFormat="false" ht="12.75" hidden="false" customHeight="true" outlineLevel="0" collapsed="false">
      <c r="A1234" s="15" t="n">
        <f aca="false">Report!C1873</f>
        <v>46281</v>
      </c>
      <c r="B1234" s="1" t="str">
        <f aca="false">Report!E1873</f>
        <v>FUNNY PET DISTRIBUIDORA DE ALIMENTOS PAR</v>
      </c>
      <c r="C1234" s="16" t="n">
        <f aca="false">Report!U1873</f>
        <v>1501.38</v>
      </c>
      <c r="D1234" s="1" t="str">
        <f aca="false">Report!X1873</f>
        <v>NF 21189 ELLEN</v>
      </c>
    </row>
    <row r="1235" customFormat="false" ht="12.75" hidden="false" customHeight="true" outlineLevel="0" collapsed="false">
      <c r="A1235" s="15" t="n">
        <f aca="false">Report!C1874</f>
        <v>46281</v>
      </c>
      <c r="B1235" s="1" t="str">
        <f aca="false">Report!E1874</f>
        <v>RISADINHA LTDA</v>
      </c>
      <c r="C1235" s="16" t="n">
        <f aca="false">Report!U1874</f>
        <v>830.13</v>
      </c>
      <c r="D1235" s="1" t="str">
        <f aca="false">Report!X1874</f>
        <v>NF 668739 ELLEN</v>
      </c>
    </row>
    <row r="1236" customFormat="false" ht="12.75" hidden="false" customHeight="true" outlineLevel="0" collapsed="false">
      <c r="A1236" s="15" t="n">
        <f aca="false">Report!C1875</f>
        <v>46281</v>
      </c>
      <c r="B1236" s="1" t="str">
        <f aca="false">Report!E1875</f>
        <v>EMPRESA BRASILEIRA DE DISTRIBUICAO LTDA</v>
      </c>
      <c r="C1236" s="16" t="n">
        <f aca="false">Report!U1875</f>
        <v>1154.65</v>
      </c>
      <c r="D1236" s="1" t="str">
        <f aca="false">Report!X1875</f>
        <v>NF 2310769 ELLEN</v>
      </c>
    </row>
    <row r="1237" customFormat="false" ht="12.75" hidden="false" customHeight="true" outlineLevel="0" collapsed="false">
      <c r="A1237" s="15" t="n">
        <f aca="false">Report!C1877</f>
        <v>46281</v>
      </c>
      <c r="B1237" s="1" t="str">
        <f aca="false">Report!E1877</f>
        <v>OESA COMERCIO E REPRESENTACOES S/A</v>
      </c>
      <c r="C1237" s="16" t="n">
        <f aca="false">Report!U1877</f>
        <v>1510.34</v>
      </c>
      <c r="D1237" s="1" t="str">
        <f aca="false">Report!X1877</f>
        <v>NF 447609 ELLEN</v>
      </c>
    </row>
    <row r="1238" customFormat="false" ht="12.75" hidden="false" customHeight="true" outlineLevel="0" collapsed="false">
      <c r="A1238" s="15" t="n">
        <f aca="false">Report!C1878</f>
        <v>46281</v>
      </c>
      <c r="B1238" s="1" t="str">
        <f aca="false">Report!E1878</f>
        <v>FENNIX BRASIL DISTRIBUIDORA DE PRODUTOS</v>
      </c>
      <c r="C1238" s="16" t="n">
        <f aca="false">Report!U1878</f>
        <v>679.16</v>
      </c>
      <c r="D1238" s="1" t="str">
        <f aca="false">Report!X1878</f>
        <v>NF 319020 ELLEN</v>
      </c>
    </row>
    <row r="1239" customFormat="false" ht="12.75" hidden="false" customHeight="true" outlineLevel="0" collapsed="false">
      <c r="A1239" s="15" t="n">
        <f aca="false">Report!C1879</f>
        <v>46281</v>
      </c>
      <c r="B1239" s="1" t="str">
        <f aca="false">Report!E1879</f>
        <v>DUNORTE DISTRIBUIDORA DE PRODUTOS DE CONSUMO LTDA</v>
      </c>
      <c r="C1239" s="16" t="n">
        <f aca="false">Report!U1879</f>
        <v>733.77</v>
      </c>
      <c r="D1239" s="1" t="str">
        <f aca="false">Report!X1879</f>
        <v>NF 3242273 ELLEN</v>
      </c>
    </row>
    <row r="1240" customFormat="false" ht="12.75" hidden="false" customHeight="true" outlineLevel="0" collapsed="false">
      <c r="A1240" s="15" t="n">
        <f aca="false">Report!C1880</f>
        <v>46281</v>
      </c>
      <c r="B1240" s="1" t="str">
        <f aca="false">Report!E1880</f>
        <v>BONNA VITTA INDUSTRIA E COMERCIO LTDA.</v>
      </c>
      <c r="C1240" s="16" t="n">
        <f aca="false">Report!U1880</f>
        <v>278.1</v>
      </c>
      <c r="D1240" s="1" t="str">
        <f aca="false">Report!X1880</f>
        <v>NF 4884 ELLEN</v>
      </c>
    </row>
    <row r="1241" customFormat="false" ht="12.75" hidden="false" customHeight="true" outlineLevel="0" collapsed="false">
      <c r="A1241" s="15" t="n">
        <f aca="false">Report!C1881</f>
        <v>46281</v>
      </c>
      <c r="B1241" s="1" t="str">
        <f aca="false">Report!E1881</f>
        <v>BRF S A</v>
      </c>
      <c r="C1241" s="16" t="n">
        <f aca="false">Report!U1881</f>
        <v>2296</v>
      </c>
      <c r="D1241" s="1" t="str">
        <f aca="false">Report!X1881</f>
        <v>NF 1627324 ELLEN</v>
      </c>
    </row>
    <row r="1242" customFormat="false" ht="12.75" hidden="false" customHeight="true" outlineLevel="0" collapsed="false">
      <c r="A1242" s="15" t="n">
        <f aca="false">Report!C1882</f>
        <v>46282</v>
      </c>
      <c r="B1242" s="1" t="str">
        <f aca="false">Report!E1882</f>
        <v>OPPORTUNITY ALIMENTOS PARA ANIMAIS LTDA</v>
      </c>
      <c r="C1242" s="16" t="n">
        <f aca="false">Report!U1882</f>
        <v>685.15</v>
      </c>
      <c r="D1242" s="1" t="str">
        <f aca="false">Report!X1882</f>
        <v>NF 35161 ELLEN</v>
      </c>
    </row>
    <row r="1243" customFormat="false" ht="12.75" hidden="false" customHeight="true" outlineLevel="0" collapsed="false">
      <c r="A1243" s="15" t="n">
        <f aca="false">Report!C1883</f>
        <v>46282</v>
      </c>
      <c r="B1243" s="1" t="str">
        <f aca="false">Report!E1883</f>
        <v>TAPAJOS COM DE PERFUMARIA COSMETICOS E G</v>
      </c>
      <c r="C1243" s="16" t="n">
        <f aca="false">Report!U1883</f>
        <v>793.81</v>
      </c>
      <c r="D1243" s="1" t="str">
        <f aca="false">Report!X1883</f>
        <v>NF 586415 ELLEN</v>
      </c>
    </row>
    <row r="1244" customFormat="false" ht="12.75" hidden="false" customHeight="true" outlineLevel="0" collapsed="false">
      <c r="A1244" s="15" t="n">
        <f aca="false">Report!C1884</f>
        <v>46282</v>
      </c>
      <c r="B1244" s="1" t="str">
        <f aca="false">Report!E1884</f>
        <v>TRES CORACOES ALIMENTOS S.A.</v>
      </c>
      <c r="C1244" s="16" t="n">
        <f aca="false">Report!U1884</f>
        <v>182.82</v>
      </c>
      <c r="D1244" s="1" t="str">
        <f aca="false">Report!X1884</f>
        <v>NF 357892 ELLEN</v>
      </c>
    </row>
    <row r="1245" customFormat="false" ht="12.75" hidden="false" customHeight="true" outlineLevel="0" collapsed="false">
      <c r="A1245" s="15" t="n">
        <f aca="false">Report!C1885</f>
        <v>46282</v>
      </c>
      <c r="B1245" s="1" t="str">
        <f aca="false">Report!E1885</f>
        <v>AMAZON MILK IND. E COMERCIO LTDA</v>
      </c>
      <c r="C1245" s="16" t="n">
        <f aca="false">Report!U1885</f>
        <v>805.4</v>
      </c>
      <c r="D1245" s="1" t="str">
        <f aca="false">Report!X1885</f>
        <v>NF 206697 ELLEN</v>
      </c>
    </row>
    <row r="1246" customFormat="false" ht="12.75" hidden="false" customHeight="true" outlineLevel="0" collapsed="false">
      <c r="A1246" s="15" t="n">
        <f aca="false">Report!C1886</f>
        <v>46282</v>
      </c>
      <c r="B1246" s="1" t="str">
        <f aca="false">Report!E1886</f>
        <v>BRAGA TABACARIA EIRELI ME</v>
      </c>
      <c r="C1246" s="16" t="n">
        <f aca="false">Report!U1886</f>
        <v>1063.84</v>
      </c>
      <c r="D1246" s="1" t="str">
        <f aca="false">Report!X1886</f>
        <v>NF 20104 ELLEN</v>
      </c>
    </row>
    <row r="1247" customFormat="false" ht="12.75" hidden="false" customHeight="true" outlineLevel="0" collapsed="false">
      <c r="A1247" s="15" t="n">
        <f aca="false">Report!C1887</f>
        <v>46282</v>
      </c>
      <c r="B1247" s="1" t="str">
        <f aca="false">Report!E1887</f>
        <v>VICTORIA COMERCIO INTERNACIONAL DE ALIME</v>
      </c>
      <c r="C1247" s="16" t="n">
        <f aca="false">Report!U1887</f>
        <v>1213.95</v>
      </c>
      <c r="D1247" s="1" t="str">
        <f aca="false">Report!X1887</f>
        <v>NF 13070 ELLEN</v>
      </c>
    </row>
    <row r="1248" customFormat="false" ht="12.75" hidden="false" customHeight="true" outlineLevel="0" collapsed="false">
      <c r="A1248" s="15" t="n">
        <f aca="false">Report!C1888</f>
        <v>46282</v>
      </c>
      <c r="B1248" s="1" t="str">
        <f aca="false">Report!E1888</f>
        <v>SOUZA CRUZ LTDA.</v>
      </c>
      <c r="C1248" s="16" t="n">
        <f aca="false">Report!U1888</f>
        <v>4761.77</v>
      </c>
      <c r="D1248" s="1" t="str">
        <f aca="false">Report!X1888</f>
        <v>NF 572518 ELLEN</v>
      </c>
    </row>
    <row r="1249" customFormat="false" ht="12.75" hidden="false" customHeight="true" outlineLevel="0" collapsed="false">
      <c r="A1249" s="15" t="n">
        <f aca="false">Report!C1890</f>
        <v>46283</v>
      </c>
      <c r="B1249" s="1" t="str">
        <f aca="false">Report!E1890</f>
        <v>DURAES DISTRIBUIDORA DE ESTIVAS LTDA</v>
      </c>
      <c r="C1249" s="16" t="n">
        <f aca="false">Report!U1890</f>
        <v>610.19</v>
      </c>
      <c r="D1249" s="1" t="str">
        <f aca="false">Report!X1890</f>
        <v>NF 656817 ELLEN</v>
      </c>
    </row>
    <row r="1250" customFormat="false" ht="12.75" hidden="false" customHeight="true" outlineLevel="0" collapsed="false">
      <c r="A1250" s="15" t="n">
        <f aca="false">Report!C1891</f>
        <v>46283</v>
      </c>
      <c r="B1250" s="1" t="str">
        <f aca="false">Report!E1891</f>
        <v>FEMAR IND E COM DE BEBIDAS LTDA</v>
      </c>
      <c r="C1250" s="16" t="n">
        <f aca="false">Report!U1891</f>
        <v>247.56</v>
      </c>
      <c r="D1250" s="1" t="str">
        <f aca="false">Report!X1891</f>
        <v>NF 58376 ELLEN</v>
      </c>
    </row>
    <row r="1251" customFormat="false" ht="12.75" hidden="false" customHeight="true" outlineLevel="0" collapsed="false">
      <c r="A1251" s="15" t="n">
        <f aca="false">Report!C1892</f>
        <v>46283</v>
      </c>
      <c r="B1251" s="1" t="str">
        <f aca="false">Report!E1892</f>
        <v>DISTRIBUIDORA LOPES LTDA</v>
      </c>
      <c r="C1251" s="16" t="n">
        <f aca="false">Report!U1892</f>
        <v>1333.11</v>
      </c>
      <c r="D1251" s="1" t="str">
        <f aca="false">Report!X1892</f>
        <v>NF 1724435 ELLEN</v>
      </c>
    </row>
    <row r="1252" customFormat="false" ht="12.75" hidden="false" customHeight="true" outlineLevel="0" collapsed="false">
      <c r="A1252" s="15" t="n">
        <f aca="false">Report!C1895</f>
        <v>46286</v>
      </c>
      <c r="B1252" s="1" t="str">
        <f aca="false">Report!E1895</f>
        <v>MAXPEL COMERCIAL LTDA</v>
      </c>
      <c r="C1252" s="16" t="n">
        <f aca="false">Report!U1895</f>
        <v>983.77</v>
      </c>
      <c r="D1252" s="1" t="str">
        <f aca="false">Report!X1895</f>
        <v>NFS 319296/319297 - ELLEN</v>
      </c>
    </row>
    <row r="1253" customFormat="false" ht="12.75" hidden="false" customHeight="true" outlineLevel="0" collapsed="false">
      <c r="A1253" s="15" t="n">
        <f aca="false">Report!C1896</f>
        <v>46286</v>
      </c>
      <c r="B1253" s="1" t="str">
        <f aca="false">Report!E1896</f>
        <v>SB COMERCIO LTDA</v>
      </c>
      <c r="C1253" s="16" t="n">
        <f aca="false">Report!U1896</f>
        <v>521.74</v>
      </c>
      <c r="D1253" s="1" t="str">
        <f aca="false">Report!X1896</f>
        <v>NF 1966312 ELLEN</v>
      </c>
    </row>
    <row r="1254" customFormat="false" ht="12.75" hidden="false" customHeight="true" outlineLevel="0" collapsed="false">
      <c r="A1254" s="15" t="n">
        <f aca="false">Report!C1897</f>
        <v>46286</v>
      </c>
      <c r="B1254" s="1" t="str">
        <f aca="false">Report!E1897</f>
        <v>NESTLÉ BRASIL LTDA.</v>
      </c>
      <c r="C1254" s="16" t="n">
        <f aca="false">Report!U1897</f>
        <v>1255.7</v>
      </c>
      <c r="D1254" s="1" t="str">
        <f aca="false">Report!X1897</f>
        <v>NF NF 1441731 ELLEN</v>
      </c>
    </row>
    <row r="1255" customFormat="false" ht="12.75" hidden="false" customHeight="true" outlineLevel="0" collapsed="false">
      <c r="A1255" s="15" t="n">
        <f aca="false">Report!C1899</f>
        <v>46286</v>
      </c>
      <c r="B1255" s="1" t="str">
        <f aca="false">Report!E1899</f>
        <v>MARTINS COM SERV DISTR SA</v>
      </c>
      <c r="C1255" s="16" t="n">
        <f aca="false">Report!U1899</f>
        <v>176.57</v>
      </c>
      <c r="D1255" s="1" t="str">
        <f aca="false">Report!X1899</f>
        <v>NF'S 1796899/1796900 ELLEN</v>
      </c>
    </row>
    <row r="1256" customFormat="false" ht="12.75" hidden="false" customHeight="true" outlineLevel="0" collapsed="false">
      <c r="A1256" s="15" t="n">
        <f aca="false">Report!C1900</f>
        <v>46287</v>
      </c>
      <c r="B1256" s="1" t="str">
        <f aca="false">Report!E1900</f>
        <v>CB COMERCIO E DISTRIBUIDORA DE ALIMENTOS</v>
      </c>
      <c r="C1256" s="16" t="n">
        <f aca="false">Report!U1900</f>
        <v>843.65</v>
      </c>
      <c r="D1256" s="1" t="str">
        <f aca="false">Report!X1900</f>
        <v>NF 866347 ELLEN</v>
      </c>
    </row>
    <row r="1257" customFormat="false" ht="12.75" hidden="false" customHeight="true" outlineLevel="0" collapsed="false">
      <c r="A1257" s="15" t="n">
        <f aca="false">Report!C1901</f>
        <v>46287</v>
      </c>
      <c r="B1257" s="1" t="str">
        <f aca="false">Report!E1901</f>
        <v>EDMARA COMERCIO DE HIGIENE PESSOAL LTDA</v>
      </c>
      <c r="C1257" s="16" t="n">
        <f aca="false">Report!U1901</f>
        <v>873.08</v>
      </c>
      <c r="D1257" s="1" t="str">
        <f aca="false">Report!X1901</f>
        <v>NF 8744 ELLEN</v>
      </c>
    </row>
    <row r="1258" customFormat="false" ht="12.75" hidden="false" customHeight="true" outlineLevel="0" collapsed="false">
      <c r="A1258" s="15" t="n">
        <f aca="false">Report!C1902</f>
        <v>46287</v>
      </c>
      <c r="B1258" s="1" t="str">
        <f aca="false">Report!E1902</f>
        <v>ATACADAO S.A.</v>
      </c>
      <c r="C1258" s="16" t="n">
        <f aca="false">Report!U1902</f>
        <v>942.69</v>
      </c>
      <c r="D1258" s="1" t="str">
        <f aca="false">Report!X1902</f>
        <v>NF 1925381 ELLEN</v>
      </c>
    </row>
    <row r="1259" customFormat="false" ht="12.75" hidden="false" customHeight="true" outlineLevel="0" collapsed="false">
      <c r="A1259" s="15" t="n">
        <f aca="false">Report!C1903</f>
        <v>46287</v>
      </c>
      <c r="B1259" s="1" t="str">
        <f aca="false">Report!E1903</f>
        <v>MARE DISTRIBUIDORA DE BEBIDAS E DE PRODUTOS ALIMENTICIOS LTDA</v>
      </c>
      <c r="C1259" s="16" t="n">
        <f aca="false">Report!U1903</f>
        <v>1917.5</v>
      </c>
      <c r="D1259" s="1" t="str">
        <f aca="false">Report!X1903</f>
        <v>NF 1440541 ELLEN</v>
      </c>
    </row>
    <row r="1260" customFormat="false" ht="12.75" hidden="false" customHeight="true" outlineLevel="0" collapsed="false">
      <c r="A1260" s="15" t="n">
        <f aca="false">Report!C1904</f>
        <v>46288</v>
      </c>
      <c r="B1260" s="1" t="str">
        <f aca="false">Report!E1904</f>
        <v>OESA COMERCIO E REPRESENTACOES S/A</v>
      </c>
      <c r="C1260" s="16" t="n">
        <f aca="false">Report!U1904</f>
        <v>1510.34</v>
      </c>
      <c r="D1260" s="1" t="str">
        <f aca="false">Report!X1904</f>
        <v>NF 447609 ELLEN</v>
      </c>
    </row>
    <row r="1261" customFormat="false" ht="12.75" hidden="false" customHeight="true" outlineLevel="0" collapsed="false">
      <c r="A1261" s="15" t="n">
        <f aca="false">Report!C1905</f>
        <v>46288</v>
      </c>
      <c r="B1261" s="1" t="str">
        <f aca="false">Report!E1905</f>
        <v>BRF S A</v>
      </c>
      <c r="C1261" s="16" t="n">
        <f aca="false">Report!U1905</f>
        <v>2295.99</v>
      </c>
      <c r="D1261" s="1" t="str">
        <f aca="false">Report!X1905</f>
        <v>NF 1627324 ELLEN</v>
      </c>
    </row>
    <row r="1262" customFormat="false" ht="12.75" hidden="false" customHeight="true" outlineLevel="0" collapsed="false">
      <c r="A1262" s="15" t="n">
        <f aca="false">Report!C1907</f>
        <v>46289</v>
      </c>
      <c r="B1262" s="1" t="str">
        <f aca="false">Report!E1907</f>
        <v>AMAZON MILK IND. E COMERCIO LTDA</v>
      </c>
      <c r="C1262" s="16" t="n">
        <f aca="false">Report!U1907</f>
        <v>805.4</v>
      </c>
      <c r="D1262" s="1" t="str">
        <f aca="false">Report!X1907</f>
        <v>NF 206697 ELLEN</v>
      </c>
    </row>
    <row r="1263" customFormat="false" ht="12.75" hidden="false" customHeight="true" outlineLevel="0" collapsed="false">
      <c r="A1263" s="15" t="n">
        <f aca="false">Report!C1908</f>
        <v>46289</v>
      </c>
      <c r="B1263" s="1" t="str">
        <f aca="false">Report!E1908</f>
        <v>VICTORIA COMERCIO INTERNACIONAL DE ALIME</v>
      </c>
      <c r="C1263" s="16" t="n">
        <f aca="false">Report!U1908</f>
        <v>1213.96</v>
      </c>
      <c r="D1263" s="1" t="str">
        <f aca="false">Report!X1908</f>
        <v>NF 13070 ELLEN</v>
      </c>
    </row>
    <row r="1264" customFormat="false" ht="12.75" hidden="false" customHeight="true" outlineLevel="0" collapsed="false">
      <c r="A1264" s="15" t="n">
        <f aca="false">Report!C1909</f>
        <v>46289</v>
      </c>
      <c r="B1264" s="1" t="str">
        <f aca="false">Report!E1909</f>
        <v>SOUZA CRUZ LTDA.</v>
      </c>
      <c r="C1264" s="16" t="n">
        <f aca="false">Report!U1909</f>
        <v>4761.78</v>
      </c>
      <c r="D1264" s="1" t="str">
        <f aca="false">Report!X1909</f>
        <v>NF 572518 ELLEN</v>
      </c>
    </row>
    <row r="1265" customFormat="false" ht="12.75" hidden="false" customHeight="true" outlineLevel="0" collapsed="false">
      <c r="A1265" s="15" t="n">
        <f aca="false">Report!C1914</f>
        <v>46290</v>
      </c>
      <c r="B1265" s="1" t="str">
        <f aca="false">Report!E1914</f>
        <v>DURAES DISTRIBUIDORA DE ESTIVAS LTDA</v>
      </c>
      <c r="C1265" s="16" t="n">
        <f aca="false">Report!U1914</f>
        <v>610.19</v>
      </c>
      <c r="D1265" s="1" t="str">
        <f aca="false">Report!X1914</f>
        <v>NF 656817 ELLEN</v>
      </c>
    </row>
    <row r="1266" customFormat="false" ht="12.75" hidden="false" customHeight="true" outlineLevel="0" collapsed="false">
      <c r="A1266" s="15" t="n">
        <f aca="false">Report!C1915</f>
        <v>46290</v>
      </c>
      <c r="B1266" s="1" t="str">
        <f aca="false">Report!E1915</f>
        <v>DISTRIBUIDORA LOPES LTDA</v>
      </c>
      <c r="C1266" s="16" t="n">
        <f aca="false">Report!U1915</f>
        <v>1333.12</v>
      </c>
      <c r="D1266" s="1" t="str">
        <f aca="false">Report!X1915</f>
        <v>NF 1724435 ELLEN</v>
      </c>
    </row>
    <row r="1267" customFormat="false" ht="12.75" hidden="false" customHeight="true" outlineLevel="0" collapsed="false">
      <c r="A1267" s="15" t="n">
        <f aca="false">Report!C1917</f>
        <v>46293</v>
      </c>
      <c r="B1267" s="1" t="str">
        <f aca="false">Report!E1917</f>
        <v>ATACADAO S.A.</v>
      </c>
      <c r="C1267" s="16" t="n">
        <f aca="false">Report!U1917</f>
        <v>1348.29</v>
      </c>
      <c r="D1267" s="1" t="str">
        <f aca="false">Report!X1917</f>
        <v>NF 1927745 ELLEN</v>
      </c>
    </row>
    <row r="1268" customFormat="false" ht="12.75" hidden="false" customHeight="true" outlineLevel="0" collapsed="false">
      <c r="A1268" s="15" t="n">
        <f aca="false">Report!C1919</f>
        <v>46293</v>
      </c>
      <c r="B1268" s="1" t="str">
        <f aca="false">Report!E1919</f>
        <v>MARTINS COM SERV DISTR SA</v>
      </c>
      <c r="C1268" s="16" t="n">
        <f aca="false">Report!U1919</f>
        <v>176.57</v>
      </c>
      <c r="D1268" s="1" t="str">
        <f aca="false">Report!X1919</f>
        <v>NF'S 1796899/1796900 ELLEN</v>
      </c>
    </row>
    <row r="1269" customFormat="false" ht="12.75" hidden="false" customHeight="true" outlineLevel="0" collapsed="false">
      <c r="A1269" s="15" t="n">
        <f aca="false">Report!C1920</f>
        <v>46294</v>
      </c>
      <c r="B1269" s="1" t="str">
        <f aca="false">Report!E1920</f>
        <v>SMV COMERCIO DE PRODUTOS ALIMENTICIOS LT</v>
      </c>
      <c r="C1269" s="16" t="n">
        <f aca="false">Report!U1920</f>
        <v>348.18</v>
      </c>
      <c r="D1269" s="1" t="str">
        <f aca="false">Report!X1920</f>
        <v>NF 7287 ELLEN</v>
      </c>
    </row>
    <row r="1270" customFormat="false" ht="12.75" hidden="false" customHeight="true" outlineLevel="0" collapsed="false">
      <c r="A1270" s="15" t="n">
        <f aca="false">Report!C1921</f>
        <v>46294</v>
      </c>
      <c r="B1270" s="1" t="str">
        <f aca="false">Report!E1921</f>
        <v>EDMARA COMERCIO DE HIGIENE PESSOAL LTDA</v>
      </c>
      <c r="C1270" s="16" t="n">
        <f aca="false">Report!U1921</f>
        <v>873.06</v>
      </c>
      <c r="D1270" s="1" t="str">
        <f aca="false">Report!X1921</f>
        <v>NF 8744 ELLEN</v>
      </c>
    </row>
    <row r="1271" customFormat="false" ht="12.75" hidden="false" customHeight="true" outlineLevel="0" collapsed="false">
      <c r="A1271" s="15" t="n">
        <f aca="false">Report!C1925</f>
        <v>46296</v>
      </c>
      <c r="B1271" s="1" t="str">
        <f aca="false">Report!E1925</f>
        <v>A. CORREA JUNIOR</v>
      </c>
      <c r="C1271" s="16" t="n">
        <f aca="false">Report!U1925</f>
        <v>638.75</v>
      </c>
      <c r="D1271" s="1" t="str">
        <f aca="false">Report!X1925</f>
        <v>NF 1898 CT DIA 1 - PARC 2/2 - ELLEN</v>
      </c>
    </row>
    <row r="1272" customFormat="false" ht="12.75" hidden="false" customHeight="true" outlineLevel="0" collapsed="false">
      <c r="A1272" s="15" t="n">
        <f aca="false">Report!C1926</f>
        <v>46297</v>
      </c>
      <c r="B1272" s="1" t="str">
        <f aca="false">Report!E1926</f>
        <v>DISTRIBUIDORA LOPES LTDA</v>
      </c>
      <c r="C1272" s="16" t="n">
        <f aca="false">Report!U1926</f>
        <v>1333.12</v>
      </c>
      <c r="D1272" s="1" t="str">
        <f aca="false">Report!X1926</f>
        <v>NF 1724435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1665</v>
      </c>
      <c r="B1" s="21" t="s">
        <v>1666</v>
      </c>
      <c r="C1" s="21" t="s">
        <v>1667</v>
      </c>
      <c r="D1" s="21" t="s">
        <v>1668</v>
      </c>
    </row>
    <row r="2" customFormat="false" ht="12.75" hidden="false" customHeight="true" outlineLevel="0" collapsed="false">
      <c r="A2" s="22" t="s">
        <v>1669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1670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1671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1672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1673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1674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1675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1676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1677</v>
      </c>
      <c r="B10" s="16" t="n">
        <f aca="false">SUMIFS(Report!$U:$U,Report!$T:$T,"&lt;&gt;"&amp;"MERCADORIAS P/REVENDA",Report!$AA:$AA,"SIM",Report!$C:$C,"&gt;="&amp;DATE(2026,9,1),Report!$C:$C,"&lt;="&amp;DATE(2026,9,30))</f>
        <v>44592.05</v>
      </c>
      <c r="C10" s="16" t="n">
        <f aca="false">SUMIFS(Report!$U:$U,Report!$T:$T,"MERCADORIAS P/REVENDA",Report!$AA:$AA,"SIM",Report!$C:$C,"&gt;="&amp;DATE(2026,9,1),Report!$C:$C,"&lt;="&amp;DATE(2026,9,30))</f>
        <v>184301.09</v>
      </c>
      <c r="D10" s="16" t="n">
        <f aca="false">B10+C10</f>
        <v>228893.14</v>
      </c>
    </row>
    <row r="11" customFormat="false" ht="12.75" hidden="false" customHeight="true" outlineLevel="0" collapsed="false">
      <c r="A11" s="22" t="s">
        <v>1678</v>
      </c>
      <c r="B11" s="16" t="n">
        <f aca="false">SUMIFS(Report!$U:$U,Report!$T:$T,"&lt;&gt;"&amp;"MERCADORIAS P/REVENDA",Report!$AA:$AA,"SIM",Report!$C:$C,"&gt;="&amp;DATE(2026,10,1),Report!$C:$C,"&lt;="&amp;DATE(2026,10,31))</f>
        <v>15097.45</v>
      </c>
      <c r="C11" s="16" t="n">
        <f aca="false">SUMIFS(Report!$U:$U,Report!$T:$T,"MERCADORIAS P/REVENDA",Report!$AA:$AA,"SIM",Report!$C:$C,"&gt;="&amp;DATE(2026,10,1),Report!$C:$C,"&lt;="&amp;DATE(2026,10,31))</f>
        <v>1971.87</v>
      </c>
      <c r="D11" s="16" t="n">
        <f aca="false">B11+C11</f>
        <v>17069.32</v>
      </c>
    </row>
    <row r="12" customFormat="false" ht="12.75" hidden="false" customHeight="true" outlineLevel="0" collapsed="false">
      <c r="A12" s="22" t="s">
        <v>1679</v>
      </c>
      <c r="B12" s="16" t="n">
        <f aca="false">SUMIFS(Report!$U:$U,Report!$T:$T,"&lt;&gt;"&amp;"MERCADORIAS P/REVENDA",Report!$AA:$AA,"SIM",Report!$C:$C,"&gt;="&amp;DATE(2026,11,1),Report!$C:$C,"&lt;="&amp;DATE(2026,11,30))</f>
        <v>11961.88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11961.88</v>
      </c>
    </row>
    <row r="13" customFormat="false" ht="12.75" hidden="false" customHeight="true" outlineLevel="0" collapsed="false">
      <c r="A13" s="22" t="s">
        <v>1680</v>
      </c>
      <c r="B13" s="16" t="n">
        <f aca="false">SUMIFS(Report!$U:$U,Report!$T:$T,"&lt;&gt;"&amp;"MERCADORIAS P/REVENDA",Report!$AA:$AA,"SIM",Report!$C:$C,"&gt;="&amp;DATE(2026,12,1),Report!$C:$C,"&lt;="&amp;DATE(2026,12,31))</f>
        <v>12315.95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12315.95</v>
      </c>
    </row>
    <row r="14" customFormat="false" ht="12.75" hidden="false" customHeight="true" outlineLevel="0" collapsed="false">
      <c r="A14" s="22" t="s">
        <v>1681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1682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1683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1684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1685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1686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1687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1688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1689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1690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1691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1692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1693</v>
      </c>
      <c r="B26" s="25" t="n">
        <f aca="false">SUM(B2:B25)</f>
        <v>508358.99</v>
      </c>
      <c r="C26" s="25" t="n">
        <f aca="false">SUM(C2:C25)</f>
        <v>1050588.2</v>
      </c>
      <c r="D26" s="25" t="n">
        <f aca="false">SUM(D2:D25)</f>
        <v>1558947.19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1694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1668</v>
      </c>
      <c r="AA2" s="27"/>
      <c r="AB2" s="28" t="s">
        <v>1695</v>
      </c>
      <c r="AC2" s="28" t="s">
        <v>1696</v>
      </c>
      <c r="AE2" s="28" t="s">
        <v>1697</v>
      </c>
    </row>
    <row r="3" customFormat="false" ht="12.75" hidden="false" customHeight="true" outlineLevel="0" collapsed="false">
      <c r="A3" s="29" t="s">
        <v>1698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228893.14</v>
      </c>
      <c r="K3" s="25" t="n">
        <f aca="false">SUMIFS(Report!$U:$U,Report!$AA:$AA,"SIM",Report!$C:$C,"&gt;="&amp;DATE(2026,10,1),Report!$C:$C,"&lt;="&amp;DATE(2026,10,31))</f>
        <v>17069.32</v>
      </c>
      <c r="L3" s="25" t="n">
        <f aca="false">SUMIFS(Report!$U:$U,Report!$AA:$AA,"SIM",Report!$C:$C,"&gt;="&amp;DATE(2026,11,1),Report!$C:$C,"&lt;="&amp;DATE(2026,11,30))</f>
        <v>11961.88</v>
      </c>
      <c r="M3" s="25" t="n">
        <f aca="false">SUMIFS(Report!$U:$U,Report!$AA:$AA,"SIM",Report!$C:$C,"&gt;="&amp;DATE(2026,12,1),Report!$C:$C,"&lt;="&amp;DATE(2026,12,31))</f>
        <v>12315.95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1558947.19</v>
      </c>
      <c r="AB3" s="1" t="s">
        <v>209</v>
      </c>
      <c r="AC3" s="1" t="s">
        <v>1699</v>
      </c>
      <c r="AE3" s="1" t="s">
        <v>1700</v>
      </c>
    </row>
    <row r="4" customFormat="false" ht="12.75" hidden="false" customHeight="true" outlineLevel="0" collapsed="false">
      <c r="A4" s="1" t="s">
        <v>1699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35074.4</v>
      </c>
      <c r="K4" s="16" t="n">
        <f aca="false">SUMIFS(Report!$U:$U,Report!$Z:$Z,"Despesa",Report!$AA:$AA,"SIM",Report!$C:$C,"&gt;="&amp;DATE(2026,10,1),Report!$C:$C,"&lt;="&amp;DATE(2026,10,31))</f>
        <v>10003.89</v>
      </c>
      <c r="L4" s="16" t="n">
        <f aca="false">SUMIFS(Report!$U:$U,Report!$Z:$Z,"Despesa",Report!$AA:$AA,"SIM",Report!$C:$C,"&gt;="&amp;DATE(2026,11,1),Report!$C:$C,"&lt;="&amp;DATE(2026,11,30))</f>
        <v>7314.49</v>
      </c>
      <c r="M4" s="16" t="n">
        <f aca="false">SUMIFS(Report!$U:$U,Report!$Z:$Z,"Despesa",Report!$AA:$AA,"SIM",Report!$C:$C,"&gt;="&amp;DATE(2026,12,1),Report!$C:$C,"&lt;="&amp;DATE(2026,12,31))</f>
        <v>7668.56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344651.24</v>
      </c>
      <c r="AB4" s="1" t="s">
        <v>150</v>
      </c>
      <c r="AC4" s="1" t="s">
        <v>1699</v>
      </c>
    </row>
    <row r="5" customFormat="false" ht="12.75" hidden="false" customHeight="true" outlineLevel="0" collapsed="false">
      <c r="A5" s="1" t="s">
        <v>1701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47784.24</v>
      </c>
      <c r="AB5" s="1" t="s">
        <v>412</v>
      </c>
      <c r="AC5" s="1" t="s">
        <v>1699</v>
      </c>
    </row>
    <row r="6" customFormat="false" ht="12.75" hidden="false" customHeight="true" outlineLevel="0" collapsed="false">
      <c r="A6" s="1" t="s">
        <v>1702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3542.45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22257.05</v>
      </c>
      <c r="AB6" s="1" t="s">
        <v>525</v>
      </c>
      <c r="AC6" s="1" t="s">
        <v>1699</v>
      </c>
    </row>
    <row r="7" customFormat="false" ht="12.75" hidden="false" customHeight="true" outlineLevel="0" collapsed="false">
      <c r="A7" s="1" t="s">
        <v>1703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184301.09</v>
      </c>
      <c r="K7" s="16" t="n">
        <f aca="false">SUMIFS(Report!$U:$U,Report!$Z:$Z,"Mercadoria",Report!$AA:$AA,"SIM",Report!$C:$C,"&gt;="&amp;DATE(2026,10,1),Report!$C:$C,"&lt;="&amp;DATE(2026,10,31))</f>
        <v>1971.87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1050588.2</v>
      </c>
      <c r="AB7" s="1" t="s">
        <v>508</v>
      </c>
      <c r="AC7" s="1" t="s">
        <v>1704</v>
      </c>
    </row>
    <row r="8" customFormat="false" ht="12.75" hidden="false" customHeight="true" outlineLevel="0" collapsed="false">
      <c r="A8" s="1" t="s">
        <v>1705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1699</v>
      </c>
    </row>
    <row r="9" customFormat="false" ht="12.75" hidden="false" customHeight="true" outlineLevel="0" collapsed="false">
      <c r="A9" s="1" t="s">
        <v>1704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1108.1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63828.83</v>
      </c>
      <c r="AB9" s="1" t="s">
        <v>606</v>
      </c>
      <c r="AC9" s="1" t="s">
        <v>1699</v>
      </c>
    </row>
    <row r="10" customFormat="false" ht="12.75" hidden="false" customHeight="true" outlineLevel="0" collapsed="false">
      <c r="A10" s="29" t="s">
        <v>1706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0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1776.82</v>
      </c>
      <c r="AB10" s="1" t="s">
        <v>687</v>
      </c>
      <c r="AC10" s="1" t="s">
        <v>1699</v>
      </c>
    </row>
    <row r="11" customFormat="false" ht="12.75" hidden="false" customHeight="true" outlineLevel="0" collapsed="false">
      <c r="A11" s="1" t="s">
        <v>1707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1699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1708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44592.05</v>
      </c>
      <c r="K13" s="16" t="n">
        <f aca="false">SUM(K4,K5,K6,K8,K9,K10)</f>
        <v>15097.45</v>
      </c>
      <c r="L13" s="16" t="n">
        <f aca="false">SUM(L4,L5,L6,L8,L9,L10)</f>
        <v>11961.88</v>
      </c>
      <c r="M13" s="16" t="n">
        <f aca="false">SUM(M4,M5,M6,M8,M9,M10)</f>
        <v>12315.95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508358.99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1699</v>
      </c>
    </row>
    <row r="16" customFormat="false" ht="12.75" hidden="false" customHeight="true" outlineLevel="0" collapsed="false">
      <c r="A16" s="1" t="s">
        <v>1709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1699</v>
      </c>
    </row>
    <row r="17" customFormat="false" ht="12.75" hidden="false" customHeight="true" outlineLevel="0" collapsed="false">
      <c r="A17" s="1" t="s">
        <v>1710</v>
      </c>
      <c r="AB17" s="1" t="s">
        <v>163</v>
      </c>
      <c r="AC17" s="1" t="s">
        <v>1699</v>
      </c>
    </row>
    <row r="18" customFormat="false" ht="12.75" hidden="false" customHeight="true" outlineLevel="0" collapsed="false">
      <c r="AB18" s="1" t="s">
        <v>77</v>
      </c>
      <c r="AC18" s="1" t="s">
        <v>1699</v>
      </c>
    </row>
    <row r="19" customFormat="false" ht="12.75" hidden="false" customHeight="true" outlineLevel="0" collapsed="false">
      <c r="AB19" s="1" t="s">
        <v>123</v>
      </c>
      <c r="AC19" s="1" t="s">
        <v>1704</v>
      </c>
    </row>
    <row r="20" customFormat="false" ht="12.75" hidden="false" customHeight="true" outlineLevel="0" collapsed="false">
      <c r="AB20" s="1" t="s">
        <v>334</v>
      </c>
      <c r="AC20" s="1" t="s">
        <v>1701</v>
      </c>
    </row>
    <row r="21" customFormat="false" ht="12.75" hidden="false" customHeight="true" outlineLevel="0" collapsed="false">
      <c r="AB21" s="1" t="s">
        <v>550</v>
      </c>
      <c r="AC21" s="1" t="s">
        <v>1699</v>
      </c>
    </row>
    <row r="22" customFormat="false" ht="12.75" hidden="false" customHeight="true" outlineLevel="0" collapsed="false">
      <c r="AB22" s="1" t="s">
        <v>847</v>
      </c>
      <c r="AC22" s="1" t="s">
        <v>1704</v>
      </c>
    </row>
    <row r="23" customFormat="false" ht="12.75" hidden="false" customHeight="true" outlineLevel="0" collapsed="false">
      <c r="AB23" s="1" t="s">
        <v>1112</v>
      </c>
      <c r="AC23" s="1" t="s">
        <v>1704</v>
      </c>
    </row>
    <row r="24" customFormat="false" ht="12.75" hidden="false" customHeight="true" outlineLevel="0" collapsed="false">
      <c r="AB24" s="1" t="s">
        <v>483</v>
      </c>
      <c r="AC24" s="1" t="s">
        <v>1702</v>
      </c>
    </row>
    <row r="25" customFormat="false" ht="12.75" hidden="false" customHeight="true" outlineLevel="0" collapsed="false">
      <c r="AB25" s="1" t="s">
        <v>48</v>
      </c>
      <c r="AC25" s="1" t="s">
        <v>1699</v>
      </c>
    </row>
    <row r="26" customFormat="false" ht="12.75" hidden="false" customHeight="true" outlineLevel="0" collapsed="false">
      <c r="AB26" s="1" t="s">
        <v>387</v>
      </c>
      <c r="AC26" s="1" t="s">
        <v>1699</v>
      </c>
    </row>
    <row r="27" customFormat="false" ht="12.75" hidden="false" customHeight="true" outlineLevel="0" collapsed="false">
      <c r="AB27" s="1" t="s">
        <v>750</v>
      </c>
      <c r="AC27" s="1" t="s">
        <v>1699</v>
      </c>
    </row>
    <row r="28" customFormat="false" ht="12.75" hidden="false" customHeight="true" outlineLevel="0" collapsed="false">
      <c r="AB28" s="1" t="s">
        <v>1614</v>
      </c>
      <c r="AC28" s="1" t="s">
        <v>1702</v>
      </c>
    </row>
    <row r="29" customFormat="false" ht="12.75" hidden="false" customHeight="true" outlineLevel="0" collapsed="false">
      <c r="AB29" s="1" t="s">
        <v>770</v>
      </c>
      <c r="AC29" s="1" t="s">
        <v>1699</v>
      </c>
    </row>
    <row r="30" customFormat="false" ht="12.75" hidden="false" customHeight="true" outlineLevel="0" collapsed="false">
      <c r="AB30" s="1" t="s">
        <v>481</v>
      </c>
      <c r="AC30" s="1" t="s">
        <v>1702</v>
      </c>
    </row>
    <row r="31" customFormat="false" ht="12.75" hidden="false" customHeight="true" outlineLevel="0" collapsed="false">
      <c r="AB31" s="1" t="s">
        <v>283</v>
      </c>
      <c r="AC31" s="1" t="s">
        <v>1699</v>
      </c>
    </row>
    <row r="32" customFormat="false" ht="12.75" hidden="false" customHeight="true" outlineLevel="0" collapsed="false">
      <c r="AB32" s="1" t="s">
        <v>159</v>
      </c>
      <c r="AC32" s="1" t="s">
        <v>1699</v>
      </c>
    </row>
    <row r="33" customFormat="false" ht="12.75" hidden="false" customHeight="true" outlineLevel="0" collapsed="false">
      <c r="AB33" s="1" t="s">
        <v>408</v>
      </c>
      <c r="AC33" s="1" t="s">
        <v>1702</v>
      </c>
    </row>
    <row r="34" customFormat="false" ht="12.75" hidden="false" customHeight="true" outlineLevel="0" collapsed="false">
      <c r="AB34" s="1" t="s">
        <v>1084</v>
      </c>
      <c r="AC34" s="1" t="s">
        <v>1699</v>
      </c>
    </row>
    <row r="35" customFormat="false" ht="12.75" hidden="false" customHeight="true" outlineLevel="0" collapsed="false">
      <c r="AB35" s="1" t="s">
        <v>266</v>
      </c>
      <c r="AC35" s="1" t="s">
        <v>1701</v>
      </c>
    </row>
    <row r="36" customFormat="false" ht="12.75" hidden="false" customHeight="true" outlineLevel="0" collapsed="false">
      <c r="AB36" s="1" t="s">
        <v>746</v>
      </c>
      <c r="AC36" s="1" t="s">
        <v>1699</v>
      </c>
    </row>
    <row r="37" customFormat="false" ht="12.75" hidden="false" customHeight="true" outlineLevel="0" collapsed="false">
      <c r="AB37" s="1" t="s">
        <v>324</v>
      </c>
      <c r="AC37" s="1" t="s">
        <v>1699</v>
      </c>
    </row>
    <row r="38" customFormat="false" ht="12.75" hidden="false" customHeight="true" outlineLevel="0" collapsed="false">
      <c r="AB38" s="1" t="s">
        <v>52</v>
      </c>
      <c r="AC38" s="1" t="s">
        <v>1699</v>
      </c>
    </row>
    <row r="39" customFormat="false" ht="12.75" hidden="false" customHeight="true" outlineLevel="0" collapsed="false">
      <c r="AB39" s="1" t="s">
        <v>71</v>
      </c>
      <c r="AC39" s="1" t="s">
        <v>1699</v>
      </c>
    </row>
    <row r="40" customFormat="false" ht="12.75" hidden="false" customHeight="true" outlineLevel="0" collapsed="false">
      <c r="AB40" s="1" t="s">
        <v>609</v>
      </c>
      <c r="AC40" s="1" t="s">
        <v>1699</v>
      </c>
    </row>
    <row r="41" customFormat="false" ht="12.75" hidden="false" customHeight="true" outlineLevel="0" collapsed="false">
      <c r="AB41" s="1" t="s">
        <v>203</v>
      </c>
      <c r="AC41" s="1" t="s">
        <v>1699</v>
      </c>
    </row>
    <row r="42" customFormat="false" ht="12.75" hidden="false" customHeight="true" outlineLevel="0" collapsed="false">
      <c r="AB42" s="1" t="s">
        <v>63</v>
      </c>
      <c r="AC42" s="1" t="s">
        <v>1703</v>
      </c>
    </row>
    <row r="43" customFormat="false" ht="12.75" hidden="false" customHeight="true" outlineLevel="0" collapsed="false">
      <c r="AB43" s="1" t="s">
        <v>488</v>
      </c>
      <c r="AC43" s="1" t="s">
        <v>1699</v>
      </c>
    </row>
    <row r="44" customFormat="false" ht="12.75" hidden="false" customHeight="true" outlineLevel="0" collapsed="false">
      <c r="AB44" s="1" t="s">
        <v>58</v>
      </c>
      <c r="AC44" s="1" t="s">
        <v>1705</v>
      </c>
    </row>
    <row r="45" customFormat="false" ht="12.75" hidden="false" customHeight="true" outlineLevel="0" collapsed="false">
      <c r="AB45" s="1" t="s">
        <v>1086</v>
      </c>
      <c r="AC45" s="1" t="s">
        <v>1699</v>
      </c>
    </row>
    <row r="46" customFormat="false" ht="12.75" hidden="false" customHeight="true" outlineLevel="0" collapsed="false">
      <c r="AB46" s="1" t="s">
        <v>456</v>
      </c>
      <c r="AC46" s="1" t="s">
        <v>1704</v>
      </c>
    </row>
    <row r="47" customFormat="false" ht="12.75" hidden="false" customHeight="true" outlineLevel="0" collapsed="false">
      <c r="AB47" s="1" t="s">
        <v>497</v>
      </c>
      <c r="AC47" s="1" t="s">
        <v>1699</v>
      </c>
    </row>
    <row r="48" customFormat="false" ht="12.75" hidden="false" customHeight="true" outlineLevel="0" collapsed="false">
      <c r="AB48" s="1" t="s">
        <v>248</v>
      </c>
      <c r="AC48" s="1" t="s">
        <v>1704</v>
      </c>
    </row>
    <row r="49" customFormat="false" ht="12.75" hidden="false" customHeight="true" outlineLevel="0" collapsed="false">
      <c r="AB49" s="1" t="s">
        <v>253</v>
      </c>
      <c r="AC49" s="1" t="s">
        <v>1704</v>
      </c>
    </row>
    <row r="50" customFormat="false" ht="12.75" hidden="false" customHeight="true" outlineLevel="0" collapsed="false">
      <c r="AB50" s="1" t="s">
        <v>513</v>
      </c>
      <c r="AC50" s="1" t="s">
        <v>1702</v>
      </c>
    </row>
    <row r="51" customFormat="false" ht="12.75" hidden="false" customHeight="true" outlineLevel="0" collapsed="false">
      <c r="AB51" s="1" t="s">
        <v>121</v>
      </c>
      <c r="AC51" s="1" t="s">
        <v>1699</v>
      </c>
    </row>
    <row r="52" customFormat="false" ht="12.75" hidden="false" customHeight="true" outlineLevel="0" collapsed="false">
      <c r="AB52" s="1" t="s">
        <v>1220</v>
      </c>
      <c r="AC52" s="1" t="s">
        <v>1699</v>
      </c>
    </row>
    <row r="53" customFormat="false" ht="12.75" hidden="false" customHeight="true" outlineLevel="0" collapsed="false">
      <c r="AB53" s="1" t="s">
        <v>113</v>
      </c>
      <c r="AC53" s="1" t="s">
        <v>1704</v>
      </c>
    </row>
    <row r="54" customFormat="false" ht="12.75" hidden="false" customHeight="true" outlineLevel="0" collapsed="false">
      <c r="AB54" s="1" t="s">
        <v>1367</v>
      </c>
      <c r="AC54" s="1" t="s">
        <v>1699</v>
      </c>
    </row>
    <row r="55" customFormat="false" ht="12.75" hidden="false" customHeight="true" outlineLevel="0" collapsed="false">
      <c r="AB55" s="1" t="s">
        <v>40</v>
      </c>
      <c r="AC55" s="1" t="s">
        <v>1699</v>
      </c>
    </row>
    <row r="56" customFormat="false" ht="12.75" hidden="false" customHeight="true" outlineLevel="0" collapsed="false">
      <c r="AB56" s="1" t="s">
        <v>543</v>
      </c>
      <c r="AC56" s="1" t="s">
        <v>1704</v>
      </c>
    </row>
    <row r="57" customFormat="false" ht="12.75" hidden="false" customHeight="true" outlineLevel="0" collapsed="false">
      <c r="AB57" s="1" t="s">
        <v>44</v>
      </c>
      <c r="AC57" s="1" t="s">
        <v>1699</v>
      </c>
    </row>
    <row r="58" customFormat="false" ht="12.75" hidden="false" customHeight="true" outlineLevel="0" collapsed="false">
      <c r="AB58" s="1" t="s">
        <v>55</v>
      </c>
      <c r="AC58" s="1" t="s">
        <v>1706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1711</v>
      </c>
      <c r="B1" s="20" t="s">
        <v>1694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1668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0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3086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0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1776.82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203.8</v>
      </c>
      <c r="L15" s="16" t="n">
        <f aca="false">SUMIFS(Report!$U:$U,Report!$T:$T,$A15,Report!$C:$C,"&gt;="&amp;DATE(2026,10,1),Report!$C:$C,"&lt;"&amp;DATE(2026,11,1))</f>
        <v>0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1727.94</v>
      </c>
      <c r="L17" s="16" t="n">
        <f aca="false">SUMIFS(Report!$U:$U,Report!$T:$T,$A17,Report!$C:$C,"&gt;="&amp;DATE(2026,10,1),Report!$C:$C,"&lt;"&amp;DATE(2026,11,1))</f>
        <v>1064.13</v>
      </c>
      <c r="M17" s="16" t="n">
        <f aca="false">SUMIFS(Report!$U:$U,Report!$T:$T,$A17,Report!$C:$C,"&gt;="&amp;DATE(2026,11,1),Report!$C:$C,"&lt;"&amp;DATE(2026,12,1))</f>
        <v>620.65</v>
      </c>
      <c r="N17" s="16" t="n">
        <f aca="false">SUMIFS(Report!$U:$U,Report!$T:$T,$A17,Report!$C:$C,"&gt;="&amp;DATE(2026,12,1),Report!$C:$C,"&lt;"&amp;DATE(2027,1,1))</f>
        <v>378.82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19391.72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3460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10645.93</v>
      </c>
      <c r="L21" s="16" t="n">
        <f aca="false">SUMIFS(Report!$U:$U,Report!$T:$T,$A21,Report!$C:$C,"&gt;="&amp;DATE(2026,10,1),Report!$C:$C,"&lt;"&amp;DATE(2026,11,1))</f>
        <v>0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38112.58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300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12279.14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220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9250</v>
      </c>
    </row>
    <row r="29" customFormat="false" ht="12.75" hidden="false" customHeight="true" outlineLevel="0" collapsed="false">
      <c r="A29" s="1" t="s">
        <v>1614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3313.57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3313.57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119.97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4219.35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0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11596.26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184301.09</v>
      </c>
      <c r="L43" s="16" t="n">
        <f aca="false">SUMIFS(Report!$U:$U,Report!$T:$T,$A43,Report!$C:$C,"&gt;="&amp;DATE(2026,10,1),Report!$C:$C,"&lt;"&amp;DATE(2026,11,1))</f>
        <v>1971.87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1050588.2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250.1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50295.23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800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3160</v>
      </c>
    </row>
    <row r="55" customFormat="false" ht="12.75" hidden="false" customHeight="true" outlineLevel="0" collapsed="false">
      <c r="A55" s="1" t="s">
        <v>1693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228893.14</v>
      </c>
      <c r="L55" s="16" t="n">
        <f aca="false">SUM(L2:L54)</f>
        <v>17069.32</v>
      </c>
      <c r="M55" s="16" t="n">
        <f aca="false">SUM(M2:M54)</f>
        <v>11961.88</v>
      </c>
      <c r="N55" s="16" t="n">
        <f aca="false">SUM(N2:N54)</f>
        <v>12315.95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SUM(Z2:Z54)</f>
        <v>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1712</v>
      </c>
      <c r="B1" s="32" t="n">
        <f aca="false">SUMIFS(Report!$U:$U,Report!$T:$T,"&lt;&gt;"&amp;"MERCADORIAS P/REVENDA",Report!$AA:$AA,"SIM",Report!$C:$C,"&gt;="&amp;DATE(2026,1,1),Report!$C:$C,"&lt;="&amp;DATE(2027,12,31))</f>
        <v>508358.99</v>
      </c>
      <c r="C1" s="32" t="n">
        <f aca="false">SUMIFS(Report!$U:$U,Report!$T:$T,"MERCADORIAS P/REVENDA",Report!$AA:$AA,"SIM",Report!$C:$C,"&gt;="&amp;DATE(2026,1,1),Report!$C:$C,"&lt;="&amp;DATE(2027,12,31))</f>
        <v>1050588.2</v>
      </c>
      <c r="D1" s="33" t="s">
        <v>1713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1558947.19</v>
      </c>
      <c r="H1" s="1"/>
      <c r="I1" s="16"/>
    </row>
    <row r="2" customFormat="false" ht="12.75" hidden="false" customHeight="true" outlineLevel="0" collapsed="false">
      <c r="A2" s="19" t="s">
        <v>1714</v>
      </c>
      <c r="B2" s="21" t="s">
        <v>1666</v>
      </c>
      <c r="C2" s="21" t="s">
        <v>1667</v>
      </c>
      <c r="D2" s="33" t="s">
        <v>1715</v>
      </c>
      <c r="E2" s="32" t="n">
        <f aca="false">F1+E1</f>
        <v>1558947.19</v>
      </c>
      <c r="F2" s="21" t="s">
        <v>1716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11978.56</v>
      </c>
      <c r="F283" s="16" t="n">
        <f aca="false">B283+C283</f>
        <v>12583.02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2023.76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16598.26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3302.48</v>
      </c>
      <c r="C285" s="35" t="n">
        <f aca="false">SUMIFS(Report!$U:$U,Report!$T:$T,"MERCADORIAS P/REVENDA",Report!$AA:$AA,"SIM",Report!$C:$C,A285)</f>
        <v>3811.83</v>
      </c>
      <c r="D285" s="36"/>
      <c r="E285" s="36"/>
      <c r="F285" s="35" t="n">
        <f aca="false">B285+C285</f>
        <v>7114.31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0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119.97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5261.72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12603.96</v>
      </c>
      <c r="C288" s="25" t="n">
        <f aca="false">SUM(C281:C287)</f>
        <v>67029.61</v>
      </c>
      <c r="D288" s="29"/>
      <c r="E288" s="29"/>
      <c r="F288" s="25" t="n">
        <f aca="false">B288+C288</f>
        <v>79633.57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19950.2</v>
      </c>
      <c r="F289" s="16" t="n">
        <f aca="false">B289+C289</f>
        <v>19950.2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13890.02</v>
      </c>
      <c r="F290" s="16" t="n">
        <f aca="false">B290+C290</f>
        <v>13890.02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15769.23</v>
      </c>
      <c r="F291" s="16" t="n">
        <f aca="false">B291+C291</f>
        <v>17423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3313.57</v>
      </c>
      <c r="C292" s="16" t="n">
        <f aca="false">SUMIFS(Report!$U:$U,Report!$T:$T,"MERCADORIAS P/REVENDA",Report!$AA:$AA,"SIM",Report!$C:$C,A292)</f>
        <v>8682.91</v>
      </c>
      <c r="F292" s="16" t="n">
        <f aca="false">B292+C292</f>
        <v>11996.48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2765.69</v>
      </c>
      <c r="D293" s="36"/>
      <c r="E293" s="36"/>
      <c r="F293" s="35" t="n">
        <f aca="false">B293+C293</f>
        <v>2765.69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0</v>
      </c>
      <c r="D294" s="36"/>
      <c r="E294" s="36"/>
      <c r="F294" s="35" t="n">
        <f aca="false">B294+C294</f>
        <v>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5918.07</v>
      </c>
      <c r="D295" s="36"/>
      <c r="E295" s="36"/>
      <c r="F295" s="35" t="n">
        <f aca="false">B295+C295</f>
        <v>7250.62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6299.89</v>
      </c>
      <c r="C296" s="25" t="n">
        <f aca="false">SUM(C289:C295)</f>
        <v>66976.12</v>
      </c>
      <c r="D296" s="29"/>
      <c r="E296" s="29"/>
      <c r="F296" s="25" t="n">
        <f aca="false">B296+C296</f>
        <v>73276.01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6822.65</v>
      </c>
      <c r="F297" s="16" t="n">
        <f aca="false">B297+C297</f>
        <v>12751.53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8983.53</v>
      </c>
      <c r="F298" s="16" t="n">
        <f aca="false">B298+C298</f>
        <v>9041.53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9506.74</v>
      </c>
      <c r="F299" s="16" t="n">
        <f aca="false">B299+C299</f>
        <v>9506.74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2190.86</v>
      </c>
      <c r="F300" s="16" t="n">
        <f aca="false">B300+C300</f>
        <v>2438.13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0</v>
      </c>
      <c r="D301" s="36"/>
      <c r="E301" s="36"/>
      <c r="F301" s="35" t="n">
        <f aca="false">B301+C301</f>
        <v>0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2937.78</v>
      </c>
      <c r="D303" s="36"/>
      <c r="E303" s="36"/>
      <c r="F303" s="35" t="n">
        <f aca="false">B303+C303</f>
        <v>4270.33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30441.56</v>
      </c>
      <c r="D304" s="29"/>
      <c r="E304" s="29"/>
      <c r="F304" s="25" t="n">
        <f aca="false">B304+C304</f>
        <v>38742.46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4576.92</v>
      </c>
      <c r="F305" s="16" t="n">
        <f aca="false">B305+C305</f>
        <v>4576.92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3806.33</v>
      </c>
      <c r="F306" s="16" t="n">
        <f aca="false">B306+C306</f>
        <v>3806.33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6781.14</v>
      </c>
      <c r="F307" s="16" t="n">
        <f aca="false">B307+C307</f>
        <v>17427.07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1943.31</v>
      </c>
      <c r="F308" s="16" t="n">
        <f aca="false">B308+C308</f>
        <v>2521.9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1524.86</v>
      </c>
      <c r="D311" s="36"/>
      <c r="E311" s="36"/>
      <c r="F311" s="35" t="n">
        <f aca="false">B311+C311</f>
        <v>7025.82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16725.48</v>
      </c>
      <c r="C312" s="25" t="n">
        <f aca="false">SUM(C305:C311)</f>
        <v>18632.56</v>
      </c>
      <c r="D312" s="29"/>
      <c r="E312" s="29"/>
      <c r="F312" s="25" t="n">
        <f aca="false">B312+C312</f>
        <v>35358.04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661.82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1582.65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2894.19</v>
      </c>
      <c r="C320" s="25" t="n">
        <f aca="false">SUM(C313:C319)</f>
        <v>3193.11</v>
      </c>
      <c r="D320" s="29"/>
      <c r="E320" s="29"/>
      <c r="F320" s="25" t="n">
        <f aca="false">B320+C320</f>
        <v>6087.3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1230.13</v>
      </c>
      <c r="C328" s="25" t="n">
        <f aca="false">SUM(C321:C327)</f>
        <v>0</v>
      </c>
      <c r="D328" s="29"/>
      <c r="E328" s="29"/>
      <c r="F328" s="25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0</v>
      </c>
      <c r="D336" s="29"/>
      <c r="E336" s="29"/>
      <c r="F336" s="25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4694.48</v>
      </c>
      <c r="C344" s="25" t="n">
        <f aca="false">SUM(C337:C343)</f>
        <v>0</v>
      </c>
      <c r="D344" s="29"/>
      <c r="E344" s="29"/>
      <c r="F344" s="25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378.82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378.82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620.64</v>
      </c>
      <c r="C352" s="25" t="n">
        <f aca="false">SUM(C345:C351)</f>
        <v>0</v>
      </c>
      <c r="D352" s="29"/>
      <c r="E352" s="29"/>
      <c r="F352" s="25" t="n">
        <f aca="false">B352+C352</f>
        <v>620.64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0</v>
      </c>
      <c r="D360" s="29"/>
      <c r="E360" s="29"/>
      <c r="F360" s="25" t="n">
        <f aca="false">B360+C360</f>
        <v>250.1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666.67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666.67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6595.55</v>
      </c>
      <c r="C368" s="25" t="n">
        <f aca="false">SUM(C361:C367)</f>
        <v>0</v>
      </c>
      <c r="D368" s="29"/>
      <c r="E368" s="29"/>
      <c r="F368" s="25" t="n">
        <f aca="false">B368+C368</f>
        <v>6595.55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0</v>
      </c>
      <c r="D384" s="29"/>
      <c r="E384" s="29"/>
      <c r="F384" s="25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378.82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378.82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628.92</v>
      </c>
      <c r="C392" s="25" t="n">
        <f aca="false">SUM(C385:C391)</f>
        <v>0</v>
      </c>
      <c r="D392" s="29"/>
      <c r="E392" s="29"/>
      <c r="F392" s="25" t="n">
        <f aca="false">B392+C392</f>
        <v>628.92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666.67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666.67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666.67</v>
      </c>
      <c r="C400" s="25" t="n">
        <f aca="false">SUM(C393:C399)</f>
        <v>0</v>
      </c>
      <c r="D400" s="29"/>
      <c r="E400" s="29"/>
      <c r="F400" s="25" t="n">
        <f aca="false">B400+C400</f>
        <v>666.67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1717</v>
      </c>
      <c r="B1" s="38"/>
      <c r="C1" s="38"/>
      <c r="D1" s="38"/>
    </row>
    <row r="2" customFormat="false" ht="12.75" hidden="false" customHeight="true" outlineLevel="0" collapsed="false">
      <c r="A2" s="39" t="s">
        <v>1718</v>
      </c>
      <c r="B2" s="39"/>
      <c r="C2" s="39"/>
      <c r="D2" s="39"/>
    </row>
    <row r="4" customFormat="false" ht="24.75" hidden="false" customHeight="true" outlineLevel="0" collapsed="false">
      <c r="A4" s="40" t="s">
        <v>1665</v>
      </c>
      <c r="B4" s="40" t="s">
        <v>1719</v>
      </c>
      <c r="C4" s="40" t="s">
        <v>1720</v>
      </c>
    </row>
    <row r="5" customFormat="false" ht="12.75" hidden="false" customHeight="true" outlineLevel="0" collapsed="false">
      <c r="A5" s="41" t="s">
        <v>1669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1670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1671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1672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1673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1674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1675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1676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1677</v>
      </c>
      <c r="B13" s="41" t="n">
        <v>2026</v>
      </c>
      <c r="C13" s="43" t="n">
        <v>94149.04</v>
      </c>
    </row>
    <row r="14" customFormat="false" ht="13.5" hidden="false" customHeight="true" outlineLevel="0" collapsed="false">
      <c r="A14" s="41" t="s">
        <v>1678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1679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1680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1721</v>
      </c>
      <c r="B18" s="44"/>
      <c r="C18" s="45" t="n">
        <v>46273.4046759259</v>
      </c>
    </row>
    <row r="19" customFormat="false" ht="12.75" hidden="false" customHeight="true" outlineLevel="0" collapsed="false">
      <c r="A19" s="1" t="s">
        <v>1722</v>
      </c>
      <c r="C19" s="46" t="n">
        <f aca="false">IF(ISNUMBER(INDEX($C$5:$C$16,MONTH($C$18))),(INDEX($C$5:$C$16,MONTH($C$18))/DAY($C$18))*DAY(EOMONTH($C$18,0)),"")</f>
        <v>353058.9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1723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1724</v>
      </c>
    </row>
    <row r="3" customFormat="false" ht="12.75" hidden="false" customHeight="true" outlineLevel="0" collapsed="false">
      <c r="A3" s="22" t="s">
        <v>1725</v>
      </c>
      <c r="E3" s="50" t="n">
        <v>0.7</v>
      </c>
      <c r="F3" s="51" t="s">
        <v>1726</v>
      </c>
      <c r="G3" s="51" t="s">
        <v>1727</v>
      </c>
      <c r="H3" s="51" t="s">
        <v>1728</v>
      </c>
      <c r="I3" s="51" t="s">
        <v>1729</v>
      </c>
      <c r="J3" s="51" t="s">
        <v>1730</v>
      </c>
      <c r="K3" s="51" t="s">
        <v>1731</v>
      </c>
      <c r="L3" s="51" t="s">
        <v>1732</v>
      </c>
      <c r="M3" s="51" t="s">
        <v>1733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1665</v>
      </c>
      <c r="B6" s="27" t="s">
        <v>1734</v>
      </c>
      <c r="C6" s="27" t="s">
        <v>1735</v>
      </c>
      <c r="D6" s="27" t="s">
        <v>1736</v>
      </c>
      <c r="E6" s="27" t="s">
        <v>1737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1669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</row>
    <row r="8" customFormat="false" ht="12.75" hidden="false" customHeight="true" outlineLevel="0" collapsed="false">
      <c r="A8" s="22" t="s">
        <v>1670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</row>
    <row r="9" customFormat="false" ht="12.75" hidden="false" customHeight="true" outlineLevel="0" collapsed="false">
      <c r="A9" s="22" t="s">
        <v>1671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</row>
    <row r="10" customFormat="false" ht="12.75" hidden="false" customHeight="true" outlineLevel="0" collapsed="false">
      <c r="A10" s="22" t="s">
        <v>1672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</row>
    <row r="11" customFormat="false" ht="12.75" hidden="false" customHeight="true" outlineLevel="0" collapsed="false">
      <c r="A11" s="22" t="s">
        <v>1673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</row>
    <row r="12" customFormat="false" ht="12.75" hidden="false" customHeight="true" outlineLevel="0" collapsed="false">
      <c r="A12" s="22" t="s">
        <v>1674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19)'!$E:$E,"&gt;="&amp;DATE(2026,6,1),'Notas Fiscais (Rel 19)'!$E:$E,"&lt;="&amp;DATE(2026,6,30))</f>
        <v>323354.67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</row>
    <row r="13" customFormat="false" ht="12.75" hidden="false" customHeight="true" outlineLevel="0" collapsed="false">
      <c r="A13" s="22" t="s">
        <v>1675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19)'!$E:$E,"&gt;="&amp;DATE(2026,7,1),'Notas Fiscais (Rel 19)'!$E:$E,"&lt;="&amp;DATE(2026,7,31))</f>
        <v>293314.78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</row>
    <row r="14" customFormat="false" ht="12.75" hidden="false" customHeight="true" outlineLevel="0" collapsed="false">
      <c r="A14" s="22" t="s">
        <v>1676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19)'!$E:$E,"&gt;="&amp;DATE(2026,8,1),'Notas Fiscais (Rel 19)'!$E:$E,"&lt;="&amp;DATE(2026,8,31))</f>
        <v>301419.67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</row>
    <row r="15" customFormat="false" ht="12.75" hidden="false" customHeight="true" outlineLevel="0" collapsed="false">
      <c r="A15" s="22" t="s">
        <v>1677</v>
      </c>
      <c r="B15" s="16" t="n">
        <f aca="false">IFERROR(INDEX('Venda Anual (Base)'!$C$5:$C$16,MATCH($A15,'Venda Anual (Base)'!$A$5:$A$16,0)),"")</f>
        <v>94149.04</v>
      </c>
      <c r="C15" s="16" t="n">
        <f aca="false">(B14*$E$3)</f>
        <v>276163.832</v>
      </c>
      <c r="D15" s="16" t="n">
        <f aca="false">IFERROR(INDEX('Resumo Mensal'!$C$2:$C$25,MATCH($A15,'Resumo Mensal'!$A$2:$A$25,0)),0)</f>
        <v>184301.09</v>
      </c>
      <c r="E15" s="16" t="n">
        <f aca="false">IF(AND(ISNUMBER(C15),D15&gt;0),D15-C15,"")</f>
        <v>-91862.742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58.7263842520327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19)'!$E:$E,"&gt;="&amp;DATE(2026,9,1),'Notas Fiscais (Rel 19)'!$E:$E,"&lt;="&amp;DATE(2026,9,30))</f>
        <v>42334.16</v>
      </c>
      <c r="K15" s="16" t="n">
        <f aca="false">IF($A15=INDEX('Venda Anual (Base)'!$A$5:$A$16,MONTH('Venda Anual (Base)'!$C$18)),IFERROR(B15/DAY('Venda Anual (Base)'!$C$18)*DAY(EOMONTH('Venda Anual (Base)'!$C$18,0)),""),"")</f>
        <v>353058.9</v>
      </c>
      <c r="L15" s="16" t="n">
        <f aca="false">('Resumo Grupos'!J13)</f>
        <v>44592.05</v>
      </c>
      <c r="M15" s="16" t="n">
        <f aca="false">IFERROR(B15-D15-L15,"")</f>
        <v>-134744.1</v>
      </c>
    </row>
    <row r="16" customFormat="false" ht="12.75" hidden="false" customHeight="true" outlineLevel="0" collapsed="false">
      <c r="A16" s="22" t="s">
        <v>1678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65904.328</v>
      </c>
      <c r="D16" s="16" t="n">
        <f aca="false">IFERROR(INDEX('Resumo Mensal'!$C$2:$C$25,MATCH($A16,'Resumo Mensal'!$A$2:$A$25,0)),0)</f>
        <v>1971.87</v>
      </c>
      <c r="E16" s="16" t="n">
        <f aca="false">IF(AND(ISNUMBER(C16),D16&gt;0),D16-C16,"")</f>
        <v>-63932.458</v>
      </c>
      <c r="F16" s="60" t="n">
        <f aca="false">IF(AND(ISNUMBER(B15),ISNUMBER(B14),B14&lt;&gt;0),B15/B14,"")</f>
        <v>0.238642140510275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15727.5499028113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15097.45</v>
      </c>
      <c r="M16" s="16" t="n">
        <f aca="false">IFERROR(B16-D16-L16,"")</f>
        <v>-17069.32</v>
      </c>
    </row>
    <row r="17" customFormat="false" ht="12.75" hidden="false" customHeight="true" outlineLevel="0" collapsed="false">
      <c r="A17" s="22" t="s">
        <v>1679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11961.88</v>
      </c>
      <c r="M17" s="16" t="n">
        <f aca="false">IFERROR(B17-D17-L17,"")</f>
        <v>-11961.88</v>
      </c>
    </row>
    <row r="18" customFormat="false" ht="12.75" hidden="false" customHeight="true" outlineLevel="0" collapsed="false">
      <c r="A18" s="22" t="s">
        <v>1680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12315.95</v>
      </c>
      <c r="M18" s="16" t="n">
        <f aca="false">IFERROR(B18-D18-L18,"")</f>
        <v>-12315.95</v>
      </c>
    </row>
    <row r="19" customFormat="false" ht="12.75" hidden="false" customHeight="true" outlineLevel="0" collapsed="false">
      <c r="A19" s="58" t="s">
        <v>1693</v>
      </c>
      <c r="B19" s="30" t="n">
        <f aca="false">SUM(B7:B18)</f>
        <v>2879587.38</v>
      </c>
      <c r="C19" s="30" t="n">
        <f aca="false">SUM(C7:C18)</f>
        <v>2015711.166</v>
      </c>
      <c r="D19" s="30" t="n">
        <f aca="false">SUM(D7:D18)</f>
        <v>1050588.2</v>
      </c>
      <c r="E19" s="30" t="n">
        <f aca="false">IF(COUNT(E7:E18)=0,"sem dados comparaveis ainda",SUM(E7:E18))</f>
        <v>-66511.455</v>
      </c>
      <c r="F19" s="65" t="n">
        <f aca="false">SUM(F7:F18)</f>
        <v>7.51222542313965</v>
      </c>
      <c r="G19" s="64"/>
      <c r="I19" s="16" t="n">
        <f aca="false">SUM(I7:I18)</f>
        <v>1945367.250493</v>
      </c>
      <c r="J19" s="16" t="n">
        <f aca="false">SUM(J7:J18)</f>
        <v>960423.28</v>
      </c>
      <c r="K19" s="16" t="n">
        <f aca="false">SUM(K7:K18)</f>
        <v>353058.9</v>
      </c>
      <c r="L19" s="16" t="n">
        <f aca="false">SUM(L7:L18)</f>
        <v>508358.99</v>
      </c>
      <c r="M19" s="16" t="n">
        <f aca="false">SUM(M7:M18)</f>
        <v>1320640.19</v>
      </c>
    </row>
    <row r="21" customFormat="false" ht="12.75" hidden="false" customHeight="true" outlineLevel="0" collapsed="false">
      <c r="A21" s="22" t="s">
        <v>1738</v>
      </c>
    </row>
    <row r="23" customFormat="false" ht="12.75" hidden="false" customHeight="true" outlineLevel="0" collapsed="false">
      <c r="A23" s="22" t="s">
        <v>1739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1740</v>
      </c>
      <c r="B1" s="1" t="s">
        <v>1741</v>
      </c>
      <c r="C1" s="1" t="s">
        <v>1742</v>
      </c>
      <c r="D1" s="1" t="s">
        <v>1743</v>
      </c>
      <c r="E1" s="1" t="s">
        <v>1744</v>
      </c>
      <c r="F1" s="1" t="s">
        <v>1745</v>
      </c>
      <c r="G1" s="1" t="s">
        <v>1746</v>
      </c>
      <c r="H1" s="1" t="s">
        <v>1747</v>
      </c>
      <c r="I1" s="1" t="s">
        <v>1748</v>
      </c>
      <c r="J1" s="1" t="s">
        <v>1749</v>
      </c>
      <c r="K1" s="1" t="s">
        <v>1750</v>
      </c>
      <c r="O1" s="1" t="s">
        <v>1751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1752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1753</v>
      </c>
      <c r="K2" s="46" t="n">
        <v>672.85</v>
      </c>
      <c r="O2" s="1" t="s">
        <v>1754</v>
      </c>
      <c r="P2" s="0" t="s">
        <v>1755</v>
      </c>
      <c r="Q2" s="0" t="s">
        <v>1756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1757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1753</v>
      </c>
      <c r="K3" s="46" t="n">
        <v>305.12</v>
      </c>
      <c r="O3" s="1" t="n">
        <v>6</v>
      </c>
      <c r="P3" s="66" t="n">
        <f aca="false">SUMIFS($K:$K,$E:$E,"&gt;="&amp;DATE(2026,O3,1),$E:$E,"&lt;"&amp;DATE(2026,O3+1,1))</f>
        <v>323354.67</v>
      </c>
      <c r="Q3" s="0" t="n">
        <f aca="false">COUNTIFS($E:$E,"&gt;="&amp;DATE(2026,O3,1),$E:$E,"&lt;"&amp;DATE(2026,O3+1,1))</f>
        <v>291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1757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1753</v>
      </c>
      <c r="K4" s="46" t="n">
        <v>319.14</v>
      </c>
      <c r="O4" s="1" t="n">
        <v>7</v>
      </c>
      <c r="P4" s="66" t="n">
        <f aca="false">SUMIFS($K:$K,$E:$E,"&gt;="&amp;DATE(2026,O4,1),$E:$E,"&lt;"&amp;DATE(2026,O4+1,1))</f>
        <v>293314.78</v>
      </c>
      <c r="Q4" s="0" t="n">
        <f aca="false">COUNTIFS($E:$E,"&gt;="&amp;DATE(2026,O4,1),$E:$E,"&lt;"&amp;DATE(2026,O4+1,1))</f>
        <v>284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1757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1753</v>
      </c>
      <c r="K5" s="46" t="n">
        <v>225.8</v>
      </c>
      <c r="O5" s="1" t="n">
        <v>8</v>
      </c>
      <c r="P5" s="66" t="n">
        <f aca="false">SUMIFS($K:$K,$E:$E,"&gt;="&amp;DATE(2026,O5,1),$E:$E,"&lt;"&amp;DATE(2026,O5+1,1))</f>
        <v>301419.67</v>
      </c>
      <c r="Q5" s="0" t="n">
        <f aca="false">COUNTIFS($E:$E,"&gt;="&amp;DATE(2026,O5,1),$E:$E,"&lt;"&amp;DATE(2026,O5+1,1))</f>
        <v>252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1758</v>
      </c>
      <c r="D6" s="1" t="s">
        <v>1759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1753</v>
      </c>
      <c r="K6" s="46" t="n">
        <v>172</v>
      </c>
      <c r="O6" s="1" t="n">
        <v>9</v>
      </c>
      <c r="P6" s="66" t="n">
        <f aca="false">SUMIFS($K:$K,$E:$E,"&gt;="&amp;DATE(2026,O6,1),$E:$E,"&lt;"&amp;DATE(2026,O6+1,1))</f>
        <v>42334.16</v>
      </c>
      <c r="Q6" s="0" t="n">
        <f aca="false">COUNTIFS($E:$E,"&gt;="&amp;DATE(2026,O6,1),$E:$E,"&lt;"&amp;DATE(2026,O6+1,1))</f>
        <v>33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1760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1753</v>
      </c>
      <c r="K7" s="46" t="n">
        <v>3329</v>
      </c>
      <c r="O7" s="1" t="n">
        <v>10</v>
      </c>
      <c r="P7" s="66" t="n">
        <f aca="false">SUMIFS($K:$K,$E:$E,"&gt;="&amp;DATE(2026,O7,1),$E:$E,"&lt;"&amp;DATE(2026,O7+1,1))</f>
        <v>0</v>
      </c>
      <c r="Q7" s="0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1761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1753</v>
      </c>
      <c r="K8" s="46" t="n">
        <v>334.6</v>
      </c>
      <c r="O8" s="1" t="n">
        <v>11</v>
      </c>
      <c r="P8" s="66" t="n">
        <f aca="false">SUMIFS($K:$K,$E:$E,"&gt;="&amp;DATE(2026,O8,1),$E:$E,"&lt;"&amp;DATE(2026,O8+1,1))</f>
        <v>0</v>
      </c>
      <c r="Q8" s="0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1762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1753</v>
      </c>
      <c r="K9" s="46" t="n">
        <v>449.5</v>
      </c>
      <c r="O9" s="1" t="n">
        <v>12</v>
      </c>
      <c r="P9" s="66" t="n">
        <f aca="false">SUMIFS($K:$K,$E:$E,"&gt;="&amp;DATE(2026,O9,1),$E:$E,"&lt;"&amp;DATE(2026,O9+1,1))</f>
        <v>0</v>
      </c>
      <c r="Q9" s="0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1763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1753</v>
      </c>
      <c r="K10" s="46" t="n">
        <v>374.01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1764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1753</v>
      </c>
      <c r="K11" s="46" t="n">
        <v>180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1765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1753</v>
      </c>
      <c r="K12" s="46" t="n">
        <v>570</v>
      </c>
      <c r="O12" s="1" t="s">
        <v>1766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1767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1753</v>
      </c>
      <c r="K13" s="46" t="n">
        <v>337.08</v>
      </c>
      <c r="O13" s="1" t="s">
        <v>1768</v>
      </c>
      <c r="P13" s="0" t="s">
        <v>1755</v>
      </c>
      <c r="Q13" s="0" t="s">
        <v>1756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1769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1753</v>
      </c>
      <c r="K14" s="46" t="n">
        <v>342.59</v>
      </c>
      <c r="O14" s="67" t="n">
        <v>46174</v>
      </c>
      <c r="P14" s="66" t="n">
        <f aca="false">SUMIFS($K:$K,$E:$E,O14)</f>
        <v>6182.02</v>
      </c>
      <c r="Q14" s="0" t="n">
        <f aca="false">COUNTIFS($E:$E,O14)</f>
        <v>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1758</v>
      </c>
      <c r="D15" s="1" t="s">
        <v>1759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1753</v>
      </c>
      <c r="K15" s="46" t="n">
        <v>130.5</v>
      </c>
      <c r="O15" s="67" t="n">
        <v>46175</v>
      </c>
      <c r="P15" s="66" t="n">
        <f aca="false">SUMIFS($K:$K,$E:$E,O15)</f>
        <v>5231.59</v>
      </c>
      <c r="Q15" s="0" t="n">
        <f aca="false">COUNTIFS($E:$E,O15)</f>
        <v>11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1770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1753</v>
      </c>
      <c r="K16" s="46" t="n">
        <v>140</v>
      </c>
      <c r="O16" s="67" t="n">
        <v>46176</v>
      </c>
      <c r="P16" s="66" t="n">
        <f aca="false">SUMIFS($K:$K,$E:$E,O16)</f>
        <v>4583.25</v>
      </c>
      <c r="Q16" s="0" t="n">
        <f aca="false">COUNTIFS($E:$E,O16)</f>
        <v>6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1771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1753</v>
      </c>
      <c r="K17" s="46" t="n">
        <v>195</v>
      </c>
      <c r="O17" s="67" t="n">
        <v>46177</v>
      </c>
      <c r="P17" s="66" t="n">
        <f aca="false">SUMIFS($K:$K,$E:$E,O17)</f>
        <v>2550.8</v>
      </c>
      <c r="Q17" s="0" t="n">
        <f aca="false">COUNTIFS($E:$E,O17)</f>
        <v>2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1771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1753</v>
      </c>
      <c r="K18" s="46" t="n">
        <v>1465.86</v>
      </c>
      <c r="O18" s="67" t="n">
        <v>46178</v>
      </c>
      <c r="P18" s="66" t="n">
        <f aca="false">SUMIFS($K:$K,$E:$E,O18)</f>
        <v>5859.98</v>
      </c>
      <c r="Q18" s="0" t="n">
        <f aca="false">COUNTIFS($E:$E,O18)</f>
        <v>13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1771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1753</v>
      </c>
      <c r="K19" s="46" t="n">
        <v>195</v>
      </c>
      <c r="O19" s="67" t="n">
        <v>46179</v>
      </c>
      <c r="P19" s="66" t="n">
        <f aca="false">SUMIFS($K:$K,$E:$E,O19)</f>
        <v>0</v>
      </c>
      <c r="Q19" s="0" t="n">
        <f aca="false">COUNTIFS($E:$E,O19)</f>
        <v>0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1771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1753</v>
      </c>
      <c r="K20" s="46" t="n">
        <v>1465.86</v>
      </c>
      <c r="O20" s="67" t="n">
        <v>46180</v>
      </c>
      <c r="P20" s="66" t="n">
        <f aca="false">SUMIFS($K:$K,$E:$E,O20)</f>
        <v>0</v>
      </c>
      <c r="Q20" s="0" t="n">
        <f aca="false">COUNTIFS($E:$E,O20)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1772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1753</v>
      </c>
      <c r="K21" s="46" t="n">
        <v>209.7</v>
      </c>
      <c r="O21" s="67" t="n">
        <v>46181</v>
      </c>
      <c r="P21" s="66" t="n">
        <f aca="false">SUMIFS($K:$K,$E:$E,O21)</f>
        <v>16305.14</v>
      </c>
      <c r="Q21" s="0" t="n">
        <f aca="false">COUNTIFS($E:$E,O21)</f>
        <v>18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1773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1753</v>
      </c>
      <c r="K22" s="46" t="n">
        <v>431.22</v>
      </c>
      <c r="O22" s="67" t="n">
        <v>46182</v>
      </c>
      <c r="P22" s="66" t="n">
        <f aca="false">SUMIFS($K:$K,$E:$E,O22)</f>
        <v>7762.03</v>
      </c>
      <c r="Q22" s="0" t="n">
        <f aca="false">COUNTIFS($E:$E,O22)</f>
        <v>8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1757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1753</v>
      </c>
      <c r="K23" s="46" t="n">
        <v>552.17</v>
      </c>
      <c r="O23" s="67" t="n">
        <v>46183</v>
      </c>
      <c r="P23" s="66" t="n">
        <f aca="false">SUMIFS($K:$K,$E:$E,O23)</f>
        <v>40343.17</v>
      </c>
      <c r="Q23" s="0" t="n">
        <f aca="false">COUNTIFS($E:$E,O23)</f>
        <v>22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1757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1753</v>
      </c>
      <c r="K24" s="46" t="n">
        <v>182.54</v>
      </c>
      <c r="O24" s="67" t="n">
        <v>46184</v>
      </c>
      <c r="P24" s="66" t="n">
        <f aca="false">SUMIFS($K:$K,$E:$E,O24)</f>
        <v>15020.9</v>
      </c>
      <c r="Q24" s="0" t="n">
        <f aca="false">COUNTIFS($E:$E,O24)</f>
        <v>10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1757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1753</v>
      </c>
      <c r="K25" s="46" t="n">
        <v>953.47</v>
      </c>
      <c r="O25" s="67" t="n">
        <v>46185</v>
      </c>
      <c r="P25" s="66" t="n">
        <f aca="false">SUMIFS($K:$K,$E:$E,O25)</f>
        <v>13241.82</v>
      </c>
      <c r="Q25" s="0" t="n">
        <f aca="false">COUNTIFS($E:$E,O25)</f>
        <v>17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1774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1753</v>
      </c>
      <c r="K26" s="46" t="n">
        <v>2264.85</v>
      </c>
      <c r="O26" s="67" t="n">
        <v>46186</v>
      </c>
      <c r="P26" s="66" t="n">
        <f aca="false">SUMIFS($K:$K,$E:$E,O26)</f>
        <v>10011.79</v>
      </c>
      <c r="Q26" s="0" t="n">
        <f aca="false">COUNTIFS($E:$E,O26)</f>
        <v>9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1775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1753</v>
      </c>
      <c r="K27" s="46" t="n">
        <v>199</v>
      </c>
      <c r="O27" s="67" t="n">
        <v>46187</v>
      </c>
      <c r="P27" s="66" t="n">
        <f aca="false">SUMIFS($K:$K,$E:$E,O27)</f>
        <v>0</v>
      </c>
      <c r="Q27" s="0" t="n">
        <f aca="false">COUNTIFS($E:$E,O27)</f>
        <v>0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1765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1753</v>
      </c>
      <c r="K28" s="46" t="n">
        <v>950</v>
      </c>
      <c r="O28" s="67" t="n">
        <v>46188</v>
      </c>
      <c r="P28" s="66" t="n">
        <f aca="false">SUMIFS($K:$K,$E:$E,O28)</f>
        <v>24005.35</v>
      </c>
      <c r="Q28" s="0" t="n">
        <f aca="false">COUNTIFS($E:$E,O28)</f>
        <v>16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1776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1753</v>
      </c>
      <c r="K29" s="46" t="n">
        <v>1600.8</v>
      </c>
      <c r="O29" s="67" t="n">
        <v>46189</v>
      </c>
      <c r="P29" s="66" t="n">
        <f aca="false">SUMIFS($K:$K,$E:$E,O29)</f>
        <v>19889.6</v>
      </c>
      <c r="Q29" s="0" t="n">
        <f aca="false">COUNTIFS($E:$E,O29)</f>
        <v>16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1777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1753</v>
      </c>
      <c r="K30" s="46" t="n">
        <v>618.56</v>
      </c>
      <c r="O30" s="67" t="n">
        <v>46190</v>
      </c>
      <c r="P30" s="66" t="n">
        <f aca="false">SUMIFS($K:$K,$E:$E,O30)</f>
        <v>10797.21</v>
      </c>
      <c r="Q30" s="0" t="n">
        <f aca="false">COUNTIFS($E:$E,O30)</f>
        <v>15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1758</v>
      </c>
      <c r="D31" s="1" t="s">
        <v>1759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1753</v>
      </c>
      <c r="K31" s="46" t="n">
        <v>133.5</v>
      </c>
      <c r="O31" s="67" t="n">
        <v>46191</v>
      </c>
      <c r="P31" s="66" t="n">
        <f aca="false">SUMIFS($K:$K,$E:$E,O31)</f>
        <v>25129.13</v>
      </c>
      <c r="Q31" s="0" t="n">
        <f aca="false">COUNTIFS($E:$E,O31)</f>
        <v>15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1758</v>
      </c>
      <c r="D32" s="1" t="s">
        <v>1759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1753</v>
      </c>
      <c r="K32" s="46" t="n">
        <v>90</v>
      </c>
      <c r="O32" s="67" t="n">
        <v>46192</v>
      </c>
      <c r="P32" s="66" t="n">
        <f aca="false">SUMIFS($K:$K,$E:$E,O32)</f>
        <v>0</v>
      </c>
      <c r="Q32" s="0" t="n">
        <f aca="false">COUNTIFS($E:$E,O32)</f>
        <v>0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1758</v>
      </c>
      <c r="D33" s="1" t="s">
        <v>1759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1753</v>
      </c>
      <c r="K33" s="46" t="n">
        <v>81.5</v>
      </c>
      <c r="O33" s="67" t="n">
        <v>46193</v>
      </c>
      <c r="P33" s="66" t="n">
        <f aca="false">SUMIFS($K:$K,$E:$E,O33)</f>
        <v>0</v>
      </c>
      <c r="Q33" s="0" t="n">
        <f aca="false">COUNTIFS($E:$E,O33)</f>
        <v>0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1778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1753</v>
      </c>
      <c r="K34" s="46" t="n">
        <v>1169.23</v>
      </c>
      <c r="O34" s="67" t="n">
        <v>46194</v>
      </c>
      <c r="P34" s="66" t="n">
        <f aca="false">SUMIFS($K:$K,$E:$E,O34)</f>
        <v>0</v>
      </c>
      <c r="Q34" s="0" t="n">
        <f aca="false">COUNTIFS($E:$E,O34)</f>
        <v>0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1779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1753</v>
      </c>
      <c r="K35" s="46" t="n">
        <v>161</v>
      </c>
      <c r="O35" s="67" t="n">
        <v>46195</v>
      </c>
      <c r="P35" s="66" t="n">
        <f aca="false">SUMIFS($K:$K,$E:$E,O35)</f>
        <v>32123.08</v>
      </c>
      <c r="Q35" s="0" t="n">
        <f aca="false">COUNTIFS($E:$E,O35)</f>
        <v>34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1770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1753</v>
      </c>
      <c r="K36" s="46" t="n">
        <v>140</v>
      </c>
      <c r="O36" s="67" t="n">
        <v>46196</v>
      </c>
      <c r="P36" s="66" t="n">
        <f aca="false">SUMIFS($K:$K,$E:$E,O36)</f>
        <v>9612.8</v>
      </c>
      <c r="Q36" s="0" t="n">
        <f aca="false">COUNTIFS($E:$E,O36)</f>
        <v>11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1771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1753</v>
      </c>
      <c r="K37" s="46" t="n">
        <v>1281.95</v>
      </c>
      <c r="O37" s="67" t="n">
        <v>46197</v>
      </c>
      <c r="P37" s="66" t="n">
        <f aca="false">SUMIFS($K:$K,$E:$E,O37)</f>
        <v>14742.48</v>
      </c>
      <c r="Q37" s="0" t="n">
        <f aca="false">COUNTIFS($E:$E,O37)</f>
        <v>13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1771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1753</v>
      </c>
      <c r="K38" s="46" t="n">
        <v>247</v>
      </c>
      <c r="O38" s="67" t="n">
        <v>46198</v>
      </c>
      <c r="P38" s="66" t="n">
        <f aca="false">SUMIFS($K:$K,$E:$E,O38)</f>
        <v>14617.92</v>
      </c>
      <c r="Q38" s="0" t="n">
        <f aca="false">COUNTIFS($E:$E,O38)</f>
        <v>11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1771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1753</v>
      </c>
      <c r="K39" s="46" t="n">
        <v>1281.95</v>
      </c>
      <c r="O39" s="67" t="n">
        <v>46199</v>
      </c>
      <c r="P39" s="66" t="n">
        <f aca="false">SUMIFS($K:$K,$E:$E,O39)</f>
        <v>11827.93</v>
      </c>
      <c r="Q39" s="0" t="n">
        <f aca="false">COUNTIFS($E:$E,O39)</f>
        <v>11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1771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1753</v>
      </c>
      <c r="K40" s="46" t="n">
        <v>247</v>
      </c>
      <c r="O40" s="67" t="n">
        <v>46200</v>
      </c>
      <c r="P40" s="66" t="n">
        <f aca="false">SUMIFS($K:$K,$E:$E,O40)</f>
        <v>21912.05</v>
      </c>
      <c r="Q40" s="0" t="n">
        <f aca="false">COUNTIFS($E:$E,O40)</f>
        <v>9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1772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1753</v>
      </c>
      <c r="K41" s="46" t="n">
        <v>126.04</v>
      </c>
      <c r="O41" s="67" t="n">
        <v>46201</v>
      </c>
      <c r="P41" s="66" t="n">
        <f aca="false">SUMIFS($K:$K,$E:$E,O41)</f>
        <v>0</v>
      </c>
      <c r="Q41" s="0" t="n">
        <f aca="false">COUNTIFS($E:$E,O41)</f>
        <v>0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1761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1753</v>
      </c>
      <c r="K42" s="46" t="n">
        <v>282.25</v>
      </c>
      <c r="O42" s="67" t="n">
        <v>46202</v>
      </c>
      <c r="P42" s="66" t="n">
        <f aca="false">SUMIFS($K:$K,$E:$E,O42)</f>
        <v>7674.91</v>
      </c>
      <c r="Q42" s="0" t="n">
        <f aca="false">COUNTIFS($E:$E,O42)</f>
        <v>10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1764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1753</v>
      </c>
      <c r="K43" s="46" t="n">
        <v>180</v>
      </c>
      <c r="O43" s="67" t="n">
        <v>46203</v>
      </c>
      <c r="P43" s="66" t="n">
        <f aca="false">SUMIFS($K:$K,$E:$E,O43)</f>
        <v>3929.72</v>
      </c>
      <c r="Q43" s="0" t="n">
        <f aca="false">COUNTIFS($E:$E,O43)</f>
        <v>5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1757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1753</v>
      </c>
      <c r="K44" s="46" t="n">
        <v>219.97</v>
      </c>
      <c r="O44" s="67" t="n">
        <v>46204</v>
      </c>
      <c r="P44" s="66" t="n">
        <f aca="false">SUMIFS($K:$K,$E:$E,O44)</f>
        <v>6612.76</v>
      </c>
      <c r="Q44" s="0" t="n">
        <f aca="false">COUNTIFS($E:$E,O44)</f>
        <v>8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1757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1753</v>
      </c>
      <c r="K45" s="46" t="n">
        <v>1134.74</v>
      </c>
      <c r="O45" s="67" t="n">
        <v>46205</v>
      </c>
      <c r="P45" s="66" t="n">
        <f aca="false">SUMIFS($K:$K,$E:$E,O45)</f>
        <v>12576.3</v>
      </c>
      <c r="Q45" s="0" t="n">
        <f aca="false">COUNTIFS($E:$E,O45)</f>
        <v>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1774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1753</v>
      </c>
      <c r="K46" s="46" t="n">
        <v>1068</v>
      </c>
      <c r="O46" s="67" t="n">
        <v>46206</v>
      </c>
      <c r="P46" s="66" t="n">
        <f aca="false">SUMIFS($K:$K,$E:$E,O46)</f>
        <v>14935.23</v>
      </c>
      <c r="Q46" s="0" t="n">
        <f aca="false">COUNTIFS($E:$E,O46)</f>
        <v>16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1769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1753</v>
      </c>
      <c r="K47" s="46" t="n">
        <v>333.54</v>
      </c>
      <c r="O47" s="67" t="n">
        <v>46207</v>
      </c>
      <c r="P47" s="66" t="n">
        <f aca="false">SUMIFS($K:$K,$E:$E,O47)</f>
        <v>6357.81</v>
      </c>
      <c r="Q47" s="0" t="n">
        <f aca="false">COUNTIFS($E:$E,O47)</f>
        <v>3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1758</v>
      </c>
      <c r="D48" s="1" t="s">
        <v>1759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1753</v>
      </c>
      <c r="K48" s="46" t="n">
        <v>232</v>
      </c>
      <c r="O48" s="67" t="n">
        <v>46208</v>
      </c>
      <c r="P48" s="66" t="n">
        <f aca="false">SUMIFS($K:$K,$E:$E,O48)</f>
        <v>0</v>
      </c>
      <c r="Q48" s="0" t="n">
        <f aca="false">COUNTIFS($E:$E,O48)</f>
        <v>0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1758</v>
      </c>
      <c r="D49" s="1" t="s">
        <v>1759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1753</v>
      </c>
      <c r="K49" s="46" t="n">
        <v>72</v>
      </c>
      <c r="O49" s="67" t="n">
        <v>46209</v>
      </c>
      <c r="P49" s="66" t="n">
        <f aca="false">SUMIFS($K:$K,$E:$E,O49)</f>
        <v>7839.85</v>
      </c>
      <c r="Q49" s="0" t="n">
        <f aca="false">COUNTIFS($E:$E,O49)</f>
        <v>10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1780</v>
      </c>
      <c r="E50" s="15" t="n">
        <v>46181</v>
      </c>
      <c r="F50" s="15" t="n">
        <v>46180</v>
      </c>
      <c r="G50" s="1" t="s">
        <v>1781</v>
      </c>
      <c r="H50" s="1" t="n">
        <v>1223267</v>
      </c>
      <c r="I50" s="1" t="n">
        <v>1</v>
      </c>
      <c r="J50" s="1" t="s">
        <v>1753</v>
      </c>
      <c r="K50" s="46" t="n">
        <v>688.3</v>
      </c>
      <c r="O50" s="67" t="n">
        <v>46210</v>
      </c>
      <c r="P50" s="66" t="n">
        <f aca="false">SUMIFS($K:$K,$E:$E,O50)</f>
        <v>7587.81</v>
      </c>
      <c r="Q50" s="0" t="n">
        <f aca="false">COUNTIFS($E:$E,O50)</f>
        <v>8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1782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1753</v>
      </c>
      <c r="K51" s="46" t="n">
        <v>1049.39</v>
      </c>
      <c r="O51" s="67" t="n">
        <v>46211</v>
      </c>
      <c r="P51" s="66" t="n">
        <f aca="false">SUMIFS($K:$K,$E:$E,O51)</f>
        <v>7425.47</v>
      </c>
      <c r="Q51" s="0" t="n">
        <f aca="false">COUNTIFS($E:$E,O51)</f>
        <v>15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1783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1753</v>
      </c>
      <c r="K52" s="46" t="n">
        <v>5728.5</v>
      </c>
      <c r="O52" s="67" t="n">
        <v>46212</v>
      </c>
      <c r="P52" s="66" t="n">
        <f aca="false">SUMIFS($K:$K,$E:$E,O52)</f>
        <v>12480.5</v>
      </c>
      <c r="Q52" s="0" t="n">
        <f aca="false">COUNTIFS($E:$E,O52)</f>
        <v>15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1770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1753</v>
      </c>
      <c r="K53" s="46" t="n">
        <v>140</v>
      </c>
      <c r="O53" s="67" t="n">
        <v>46213</v>
      </c>
      <c r="P53" s="66" t="n">
        <f aca="false">SUMIFS($K:$K,$E:$E,O53)</f>
        <v>12593.31</v>
      </c>
      <c r="Q53" s="0" t="n">
        <f aca="false">COUNTIFS($E:$E,O53)</f>
        <v>15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1771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1753</v>
      </c>
      <c r="K54" s="46" t="n">
        <v>180</v>
      </c>
      <c r="O54" s="67" t="n">
        <v>46214</v>
      </c>
      <c r="P54" s="66" t="n">
        <f aca="false">SUMIFS($K:$K,$E:$E,O54)</f>
        <v>11424.86</v>
      </c>
      <c r="Q54" s="0" t="n">
        <f aca="false">COUNTIFS($E:$E,O54)</f>
        <v>6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1771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1753</v>
      </c>
      <c r="K55" s="46" t="n">
        <v>195</v>
      </c>
      <c r="O55" s="67" t="n">
        <v>46215</v>
      </c>
      <c r="P55" s="66" t="n">
        <f aca="false">SUMIFS($K:$K,$E:$E,O55)</f>
        <v>0</v>
      </c>
      <c r="Q55" s="0" t="n">
        <f aca="false">COUNTIFS($E:$E,O55)</f>
        <v>0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1771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1753</v>
      </c>
      <c r="K56" s="46" t="n">
        <v>180</v>
      </c>
      <c r="O56" s="67" t="n">
        <v>46216</v>
      </c>
      <c r="P56" s="66" t="n">
        <f aca="false">SUMIFS($K:$K,$E:$E,O56)</f>
        <v>13125.05</v>
      </c>
      <c r="Q56" s="0" t="n">
        <f aca="false">COUNTIFS($E:$E,O56)</f>
        <v>11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1771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1753</v>
      </c>
      <c r="K57" s="46" t="n">
        <v>195</v>
      </c>
      <c r="O57" s="67" t="n">
        <v>46217</v>
      </c>
      <c r="P57" s="66" t="n">
        <f aca="false">SUMIFS($K:$K,$E:$E,O57)</f>
        <v>9198.35</v>
      </c>
      <c r="Q57" s="0" t="n">
        <f aca="false">COUNTIFS($E:$E,O57)</f>
        <v>12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1761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1753</v>
      </c>
      <c r="K58" s="46" t="n">
        <v>307.2</v>
      </c>
      <c r="O58" s="67" t="n">
        <v>46218</v>
      </c>
      <c r="P58" s="66" t="n">
        <f aca="false">SUMIFS($K:$K,$E:$E,O58)</f>
        <v>22984.58</v>
      </c>
      <c r="Q58" s="0" t="n">
        <f aca="false">COUNTIFS($E:$E,O58)</f>
        <v>11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1762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1753</v>
      </c>
      <c r="K59" s="46" t="n">
        <v>561.5</v>
      </c>
      <c r="O59" s="67" t="n">
        <v>46219</v>
      </c>
      <c r="P59" s="66" t="n">
        <f aca="false">SUMIFS($K:$K,$E:$E,O59)</f>
        <v>21979.66</v>
      </c>
      <c r="Q59" s="0" t="n">
        <f aca="false">COUNTIFS($E:$E,O59)</f>
        <v>12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1776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1753</v>
      </c>
      <c r="K60" s="46" t="n">
        <v>3840</v>
      </c>
      <c r="O60" s="67" t="n">
        <v>46220</v>
      </c>
      <c r="P60" s="66" t="n">
        <f aca="false">SUMIFS($K:$K,$E:$E,O60)</f>
        <v>13156.41</v>
      </c>
      <c r="Q60" s="0" t="n">
        <f aca="false">COUNTIFS($E:$E,O60)</f>
        <v>24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1764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1753</v>
      </c>
      <c r="K61" s="46" t="n">
        <v>180</v>
      </c>
      <c r="O61" s="67" t="n">
        <v>46221</v>
      </c>
      <c r="P61" s="66" t="n">
        <f aca="false">SUMIFS($K:$K,$E:$E,O61)</f>
        <v>4493.49</v>
      </c>
      <c r="Q61" s="0" t="n">
        <f aca="false">COUNTIFS($E:$E,O61)</f>
        <v>6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1784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1753</v>
      </c>
      <c r="K62" s="46" t="n">
        <v>909.57</v>
      </c>
      <c r="O62" s="67" t="n">
        <v>46222</v>
      </c>
      <c r="P62" s="66" t="n">
        <f aca="false">SUMIFS($K:$K,$E:$E,O62)</f>
        <v>0</v>
      </c>
      <c r="Q62" s="0" t="n">
        <f aca="false">COUNTIFS($E:$E,O62)</f>
        <v>0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1785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1753</v>
      </c>
      <c r="K63" s="46" t="n">
        <v>796.16</v>
      </c>
      <c r="O63" s="67" t="n">
        <v>46223</v>
      </c>
      <c r="P63" s="66" t="n">
        <f aca="false">SUMIFS($K:$K,$E:$E,O63)</f>
        <v>12284.34</v>
      </c>
      <c r="Q63" s="0" t="n">
        <f aca="false">COUNTIFS($E:$E,O63)</f>
        <v>14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1771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1753</v>
      </c>
      <c r="K64" s="46" t="n">
        <v>1926.18</v>
      </c>
      <c r="O64" s="67" t="n">
        <v>46224</v>
      </c>
      <c r="P64" s="66" t="n">
        <f aca="false">SUMIFS($K:$K,$E:$E,O64)</f>
        <v>3256.35</v>
      </c>
      <c r="Q64" s="0" t="n">
        <f aca="false">COUNTIFS($E:$E,O64)</f>
        <v>8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1771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1753</v>
      </c>
      <c r="K65" s="46" t="n">
        <v>1926.18</v>
      </c>
      <c r="O65" s="67" t="n">
        <v>46225</v>
      </c>
      <c r="P65" s="66" t="n">
        <f aca="false">SUMIFS($K:$K,$E:$E,O65)</f>
        <v>10284.26</v>
      </c>
      <c r="Q65" s="0" t="n">
        <f aca="false">COUNTIFS($E:$E,O65)</f>
        <v>11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1786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1753</v>
      </c>
      <c r="K66" s="46" t="n">
        <v>460</v>
      </c>
      <c r="O66" s="67" t="n">
        <v>46226</v>
      </c>
      <c r="P66" s="66" t="n">
        <f aca="false">SUMIFS($K:$K,$E:$E,O66)</f>
        <v>18216.08</v>
      </c>
      <c r="Q66" s="0" t="n">
        <f aca="false">COUNTIFS($E:$E,O66)</f>
        <v>10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1772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1753</v>
      </c>
      <c r="K67" s="46" t="n">
        <v>186.94</v>
      </c>
      <c r="O67" s="67" t="n">
        <v>46227</v>
      </c>
      <c r="P67" s="66" t="n">
        <f aca="false">SUMIFS($K:$K,$E:$E,O67)</f>
        <v>28411.93</v>
      </c>
      <c r="Q67" s="0" t="n">
        <f aca="false">COUNTIFS($E:$E,O67)</f>
        <v>12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1787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1753</v>
      </c>
      <c r="K68" s="46" t="n">
        <v>1377</v>
      </c>
      <c r="O68" s="67" t="n">
        <v>46228</v>
      </c>
      <c r="P68" s="66" t="n">
        <f aca="false">SUMIFS($K:$K,$E:$E,O68)</f>
        <v>2316.74</v>
      </c>
      <c r="Q68" s="0" t="n">
        <f aca="false">COUNTIFS($E:$E,O68)</f>
        <v>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1788</v>
      </c>
      <c r="E69" s="15" t="n">
        <v>46183</v>
      </c>
      <c r="F69" s="15" t="n">
        <v>46179</v>
      </c>
      <c r="G69" s="1" t="s">
        <v>1789</v>
      </c>
      <c r="H69" s="1" t="n">
        <v>1231085</v>
      </c>
      <c r="I69" s="1" t="n">
        <v>1</v>
      </c>
      <c r="J69" s="1" t="s">
        <v>1753</v>
      </c>
      <c r="K69" s="46" t="n">
        <v>190.5</v>
      </c>
      <c r="O69" s="67" t="n">
        <v>46229</v>
      </c>
      <c r="P69" s="66" t="n">
        <f aca="false">SUMIFS($K:$K,$E:$E,O69)</f>
        <v>0</v>
      </c>
      <c r="Q69" s="0" t="n">
        <f aca="false">COUNTIFS($E:$E,O69)</f>
        <v>0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1790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1753</v>
      </c>
      <c r="K70" s="46" t="n">
        <v>338</v>
      </c>
      <c r="O70" s="67" t="n">
        <v>46230</v>
      </c>
      <c r="P70" s="66" t="n">
        <f aca="false">SUMIFS($K:$K,$E:$E,O70)</f>
        <v>9947.56</v>
      </c>
      <c r="Q70" s="0" t="n">
        <f aca="false">COUNTIFS($E:$E,O70)</f>
        <v>12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1773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1753</v>
      </c>
      <c r="K71" s="46" t="n">
        <v>1927.2</v>
      </c>
      <c r="O71" s="67" t="n">
        <v>46231</v>
      </c>
      <c r="P71" s="66" t="n">
        <f aca="false">SUMIFS($K:$K,$E:$E,O71)</f>
        <v>3811.33</v>
      </c>
      <c r="Q71" s="0" t="n">
        <f aca="false">COUNTIFS($E:$E,O71)</f>
        <v>6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1791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1753</v>
      </c>
      <c r="K72" s="46" t="n">
        <v>715.2</v>
      </c>
      <c r="O72" s="67" t="n">
        <v>46232</v>
      </c>
      <c r="P72" s="66" t="n">
        <f aca="false">SUMIFS($K:$K,$E:$E,O72)</f>
        <v>1501.39</v>
      </c>
      <c r="Q72" s="0" t="n">
        <f aca="false">COUNTIFS($E:$E,O72)</f>
        <v>4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1758</v>
      </c>
      <c r="D73" s="1" t="s">
        <v>1759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1753</v>
      </c>
      <c r="K73" s="46" t="n">
        <v>171.5</v>
      </c>
      <c r="O73" s="67" t="n">
        <v>46233</v>
      </c>
      <c r="P73" s="66" t="n">
        <f aca="false">SUMIFS($K:$K,$E:$E,O73)</f>
        <v>8313.74</v>
      </c>
      <c r="Q73" s="0" t="n">
        <f aca="false">COUNTIFS($E:$E,O73)</f>
        <v>11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1792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1753</v>
      </c>
      <c r="K74" s="46" t="n">
        <v>1101.98</v>
      </c>
      <c r="O74" s="67" t="n">
        <v>46234</v>
      </c>
      <c r="P74" s="66" t="n">
        <f aca="false">SUMIFS($K:$K,$E:$E,O74)</f>
        <v>10199.62</v>
      </c>
      <c r="Q74" s="0" t="n">
        <f aca="false">COUNTIFS($E:$E,O74)</f>
        <v>14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1662</v>
      </c>
      <c r="D75" s="1" t="s">
        <v>1792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1753</v>
      </c>
      <c r="K75" s="46" t="n">
        <v>1844.15</v>
      </c>
      <c r="O75" s="67" t="n">
        <v>46235</v>
      </c>
      <c r="P75" s="66" t="n">
        <f aca="false">SUMIFS($K:$K,$E:$E,O75)</f>
        <v>4862.7</v>
      </c>
      <c r="Q75" s="0" t="n">
        <f aca="false">COUNTIFS($E:$E,O75)</f>
        <v>4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1782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1753</v>
      </c>
      <c r="K76" s="46" t="n">
        <v>1474.13</v>
      </c>
      <c r="O76" s="67" t="n">
        <v>46236</v>
      </c>
      <c r="P76" s="66" t="n">
        <f aca="false">SUMIFS($K:$K,$E:$E,O76)</f>
        <v>0</v>
      </c>
      <c r="Q76" s="0" t="n">
        <f aca="false">COUNTIFS($E:$E,O76)</f>
        <v>0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1793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1753</v>
      </c>
      <c r="K77" s="46" t="n">
        <v>250</v>
      </c>
      <c r="O77" s="67" t="n">
        <v>46237</v>
      </c>
      <c r="P77" s="66" t="n">
        <f aca="false">SUMIFS($K:$K,$E:$E,O77)</f>
        <v>10259.64</v>
      </c>
      <c r="Q77" s="0" t="n">
        <f aca="false">COUNTIFS($E:$E,O77)</f>
        <v>7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1794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1753</v>
      </c>
      <c r="K78" s="46" t="n">
        <v>160.32</v>
      </c>
      <c r="O78" s="67" t="n">
        <v>46238</v>
      </c>
      <c r="P78" s="66" t="n">
        <f aca="false">SUMIFS($K:$K,$E:$E,O78)</f>
        <v>2453.8</v>
      </c>
      <c r="Q78" s="0" t="n">
        <f aca="false">COUNTIFS($E:$E,O78)</f>
        <v>4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1770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1753</v>
      </c>
      <c r="K79" s="46" t="n">
        <v>200</v>
      </c>
      <c r="O79" s="67" t="n">
        <v>46239</v>
      </c>
      <c r="P79" s="66" t="n">
        <f aca="false">SUMIFS($K:$K,$E:$E,O79)</f>
        <v>10024.42</v>
      </c>
      <c r="Q79" s="0" t="n">
        <f aca="false">COUNTIFS($E:$E,O79)</f>
        <v>11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1795</v>
      </c>
      <c r="E80" s="15" t="n">
        <v>46183</v>
      </c>
      <c r="F80" s="15" t="n">
        <v>46182</v>
      </c>
      <c r="G80" s="1" t="s">
        <v>1796</v>
      </c>
      <c r="H80" s="1" t="n">
        <v>1232476</v>
      </c>
      <c r="I80" s="1" t="n">
        <v>1</v>
      </c>
      <c r="J80" s="1" t="s">
        <v>1753</v>
      </c>
      <c r="K80" s="46" t="n">
        <v>1837.1</v>
      </c>
      <c r="O80" s="67" t="n">
        <v>46240</v>
      </c>
      <c r="P80" s="66" t="n">
        <f aca="false">SUMIFS($K:$K,$E:$E,O80)</f>
        <v>4531.05</v>
      </c>
      <c r="Q80" s="0" t="n">
        <f aca="false">COUNTIFS($E:$E,O80)</f>
        <v>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1760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1753</v>
      </c>
      <c r="K81" s="46" t="n">
        <v>4433</v>
      </c>
      <c r="O81" s="67" t="n">
        <v>46241</v>
      </c>
      <c r="P81" s="66" t="n">
        <f aca="false">SUMIFS($K:$K,$E:$E,O81)</f>
        <v>22895.9</v>
      </c>
      <c r="Q81" s="0" t="n">
        <f aca="false">COUNTIFS($E:$E,O81)</f>
        <v>20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1771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1753</v>
      </c>
      <c r="K82" s="46" t="n">
        <v>1094</v>
      </c>
      <c r="O82" s="67" t="n">
        <v>46242</v>
      </c>
      <c r="P82" s="66" t="n">
        <f aca="false">SUMIFS($K:$K,$E:$E,O82)</f>
        <v>200</v>
      </c>
      <c r="Q82" s="0" t="n">
        <f aca="false">COUNTIFS($E:$E,O82)</f>
        <v>1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1771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1753</v>
      </c>
      <c r="K83" s="46" t="n">
        <v>600</v>
      </c>
      <c r="O83" s="67" t="n">
        <v>46243</v>
      </c>
      <c r="P83" s="66" t="n">
        <f aca="false">SUMIFS($K:$K,$E:$E,O83)</f>
        <v>0</v>
      </c>
      <c r="Q83" s="0" t="n">
        <f aca="false">COUNTIFS($E:$E,O83)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1771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1753</v>
      </c>
      <c r="K84" s="46" t="n">
        <v>1800</v>
      </c>
      <c r="O84" s="67" t="n">
        <v>46244</v>
      </c>
      <c r="P84" s="66" t="n">
        <f aca="false">SUMIFS($K:$K,$E:$E,O84)</f>
        <v>24821.28</v>
      </c>
      <c r="Q84" s="0" t="n">
        <f aca="false">COUNTIFS($E:$E,O84)</f>
        <v>12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1771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1753</v>
      </c>
      <c r="K85" s="46" t="n">
        <v>195</v>
      </c>
      <c r="O85" s="67" t="n">
        <v>46245</v>
      </c>
      <c r="P85" s="66" t="n">
        <f aca="false">SUMIFS($K:$K,$E:$E,O85)</f>
        <v>7097.31</v>
      </c>
      <c r="Q85" s="0" t="n">
        <f aca="false">COUNTIFS($E:$E,O85)</f>
        <v>7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1771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1753</v>
      </c>
      <c r="K86" s="46" t="n">
        <v>1094</v>
      </c>
      <c r="O86" s="67" t="n">
        <v>46246</v>
      </c>
      <c r="P86" s="66" t="n">
        <f aca="false">SUMIFS($K:$K,$E:$E,O86)</f>
        <v>6681.43</v>
      </c>
      <c r="Q86" s="0" t="n">
        <f aca="false">COUNTIFS($E:$E,O86)</f>
        <v>7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1771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1753</v>
      </c>
      <c r="K87" s="46" t="n">
        <v>195</v>
      </c>
      <c r="O87" s="67" t="n">
        <v>46247</v>
      </c>
      <c r="P87" s="66" t="n">
        <f aca="false">SUMIFS($K:$K,$E:$E,O87)</f>
        <v>14438.23</v>
      </c>
      <c r="Q87" s="0" t="n">
        <f aca="false">COUNTIFS($E:$E,O87)</f>
        <v>13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1771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1753</v>
      </c>
      <c r="K88" s="46" t="n">
        <v>600</v>
      </c>
      <c r="O88" s="67" t="n">
        <v>46248</v>
      </c>
      <c r="P88" s="66" t="n">
        <f aca="false">SUMIFS($K:$K,$E:$E,O88)</f>
        <v>21364.08</v>
      </c>
      <c r="Q88" s="0" t="n">
        <f aca="false">COUNTIFS($E:$E,O88)</f>
        <v>21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1771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1753</v>
      </c>
      <c r="K89" s="46" t="n">
        <v>1800</v>
      </c>
      <c r="O89" s="67" t="n">
        <v>46249</v>
      </c>
      <c r="P89" s="66" t="n">
        <f aca="false">SUMIFS($K:$K,$E:$E,O89)</f>
        <v>6897.82</v>
      </c>
      <c r="Q89" s="0" t="n">
        <f aca="false">COUNTIFS($E:$E,O89)</f>
        <v>6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1797</v>
      </c>
      <c r="D90" s="1" t="s">
        <v>1798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1753</v>
      </c>
      <c r="K90" s="46" t="n">
        <v>18322.09</v>
      </c>
      <c r="O90" s="67" t="n">
        <v>46250</v>
      </c>
      <c r="P90" s="66" t="n">
        <f aca="false">SUMIFS($K:$K,$E:$E,O90)</f>
        <v>0</v>
      </c>
      <c r="Q90" s="0" t="n">
        <f aca="false">COUNTIFS($E:$E,O90)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1799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1753</v>
      </c>
      <c r="K91" s="46" t="n">
        <v>3870.5</v>
      </c>
      <c r="O91" s="67" t="n">
        <v>46251</v>
      </c>
      <c r="P91" s="66" t="n">
        <f aca="false">SUMIFS($K:$K,$E:$E,O91)</f>
        <v>10979.73</v>
      </c>
      <c r="Q91" s="0" t="n">
        <f aca="false">COUNTIFS($E:$E,O91)</f>
        <v>11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1800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1753</v>
      </c>
      <c r="K92" s="46" t="n">
        <v>2512.45</v>
      </c>
      <c r="O92" s="67" t="n">
        <v>46252</v>
      </c>
      <c r="P92" s="66" t="n">
        <f aca="false">SUMIFS($K:$K,$E:$E,O92)</f>
        <v>17968.8</v>
      </c>
      <c r="Q92" s="0" t="n">
        <f aca="false">COUNTIFS($E:$E,O92)</f>
        <v>15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1801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1753</v>
      </c>
      <c r="K93" s="46" t="n">
        <v>433.35</v>
      </c>
      <c r="O93" s="67" t="n">
        <v>46253</v>
      </c>
      <c r="P93" s="66" t="n">
        <f aca="false">SUMIFS($K:$K,$E:$E,O93)</f>
        <v>10076.2</v>
      </c>
      <c r="Q93" s="0" t="n">
        <f aca="false">COUNTIFS($E:$E,O93)</f>
        <v>8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1801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1753</v>
      </c>
      <c r="K94" s="46" t="n">
        <v>1689.49</v>
      </c>
      <c r="O94" s="67" t="n">
        <v>46254</v>
      </c>
      <c r="P94" s="66" t="n">
        <f aca="false">SUMIFS($K:$K,$E:$E,O94)</f>
        <v>5891.3</v>
      </c>
      <c r="Q94" s="0" t="n">
        <f aca="false">COUNTIFS($E:$E,O94)</f>
        <v>6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1769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1753</v>
      </c>
      <c r="K95" s="46" t="n">
        <v>478.8</v>
      </c>
      <c r="O95" s="67" t="n">
        <v>46255</v>
      </c>
      <c r="P95" s="66" t="n">
        <f aca="false">SUMIFS($K:$K,$E:$E,O95)</f>
        <v>11092.41</v>
      </c>
      <c r="Q95" s="0" t="n">
        <f aca="false">COUNTIFS($E:$E,O95)</f>
        <v>11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1802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1753</v>
      </c>
      <c r="K96" s="46" t="n">
        <v>3312.16</v>
      </c>
      <c r="O96" s="67" t="n">
        <v>46256</v>
      </c>
      <c r="P96" s="66" t="n">
        <f aca="false">SUMIFS($K:$K,$E:$E,O96)</f>
        <v>22363.58</v>
      </c>
      <c r="Q96" s="0" t="n">
        <f aca="false">COUNTIFS($E:$E,O96)</f>
        <v>4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1803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1753</v>
      </c>
      <c r="K97" s="46" t="n">
        <v>345.7</v>
      </c>
      <c r="O97" s="67" t="n">
        <v>46257</v>
      </c>
      <c r="P97" s="66" t="n">
        <f aca="false">SUMIFS($K:$K,$E:$E,O97)</f>
        <v>0</v>
      </c>
      <c r="Q97" s="0" t="n">
        <f aca="false">COUNTIFS($E:$E,O97)</f>
        <v>0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1804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1753</v>
      </c>
      <c r="K98" s="46" t="n">
        <v>278</v>
      </c>
      <c r="O98" s="67" t="n">
        <v>46258</v>
      </c>
      <c r="P98" s="66" t="n">
        <f aca="false">SUMIFS($K:$K,$E:$E,O98)</f>
        <v>6013.64</v>
      </c>
      <c r="Q98" s="0" t="n">
        <f aca="false">COUNTIFS($E:$E,O98)</f>
        <v>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1805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1753</v>
      </c>
      <c r="K99" s="46" t="n">
        <v>734.33</v>
      </c>
      <c r="O99" s="67" t="n">
        <v>46259</v>
      </c>
      <c r="P99" s="66" t="n">
        <f aca="false">SUMIFS($K:$K,$E:$E,O99)</f>
        <v>15725.2</v>
      </c>
      <c r="Q99" s="0" t="n">
        <f aca="false">COUNTIFS($E:$E,O99)</f>
        <v>15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1806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1753</v>
      </c>
      <c r="K100" s="46" t="n">
        <v>1366.12</v>
      </c>
      <c r="O100" s="67" t="n">
        <v>46260</v>
      </c>
      <c r="P100" s="66" t="n">
        <f aca="false">SUMIFS($K:$K,$E:$E,O100)</f>
        <v>27548.31</v>
      </c>
      <c r="Q100" s="0" t="n">
        <f aca="false">COUNTIFS($E:$E,O100)</f>
        <v>13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1757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1753</v>
      </c>
      <c r="K101" s="46" t="n">
        <v>192.43</v>
      </c>
      <c r="O101" s="67" t="n">
        <v>46261</v>
      </c>
      <c r="P101" s="66" t="n">
        <f aca="false">SUMIFS($K:$K,$E:$E,O101)</f>
        <v>11063.74</v>
      </c>
      <c r="Q101" s="0" t="n">
        <f aca="false">COUNTIFS($E:$E,O101)</f>
        <v>13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1757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1753</v>
      </c>
      <c r="K102" s="46" t="n">
        <v>544.32</v>
      </c>
      <c r="O102" s="67" t="n">
        <v>46262</v>
      </c>
      <c r="P102" s="66" t="n">
        <f aca="false">SUMIFS($K:$K,$E:$E,O102)</f>
        <v>9682.11</v>
      </c>
      <c r="Q102" s="0" t="n">
        <f aca="false">COUNTIFS($E:$E,O102)</f>
        <v>8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1757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1753</v>
      </c>
      <c r="K103" s="46" t="n">
        <v>16.61</v>
      </c>
      <c r="O103" s="67" t="n">
        <v>46263</v>
      </c>
      <c r="P103" s="66" t="n">
        <f aca="false">SUMIFS($K:$K,$E:$E,O103)</f>
        <v>5740.07</v>
      </c>
      <c r="Q103" s="0" t="n">
        <f aca="false">COUNTIFS($E:$E,O103)</f>
        <v>6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1757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1753</v>
      </c>
      <c r="K104" s="46" t="n">
        <v>1081.08</v>
      </c>
      <c r="O104" s="67" t="n">
        <v>46264</v>
      </c>
      <c r="P104" s="66" t="n">
        <f aca="false">SUMIFS($K:$K,$E:$E,O104)</f>
        <v>0</v>
      </c>
      <c r="Q104" s="0" t="n">
        <f aca="false">COUNTIFS($E:$E,O104)</f>
        <v>0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1807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1753</v>
      </c>
      <c r="K105" s="46" t="n">
        <v>2208.28</v>
      </c>
      <c r="O105" s="67" t="n">
        <v>46265</v>
      </c>
      <c r="P105" s="66" t="n">
        <f aca="false">SUMIFS($K:$K,$E:$E,O105)</f>
        <v>10746.92</v>
      </c>
      <c r="Q105" s="0" t="n">
        <f aca="false">COUNTIFS($E:$E,O105)</f>
        <v>14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1767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1753</v>
      </c>
      <c r="K106" s="46" t="n">
        <v>440.45</v>
      </c>
      <c r="O106" s="67" t="n">
        <v>46266</v>
      </c>
      <c r="P106" s="66" t="n">
        <f aca="false">SUMIFS($K:$K,$E:$E,O106)</f>
        <v>8548.48</v>
      </c>
      <c r="Q106" s="0" t="n">
        <f aca="false">COUNTIFS($E:$E,O106)</f>
        <v>7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1769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1753</v>
      </c>
      <c r="K107" s="46" t="n">
        <v>767.16</v>
      </c>
      <c r="O107" s="67" t="n">
        <v>46267</v>
      </c>
      <c r="P107" s="66" t="n">
        <f aca="false">SUMIFS($K:$K,$E:$E,O107)</f>
        <v>5340.22</v>
      </c>
      <c r="Q107" s="0" t="n">
        <f aca="false">COUNTIFS($E:$E,O107)</f>
        <v>4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1808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1753</v>
      </c>
      <c r="K108" s="46" t="n">
        <v>1150.4</v>
      </c>
      <c r="O108" s="67" t="n">
        <v>46268</v>
      </c>
      <c r="P108" s="66" t="n">
        <f aca="false">SUMIFS($K:$K,$E:$E,O108)</f>
        <v>11768.86</v>
      </c>
      <c r="Q108" s="0" t="n">
        <f aca="false">COUNTIFS($E:$E,O108)</f>
        <v>9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1809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1753</v>
      </c>
      <c r="K109" s="46" t="n">
        <v>1727.71</v>
      </c>
      <c r="O109" s="67" t="n">
        <v>46269</v>
      </c>
      <c r="P109" s="66" t="n">
        <f aca="false">SUMIFS($K:$K,$E:$E,O109)</f>
        <v>16676.6</v>
      </c>
      <c r="Q109" s="0" t="n">
        <f aca="false">COUNTIFS($E:$E,O109)</f>
        <v>13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1775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1753</v>
      </c>
      <c r="K110" s="46" t="n">
        <v>231.5</v>
      </c>
      <c r="O110" s="67" t="n">
        <v>46270</v>
      </c>
      <c r="P110" s="66" t="n">
        <f aca="false">SUMIFS($K:$K,$E:$E,O110)</f>
        <v>0</v>
      </c>
      <c r="Q110" s="0" t="n">
        <f aca="false">COUNTIFS($E:$E,O110)</f>
        <v>0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1771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1753</v>
      </c>
      <c r="K111" s="46" t="n">
        <v>260</v>
      </c>
      <c r="O111" s="67" t="n">
        <v>46271</v>
      </c>
      <c r="P111" s="66" t="n">
        <f aca="false">SUMIFS($K:$K,$E:$E,O111)</f>
        <v>0</v>
      </c>
      <c r="Q111" s="0" t="n">
        <f aca="false">COUNTIFS($E:$E,O111)</f>
        <v>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1771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1753</v>
      </c>
      <c r="K112" s="46" t="n">
        <v>1323.79</v>
      </c>
      <c r="O112" s="67" t="n">
        <v>46272</v>
      </c>
      <c r="P112" s="66" t="n">
        <f aca="false">SUMIFS($K:$K,$E:$E,O112)</f>
        <v>0</v>
      </c>
      <c r="Q112" s="0" t="n">
        <f aca="false">COUNTIFS($E:$E,O112)</f>
        <v>0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1771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1753</v>
      </c>
      <c r="K113" s="46" t="n">
        <v>260</v>
      </c>
      <c r="O113" s="67" t="n">
        <v>46273</v>
      </c>
      <c r="P113" s="66" t="n">
        <f aca="false">SUMIFS($K:$K,$E:$E,O113)</f>
        <v>0</v>
      </c>
      <c r="Q113" s="0" t="n">
        <f aca="false">COUNTIFS($E:$E,O113)</f>
        <v>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1771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1753</v>
      </c>
      <c r="K114" s="46" t="n">
        <v>1323.79</v>
      </c>
      <c r="O114" s="67" t="n">
        <v>46274</v>
      </c>
      <c r="P114" s="66" t="n">
        <f aca="false">SUMIFS($K:$K,$E:$E,O114)</f>
        <v>0</v>
      </c>
      <c r="Q114" s="0" t="n">
        <f aca="false">COUNTIFS($E:$E,O114)</f>
        <v>0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1772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1753</v>
      </c>
      <c r="K115" s="46" t="n">
        <v>184.96</v>
      </c>
      <c r="O115" s="67" t="n">
        <v>46275</v>
      </c>
      <c r="P115" s="66" t="n">
        <f aca="false">SUMIFS($K:$K,$E:$E,O115)</f>
        <v>0</v>
      </c>
      <c r="Q115" s="0" t="n">
        <f aca="false">COUNTIFS($E:$E,O115)</f>
        <v>0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1810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1753</v>
      </c>
      <c r="K116" s="46" t="n">
        <v>1149.74</v>
      </c>
      <c r="O116" s="67" t="n">
        <v>46276</v>
      </c>
      <c r="P116" s="66" t="n">
        <f aca="false">SUMIFS($K:$K,$E:$E,O116)</f>
        <v>0</v>
      </c>
      <c r="Q116" s="0" t="n">
        <f aca="false">COUNTIFS($E:$E,O116)</f>
        <v>0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1761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1753</v>
      </c>
      <c r="K117" s="46" t="n">
        <v>379.6</v>
      </c>
      <c r="O117" s="67" t="n">
        <v>46277</v>
      </c>
      <c r="P117" s="66" t="n">
        <f aca="false">SUMIFS($K:$K,$E:$E,O117)</f>
        <v>0</v>
      </c>
      <c r="Q117" s="0" t="n">
        <f aca="false">COUNTIFS($E:$E,O117)</f>
        <v>0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1764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1753</v>
      </c>
      <c r="K118" s="46" t="n">
        <v>180</v>
      </c>
      <c r="O118" s="67" t="n">
        <v>46278</v>
      </c>
      <c r="P118" s="66" t="n">
        <f aca="false">SUMIFS($K:$K,$E:$E,O118)</f>
        <v>0</v>
      </c>
      <c r="Q118" s="0" t="n">
        <f aca="false">COUNTIFS($E:$E,O118)</f>
        <v>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1765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1753</v>
      </c>
      <c r="K119" s="46" t="n">
        <v>950</v>
      </c>
      <c r="O119" s="67" t="n">
        <v>46279</v>
      </c>
      <c r="P119" s="66" t="n">
        <f aca="false">SUMIFS($K:$K,$E:$E,O119)</f>
        <v>0</v>
      </c>
      <c r="Q119" s="0" t="n">
        <f aca="false">COUNTIFS($E:$E,O119)</f>
        <v>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1802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1753</v>
      </c>
      <c r="K120" s="46" t="n">
        <v>892.08</v>
      </c>
      <c r="O120" s="67" t="n">
        <v>46280</v>
      </c>
      <c r="P120" s="66" t="n">
        <f aca="false">SUMIFS($K:$K,$E:$E,O120)</f>
        <v>0</v>
      </c>
      <c r="Q120" s="0" t="n">
        <f aca="false">COUNTIFS($E:$E,O120)</f>
        <v>0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1758</v>
      </c>
      <c r="D121" s="1" t="s">
        <v>1759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1753</v>
      </c>
      <c r="K121" s="46" t="n">
        <v>64</v>
      </c>
      <c r="O121" s="67" t="n">
        <v>46281</v>
      </c>
      <c r="P121" s="66" t="n">
        <f aca="false">SUMIFS($K:$K,$E:$E,O121)</f>
        <v>0</v>
      </c>
      <c r="Q121" s="0" t="n">
        <f aca="false">COUNTIFS($E:$E,O121)</f>
        <v>0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1811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1753</v>
      </c>
      <c r="K122" s="46" t="n">
        <v>246.96</v>
      </c>
      <c r="O122" s="67" t="n">
        <v>46282</v>
      </c>
      <c r="P122" s="66" t="n">
        <f aca="false">SUMIFS($K:$K,$E:$E,O122)</f>
        <v>0</v>
      </c>
      <c r="Q122" s="0" t="n">
        <f aca="false">COUNTIFS($E:$E,O122)</f>
        <v>0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1812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1753</v>
      </c>
      <c r="K123" s="46" t="n">
        <v>2215.88</v>
      </c>
      <c r="O123" s="67" t="n">
        <v>46283</v>
      </c>
      <c r="P123" s="66" t="n">
        <f aca="false">SUMIFS($K:$K,$E:$E,O123)</f>
        <v>0</v>
      </c>
      <c r="Q123" s="0" t="n">
        <f aca="false">COUNTIFS($E:$E,O123)</f>
        <v>0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1813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1753</v>
      </c>
      <c r="K124" s="46" t="n">
        <v>1783.9</v>
      </c>
      <c r="O124" s="67" t="n">
        <v>46284</v>
      </c>
      <c r="P124" s="66" t="n">
        <f aca="false">SUMIFS($K:$K,$E:$E,O124)</f>
        <v>0</v>
      </c>
      <c r="Q124" s="0" t="n">
        <f aca="false">COUNTIFS($E:$E,O124)</f>
        <v>0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1814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1753</v>
      </c>
      <c r="K125" s="46" t="n">
        <v>540.3</v>
      </c>
      <c r="O125" s="67" t="n">
        <v>46285</v>
      </c>
      <c r="P125" s="66" t="n">
        <f aca="false">SUMIFS($K:$K,$E:$E,O125)</f>
        <v>0</v>
      </c>
      <c r="Q125" s="0" t="n">
        <f aca="false">COUNTIFS($E:$E,O125)</f>
        <v>0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1797</v>
      </c>
      <c r="D126" s="1" t="s">
        <v>1798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1753</v>
      </c>
      <c r="K126" s="46" t="n">
        <v>3138.67</v>
      </c>
      <c r="O126" s="67" t="n">
        <v>46286</v>
      </c>
      <c r="P126" s="66" t="n">
        <f aca="false">SUMIFS($K:$K,$E:$E,O126)</f>
        <v>0</v>
      </c>
      <c r="Q126" s="0" t="n">
        <f aca="false">COUNTIFS($E:$E,O126)</f>
        <v>0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1815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1753</v>
      </c>
      <c r="K127" s="46" t="n">
        <v>2373.94</v>
      </c>
      <c r="O127" s="67" t="n">
        <v>46287</v>
      </c>
      <c r="P127" s="66" t="n">
        <f aca="false">SUMIFS($K:$K,$E:$E,O127)</f>
        <v>0</v>
      </c>
      <c r="Q127" s="0" t="n">
        <f aca="false">COUNTIFS($E:$E,O127)</f>
        <v>0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1815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1753</v>
      </c>
      <c r="K128" s="46" t="n">
        <v>1767.24</v>
      </c>
      <c r="O128" s="67" t="n">
        <v>46288</v>
      </c>
      <c r="P128" s="66" t="n">
        <f aca="false">SUMIFS($K:$K,$E:$E,O128)</f>
        <v>0</v>
      </c>
      <c r="Q128" s="0" t="n">
        <f aca="false">COUNTIFS($E:$E,O128)</f>
        <v>0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1774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1753</v>
      </c>
      <c r="K129" s="46" t="n">
        <v>4757.6</v>
      </c>
      <c r="O129" s="67" t="n">
        <v>46289</v>
      </c>
      <c r="P129" s="66" t="n">
        <f aca="false">SUMIFS($K:$K,$E:$E,O129)</f>
        <v>0</v>
      </c>
      <c r="Q129" s="0" t="n">
        <f aca="false">COUNTIFS($E:$E,O129)</f>
        <v>0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1816</v>
      </c>
      <c r="D130" s="1" t="s">
        <v>1817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1753</v>
      </c>
      <c r="K130" s="46" t="n">
        <v>4705.7</v>
      </c>
      <c r="O130" s="67" t="n">
        <v>46290</v>
      </c>
      <c r="P130" s="66" t="n">
        <f aca="false">SUMIFS($K:$K,$E:$E,O130)</f>
        <v>0</v>
      </c>
      <c r="Q130" s="0" t="n">
        <f aca="false">COUNTIFS($E:$E,O130)</f>
        <v>0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1818</v>
      </c>
      <c r="E131" s="15" t="n">
        <v>46188</v>
      </c>
      <c r="F131" s="15" t="n">
        <v>46178</v>
      </c>
      <c r="G131" s="1" t="s">
        <v>1819</v>
      </c>
      <c r="H131" s="1" t="n">
        <v>1255758</v>
      </c>
      <c r="I131" s="1" t="n">
        <v>11</v>
      </c>
      <c r="J131" s="1" t="s">
        <v>1753</v>
      </c>
      <c r="K131" s="46" t="n">
        <v>503</v>
      </c>
      <c r="O131" s="67" t="n">
        <v>46291</v>
      </c>
      <c r="P131" s="66" t="n">
        <f aca="false">SUMIFS($K:$K,$E:$E,O131)</f>
        <v>0</v>
      </c>
      <c r="Q131" s="0" t="n">
        <f aca="false">COUNTIFS($E:$E,O131)</f>
        <v>0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1758</v>
      </c>
      <c r="D132" s="1" t="s">
        <v>1759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1753</v>
      </c>
      <c r="K132" s="46" t="n">
        <v>161</v>
      </c>
      <c r="O132" s="67" t="n">
        <v>46292</v>
      </c>
      <c r="P132" s="66" t="n">
        <f aca="false">SUMIFS($K:$K,$E:$E,O132)</f>
        <v>0</v>
      </c>
      <c r="Q132" s="0" t="n">
        <f aca="false">COUNTIFS($E:$E,O132)</f>
        <v>0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1758</v>
      </c>
      <c r="D133" s="1" t="s">
        <v>1759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1753</v>
      </c>
      <c r="K133" s="46" t="n">
        <v>86</v>
      </c>
      <c r="O133" s="67" t="n">
        <v>46293</v>
      </c>
      <c r="P133" s="66" t="n">
        <f aca="false">SUMIFS($K:$K,$E:$E,O133)</f>
        <v>0</v>
      </c>
      <c r="Q133" s="0" t="n">
        <f aca="false">COUNTIFS($E:$E,O133)</f>
        <v>0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1820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1753</v>
      </c>
      <c r="K134" s="46" t="n">
        <v>1195</v>
      </c>
      <c r="O134" s="67" t="n">
        <v>46294</v>
      </c>
      <c r="P134" s="66" t="n">
        <f aca="false">SUMIFS($K:$K,$E:$E,O134)</f>
        <v>0</v>
      </c>
      <c r="Q134" s="0" t="n">
        <f aca="false">COUNTIFS($E:$E,O134)</f>
        <v>0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1821</v>
      </c>
      <c r="D135" s="1" t="s">
        <v>1822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1753</v>
      </c>
      <c r="K135" s="46" t="n">
        <v>1839.99</v>
      </c>
      <c r="O135" s="67" t="n">
        <v>46295</v>
      </c>
      <c r="P135" s="66" t="n">
        <f aca="false">SUMIFS($K:$K,$E:$E,O135)</f>
        <v>0</v>
      </c>
      <c r="Q135" s="0" t="n">
        <f aca="false">COUNTIFS($E:$E,O135)</f>
        <v>0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1812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1753</v>
      </c>
      <c r="K136" s="46" t="n">
        <v>33.84</v>
      </c>
      <c r="O136" s="67" t="n">
        <v>46296</v>
      </c>
      <c r="P136" s="66" t="n">
        <f aca="false">SUMIFS($K:$K,$E:$E,O136)</f>
        <v>0</v>
      </c>
      <c r="Q136" s="0" t="n">
        <f aca="false">COUNTIFS($E:$E,O136)</f>
        <v>0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1812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1753</v>
      </c>
      <c r="K137" s="46" t="n">
        <v>98.61</v>
      </c>
      <c r="O137" s="67" t="n">
        <v>46297</v>
      </c>
      <c r="P137" s="66" t="n">
        <f aca="false">SUMIFS($K:$K,$E:$E,O137)</f>
        <v>0</v>
      </c>
      <c r="Q137" s="0" t="n">
        <f aca="false">COUNTIFS($E:$E,O137)</f>
        <v>0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1812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1753</v>
      </c>
      <c r="K138" s="46" t="n">
        <v>4498.56</v>
      </c>
      <c r="O138" s="67" t="n">
        <v>46298</v>
      </c>
      <c r="P138" s="66" t="n">
        <f aca="false">SUMIFS($K:$K,$E:$E,O138)</f>
        <v>0</v>
      </c>
      <c r="Q138" s="0" t="n">
        <f aca="false">COUNTIFS($E:$E,O138)</f>
        <v>0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1812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1753</v>
      </c>
      <c r="K139" s="46" t="n">
        <v>1537.8</v>
      </c>
      <c r="O139" s="67" t="n">
        <v>46299</v>
      </c>
      <c r="P139" s="66" t="n">
        <f aca="false">SUMIFS($K:$K,$E:$E,O139)</f>
        <v>0</v>
      </c>
      <c r="Q139" s="0" t="n">
        <f aca="false">COUNTIFS($E:$E,O139)</f>
        <v>0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1812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1753</v>
      </c>
      <c r="K140" s="46" t="n">
        <v>27.07</v>
      </c>
      <c r="O140" s="67" t="n">
        <v>46300</v>
      </c>
      <c r="P140" s="66" t="n">
        <f aca="false">SUMIFS($K:$K,$E:$E,O140)</f>
        <v>0</v>
      </c>
      <c r="Q140" s="0" t="n">
        <f aca="false">COUNTIFS($E:$E,O140)</f>
        <v>0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1771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1753</v>
      </c>
      <c r="K141" s="46" t="n">
        <v>210</v>
      </c>
      <c r="O141" s="67" t="n">
        <v>46301</v>
      </c>
      <c r="P141" s="66" t="n">
        <f aca="false">SUMIFS($K:$K,$E:$E,O141)</f>
        <v>0</v>
      </c>
      <c r="Q141" s="0" t="n">
        <f aca="false">COUNTIFS($E:$E,O141)</f>
        <v>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1771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1753</v>
      </c>
      <c r="K142" s="46" t="n">
        <v>210</v>
      </c>
      <c r="O142" s="67" t="n">
        <v>46302</v>
      </c>
      <c r="P142" s="66" t="n">
        <f aca="false">SUMIFS($K:$K,$E:$E,O142)</f>
        <v>0</v>
      </c>
      <c r="Q142" s="0" t="n">
        <f aca="false">COUNTIFS($E:$E,O142)</f>
        <v>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1757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1753</v>
      </c>
      <c r="K143" s="46" t="n">
        <v>1009.81</v>
      </c>
      <c r="O143" s="67" t="n">
        <v>46303</v>
      </c>
      <c r="P143" s="66" t="n">
        <f aca="false">SUMIFS($K:$K,$E:$E,O143)</f>
        <v>0</v>
      </c>
      <c r="Q143" s="0" t="n">
        <f aca="false">COUNTIFS($E:$E,O143)</f>
        <v>0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1757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1753</v>
      </c>
      <c r="K144" s="46" t="n">
        <v>203.42</v>
      </c>
      <c r="O144" s="67" t="n">
        <v>46304</v>
      </c>
      <c r="P144" s="66" t="n">
        <f aca="false">SUMIFS($K:$K,$E:$E,O144)</f>
        <v>0</v>
      </c>
      <c r="Q144" s="0" t="n">
        <f aca="false">COUNTIFS($E:$E,O144)</f>
        <v>0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1757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1753</v>
      </c>
      <c r="K145" s="46" t="n">
        <v>639.86</v>
      </c>
      <c r="O145" s="67" t="n">
        <v>46305</v>
      </c>
      <c r="P145" s="66" t="n">
        <f aca="false">SUMIFS($K:$K,$E:$E,O145)</f>
        <v>0</v>
      </c>
      <c r="Q145" s="0" t="n">
        <f aca="false">COUNTIFS($E:$E,O145)</f>
        <v>0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1757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1753</v>
      </c>
      <c r="K146" s="46" t="n">
        <v>2177.76</v>
      </c>
      <c r="O146" s="67" t="n">
        <v>46306</v>
      </c>
      <c r="P146" s="66" t="n">
        <f aca="false">SUMIFS($K:$K,$E:$E,O146)</f>
        <v>0</v>
      </c>
      <c r="Q146" s="0" t="n">
        <f aca="false">COUNTIFS($E:$E,O146)</f>
        <v>0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1823</v>
      </c>
      <c r="E147" s="15" t="n">
        <v>46189</v>
      </c>
      <c r="F147" s="15" t="n">
        <v>46136</v>
      </c>
      <c r="G147" s="1" t="s">
        <v>1824</v>
      </c>
      <c r="H147" s="1" t="n">
        <v>1261713</v>
      </c>
      <c r="I147" s="1" t="n">
        <v>11</v>
      </c>
      <c r="J147" s="1" t="s">
        <v>1753</v>
      </c>
      <c r="K147" s="46" t="n">
        <v>390</v>
      </c>
      <c r="O147" s="67" t="n">
        <v>46307</v>
      </c>
      <c r="P147" s="66" t="n">
        <f aca="false">SUMIFS($K:$K,$E:$E,O147)</f>
        <v>0</v>
      </c>
      <c r="Q147" s="0" t="n">
        <f aca="false">COUNTIFS($E:$E,O147)</f>
        <v>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1802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1753</v>
      </c>
      <c r="K148" s="46" t="n">
        <v>14.13</v>
      </c>
      <c r="O148" s="67" t="n">
        <v>46308</v>
      </c>
      <c r="P148" s="66" t="n">
        <f aca="false">SUMIFS($K:$K,$E:$E,O148)</f>
        <v>0</v>
      </c>
      <c r="Q148" s="0" t="n">
        <f aca="false">COUNTIFS($E:$E,O148)</f>
        <v>0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1802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1753</v>
      </c>
      <c r="K149" s="46" t="n">
        <v>1923.44</v>
      </c>
      <c r="O149" s="67" t="n">
        <v>46309</v>
      </c>
      <c r="P149" s="66" t="n">
        <f aca="false">SUMIFS($K:$K,$E:$E,O149)</f>
        <v>0</v>
      </c>
      <c r="Q149" s="0" t="n">
        <f aca="false">COUNTIFS($E:$E,O149)</f>
        <v>0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1825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1753</v>
      </c>
      <c r="K150" s="46" t="n">
        <v>6357.12</v>
      </c>
      <c r="O150" s="67" t="n">
        <v>46310</v>
      </c>
      <c r="P150" s="66" t="n">
        <f aca="false">SUMIFS($K:$K,$E:$E,O150)</f>
        <v>0</v>
      </c>
      <c r="Q150" s="0" t="n">
        <f aca="false">COUNTIFS($E:$E,O150)</f>
        <v>0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1826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1753</v>
      </c>
      <c r="K151" s="46" t="n">
        <v>720.48</v>
      </c>
      <c r="O151" s="67" t="n">
        <v>46311</v>
      </c>
      <c r="P151" s="66" t="n">
        <f aca="false">SUMIFS($K:$K,$E:$E,O151)</f>
        <v>0</v>
      </c>
      <c r="Q151" s="0" t="n">
        <f aca="false">COUNTIFS($E:$E,O151)</f>
        <v>0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1771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1753</v>
      </c>
      <c r="K152" s="46" t="n">
        <v>1513.16</v>
      </c>
      <c r="O152" s="67" t="n">
        <v>46312</v>
      </c>
      <c r="P152" s="66" t="n">
        <f aca="false">SUMIFS($K:$K,$E:$E,O152)</f>
        <v>0</v>
      </c>
      <c r="Q152" s="0" t="n">
        <f aca="false">COUNTIFS($E:$E,O152)</f>
        <v>0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1771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1753</v>
      </c>
      <c r="K153" s="46" t="n">
        <v>1513.16</v>
      </c>
      <c r="O153" s="67" t="n">
        <v>46313</v>
      </c>
      <c r="P153" s="66" t="n">
        <f aca="false">SUMIFS($K:$K,$E:$E,O153)</f>
        <v>0</v>
      </c>
      <c r="Q153" s="0" t="n">
        <f aca="false">COUNTIFS($E:$E,O153)</f>
        <v>0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1772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1753</v>
      </c>
      <c r="K154" s="46" t="n">
        <v>185.2</v>
      </c>
      <c r="O154" s="67" t="n">
        <v>46314</v>
      </c>
      <c r="P154" s="66" t="n">
        <f aca="false">SUMIFS($K:$K,$E:$E,O154)</f>
        <v>0</v>
      </c>
      <c r="Q154" s="0" t="n">
        <f aca="false">COUNTIFS($E:$E,O154)</f>
        <v>0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1827</v>
      </c>
      <c r="E155" s="15" t="n">
        <v>46189</v>
      </c>
      <c r="F155" s="15" t="n">
        <v>46139</v>
      </c>
      <c r="G155" s="1" t="s">
        <v>1828</v>
      </c>
      <c r="H155" s="1" t="n">
        <v>1261588</v>
      </c>
      <c r="I155" s="1" t="n">
        <v>39</v>
      </c>
      <c r="J155" s="1" t="s">
        <v>1753</v>
      </c>
      <c r="K155" s="46" t="n">
        <v>545</v>
      </c>
      <c r="O155" s="67" t="n">
        <v>46315</v>
      </c>
      <c r="P155" s="66" t="n">
        <f aca="false">SUMIFS($K:$K,$E:$E,O155)</f>
        <v>0</v>
      </c>
      <c r="Q155" s="0" t="n">
        <f aca="false">COUNTIFS($E:$E,O155)</f>
        <v>0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1829</v>
      </c>
      <c r="E156" s="15" t="n">
        <v>46189</v>
      </c>
      <c r="F156" s="15" t="n">
        <v>46142</v>
      </c>
      <c r="G156" s="1" t="s">
        <v>1830</v>
      </c>
      <c r="H156" s="1" t="n">
        <v>1261842</v>
      </c>
      <c r="I156" s="1" t="n">
        <v>39</v>
      </c>
      <c r="J156" s="1" t="s">
        <v>1753</v>
      </c>
      <c r="K156" s="46" t="n">
        <v>13.1</v>
      </c>
      <c r="O156" s="67" t="n">
        <v>46316</v>
      </c>
      <c r="P156" s="66" t="n">
        <f aca="false">SUMIFS($K:$K,$E:$E,O156)</f>
        <v>0</v>
      </c>
      <c r="Q156" s="0" t="n">
        <f aca="false">COUNTIFS($E:$E,O156)</f>
        <v>0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1831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1753</v>
      </c>
      <c r="K157" s="46" t="n">
        <v>2201.6</v>
      </c>
      <c r="O157" s="67" t="n">
        <v>46317</v>
      </c>
      <c r="P157" s="66" t="n">
        <f aca="false">SUMIFS($K:$K,$E:$E,O157)</f>
        <v>0</v>
      </c>
      <c r="Q157" s="0" t="n">
        <f aca="false">COUNTIFS($E:$E,O157)</f>
        <v>0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1832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1753</v>
      </c>
      <c r="K158" s="46" t="n">
        <v>482.36</v>
      </c>
      <c r="O158" s="67" t="n">
        <v>46318</v>
      </c>
      <c r="P158" s="66" t="n">
        <f aca="false">SUMIFS($K:$K,$E:$E,O158)</f>
        <v>0</v>
      </c>
      <c r="Q158" s="0" t="n">
        <f aca="false">COUNTIFS($E:$E,O158)</f>
        <v>0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1765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1753</v>
      </c>
      <c r="K159" s="46" t="n">
        <v>925</v>
      </c>
      <c r="O159" s="67" t="n">
        <v>46319</v>
      </c>
      <c r="P159" s="66" t="n">
        <f aca="false">SUMIFS($K:$K,$E:$E,O159)</f>
        <v>0</v>
      </c>
      <c r="Q159" s="0" t="n">
        <f aca="false">COUNTIFS($E:$E,O159)</f>
        <v>0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1773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1753</v>
      </c>
      <c r="K160" s="46" t="n">
        <v>684</v>
      </c>
      <c r="O160" s="67" t="n">
        <v>46320</v>
      </c>
      <c r="P160" s="66" t="n">
        <f aca="false">SUMIFS($K:$K,$E:$E,O160)</f>
        <v>0</v>
      </c>
      <c r="Q160" s="0" t="n">
        <f aca="false">COUNTIFS($E:$E,O160)</f>
        <v>0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1816</v>
      </c>
      <c r="D161" s="1" t="s">
        <v>1817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1753</v>
      </c>
      <c r="K161" s="46" t="n">
        <v>614.97</v>
      </c>
      <c r="O161" s="67" t="n">
        <v>46321</v>
      </c>
      <c r="P161" s="66" t="n">
        <f aca="false">SUMIFS($K:$K,$E:$E,O161)</f>
        <v>0</v>
      </c>
      <c r="Q161" s="0" t="n">
        <f aca="false">COUNTIFS($E:$E,O161)</f>
        <v>0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1758</v>
      </c>
      <c r="D162" s="1" t="s">
        <v>1759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1753</v>
      </c>
      <c r="K162" s="46" t="n">
        <v>190.5</v>
      </c>
      <c r="O162" s="67" t="n">
        <v>46322</v>
      </c>
      <c r="P162" s="66" t="n">
        <f aca="false">SUMIFS($K:$K,$E:$E,O162)</f>
        <v>0</v>
      </c>
      <c r="Q162" s="0" t="n">
        <f aca="false">COUNTIFS($E:$E,O162)</f>
        <v>0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1792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1753</v>
      </c>
      <c r="K163" s="46" t="n">
        <v>1103.76</v>
      </c>
      <c r="O163" s="67" t="n">
        <v>46323</v>
      </c>
      <c r="P163" s="66" t="n">
        <f aca="false">SUMIFS($K:$K,$E:$E,O163)</f>
        <v>0</v>
      </c>
      <c r="Q163" s="0" t="n">
        <f aca="false">COUNTIFS($E:$E,O163)</f>
        <v>0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1833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1753</v>
      </c>
      <c r="K164" s="46" t="n">
        <v>194.4</v>
      </c>
      <c r="O164" s="67" t="n">
        <v>46324</v>
      </c>
      <c r="P164" s="66" t="n">
        <f aca="false">SUMIFS($K:$K,$E:$E,O164)</f>
        <v>0</v>
      </c>
      <c r="Q164" s="0" t="n">
        <f aca="false">COUNTIFS($E:$E,O164)</f>
        <v>0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1834</v>
      </c>
      <c r="D165" s="1" t="s">
        <v>1835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1753</v>
      </c>
      <c r="K165" s="46" t="n">
        <v>212.4</v>
      </c>
      <c r="O165" s="67" t="n">
        <v>46325</v>
      </c>
      <c r="P165" s="66" t="n">
        <f aca="false">SUMIFS($K:$K,$E:$E,O165)</f>
        <v>0</v>
      </c>
      <c r="Q165" s="0" t="n">
        <f aca="false">COUNTIFS($E:$E,O165)</f>
        <v>0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1771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1753</v>
      </c>
      <c r="K166" s="46" t="n">
        <v>210</v>
      </c>
      <c r="O166" s="67" t="n">
        <v>46326</v>
      </c>
      <c r="P166" s="66" t="n">
        <f aca="false">SUMIFS($K:$K,$E:$E,O166)</f>
        <v>0</v>
      </c>
      <c r="Q166" s="0" t="n">
        <f aca="false">COUNTIFS($E:$E,O166)</f>
        <v>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1771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1753</v>
      </c>
      <c r="K167" s="46" t="n">
        <v>210</v>
      </c>
      <c r="O167" s="67" t="n">
        <v>46327</v>
      </c>
      <c r="P167" s="66" t="n">
        <f aca="false">SUMIFS($K:$K,$E:$E,O167)</f>
        <v>0</v>
      </c>
      <c r="Q167" s="0" t="n">
        <f aca="false">COUNTIFS($E:$E,O167)</f>
        <v>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1836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1753</v>
      </c>
      <c r="K168" s="46" t="n">
        <v>184.73</v>
      </c>
      <c r="O168" s="67" t="n">
        <v>46328</v>
      </c>
      <c r="P168" s="66" t="n">
        <f aca="false">SUMIFS($K:$K,$E:$E,O168)</f>
        <v>0</v>
      </c>
      <c r="Q168" s="0" t="n">
        <f aca="false">COUNTIFS($E:$E,O168)</f>
        <v>0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1813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1753</v>
      </c>
      <c r="K169" s="46" t="n">
        <v>1834</v>
      </c>
      <c r="O169" s="67" t="n">
        <v>46329</v>
      </c>
      <c r="P169" s="66" t="n">
        <f aca="false">SUMIFS($K:$K,$E:$E,O169)</f>
        <v>0</v>
      </c>
      <c r="Q169" s="0" t="n">
        <f aca="false">COUNTIFS($E:$E,O169)</f>
        <v>0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1761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1753</v>
      </c>
      <c r="K170" s="46" t="n">
        <v>304.75</v>
      </c>
      <c r="O170" s="67" t="n">
        <v>46330</v>
      </c>
      <c r="P170" s="66" t="n">
        <f aca="false">SUMIFS($K:$K,$E:$E,O170)</f>
        <v>0</v>
      </c>
      <c r="Q170" s="0" t="n">
        <f aca="false">COUNTIFS($E:$E,O170)</f>
        <v>0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1762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1753</v>
      </c>
      <c r="K171" s="46" t="n">
        <v>274.85</v>
      </c>
      <c r="O171" s="67" t="n">
        <v>46331</v>
      </c>
      <c r="P171" s="66" t="n">
        <f aca="false">SUMIFS($K:$K,$E:$E,O171)</f>
        <v>0</v>
      </c>
      <c r="Q171" s="0" t="n">
        <f aca="false">COUNTIFS($E:$E,O171)</f>
        <v>0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1837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1753</v>
      </c>
      <c r="K172" s="46" t="n">
        <v>2631.81</v>
      </c>
      <c r="O172" s="67" t="n">
        <v>46332</v>
      </c>
      <c r="P172" s="66" t="n">
        <f aca="false">SUMIFS($K:$K,$E:$E,O172)</f>
        <v>0</v>
      </c>
      <c r="Q172" s="0" t="n">
        <f aca="false">COUNTIFS($E:$E,O172)</f>
        <v>0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1838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1753</v>
      </c>
      <c r="K173" s="46" t="n">
        <v>1222.04</v>
      </c>
      <c r="O173" s="67" t="n">
        <v>46333</v>
      </c>
      <c r="P173" s="66" t="n">
        <f aca="false">SUMIFS($K:$K,$E:$E,O173)</f>
        <v>0</v>
      </c>
      <c r="Q173" s="0" t="n">
        <f aca="false">COUNTIFS($E:$E,O173)</f>
        <v>0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1839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1753</v>
      </c>
      <c r="K174" s="46" t="n">
        <v>1840</v>
      </c>
      <c r="O174" s="67" t="n">
        <v>46334</v>
      </c>
      <c r="P174" s="66" t="n">
        <f aca="false">SUMIFS($K:$K,$E:$E,O174)</f>
        <v>0</v>
      </c>
      <c r="Q174" s="0" t="n">
        <f aca="false">COUNTIFS($E:$E,O174)</f>
        <v>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1757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1753</v>
      </c>
      <c r="K175" s="46" t="n">
        <v>101.71</v>
      </c>
      <c r="O175" s="67" t="n">
        <v>46335</v>
      </c>
      <c r="P175" s="66" t="n">
        <f aca="false">SUMIFS($K:$K,$E:$E,O175)</f>
        <v>0</v>
      </c>
      <c r="Q175" s="0" t="n">
        <f aca="false">COUNTIFS($E:$E,O175)</f>
        <v>0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1757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1753</v>
      </c>
      <c r="K176" s="46" t="n">
        <v>1579.97</v>
      </c>
      <c r="O176" s="67" t="n">
        <v>46336</v>
      </c>
      <c r="P176" s="66" t="n">
        <f aca="false">SUMIFS($K:$K,$E:$E,O176)</f>
        <v>0</v>
      </c>
      <c r="Q176" s="0" t="n">
        <f aca="false">COUNTIFS($E:$E,O176)</f>
        <v>0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1840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1753</v>
      </c>
      <c r="K177" s="46" t="n">
        <v>324.43</v>
      </c>
      <c r="O177" s="67" t="n">
        <v>46337</v>
      </c>
      <c r="P177" s="66" t="n">
        <f aca="false">SUMIFS($K:$K,$E:$E,O177)</f>
        <v>0</v>
      </c>
      <c r="Q177" s="0" t="n">
        <f aca="false">COUNTIFS($E:$E,O177)</f>
        <v>0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1791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1753</v>
      </c>
      <c r="K178" s="46" t="n">
        <v>3166.01</v>
      </c>
      <c r="O178" s="67" t="n">
        <v>46338</v>
      </c>
      <c r="P178" s="66" t="n">
        <f aca="false">SUMIFS($K:$K,$E:$E,O178)</f>
        <v>0</v>
      </c>
      <c r="Q178" s="0" t="n">
        <f aca="false">COUNTIFS($E:$E,O178)</f>
        <v>0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1791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1753</v>
      </c>
      <c r="K179" s="46" t="n">
        <v>658.25</v>
      </c>
      <c r="O179" s="67" t="n">
        <v>46339</v>
      </c>
      <c r="P179" s="66" t="n">
        <f aca="false">SUMIFS($K:$K,$E:$E,O179)</f>
        <v>0</v>
      </c>
      <c r="Q179" s="0" t="n">
        <f aca="false">COUNTIFS($E:$E,O179)</f>
        <v>0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1841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1753</v>
      </c>
      <c r="K180" s="46" t="n">
        <v>992.4</v>
      </c>
      <c r="O180" s="67" t="n">
        <v>46340</v>
      </c>
      <c r="P180" s="66" t="n">
        <f aca="false">SUMIFS($K:$K,$E:$E,O180)</f>
        <v>0</v>
      </c>
      <c r="Q180" s="0" t="n">
        <f aca="false">COUNTIFS($E:$E,O180)</f>
        <v>0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1842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1753</v>
      </c>
      <c r="K181" s="46" t="n">
        <v>660</v>
      </c>
      <c r="O181" s="67" t="n">
        <v>46341</v>
      </c>
      <c r="P181" s="66" t="n">
        <f aca="false">SUMIFS($K:$K,$E:$E,O181)</f>
        <v>0</v>
      </c>
      <c r="Q181" s="0" t="n">
        <f aca="false">COUNTIFS($E:$E,O181)</f>
        <v>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1825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1753</v>
      </c>
      <c r="K182" s="46" t="n">
        <v>128.85</v>
      </c>
      <c r="O182" s="67" t="n">
        <v>46342</v>
      </c>
      <c r="P182" s="66" t="n">
        <f aca="false">SUMIFS($K:$K,$E:$E,O182)</f>
        <v>0</v>
      </c>
      <c r="Q182" s="0" t="n">
        <f aca="false">COUNTIFS($E:$E,O182)</f>
        <v>0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1782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1753</v>
      </c>
      <c r="K183" s="46" t="n">
        <v>7993.6</v>
      </c>
      <c r="O183" s="67" t="n">
        <v>46343</v>
      </c>
      <c r="P183" s="66" t="n">
        <f aca="false">SUMIFS($K:$K,$E:$E,O183)</f>
        <v>0</v>
      </c>
      <c r="Q183" s="0" t="n">
        <f aca="false">COUNTIFS($E:$E,O183)</f>
        <v>0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1775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1753</v>
      </c>
      <c r="K184" s="46" t="n">
        <v>199</v>
      </c>
      <c r="O184" s="67" t="n">
        <v>46344</v>
      </c>
      <c r="P184" s="66" t="n">
        <f aca="false">SUMIFS($K:$K,$E:$E,O184)</f>
        <v>0</v>
      </c>
      <c r="Q184" s="0" t="n">
        <f aca="false">COUNTIFS($E:$E,O184)</f>
        <v>0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1760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1753</v>
      </c>
      <c r="K185" s="46" t="n">
        <v>5018.15</v>
      </c>
      <c r="O185" s="67" t="n">
        <v>46345</v>
      </c>
      <c r="P185" s="66" t="n">
        <f aca="false">SUMIFS($K:$K,$E:$E,O185)</f>
        <v>0</v>
      </c>
      <c r="Q185" s="0" t="n">
        <f aca="false">COUNTIFS($E:$E,O185)</f>
        <v>0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1821</v>
      </c>
      <c r="D186" s="1" t="s">
        <v>1843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1753</v>
      </c>
      <c r="K186" s="46" t="n">
        <v>980.5</v>
      </c>
      <c r="O186" s="67" t="n">
        <v>46346</v>
      </c>
      <c r="P186" s="66" t="n">
        <f aca="false">SUMIFS($K:$K,$E:$E,O186)</f>
        <v>0</v>
      </c>
      <c r="Q186" s="0" t="n">
        <f aca="false">COUNTIFS($E:$E,O186)</f>
        <v>0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1821</v>
      </c>
      <c r="D187" s="1" t="s">
        <v>1843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1753</v>
      </c>
      <c r="K187" s="46" t="n">
        <v>381.51</v>
      </c>
      <c r="O187" s="67" t="n">
        <v>46347</v>
      </c>
      <c r="P187" s="66" t="n">
        <f aca="false">SUMIFS($K:$K,$E:$E,O187)</f>
        <v>0</v>
      </c>
      <c r="Q187" s="0" t="n">
        <f aca="false">COUNTIFS($E:$E,O187)</f>
        <v>0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1844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1753</v>
      </c>
      <c r="K188" s="46" t="n">
        <v>1104.75</v>
      </c>
      <c r="O188" s="67" t="n">
        <v>46348</v>
      </c>
      <c r="P188" s="66" t="n">
        <f aca="false">SUMIFS($K:$K,$E:$E,O188)</f>
        <v>0</v>
      </c>
      <c r="Q188" s="0" t="n">
        <f aca="false">COUNTIFS($E:$E,O188)</f>
        <v>0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1788</v>
      </c>
      <c r="E189" s="15" t="n">
        <v>46195</v>
      </c>
      <c r="F189" s="15" t="n">
        <v>46192</v>
      </c>
      <c r="G189" s="1" t="s">
        <v>1789</v>
      </c>
      <c r="H189" s="1" t="n">
        <v>1289205</v>
      </c>
      <c r="I189" s="1" t="n">
        <v>1</v>
      </c>
      <c r="J189" s="1" t="s">
        <v>1753</v>
      </c>
      <c r="K189" s="46" t="n">
        <v>264</v>
      </c>
      <c r="O189" s="67" t="n">
        <v>46349</v>
      </c>
      <c r="P189" s="66" t="n">
        <f aca="false">SUMIFS($K:$K,$E:$E,O189)</f>
        <v>0</v>
      </c>
      <c r="Q189" s="0" t="n">
        <f aca="false">COUNTIFS($E:$E,O189)</f>
        <v>0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1764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1753</v>
      </c>
      <c r="K190" s="46" t="n">
        <v>156</v>
      </c>
      <c r="O190" s="67" t="n">
        <v>46350</v>
      </c>
      <c r="P190" s="66" t="n">
        <f aca="false">SUMIFS($K:$K,$E:$E,O190)</f>
        <v>0</v>
      </c>
      <c r="Q190" s="0" t="n">
        <f aca="false">COUNTIFS($E:$E,O190)</f>
        <v>0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1765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1753</v>
      </c>
      <c r="K191" s="46" t="n">
        <v>260</v>
      </c>
      <c r="O191" s="67" t="n">
        <v>46351</v>
      </c>
      <c r="P191" s="66" t="n">
        <f aca="false">SUMIFS($K:$K,$E:$E,O191)</f>
        <v>0</v>
      </c>
      <c r="Q191" s="0" t="n">
        <f aca="false">COUNTIFS($E:$E,O191)</f>
        <v>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1845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1753</v>
      </c>
      <c r="K192" s="46" t="n">
        <v>592.5</v>
      </c>
      <c r="O192" s="67" t="n">
        <v>46352</v>
      </c>
      <c r="P192" s="66" t="n">
        <f aca="false">SUMIFS($K:$K,$E:$E,O192)</f>
        <v>0</v>
      </c>
      <c r="Q192" s="0" t="n">
        <f aca="false">COUNTIFS($E:$E,O192)</f>
        <v>0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1846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1753</v>
      </c>
      <c r="K193" s="46" t="n">
        <v>603.5</v>
      </c>
      <c r="O193" s="67" t="n">
        <v>46353</v>
      </c>
      <c r="P193" s="66" t="n">
        <f aca="false">SUMIFS($K:$K,$E:$E,O193)</f>
        <v>0</v>
      </c>
      <c r="Q193" s="0" t="n">
        <f aca="false">COUNTIFS($E:$E,O193)</f>
        <v>0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1847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1753</v>
      </c>
      <c r="K194" s="46" t="n">
        <v>671.67</v>
      </c>
      <c r="O194" s="67" t="n">
        <v>46354</v>
      </c>
      <c r="P194" s="66" t="n">
        <f aca="false">SUMIFS($K:$K,$E:$E,O194)</f>
        <v>0</v>
      </c>
      <c r="Q194" s="0" t="n">
        <f aca="false">COUNTIFS($E:$E,O194)</f>
        <v>0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1800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1753</v>
      </c>
      <c r="K195" s="46" t="n">
        <v>4300.92</v>
      </c>
      <c r="O195" s="67" t="n">
        <v>46355</v>
      </c>
      <c r="P195" s="66" t="n">
        <f aca="false">SUMIFS($K:$K,$E:$E,O195)</f>
        <v>0</v>
      </c>
      <c r="Q195" s="0" t="n">
        <f aca="false">COUNTIFS($E:$E,O195)</f>
        <v>0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1757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1753</v>
      </c>
      <c r="K196" s="46" t="n">
        <v>50.85</v>
      </c>
      <c r="O196" s="67" t="n">
        <v>46356</v>
      </c>
      <c r="P196" s="66" t="n">
        <f aca="false">SUMIFS($K:$K,$E:$E,O196)</f>
        <v>0</v>
      </c>
      <c r="Q196" s="0" t="n">
        <f aca="false">COUNTIFS($E:$E,O196)</f>
        <v>0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1757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1753</v>
      </c>
      <c r="K197" s="46" t="n">
        <v>22.95</v>
      </c>
      <c r="O197" s="67" t="n">
        <v>46357</v>
      </c>
      <c r="P197" s="66" t="n">
        <f aca="false">SUMIFS($K:$K,$E:$E,O197)</f>
        <v>0</v>
      </c>
      <c r="Q197" s="0" t="n">
        <f aca="false">COUNTIFS($E:$E,O197)</f>
        <v>0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1757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1753</v>
      </c>
      <c r="K198" s="46" t="n">
        <v>2287.85</v>
      </c>
      <c r="O198" s="67" t="n">
        <v>46358</v>
      </c>
      <c r="P198" s="66" t="n">
        <f aca="false">SUMIFS($K:$K,$E:$E,O198)</f>
        <v>0</v>
      </c>
      <c r="Q198" s="0" t="n">
        <f aca="false">COUNTIFS($E:$E,O198)</f>
        <v>0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1757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1753</v>
      </c>
      <c r="K199" s="46" t="n">
        <v>463.56</v>
      </c>
      <c r="O199" s="67" t="n">
        <v>46359</v>
      </c>
      <c r="P199" s="66" t="n">
        <f aca="false">SUMIFS($K:$K,$E:$E,O199)</f>
        <v>0</v>
      </c>
      <c r="Q199" s="0" t="n">
        <f aca="false">COUNTIFS($E:$E,O199)</f>
        <v>0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1757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1753</v>
      </c>
      <c r="K200" s="46" t="n">
        <v>93.77</v>
      </c>
      <c r="O200" s="67" t="n">
        <v>46360</v>
      </c>
      <c r="P200" s="66" t="n">
        <f aca="false">SUMIFS($K:$K,$E:$E,O200)</f>
        <v>0</v>
      </c>
      <c r="Q200" s="0" t="n">
        <f aca="false">COUNTIFS($E:$E,O200)</f>
        <v>0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1757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1753</v>
      </c>
      <c r="K201" s="46" t="n">
        <v>840.06</v>
      </c>
      <c r="O201" s="67" t="n">
        <v>46361</v>
      </c>
      <c r="P201" s="66" t="n">
        <f aca="false">SUMIFS($K:$K,$E:$E,O201)</f>
        <v>0</v>
      </c>
      <c r="Q201" s="0" t="n">
        <f aca="false">COUNTIFS($E:$E,O201)</f>
        <v>0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1807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1753</v>
      </c>
      <c r="K202" s="46" t="n">
        <v>1342.31</v>
      </c>
      <c r="O202" s="67" t="n">
        <v>46362</v>
      </c>
      <c r="P202" s="66" t="n">
        <f aca="false">SUMIFS($K:$K,$E:$E,O202)</f>
        <v>0</v>
      </c>
      <c r="Q202" s="0" t="n">
        <f aca="false">COUNTIFS($E:$E,O202)</f>
        <v>0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1767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1753</v>
      </c>
      <c r="K203" s="46" t="n">
        <v>370.84</v>
      </c>
      <c r="O203" s="67" t="n">
        <v>46363</v>
      </c>
      <c r="P203" s="66" t="n">
        <f aca="false">SUMIFS($K:$K,$E:$E,O203)</f>
        <v>0</v>
      </c>
      <c r="Q203" s="0" t="n">
        <f aca="false">COUNTIFS($E:$E,O203)</f>
        <v>0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1769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1753</v>
      </c>
      <c r="K204" s="46" t="n">
        <v>3464.65</v>
      </c>
      <c r="O204" s="67" t="n">
        <v>46364</v>
      </c>
      <c r="P204" s="66" t="n">
        <f aca="false">SUMIFS($K:$K,$E:$E,O204)</f>
        <v>0</v>
      </c>
      <c r="Q204" s="0" t="n">
        <f aca="false">COUNTIFS($E:$E,O204)</f>
        <v>0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1769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1753</v>
      </c>
      <c r="K205" s="46" t="n">
        <v>334.45</v>
      </c>
      <c r="O205" s="67" t="n">
        <v>46365</v>
      </c>
      <c r="P205" s="66" t="n">
        <f aca="false">SUMIFS($K:$K,$E:$E,O205)</f>
        <v>0</v>
      </c>
      <c r="Q205" s="0" t="n">
        <f aca="false">COUNTIFS($E:$E,O205)</f>
        <v>0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1769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1753</v>
      </c>
      <c r="K206" s="46" t="n">
        <v>724</v>
      </c>
      <c r="O206" s="67" t="n">
        <v>46366</v>
      </c>
      <c r="P206" s="66" t="n">
        <f aca="false">SUMIFS($K:$K,$E:$E,O206)</f>
        <v>0</v>
      </c>
      <c r="Q206" s="0" t="n">
        <f aca="false">COUNTIFS($E:$E,O206)</f>
        <v>0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1778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1753</v>
      </c>
      <c r="K207" s="46" t="n">
        <v>2018.54</v>
      </c>
      <c r="O207" s="67" t="n">
        <v>46367</v>
      </c>
      <c r="P207" s="66" t="n">
        <f aca="false">SUMIFS($K:$K,$E:$E,O207)</f>
        <v>0</v>
      </c>
      <c r="Q207" s="0" t="n">
        <f aca="false">COUNTIFS($E:$E,O207)</f>
        <v>0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1780</v>
      </c>
      <c r="E208" s="15" t="n">
        <v>46195</v>
      </c>
      <c r="F208" s="15" t="n">
        <v>46192</v>
      </c>
      <c r="G208" s="1" t="s">
        <v>1781</v>
      </c>
      <c r="H208" s="1" t="n">
        <v>1289146</v>
      </c>
      <c r="I208" s="1" t="n">
        <v>1</v>
      </c>
      <c r="J208" s="1" t="s">
        <v>1753</v>
      </c>
      <c r="K208" s="46" t="n">
        <v>306</v>
      </c>
      <c r="O208" s="67" t="n">
        <v>46368</v>
      </c>
      <c r="P208" s="66" t="n">
        <f aca="false">SUMIFS($K:$K,$E:$E,O208)</f>
        <v>0</v>
      </c>
      <c r="Q208" s="0" t="n">
        <f aca="false">COUNTIFS($E:$E,O208)</f>
        <v>0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1779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1753</v>
      </c>
      <c r="K209" s="46" t="n">
        <v>110</v>
      </c>
      <c r="O209" s="67" t="n">
        <v>46369</v>
      </c>
      <c r="P209" s="66" t="n">
        <f aca="false">SUMIFS($K:$K,$E:$E,O209)</f>
        <v>0</v>
      </c>
      <c r="Q209" s="0" t="n">
        <f aca="false">COUNTIFS($E:$E,O209)</f>
        <v>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1771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1753</v>
      </c>
      <c r="K210" s="46" t="n">
        <v>210</v>
      </c>
      <c r="O210" s="67" t="n">
        <v>46370</v>
      </c>
      <c r="P210" s="66" t="n">
        <f aca="false">SUMIFS($K:$K,$E:$E,O210)</f>
        <v>0</v>
      </c>
      <c r="Q210" s="0" t="n">
        <f aca="false">COUNTIFS($E:$E,O210)</f>
        <v>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1771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1753</v>
      </c>
      <c r="K211" s="46" t="n">
        <v>1454</v>
      </c>
      <c r="O211" s="67" t="n">
        <v>46371</v>
      </c>
      <c r="P211" s="66" t="n">
        <f aca="false">SUMIFS($K:$K,$E:$E,O211)</f>
        <v>0</v>
      </c>
      <c r="Q211" s="0" t="n">
        <f aca="false">COUNTIFS($E:$E,O211)</f>
        <v>0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1771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1753</v>
      </c>
      <c r="K212" s="46" t="n">
        <v>210</v>
      </c>
      <c r="O212" s="67" t="n">
        <v>46372</v>
      </c>
      <c r="P212" s="66" t="n">
        <f aca="false">SUMIFS($K:$K,$E:$E,O212)</f>
        <v>0</v>
      </c>
      <c r="Q212" s="0" t="n">
        <f aca="false">COUNTIFS($E:$E,O212)</f>
        <v>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1771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1753</v>
      </c>
      <c r="K213" s="46" t="n">
        <v>1454</v>
      </c>
      <c r="O213" s="67" t="n">
        <v>46373</v>
      </c>
      <c r="P213" s="66" t="n">
        <f aca="false">SUMIFS($K:$K,$E:$E,O213)</f>
        <v>0</v>
      </c>
      <c r="Q213" s="0" t="n">
        <f aca="false">COUNTIFS($E:$E,O213)</f>
        <v>0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1836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1753</v>
      </c>
      <c r="K214" s="46" t="n">
        <v>1859.99</v>
      </c>
      <c r="O214" s="67" t="n">
        <v>46374</v>
      </c>
      <c r="P214" s="66" t="n">
        <f aca="false">SUMIFS($K:$K,$E:$E,O214)</f>
        <v>0</v>
      </c>
      <c r="Q214" s="0" t="n">
        <f aca="false">COUNTIFS($E:$E,O214)</f>
        <v>0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1848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1753</v>
      </c>
      <c r="K215" s="46" t="n">
        <v>480.78</v>
      </c>
      <c r="O215" s="67" t="n">
        <v>46375</v>
      </c>
      <c r="P215" s="66" t="n">
        <f aca="false">SUMIFS($K:$K,$E:$E,O215)</f>
        <v>0</v>
      </c>
      <c r="Q215" s="0" t="n">
        <f aca="false">COUNTIFS($E:$E,O215)</f>
        <v>0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1849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1753</v>
      </c>
      <c r="K216" s="46" t="n">
        <v>1774.55</v>
      </c>
      <c r="O216" s="67" t="n">
        <v>46376</v>
      </c>
      <c r="P216" s="66" t="n">
        <f aca="false">SUMIFS($K:$K,$E:$E,O216)</f>
        <v>0</v>
      </c>
      <c r="Q216" s="0" t="n">
        <f aca="false">COUNTIFS($E:$E,O216)</f>
        <v>0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1762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1753</v>
      </c>
      <c r="K217" s="46" t="n">
        <v>454.65</v>
      </c>
      <c r="O217" s="67" t="n">
        <v>46377</v>
      </c>
      <c r="P217" s="66" t="n">
        <f aca="false">SUMIFS($K:$K,$E:$E,O217)</f>
        <v>0</v>
      </c>
      <c r="Q217" s="0" t="n">
        <f aca="false">COUNTIFS($E:$E,O217)</f>
        <v>0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1850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1753</v>
      </c>
      <c r="K218" s="46" t="n">
        <v>1961.16</v>
      </c>
      <c r="O218" s="67" t="n">
        <v>46378</v>
      </c>
      <c r="P218" s="66" t="n">
        <f aca="false">SUMIFS($K:$K,$E:$E,O218)</f>
        <v>0</v>
      </c>
      <c r="Q218" s="0" t="n">
        <f aca="false">COUNTIFS($E:$E,O218)</f>
        <v>0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1776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1753</v>
      </c>
      <c r="K219" s="46" t="n">
        <v>920</v>
      </c>
      <c r="O219" s="67" t="n">
        <v>46379</v>
      </c>
      <c r="P219" s="66" t="n">
        <f aca="false">SUMIFS($K:$K,$E:$E,O219)</f>
        <v>0</v>
      </c>
      <c r="Q219" s="0" t="n">
        <f aca="false">COUNTIFS($E:$E,O219)</f>
        <v>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1776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1753</v>
      </c>
      <c r="K220" s="46" t="n">
        <v>1538.7</v>
      </c>
      <c r="O220" s="67" t="n">
        <v>46380</v>
      </c>
      <c r="P220" s="66" t="n">
        <f aca="false">SUMIFS($K:$K,$E:$E,O220)</f>
        <v>0</v>
      </c>
      <c r="Q220" s="0" t="n">
        <f aca="false">COUNTIFS($E:$E,O220)</f>
        <v>0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1851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1753</v>
      </c>
      <c r="K221" s="46" t="n">
        <v>228</v>
      </c>
      <c r="O221" s="67" t="n">
        <v>46381</v>
      </c>
      <c r="P221" s="66" t="n">
        <f aca="false">SUMIFS($K:$K,$E:$E,O221)</f>
        <v>0</v>
      </c>
      <c r="Q221" s="0" t="n">
        <f aca="false">COUNTIFS($E:$E,O221)</f>
        <v>0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1763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1753</v>
      </c>
      <c r="K222" s="46" t="n">
        <v>298.83</v>
      </c>
      <c r="O222" s="67" t="n">
        <v>46382</v>
      </c>
      <c r="P222" s="66" t="n">
        <f aca="false">SUMIFS($K:$K,$E:$E,O222)</f>
        <v>0</v>
      </c>
      <c r="Q222" s="0" t="n">
        <f aca="false">COUNTIFS($E:$E,O222)</f>
        <v>0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1764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1753</v>
      </c>
      <c r="K223" s="46" t="n">
        <v>180</v>
      </c>
      <c r="O223" s="67" t="n">
        <v>46383</v>
      </c>
      <c r="P223" s="66" t="n">
        <f aca="false">SUMIFS($K:$K,$E:$E,O223)</f>
        <v>0</v>
      </c>
      <c r="Q223" s="0" t="n">
        <f aca="false">COUNTIFS($E:$E,O223)</f>
        <v>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1816</v>
      </c>
      <c r="D224" s="1" t="s">
        <v>1817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1753</v>
      </c>
      <c r="K224" s="46" t="n">
        <v>1062.39</v>
      </c>
      <c r="O224" s="67" t="n">
        <v>46384</v>
      </c>
      <c r="P224" s="66" t="n">
        <f aca="false">SUMIFS($K:$K,$E:$E,O224)</f>
        <v>0</v>
      </c>
      <c r="Q224" s="0" t="n">
        <f aca="false">COUNTIFS($E:$E,O224)</f>
        <v>0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1808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1753</v>
      </c>
      <c r="K225" s="46" t="n">
        <v>694.35</v>
      </c>
      <c r="O225" s="67" t="n">
        <v>46385</v>
      </c>
      <c r="P225" s="66" t="n">
        <f aca="false">SUMIFS($K:$K,$E:$E,O225)</f>
        <v>0</v>
      </c>
      <c r="Q225" s="0" t="n">
        <f aca="false">COUNTIFS($E:$E,O225)</f>
        <v>0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1852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1753</v>
      </c>
      <c r="K226" s="46" t="n">
        <v>2212.3</v>
      </c>
      <c r="O226" s="67" t="n">
        <v>46386</v>
      </c>
      <c r="P226" s="66" t="n">
        <f aca="false">SUMIFS($K:$K,$E:$E,O226)</f>
        <v>0</v>
      </c>
      <c r="Q226" s="0" t="n">
        <f aca="false">COUNTIFS($E:$E,O226)</f>
        <v>0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1758</v>
      </c>
      <c r="D227" s="1" t="s">
        <v>1759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1753</v>
      </c>
      <c r="K227" s="46" t="n">
        <v>97</v>
      </c>
      <c r="O227" s="67" t="n">
        <v>46387</v>
      </c>
      <c r="P227" s="66" t="n">
        <f aca="false">SUMIFS($K:$K,$E:$E,O227)</f>
        <v>0</v>
      </c>
      <c r="Q227" s="0" t="n">
        <f aca="false">COUNTIFS($E:$E,O227)</f>
        <v>0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1758</v>
      </c>
      <c r="D228" s="1" t="s">
        <v>1759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1753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1758</v>
      </c>
      <c r="D229" s="1" t="s">
        <v>1759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1753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1771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1753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1771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1753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1772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1753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1853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1753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1854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1753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1854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1753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1854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1753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1854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1753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1773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1753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1855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1753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1782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1753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1795</v>
      </c>
      <c r="E241" s="15" t="n">
        <v>46197</v>
      </c>
      <c r="F241" s="15" t="n">
        <v>46196</v>
      </c>
      <c r="G241" s="1" t="s">
        <v>1796</v>
      </c>
      <c r="H241" s="1" t="n">
        <v>1299327</v>
      </c>
      <c r="I241" s="1" t="n">
        <v>1</v>
      </c>
      <c r="J241" s="1" t="s">
        <v>1753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1856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1753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1857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1753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1761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1753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1761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1753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1858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1753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1854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1753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1757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1753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1757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1753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1774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1753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1769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1753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1859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1753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1758</v>
      </c>
      <c r="D253" s="1" t="s">
        <v>1759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1753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1860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1753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1861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1753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1813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1753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1804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1753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1807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1753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1767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1753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1783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1753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1775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1753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1812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1753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1812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1753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1771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1753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1771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1753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1771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1753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1771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1753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1761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1753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1788</v>
      </c>
      <c r="E269" s="15" t="n">
        <v>46200</v>
      </c>
      <c r="F269" s="15" t="n">
        <v>46185</v>
      </c>
      <c r="G269" s="1" t="s">
        <v>1789</v>
      </c>
      <c r="H269" s="1" t="n">
        <v>1312808</v>
      </c>
      <c r="I269" s="1" t="n">
        <v>1</v>
      </c>
      <c r="J269" s="1" t="s">
        <v>1753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1788</v>
      </c>
      <c r="E270" s="15" t="n">
        <v>46200</v>
      </c>
      <c r="F270" s="15" t="n">
        <v>46199</v>
      </c>
      <c r="G270" s="1" t="s">
        <v>1789</v>
      </c>
      <c r="H270" s="1" t="n">
        <v>1312818</v>
      </c>
      <c r="I270" s="1" t="n">
        <v>1</v>
      </c>
      <c r="J270" s="1" t="s">
        <v>1753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1765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1753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1862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1753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1800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1753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1758</v>
      </c>
      <c r="D274" s="1" t="s">
        <v>1759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1753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1780</v>
      </c>
      <c r="E275" s="15" t="n">
        <v>46200</v>
      </c>
      <c r="F275" s="15" t="n">
        <v>46200</v>
      </c>
      <c r="G275" s="1" t="s">
        <v>1781</v>
      </c>
      <c r="H275" s="1" t="n">
        <v>1312583</v>
      </c>
      <c r="I275" s="1" t="n">
        <v>1</v>
      </c>
      <c r="J275" s="1" t="s">
        <v>1753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1760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1753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1797</v>
      </c>
      <c r="D277" s="1" t="s">
        <v>1798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1753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1764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1753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1757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1753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1757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1753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1757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1753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1816</v>
      </c>
      <c r="D282" s="1" t="s">
        <v>1817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1753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1758</v>
      </c>
      <c r="D283" s="1" t="s">
        <v>1759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1753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1782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1753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1760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1753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1771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1753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1771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1753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1764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1753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1758</v>
      </c>
      <c r="D289" s="1" t="s">
        <v>1759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1753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1779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1753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1771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1753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1771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1753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1821</v>
      </c>
      <c r="D293" s="1" t="s">
        <v>1822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1753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1771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1753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1771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1753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1772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1753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1761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1753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1762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1753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1776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1753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1863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1753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1777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1753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1758</v>
      </c>
      <c r="D302" s="1" t="s">
        <v>1759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1753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1864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1753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1782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1753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1805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1753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1788</v>
      </c>
      <c r="E306" s="15" t="n">
        <v>46206</v>
      </c>
      <c r="F306" s="15" t="n">
        <v>46206</v>
      </c>
      <c r="G306" s="1" t="s">
        <v>1789</v>
      </c>
      <c r="H306" s="1" t="n">
        <v>1344684</v>
      </c>
      <c r="I306" s="1" t="n">
        <v>1</v>
      </c>
      <c r="J306" s="1" t="s">
        <v>1753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1765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1753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1800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1753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1767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1753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1816</v>
      </c>
      <c r="D310" s="1" t="s">
        <v>1817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1753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1769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1753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1758</v>
      </c>
      <c r="D312" s="1" t="s">
        <v>1759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1753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1785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1753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1865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1753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1780</v>
      </c>
      <c r="E315" s="15" t="n">
        <v>46206</v>
      </c>
      <c r="F315" s="15" t="n">
        <v>46206</v>
      </c>
      <c r="G315" s="1" t="s">
        <v>1781</v>
      </c>
      <c r="H315" s="1" t="n">
        <v>1344581</v>
      </c>
      <c r="I315" s="1" t="n">
        <v>1</v>
      </c>
      <c r="J315" s="1" t="s">
        <v>1753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1795</v>
      </c>
      <c r="E316" s="15" t="n">
        <v>46206</v>
      </c>
      <c r="F316" s="15" t="n">
        <v>46205</v>
      </c>
      <c r="G316" s="1" t="s">
        <v>1796</v>
      </c>
      <c r="H316" s="1" t="n">
        <v>1344368</v>
      </c>
      <c r="I316" s="1" t="n">
        <v>1</v>
      </c>
      <c r="J316" s="1" t="s">
        <v>1753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1771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1753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1771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1753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1771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1753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1771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1753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1786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1753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1764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1753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1760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1753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1761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1753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1757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1753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1757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1753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1757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1753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1757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1753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1774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1753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1758</v>
      </c>
      <c r="D330" s="1" t="s">
        <v>1759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1753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1779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1753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1794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1753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1771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1753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1771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1753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1866</v>
      </c>
      <c r="E335" s="15" t="n">
        <v>46210</v>
      </c>
      <c r="F335" s="15" t="n">
        <v>46206</v>
      </c>
      <c r="G335" s="1" t="s">
        <v>1539</v>
      </c>
      <c r="H335" s="1" t="n">
        <v>1366133</v>
      </c>
      <c r="I335" s="1" t="n">
        <v>11</v>
      </c>
      <c r="J335" s="1" t="s">
        <v>1753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1807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1753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1767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1753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1758</v>
      </c>
      <c r="D338" s="1" t="s">
        <v>1759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1753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1867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1753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1771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1753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1771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1753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1772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1753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1764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1753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1784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1753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1757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1753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1757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1753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1757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1753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1757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1753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1757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1753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1757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1753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1758</v>
      </c>
      <c r="D351" s="1" t="s">
        <v>1759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1753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1868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1753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1771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1753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1771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1753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1761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1753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1762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1753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1776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1753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1765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1753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1757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1753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1757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1753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1757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1753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1801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1753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1791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1753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1769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1753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1869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1753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1869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1753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1811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1753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1775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1753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1771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1753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1771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1753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1803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1753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1776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1753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1788</v>
      </c>
      <c r="E373" s="15" t="n">
        <v>46213</v>
      </c>
      <c r="F373" s="15" t="n">
        <v>46213</v>
      </c>
      <c r="G373" s="1" t="s">
        <v>1789</v>
      </c>
      <c r="H373" s="1" t="n">
        <v>1377076</v>
      </c>
      <c r="I373" s="1" t="n">
        <v>1</v>
      </c>
      <c r="J373" s="1" t="s">
        <v>1753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1870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1753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1765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1753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1807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1753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1767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1753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1871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1753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1816</v>
      </c>
      <c r="D379" s="1" t="s">
        <v>1817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1753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1809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1753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1780</v>
      </c>
      <c r="E381" s="15" t="n">
        <v>46213</v>
      </c>
      <c r="F381" s="15" t="n">
        <v>46213</v>
      </c>
      <c r="G381" s="1" t="s">
        <v>1781</v>
      </c>
      <c r="H381" s="1" t="n">
        <v>1376630</v>
      </c>
      <c r="I381" s="1" t="n">
        <v>1</v>
      </c>
      <c r="J381" s="1" t="s">
        <v>1753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1872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1753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1771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1753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1836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1753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1804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1753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1832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1753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1805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1753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1764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1753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1758</v>
      </c>
      <c r="D389" s="1" t="s">
        <v>1759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1753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1873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1753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1810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1753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1761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1753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1797</v>
      </c>
      <c r="D393" s="1" t="s">
        <v>1798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1753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1757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1753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1757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1753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1757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1753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1802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1753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1758</v>
      </c>
      <c r="D398" s="1" t="s">
        <v>1759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1753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1778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1753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1793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1753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1874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1753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1771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1753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1761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1753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1850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1753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1790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1753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1767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1753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1758</v>
      </c>
      <c r="D407" s="1" t="s">
        <v>1759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1753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1869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1753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1821</v>
      </c>
      <c r="D409" s="1" t="s">
        <v>1822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1753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1821</v>
      </c>
      <c r="D410" s="1" t="s">
        <v>1822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1753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1760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1753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1771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1753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1771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1753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1772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1753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1763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1753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1875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1753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1847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1753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1847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1753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1847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1753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1769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1753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1802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1753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1802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1753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1758</v>
      </c>
      <c r="D423" s="1" t="s">
        <v>1759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1753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1782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1753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1876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1753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1877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1753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1838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1753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1757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1753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1757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1753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1791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1753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1802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1753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1808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1753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1809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1753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1783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1753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1760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1753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1812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1753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1803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1753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1813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1753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1762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1753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1788</v>
      </c>
      <c r="E440" s="15" t="n">
        <v>46220</v>
      </c>
      <c r="F440" s="15" t="n">
        <v>46220</v>
      </c>
      <c r="G440" s="1" t="s">
        <v>1789</v>
      </c>
      <c r="H440" s="1" t="n">
        <v>1411966</v>
      </c>
      <c r="I440" s="1" t="n">
        <v>11</v>
      </c>
      <c r="J440" s="1" t="s">
        <v>1753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1765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1753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1807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1753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1767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1753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1769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1753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1878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1753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1878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1753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1878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1753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1878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1753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1878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1753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1878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1753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1878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1753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1878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1753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1779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1753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1874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1753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1760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1753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1771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1753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1771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1753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1761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1753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1804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1753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1844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1753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1863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1753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1863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1753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1863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1753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1764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1753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1802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1753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1758</v>
      </c>
      <c r="D466" s="1" t="s">
        <v>1759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1753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1878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1753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1863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1753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1879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1753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1757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1753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1757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1753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1757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1753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1801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1753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1758</v>
      </c>
      <c r="D474" s="1" t="s">
        <v>1759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1753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1878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1753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1878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1753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1775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1753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1760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1753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1771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1753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1771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1753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1858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1753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1831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1753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1850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1753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1880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1753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1758</v>
      </c>
      <c r="D485" s="1" t="s">
        <v>1759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1753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1779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1753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1771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1753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1771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1753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1771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1753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1772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1753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1761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1753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1773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1753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1757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1753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1757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1753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1855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1753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1769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1753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1878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1753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1780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1753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1782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1753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1795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1753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1821</v>
      </c>
      <c r="D501" s="1" t="s">
        <v>1843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1753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1771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1753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1815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1753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1774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1753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1769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1753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1808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1753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1758</v>
      </c>
      <c r="D507" s="1" t="s">
        <v>1759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1753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1825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1753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1881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1753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1857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1753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1761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1753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1804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1753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1784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1753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1807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1753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1767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1753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1769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1753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1769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1753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1758</v>
      </c>
      <c r="D518" s="1" t="s">
        <v>1759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1753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1873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1753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1788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1753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1882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1753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1771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1753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1771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1753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1797</v>
      </c>
      <c r="D524" s="1" t="s">
        <v>1798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1753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1764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1753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1773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1753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1771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1753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1761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1753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1851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1753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1765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1753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1757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1753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1757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1753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1816</v>
      </c>
      <c r="D533" s="1" t="s">
        <v>1817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1753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1883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1753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1758</v>
      </c>
      <c r="D535" s="1" t="s">
        <v>1759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1753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1878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1753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1779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1753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1760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1753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1771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1753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1776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1753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1763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1753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1767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1753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1774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1753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1758</v>
      </c>
      <c r="D544" s="1" t="s">
        <v>1759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1753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1771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1753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1772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1753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1762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1753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1773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1753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1758</v>
      </c>
      <c r="D549" s="1" t="s">
        <v>1759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1753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1884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1753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1885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1753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1764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1753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1765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1753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1777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1753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1780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1753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1794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1753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1760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1753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1771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1753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1771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1753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1803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1753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1761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1753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1805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1753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1757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1753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1757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1753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1757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1753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1757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1753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1757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1753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1807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1753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1767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1753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1816</v>
      </c>
      <c r="D570" s="1" t="s">
        <v>1817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1753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1769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1753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1758</v>
      </c>
      <c r="D572" s="1" t="s">
        <v>1759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1753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1878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1753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1788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1753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1775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1753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1771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1753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1764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1753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1774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1753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1813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1753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1761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1753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1800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1753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1758</v>
      </c>
      <c r="D582" s="1" t="s">
        <v>1759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1753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1778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1753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1782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1753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1771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1753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1771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1753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1776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1753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1764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1753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1758</v>
      </c>
      <c r="D589" s="1" t="s">
        <v>1759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1753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1771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1753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1772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1753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1847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1753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1847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1753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1847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1753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1774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1753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1816</v>
      </c>
      <c r="D596" s="1" t="s">
        <v>1817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1753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1785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1753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1878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1753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1779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1753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1886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1753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1771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1753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1761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1753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1773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1753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1758</v>
      </c>
      <c r="D604" s="1" t="s">
        <v>1759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1753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1782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1753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1868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1753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1771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1753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1786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1753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1804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1753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1762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1753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1765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1753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1757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1753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1757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1753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1757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1753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1757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1753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1757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1753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1757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1753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1807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1753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1767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1753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1852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1753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1852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1753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1792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1753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1788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1753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1793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1753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1760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1753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1771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1753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1771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1753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1771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1753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1771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1753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1761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1753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1878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1753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1764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1753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1815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1753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1816</v>
      </c>
      <c r="D634" s="1" t="s">
        <v>1817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1753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1758</v>
      </c>
      <c r="D635" s="1" t="s">
        <v>1759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1753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1758</v>
      </c>
      <c r="D636" s="1" t="s">
        <v>1759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1753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1775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1753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1760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1753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1771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1753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1803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1753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1776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1753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1797</v>
      </c>
      <c r="D642" s="1" t="s">
        <v>1798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1753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1763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1753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1799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1753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1811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1753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1795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1753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1771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1753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1771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1753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1772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1753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1887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1753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1764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1753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1769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1753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1841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1753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1878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1753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1821</v>
      </c>
      <c r="D655" s="1" t="s">
        <v>1843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1753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1887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1753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1838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1753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1773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1753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1801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1753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1774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1753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1769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1753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1809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1753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1878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1753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1803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1753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1761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1753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1804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1753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1831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1753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1863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1753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1805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1753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1877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1753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1845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1753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1846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1753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1757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1753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1757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1753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1757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1753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1807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1753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1816</v>
      </c>
      <c r="D677" s="1" t="s">
        <v>1817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1753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1855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1753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1791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1753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1769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1753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1758</v>
      </c>
      <c r="D681" s="1" t="s">
        <v>1759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1753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1758</v>
      </c>
      <c r="D682" s="1" t="s">
        <v>1759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1753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1785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1753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1780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1753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1788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1753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1775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1753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1771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1753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1771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1753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1771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1753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1786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1753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1857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1753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1765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1753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1791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1753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1802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1753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1878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1753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1782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1753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1771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1753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1847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1753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1784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1753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1802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1753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1758</v>
      </c>
      <c r="D701" s="1" t="s">
        <v>1759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1753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1878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1753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1888</v>
      </c>
      <c r="E703" s="15" t="n">
        <v>46251</v>
      </c>
      <c r="F703" s="15" t="n">
        <v>46246</v>
      </c>
      <c r="G703" s="1" t="s">
        <v>1531</v>
      </c>
      <c r="H703" s="1" t="n">
        <v>1562787</v>
      </c>
      <c r="I703" s="1" t="n">
        <v>11</v>
      </c>
      <c r="J703" s="1" t="s">
        <v>1753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1779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1753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1783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1753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1760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1753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1771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1753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1814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1753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1764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1753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1757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1753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1767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1753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1758</v>
      </c>
      <c r="D712" s="1" t="s">
        <v>1759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1753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1869</v>
      </c>
      <c r="E713" s="15" t="n">
        <v>46252</v>
      </c>
      <c r="F713" s="15" t="n">
        <v>46252</v>
      </c>
      <c r="G713" s="1" t="s">
        <v>90</v>
      </c>
      <c r="H713" s="1" t="n">
        <v>1581542</v>
      </c>
      <c r="I713" s="1" t="n">
        <v>11</v>
      </c>
      <c r="J713" s="1" t="s">
        <v>1753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1889</v>
      </c>
      <c r="E714" s="15" t="n">
        <v>46252</v>
      </c>
      <c r="F714" s="15" t="n">
        <v>46248</v>
      </c>
      <c r="G714" s="1" t="s">
        <v>1491</v>
      </c>
      <c r="H714" s="1" t="n">
        <v>1568081</v>
      </c>
      <c r="I714" s="1" t="n">
        <v>11</v>
      </c>
      <c r="J714" s="1" t="s">
        <v>1753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1783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1753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1874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1753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1771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1753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1771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1753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1772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1753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1761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1753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1849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1753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1863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1753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1890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1753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1773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1753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1774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1753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1808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1753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1808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1753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1856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1753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1856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1753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1771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1753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1832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1753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368</v>
      </c>
      <c r="C732" s="1" t="s">
        <v>36</v>
      </c>
      <c r="D732" s="1" t="s">
        <v>1765</v>
      </c>
      <c r="E732" s="15" t="n">
        <v>46254</v>
      </c>
      <c r="F732" s="15" t="n">
        <v>46254</v>
      </c>
      <c r="G732" s="1" t="s">
        <v>243</v>
      </c>
      <c r="H732" s="1" t="n">
        <v>1577556</v>
      </c>
      <c r="I732" s="1" t="n">
        <v>11</v>
      </c>
      <c r="J732" s="1" t="s">
        <v>1753</v>
      </c>
      <c r="K732" s="46" t="n">
        <v>1734.8</v>
      </c>
    </row>
    <row r="733" customFormat="false" ht="15" hidden="false" customHeight="true" outlineLevel="0" collapsed="false">
      <c r="A733" s="1" t="n">
        <v>2</v>
      </c>
      <c r="B733" s="1" t="n">
        <v>1666696</v>
      </c>
      <c r="C733" s="1" t="s">
        <v>1758</v>
      </c>
      <c r="D733" s="1" t="s">
        <v>1759</v>
      </c>
      <c r="E733" s="15" t="n">
        <v>46254</v>
      </c>
      <c r="F733" s="15" t="n">
        <v>46253</v>
      </c>
      <c r="G733" s="1" t="s">
        <v>416</v>
      </c>
      <c r="H733" s="1" t="n">
        <v>1576171</v>
      </c>
      <c r="I733" s="1" t="n">
        <v>11</v>
      </c>
      <c r="J733" s="1" t="s">
        <v>1753</v>
      </c>
      <c r="K733" s="46" t="n">
        <v>156</v>
      </c>
    </row>
    <row r="734" customFormat="false" ht="15" hidden="false" customHeight="true" outlineLevel="0" collapsed="false">
      <c r="A734" s="1" t="n">
        <v>2</v>
      </c>
      <c r="B734" s="1" t="n">
        <v>37213</v>
      </c>
      <c r="C734" s="1" t="s">
        <v>36</v>
      </c>
      <c r="D734" s="1" t="s">
        <v>1891</v>
      </c>
      <c r="E734" s="15" t="n">
        <v>46254</v>
      </c>
      <c r="F734" s="15" t="n">
        <v>46252</v>
      </c>
      <c r="G734" s="1" t="s">
        <v>1495</v>
      </c>
      <c r="H734" s="1" t="n">
        <v>1576139</v>
      </c>
      <c r="I734" s="1" t="n">
        <v>11</v>
      </c>
      <c r="J734" s="1" t="s">
        <v>1753</v>
      </c>
      <c r="K734" s="46" t="n">
        <v>842</v>
      </c>
    </row>
    <row r="735" customFormat="false" ht="15" hidden="false" customHeight="true" outlineLevel="0" collapsed="false">
      <c r="A735" s="1" t="n">
        <v>2</v>
      </c>
      <c r="B735" s="1" t="n">
        <v>2617</v>
      </c>
      <c r="C735" s="1" t="s">
        <v>36</v>
      </c>
      <c r="D735" s="1" t="s">
        <v>1771</v>
      </c>
      <c r="E735" s="15" t="n">
        <v>46254</v>
      </c>
      <c r="F735" s="15" t="n">
        <v>46254</v>
      </c>
      <c r="G735" s="1" t="s">
        <v>146</v>
      </c>
      <c r="H735" s="1" t="n">
        <v>1576425</v>
      </c>
      <c r="I735" s="1" t="n">
        <v>6</v>
      </c>
      <c r="J735" s="1" t="s">
        <v>1753</v>
      </c>
      <c r="K735" s="46" t="n">
        <v>300</v>
      </c>
    </row>
    <row r="736" customFormat="false" ht="15" hidden="false" customHeight="true" outlineLevel="0" collapsed="false">
      <c r="A736" s="1" t="n">
        <v>2</v>
      </c>
      <c r="B736" s="1" t="n">
        <v>1966312</v>
      </c>
      <c r="C736" s="1" t="s">
        <v>36</v>
      </c>
      <c r="D736" s="1" t="s">
        <v>1850</v>
      </c>
      <c r="E736" s="15" t="n">
        <v>46254</v>
      </c>
      <c r="F736" s="15" t="n">
        <v>46251</v>
      </c>
      <c r="G736" s="1" t="s">
        <v>176</v>
      </c>
      <c r="H736" s="1" t="n">
        <v>1577200</v>
      </c>
      <c r="I736" s="1" t="n">
        <v>11</v>
      </c>
      <c r="J736" s="1" t="s">
        <v>1753</v>
      </c>
      <c r="K736" s="46" t="n">
        <v>1564.9</v>
      </c>
    </row>
    <row r="737" customFormat="false" ht="15" hidden="false" customHeight="true" outlineLevel="0" collapsed="false">
      <c r="A737" s="1" t="n">
        <v>2</v>
      </c>
      <c r="B737" s="1" t="n">
        <v>32564</v>
      </c>
      <c r="C737" s="1" t="s">
        <v>36</v>
      </c>
      <c r="D737" s="1" t="s">
        <v>1776</v>
      </c>
      <c r="E737" s="15" t="n">
        <v>46254</v>
      </c>
      <c r="F737" s="15" t="n">
        <v>46253</v>
      </c>
      <c r="G737" s="1" t="s">
        <v>142</v>
      </c>
      <c r="H737" s="1" t="n">
        <v>1576222</v>
      </c>
      <c r="I737" s="1" t="n">
        <v>11</v>
      </c>
      <c r="J737" s="1" t="s">
        <v>1753</v>
      </c>
      <c r="K737" s="46" t="n">
        <v>1293.6</v>
      </c>
    </row>
    <row r="738" customFormat="false" ht="15" hidden="false" customHeight="true" outlineLevel="0" collapsed="false">
      <c r="A738" s="1" t="n">
        <v>2</v>
      </c>
      <c r="B738" s="1" t="n">
        <v>175169</v>
      </c>
      <c r="C738" s="1" t="s">
        <v>36</v>
      </c>
      <c r="D738" s="1" t="s">
        <v>1774</v>
      </c>
      <c r="E738" s="15" t="n">
        <v>46255</v>
      </c>
      <c r="F738" s="15" t="n">
        <v>46254</v>
      </c>
      <c r="G738" s="1" t="s">
        <v>373</v>
      </c>
      <c r="H738" s="1" t="n">
        <v>1581785</v>
      </c>
      <c r="I738" s="1" t="n">
        <v>11</v>
      </c>
      <c r="J738" s="1" t="s">
        <v>1753</v>
      </c>
      <c r="K738" s="46" t="n">
        <v>3809.5</v>
      </c>
    </row>
    <row r="739" customFormat="false" ht="15" hidden="false" customHeight="true" outlineLevel="0" collapsed="false">
      <c r="A739" s="1" t="n">
        <v>2</v>
      </c>
      <c r="B739" s="1" t="n">
        <v>1668090</v>
      </c>
      <c r="C739" s="1" t="s">
        <v>1758</v>
      </c>
      <c r="D739" s="1" t="s">
        <v>1759</v>
      </c>
      <c r="E739" s="15" t="n">
        <v>46255</v>
      </c>
      <c r="F739" s="15" t="n">
        <v>46255</v>
      </c>
      <c r="G739" s="1" t="s">
        <v>416</v>
      </c>
      <c r="H739" s="1" t="n">
        <v>1581998</v>
      </c>
      <c r="I739" s="1" t="n">
        <v>11</v>
      </c>
      <c r="J739" s="1" t="s">
        <v>1753</v>
      </c>
      <c r="K739" s="46" t="n">
        <v>100.5</v>
      </c>
    </row>
    <row r="740" customFormat="false" ht="15" hidden="false" customHeight="true" outlineLevel="0" collapsed="false">
      <c r="A740" s="1" t="n">
        <v>2</v>
      </c>
      <c r="B740" s="1" t="n">
        <v>39521</v>
      </c>
      <c r="C740" s="1" t="s">
        <v>1892</v>
      </c>
      <c r="D740" s="1" t="s">
        <v>1893</v>
      </c>
      <c r="E740" s="15" t="n">
        <v>46255</v>
      </c>
      <c r="F740" s="15" t="n">
        <v>46254</v>
      </c>
      <c r="G740" s="1" t="s">
        <v>1533</v>
      </c>
      <c r="H740" s="1" t="n">
        <v>1581136</v>
      </c>
      <c r="I740" s="1" t="n">
        <v>11</v>
      </c>
      <c r="J740" s="1" t="s">
        <v>1753</v>
      </c>
      <c r="K740" s="46" t="n">
        <v>2055.66</v>
      </c>
    </row>
    <row r="741" customFormat="false" ht="15" hidden="false" customHeight="true" outlineLevel="0" collapsed="false">
      <c r="A741" s="1" t="n">
        <v>2</v>
      </c>
      <c r="B741" s="1" t="n">
        <v>189</v>
      </c>
      <c r="C741" s="1" t="s">
        <v>36</v>
      </c>
      <c r="D741" s="1" t="s">
        <v>1878</v>
      </c>
      <c r="E741" s="15" t="n">
        <v>46255</v>
      </c>
      <c r="F741" s="15" t="n">
        <v>46253</v>
      </c>
      <c r="G741" s="1" t="s">
        <v>624</v>
      </c>
      <c r="H741" s="1" t="n">
        <v>1585107</v>
      </c>
      <c r="I741" s="1" t="n">
        <v>11</v>
      </c>
      <c r="J741" s="1" t="s">
        <v>1753</v>
      </c>
      <c r="K741" s="46" t="n">
        <v>200</v>
      </c>
    </row>
    <row r="742" customFormat="false" ht="15" hidden="false" customHeight="true" outlineLevel="0" collapsed="false">
      <c r="A742" s="1" t="n">
        <v>2</v>
      </c>
      <c r="B742" s="1" t="n">
        <v>398</v>
      </c>
      <c r="C742" s="1" t="s">
        <v>36</v>
      </c>
      <c r="D742" s="1" t="s">
        <v>1788</v>
      </c>
      <c r="E742" s="15" t="n">
        <v>46255</v>
      </c>
      <c r="F742" s="15" t="n">
        <v>46246</v>
      </c>
      <c r="G742" s="1" t="s">
        <v>109</v>
      </c>
      <c r="H742" s="1" t="n">
        <v>1580962</v>
      </c>
      <c r="I742" s="1" t="n">
        <v>11</v>
      </c>
      <c r="J742" s="1" t="s">
        <v>1753</v>
      </c>
      <c r="K742" s="46" t="n">
        <v>183</v>
      </c>
    </row>
    <row r="743" customFormat="false" ht="15" hidden="false" customHeight="true" outlineLevel="0" collapsed="false">
      <c r="A743" s="1" t="n">
        <v>2</v>
      </c>
      <c r="B743" s="1" t="n">
        <v>408</v>
      </c>
      <c r="C743" s="1" t="s">
        <v>36</v>
      </c>
      <c r="D743" s="1" t="s">
        <v>1788</v>
      </c>
      <c r="E743" s="15" t="n">
        <v>46255</v>
      </c>
      <c r="F743" s="15" t="n">
        <v>46255</v>
      </c>
      <c r="G743" s="1" t="s">
        <v>109</v>
      </c>
      <c r="H743" s="1" t="n">
        <v>1580972</v>
      </c>
      <c r="I743" s="1" t="n">
        <v>11</v>
      </c>
      <c r="J743" s="1" t="s">
        <v>1753</v>
      </c>
      <c r="K743" s="46" t="n">
        <v>183</v>
      </c>
    </row>
    <row r="744" customFormat="false" ht="15" hidden="false" customHeight="true" outlineLevel="0" collapsed="false">
      <c r="A744" s="1" t="n">
        <v>2</v>
      </c>
      <c r="B744" s="1" t="n">
        <v>2619</v>
      </c>
      <c r="C744" s="1" t="s">
        <v>36</v>
      </c>
      <c r="D744" s="1" t="s">
        <v>1771</v>
      </c>
      <c r="E744" s="15" t="n">
        <v>46255</v>
      </c>
      <c r="F744" s="15" t="n">
        <v>46255</v>
      </c>
      <c r="G744" s="1" t="s">
        <v>146</v>
      </c>
      <c r="H744" s="1" t="n">
        <v>1581741</v>
      </c>
      <c r="I744" s="1" t="n">
        <v>6</v>
      </c>
      <c r="J744" s="1" t="s">
        <v>1753</v>
      </c>
      <c r="K744" s="46" t="n">
        <v>300</v>
      </c>
    </row>
    <row r="745" customFormat="false" ht="15" hidden="false" customHeight="true" outlineLevel="0" collapsed="false">
      <c r="A745" s="1" t="n">
        <v>2</v>
      </c>
      <c r="B745" s="1" t="n">
        <v>2622</v>
      </c>
      <c r="C745" s="1" t="s">
        <v>36</v>
      </c>
      <c r="D745" s="1" t="s">
        <v>1771</v>
      </c>
      <c r="E745" s="15" t="n">
        <v>46255</v>
      </c>
      <c r="F745" s="15" t="n">
        <v>46255</v>
      </c>
      <c r="G745" s="1" t="s">
        <v>146</v>
      </c>
      <c r="H745" s="1" t="n">
        <v>1581902</v>
      </c>
      <c r="I745" s="1" t="n">
        <v>6</v>
      </c>
      <c r="J745" s="1" t="s">
        <v>1753</v>
      </c>
      <c r="K745" s="46" t="n">
        <v>200</v>
      </c>
    </row>
    <row r="746" customFormat="false" ht="15" hidden="false" customHeight="true" outlineLevel="0" collapsed="false">
      <c r="A746" s="1" t="n">
        <v>2</v>
      </c>
      <c r="B746" s="1" t="n">
        <v>2623</v>
      </c>
      <c r="C746" s="1" t="s">
        <v>36</v>
      </c>
      <c r="D746" s="1" t="s">
        <v>1771</v>
      </c>
      <c r="E746" s="15" t="n">
        <v>46255</v>
      </c>
      <c r="F746" s="15" t="n">
        <v>46255</v>
      </c>
      <c r="G746" s="1" t="s">
        <v>146</v>
      </c>
      <c r="H746" s="1" t="n">
        <v>1581941</v>
      </c>
      <c r="I746" s="1" t="n">
        <v>6</v>
      </c>
      <c r="J746" s="1" t="s">
        <v>1753</v>
      </c>
      <c r="K746" s="46" t="n">
        <v>1863.5</v>
      </c>
    </row>
    <row r="747" customFormat="false" ht="15" hidden="false" customHeight="true" outlineLevel="0" collapsed="false">
      <c r="A747" s="1" t="n">
        <v>2</v>
      </c>
      <c r="B747" s="1" t="n">
        <v>2624</v>
      </c>
      <c r="C747" s="1" t="s">
        <v>36</v>
      </c>
      <c r="D747" s="1" t="s">
        <v>1771</v>
      </c>
      <c r="E747" s="15" t="n">
        <v>46255</v>
      </c>
      <c r="F747" s="15" t="n">
        <v>46255</v>
      </c>
      <c r="G747" s="1" t="s">
        <v>146</v>
      </c>
      <c r="H747" s="1" t="n">
        <v>1582083</v>
      </c>
      <c r="I747" s="1" t="n">
        <v>6</v>
      </c>
      <c r="J747" s="1" t="s">
        <v>1753</v>
      </c>
      <c r="K747" s="46" t="n">
        <v>1383</v>
      </c>
    </row>
    <row r="748" customFormat="false" ht="15" hidden="false" customHeight="true" outlineLevel="0" collapsed="false">
      <c r="A748" s="1" t="n">
        <v>2</v>
      </c>
      <c r="B748" s="1" t="n">
        <v>3877</v>
      </c>
      <c r="C748" s="1" t="s">
        <v>36</v>
      </c>
      <c r="D748" s="1" t="s">
        <v>1762</v>
      </c>
      <c r="E748" s="15" t="n">
        <v>46255</v>
      </c>
      <c r="F748" s="15" t="n">
        <v>46255</v>
      </c>
      <c r="G748" s="1" t="s">
        <v>205</v>
      </c>
      <c r="H748" s="1" t="n">
        <v>1580948</v>
      </c>
      <c r="I748" s="1" t="n">
        <v>11</v>
      </c>
      <c r="J748" s="1" t="s">
        <v>1753</v>
      </c>
      <c r="K748" s="46" t="n">
        <v>814.25</v>
      </c>
    </row>
    <row r="749" customFormat="false" ht="15" hidden="false" customHeight="true" outlineLevel="0" collapsed="false">
      <c r="A749" s="1" t="n">
        <v>2</v>
      </c>
      <c r="B749" s="1" t="n">
        <v>613</v>
      </c>
      <c r="C749" s="1" t="s">
        <v>36</v>
      </c>
      <c r="D749" s="1" t="s">
        <v>1764</v>
      </c>
      <c r="E749" s="15" t="n">
        <v>46256</v>
      </c>
      <c r="F749" s="15" t="n">
        <v>46255</v>
      </c>
      <c r="G749" s="1" t="s">
        <v>144</v>
      </c>
      <c r="H749" s="1" t="n">
        <v>1585334</v>
      </c>
      <c r="I749" s="1" t="n">
        <v>11</v>
      </c>
      <c r="J749" s="1" t="s">
        <v>1753</v>
      </c>
      <c r="K749" s="46" t="n">
        <v>240</v>
      </c>
    </row>
    <row r="750" customFormat="false" ht="15" hidden="false" customHeight="true" outlineLevel="0" collapsed="false">
      <c r="A750" s="1" t="n">
        <v>2</v>
      </c>
      <c r="B750" s="1" t="n">
        <v>13976</v>
      </c>
      <c r="C750" s="1" t="s">
        <v>36</v>
      </c>
      <c r="D750" s="1" t="s">
        <v>1894</v>
      </c>
      <c r="E750" s="15" t="n">
        <v>46256</v>
      </c>
      <c r="F750" s="15" t="n">
        <v>46251</v>
      </c>
      <c r="G750" s="1" t="s">
        <v>75</v>
      </c>
      <c r="H750" s="1" t="n">
        <v>1585379</v>
      </c>
      <c r="I750" s="1" t="n">
        <v>39</v>
      </c>
      <c r="J750" s="1" t="s">
        <v>1753</v>
      </c>
      <c r="K750" s="46" t="n">
        <v>79.8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1797</v>
      </c>
      <c r="D751" s="1" t="s">
        <v>1798</v>
      </c>
      <c r="E751" s="15" t="n">
        <v>46256</v>
      </c>
      <c r="F751" s="15" t="n">
        <v>46253</v>
      </c>
      <c r="G751" s="1" t="s">
        <v>229</v>
      </c>
      <c r="H751" s="1" t="n">
        <v>1585257</v>
      </c>
      <c r="I751" s="1" t="n">
        <v>11</v>
      </c>
      <c r="J751" s="1" t="s">
        <v>1753</v>
      </c>
      <c r="K751" s="46" t="n">
        <v>21495.36</v>
      </c>
    </row>
    <row r="752" customFormat="false" ht="15" hidden="false" customHeight="true" outlineLevel="0" collapsed="false">
      <c r="A752" s="1" t="n">
        <v>2</v>
      </c>
      <c r="B752" s="1" t="n">
        <v>357892</v>
      </c>
      <c r="C752" s="1" t="s">
        <v>88</v>
      </c>
      <c r="D752" s="1" t="s">
        <v>1837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1753</v>
      </c>
      <c r="K752" s="46" t="n">
        <v>548.42</v>
      </c>
    </row>
    <row r="753" customFormat="false" ht="15" hidden="false" customHeight="true" outlineLevel="0" collapsed="false">
      <c r="A753" s="1" t="n">
        <v>2</v>
      </c>
      <c r="B753" s="1" t="n">
        <v>91661</v>
      </c>
      <c r="C753" s="1" t="s">
        <v>88</v>
      </c>
      <c r="D753" s="1" t="s">
        <v>1752</v>
      </c>
      <c r="E753" s="15" t="n">
        <v>46258</v>
      </c>
      <c r="F753" s="15" t="n">
        <v>46255</v>
      </c>
      <c r="G753" s="1" t="s">
        <v>239</v>
      </c>
      <c r="H753" s="1" t="n">
        <v>1594340</v>
      </c>
      <c r="I753" s="1" t="n">
        <v>11</v>
      </c>
      <c r="J753" s="1" t="s">
        <v>1753</v>
      </c>
      <c r="K753" s="46" t="n">
        <v>618.65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1758</v>
      </c>
      <c r="D754" s="1" t="s">
        <v>1759</v>
      </c>
      <c r="E754" s="15" t="n">
        <v>46258</v>
      </c>
      <c r="F754" s="15" t="n">
        <v>46256</v>
      </c>
      <c r="G754" s="1" t="s">
        <v>416</v>
      </c>
      <c r="H754" s="1" t="n">
        <v>1594273</v>
      </c>
      <c r="I754" s="1" t="n">
        <v>11</v>
      </c>
      <c r="J754" s="1" t="s">
        <v>1753</v>
      </c>
      <c r="K754" s="46" t="n">
        <v>140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36</v>
      </c>
      <c r="D755" s="1" t="s">
        <v>1878</v>
      </c>
      <c r="E755" s="15" t="n">
        <v>46258</v>
      </c>
      <c r="F755" s="15" t="n">
        <v>46256</v>
      </c>
      <c r="G755" s="1" t="s">
        <v>624</v>
      </c>
      <c r="H755" s="1" t="n">
        <v>1609741</v>
      </c>
      <c r="I755" s="1" t="n">
        <v>11</v>
      </c>
      <c r="J755" s="1" t="s">
        <v>1753</v>
      </c>
      <c r="K755" s="46" t="n">
        <v>140</v>
      </c>
    </row>
    <row r="756" customFormat="false" ht="15" hidden="false" customHeight="true" outlineLevel="0" collapsed="false">
      <c r="A756" s="1" t="n">
        <v>2</v>
      </c>
      <c r="B756" s="1" t="n">
        <v>15127</v>
      </c>
      <c r="C756" s="1" t="s">
        <v>36</v>
      </c>
      <c r="D756" s="1" t="s">
        <v>1760</v>
      </c>
      <c r="E756" s="15" t="n">
        <v>46258</v>
      </c>
      <c r="F756" s="15" t="n">
        <v>46256</v>
      </c>
      <c r="G756" s="1" t="s">
        <v>272</v>
      </c>
      <c r="H756" s="1" t="n">
        <v>1595549</v>
      </c>
      <c r="I756" s="1" t="n">
        <v>11</v>
      </c>
      <c r="J756" s="1" t="s">
        <v>1753</v>
      </c>
      <c r="K756" s="46" t="n">
        <v>4164.18</v>
      </c>
    </row>
    <row r="757" customFormat="false" ht="15" hidden="false" customHeight="true" outlineLevel="0" collapsed="false">
      <c r="A757" s="1" t="n">
        <v>2</v>
      </c>
      <c r="B757" s="1" t="n">
        <v>2625</v>
      </c>
      <c r="C757" s="1" t="s">
        <v>36</v>
      </c>
      <c r="D757" s="1" t="s">
        <v>1771</v>
      </c>
      <c r="E757" s="15" t="n">
        <v>46258</v>
      </c>
      <c r="F757" s="15" t="n">
        <v>46258</v>
      </c>
      <c r="G757" s="1" t="s">
        <v>146</v>
      </c>
      <c r="H757" s="1" t="n">
        <v>1595265</v>
      </c>
      <c r="I757" s="1" t="n">
        <v>6</v>
      </c>
      <c r="J757" s="1" t="s">
        <v>1753</v>
      </c>
      <c r="K757" s="46" t="n">
        <v>225</v>
      </c>
    </row>
    <row r="758" customFormat="false" ht="15" hidden="false" customHeight="true" outlineLevel="0" collapsed="false">
      <c r="A758" s="1" t="n">
        <v>2</v>
      </c>
      <c r="B758" s="1" t="n">
        <v>46622</v>
      </c>
      <c r="C758" s="1" t="s">
        <v>36</v>
      </c>
      <c r="D758" s="1" t="s">
        <v>1786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1753</v>
      </c>
      <c r="K758" s="46" t="n">
        <v>460</v>
      </c>
    </row>
    <row r="759" customFormat="false" ht="15" hidden="false" customHeight="true" outlineLevel="0" collapsed="false">
      <c r="A759" s="1" t="n">
        <v>2</v>
      </c>
      <c r="B759" s="1" t="n">
        <v>772</v>
      </c>
      <c r="C759" s="1" t="s">
        <v>88</v>
      </c>
      <c r="D759" s="1" t="s">
        <v>1761</v>
      </c>
      <c r="E759" s="15" t="n">
        <v>46258</v>
      </c>
      <c r="F759" s="15" t="n">
        <v>46256</v>
      </c>
      <c r="G759" s="1" t="s">
        <v>211</v>
      </c>
      <c r="H759" s="1" t="n">
        <v>1594447</v>
      </c>
      <c r="I759" s="1" t="n">
        <v>11</v>
      </c>
      <c r="J759" s="1" t="s">
        <v>1753</v>
      </c>
      <c r="K759" s="46" t="n">
        <v>265.81</v>
      </c>
    </row>
    <row r="760" customFormat="false" ht="15" hidden="false" customHeight="true" outlineLevel="0" collapsed="false">
      <c r="A760" s="1" t="n">
        <v>2</v>
      </c>
      <c r="B760" s="1" t="n">
        <v>621</v>
      </c>
      <c r="C760" s="1" t="s">
        <v>36</v>
      </c>
      <c r="D760" s="1" t="s">
        <v>1764</v>
      </c>
      <c r="E760" s="15" t="n">
        <v>46259</v>
      </c>
      <c r="F760" s="15" t="n">
        <v>46258</v>
      </c>
      <c r="G760" s="1" t="s">
        <v>144</v>
      </c>
      <c r="H760" s="1" t="n">
        <v>1599470</v>
      </c>
      <c r="I760" s="1" t="n">
        <v>11</v>
      </c>
      <c r="J760" s="1" t="s">
        <v>1753</v>
      </c>
      <c r="K760" s="46" t="n">
        <v>240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49</v>
      </c>
      <c r="D761" s="1" t="s">
        <v>1757</v>
      </c>
      <c r="E761" s="15" t="n">
        <v>46259</v>
      </c>
      <c r="F761" s="15" t="n">
        <v>46255</v>
      </c>
      <c r="G761" s="1" t="s">
        <v>131</v>
      </c>
      <c r="H761" s="1" t="n">
        <v>1600062</v>
      </c>
      <c r="I761" s="1" t="n">
        <v>11</v>
      </c>
      <c r="J761" s="1" t="s">
        <v>1753</v>
      </c>
      <c r="K761" s="46" t="n">
        <v>639.05</v>
      </c>
    </row>
    <row r="762" customFormat="false" ht="15" hidden="false" customHeight="true" outlineLevel="0" collapsed="false">
      <c r="A762" s="1" t="n">
        <v>2</v>
      </c>
      <c r="B762" s="1" t="n">
        <v>2004983</v>
      </c>
      <c r="C762" s="1" t="s">
        <v>67</v>
      </c>
      <c r="D762" s="1" t="s">
        <v>1757</v>
      </c>
      <c r="E762" s="15" t="n">
        <v>46259</v>
      </c>
      <c r="F762" s="15" t="n">
        <v>46255</v>
      </c>
      <c r="G762" s="1" t="s">
        <v>131</v>
      </c>
      <c r="H762" s="1" t="n">
        <v>1600073</v>
      </c>
      <c r="I762" s="1" t="n">
        <v>11</v>
      </c>
      <c r="J762" s="1" t="s">
        <v>1753</v>
      </c>
      <c r="K762" s="46" t="n">
        <v>3064.41</v>
      </c>
    </row>
    <row r="763" customFormat="false" ht="15" hidden="false" customHeight="true" outlineLevel="0" collapsed="false">
      <c r="A763" s="1" t="n">
        <v>2</v>
      </c>
      <c r="B763" s="1" t="n">
        <v>1038558</v>
      </c>
      <c r="C763" s="1" t="s">
        <v>36</v>
      </c>
      <c r="D763" s="1" t="s">
        <v>1767</v>
      </c>
      <c r="E763" s="15" t="n">
        <v>46259</v>
      </c>
      <c r="F763" s="15" t="n">
        <v>46258</v>
      </c>
      <c r="G763" s="1" t="s">
        <v>233</v>
      </c>
      <c r="H763" s="1" t="n">
        <v>1598912</v>
      </c>
      <c r="I763" s="1" t="n">
        <v>11</v>
      </c>
      <c r="J763" s="1" t="s">
        <v>1753</v>
      </c>
      <c r="K763" s="46" t="n">
        <v>437.2</v>
      </c>
    </row>
    <row r="764" customFormat="false" ht="15" hidden="false" customHeight="true" outlineLevel="0" collapsed="false">
      <c r="A764" s="1" t="n">
        <v>2</v>
      </c>
      <c r="B764" s="1" t="n">
        <v>1668884</v>
      </c>
      <c r="C764" s="1" t="s">
        <v>1758</v>
      </c>
      <c r="D764" s="1" t="s">
        <v>1759</v>
      </c>
      <c r="E764" s="15" t="n">
        <v>46259</v>
      </c>
      <c r="F764" s="15" t="n">
        <v>46258</v>
      </c>
      <c r="G764" s="1" t="s">
        <v>416</v>
      </c>
      <c r="H764" s="1" t="n">
        <v>1598935</v>
      </c>
      <c r="I764" s="1" t="n">
        <v>11</v>
      </c>
      <c r="J764" s="1" t="s">
        <v>1753</v>
      </c>
      <c r="K764" s="46" t="n">
        <v>126</v>
      </c>
    </row>
    <row r="765" customFormat="false" ht="15" hidden="false" customHeight="true" outlineLevel="0" collapsed="false">
      <c r="A765" s="1" t="n">
        <v>2</v>
      </c>
      <c r="B765" s="1" t="n">
        <v>229698</v>
      </c>
      <c r="C765" s="1" t="s">
        <v>88</v>
      </c>
      <c r="D765" s="1" t="s">
        <v>1785</v>
      </c>
      <c r="E765" s="15" t="n">
        <v>46259</v>
      </c>
      <c r="F765" s="15" t="n">
        <v>46259</v>
      </c>
      <c r="G765" s="1" t="s">
        <v>439</v>
      </c>
      <c r="H765" s="1" t="n">
        <v>1600435</v>
      </c>
      <c r="I765" s="1" t="n">
        <v>11</v>
      </c>
      <c r="J765" s="1" t="s">
        <v>1753</v>
      </c>
      <c r="K765" s="46" t="n">
        <v>363.97</v>
      </c>
    </row>
    <row r="766" customFormat="false" ht="15" hidden="false" customHeight="true" outlineLevel="0" collapsed="false">
      <c r="A766" s="1" t="n">
        <v>2</v>
      </c>
      <c r="B766" s="1" t="n">
        <v>1441731</v>
      </c>
      <c r="C766" s="1" t="s">
        <v>36</v>
      </c>
      <c r="D766" s="1" t="s">
        <v>1812</v>
      </c>
      <c r="E766" s="15" t="n">
        <v>46259</v>
      </c>
      <c r="F766" s="15" t="n">
        <v>46258</v>
      </c>
      <c r="G766" s="1" t="s">
        <v>469</v>
      </c>
      <c r="H766" s="1" t="n">
        <v>1600294</v>
      </c>
      <c r="I766" s="1" t="n">
        <v>11</v>
      </c>
      <c r="J766" s="1" t="s">
        <v>1753</v>
      </c>
      <c r="K766" s="46" t="n">
        <v>1255.7</v>
      </c>
    </row>
    <row r="767" customFormat="false" ht="15" hidden="false" customHeight="true" outlineLevel="0" collapsed="false">
      <c r="A767" s="1" t="n">
        <v>2</v>
      </c>
      <c r="B767" s="1" t="n">
        <v>1441732</v>
      </c>
      <c r="C767" s="1" t="s">
        <v>36</v>
      </c>
      <c r="D767" s="1" t="s">
        <v>1812</v>
      </c>
      <c r="E767" s="15" t="n">
        <v>46259</v>
      </c>
      <c r="F767" s="15" t="n">
        <v>46258</v>
      </c>
      <c r="G767" s="1" t="s">
        <v>469</v>
      </c>
      <c r="H767" s="1" t="n">
        <v>1600162</v>
      </c>
      <c r="I767" s="1" t="n">
        <v>11</v>
      </c>
      <c r="J767" s="1" t="s">
        <v>1753</v>
      </c>
      <c r="K767" s="46" t="n">
        <v>202.95</v>
      </c>
    </row>
    <row r="768" customFormat="false" ht="15" hidden="false" customHeight="true" outlineLevel="0" collapsed="false">
      <c r="A768" s="1" t="n">
        <v>2</v>
      </c>
      <c r="B768" s="1" t="n">
        <v>1442200</v>
      </c>
      <c r="C768" s="1" t="s">
        <v>36</v>
      </c>
      <c r="D768" s="1" t="s">
        <v>1812</v>
      </c>
      <c r="E768" s="15" t="n">
        <v>46259</v>
      </c>
      <c r="F768" s="15" t="n">
        <v>46258</v>
      </c>
      <c r="G768" s="1" t="s">
        <v>469</v>
      </c>
      <c r="H768" s="1" t="n">
        <v>1600188</v>
      </c>
      <c r="I768" s="1" t="n">
        <v>11</v>
      </c>
      <c r="J768" s="1" t="s">
        <v>1753</v>
      </c>
      <c r="K768" s="46" t="n">
        <v>1268.78</v>
      </c>
    </row>
    <row r="769" customFormat="false" ht="15" hidden="false" customHeight="true" outlineLevel="0" collapsed="false">
      <c r="A769" s="1" t="n">
        <v>2</v>
      </c>
      <c r="B769" s="1" t="n">
        <v>1442202</v>
      </c>
      <c r="C769" s="1" t="s">
        <v>36</v>
      </c>
      <c r="D769" s="1" t="s">
        <v>1812</v>
      </c>
      <c r="E769" s="15" t="n">
        <v>46259</v>
      </c>
      <c r="F769" s="15" t="n">
        <v>46258</v>
      </c>
      <c r="G769" s="1" t="s">
        <v>469</v>
      </c>
      <c r="H769" s="1" t="n">
        <v>1600136</v>
      </c>
      <c r="I769" s="1" t="n">
        <v>11</v>
      </c>
      <c r="J769" s="1" t="s">
        <v>1753</v>
      </c>
      <c r="K769" s="46" t="n">
        <v>1509.12</v>
      </c>
    </row>
    <row r="770" customFormat="false" ht="15" hidden="false" customHeight="true" outlineLevel="0" collapsed="false">
      <c r="A770" s="1" t="n">
        <v>2</v>
      </c>
      <c r="B770" s="1" t="n">
        <v>1442668</v>
      </c>
      <c r="C770" s="1" t="s">
        <v>36</v>
      </c>
      <c r="D770" s="1" t="s">
        <v>1812</v>
      </c>
      <c r="E770" s="15" t="n">
        <v>46259</v>
      </c>
      <c r="F770" s="15" t="n">
        <v>46258</v>
      </c>
      <c r="G770" s="1" t="s">
        <v>469</v>
      </c>
      <c r="H770" s="1" t="n">
        <v>1600343</v>
      </c>
      <c r="I770" s="1" t="n">
        <v>11</v>
      </c>
      <c r="J770" s="1" t="s">
        <v>1753</v>
      </c>
      <c r="K770" s="46" t="n">
        <v>2477.62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36</v>
      </c>
      <c r="D771" s="1" t="s">
        <v>1771</v>
      </c>
      <c r="E771" s="15" t="n">
        <v>46259</v>
      </c>
      <c r="F771" s="15" t="n">
        <v>46259</v>
      </c>
      <c r="G771" s="1" t="s">
        <v>146</v>
      </c>
      <c r="H771" s="1" t="n">
        <v>1599496</v>
      </c>
      <c r="I771" s="1" t="n">
        <v>6</v>
      </c>
      <c r="J771" s="1" t="s">
        <v>1753</v>
      </c>
      <c r="K771" s="46" t="n">
        <v>200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36</v>
      </c>
      <c r="D772" s="1" t="s">
        <v>1771</v>
      </c>
      <c r="E772" s="15" t="n">
        <v>46259</v>
      </c>
      <c r="F772" s="15" t="n">
        <v>46259</v>
      </c>
      <c r="G772" s="1" t="s">
        <v>146</v>
      </c>
      <c r="H772" s="1" t="n">
        <v>1600582</v>
      </c>
      <c r="I772" s="1" t="n">
        <v>6</v>
      </c>
      <c r="J772" s="1" t="s">
        <v>1753</v>
      </c>
      <c r="K772" s="46" t="n">
        <v>1352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36</v>
      </c>
      <c r="D773" s="1" t="s">
        <v>1772</v>
      </c>
      <c r="E773" s="15" t="n">
        <v>46259</v>
      </c>
      <c r="F773" s="15" t="n">
        <v>46258</v>
      </c>
      <c r="G773" s="1" t="s">
        <v>105</v>
      </c>
      <c r="H773" s="1" t="n">
        <v>1598926</v>
      </c>
      <c r="I773" s="1" t="n">
        <v>11</v>
      </c>
      <c r="J773" s="1" t="s">
        <v>1753</v>
      </c>
      <c r="K773" s="46" t="n">
        <v>215.9</v>
      </c>
    </row>
    <row r="774" customFormat="false" ht="15" hidden="false" customHeight="true" outlineLevel="0" collapsed="false">
      <c r="A774" s="1" t="n">
        <v>2</v>
      </c>
      <c r="B774" s="1" t="n">
        <v>1262474</v>
      </c>
      <c r="C774" s="1" t="s">
        <v>36</v>
      </c>
      <c r="D774" s="1" t="s">
        <v>1803</v>
      </c>
      <c r="E774" s="15" t="n">
        <v>46259</v>
      </c>
      <c r="F774" s="15" t="n">
        <v>46259</v>
      </c>
      <c r="G774" s="1" t="s">
        <v>462</v>
      </c>
      <c r="H774" s="1" t="n">
        <v>1599314</v>
      </c>
      <c r="I774" s="1" t="n">
        <v>11</v>
      </c>
      <c r="J774" s="1" t="s">
        <v>1753</v>
      </c>
      <c r="K774" s="46" t="n">
        <v>2372.5</v>
      </c>
    </row>
    <row r="775" customFormat="false" ht="15" hidden="false" customHeight="true" outlineLevel="0" collapsed="false">
      <c r="A775" s="1" t="n">
        <v>2</v>
      </c>
      <c r="B775" s="1" t="n">
        <v>1263938</v>
      </c>
      <c r="C775" s="1" t="s">
        <v>49</v>
      </c>
      <c r="D775" s="1" t="s">
        <v>1757</v>
      </c>
      <c r="E775" s="15" t="n">
        <v>46260</v>
      </c>
      <c r="F775" s="15" t="n">
        <v>46258</v>
      </c>
      <c r="G775" s="1" t="s">
        <v>131</v>
      </c>
      <c r="H775" s="1" t="n">
        <v>1603816</v>
      </c>
      <c r="I775" s="1" t="n">
        <v>11</v>
      </c>
      <c r="J775" s="1" t="s">
        <v>1753</v>
      </c>
      <c r="K775" s="46" t="n">
        <v>259.86</v>
      </c>
    </row>
    <row r="776" customFormat="false" ht="15" hidden="false" customHeight="true" outlineLevel="0" collapsed="false">
      <c r="A776" s="1" t="n">
        <v>2</v>
      </c>
      <c r="B776" s="1" t="n">
        <v>2007955</v>
      </c>
      <c r="C776" s="1" t="s">
        <v>67</v>
      </c>
      <c r="D776" s="1" t="s">
        <v>1757</v>
      </c>
      <c r="E776" s="15" t="n">
        <v>46260</v>
      </c>
      <c r="F776" s="15" t="n">
        <v>46258</v>
      </c>
      <c r="G776" s="1" t="s">
        <v>131</v>
      </c>
      <c r="H776" s="1" t="n">
        <v>1603837</v>
      </c>
      <c r="I776" s="1" t="n">
        <v>11</v>
      </c>
      <c r="J776" s="1" t="s">
        <v>1753</v>
      </c>
      <c r="K776" s="46" t="n">
        <v>3257.14</v>
      </c>
    </row>
    <row r="777" customFormat="false" ht="15" hidden="false" customHeight="true" outlineLevel="0" collapsed="false">
      <c r="A777" s="1" t="n">
        <v>2</v>
      </c>
      <c r="B777" s="1" t="n">
        <v>866347</v>
      </c>
      <c r="C777" s="1" t="s">
        <v>36</v>
      </c>
      <c r="D777" s="1" t="s">
        <v>1801</v>
      </c>
      <c r="E777" s="15" t="n">
        <v>46260</v>
      </c>
      <c r="F777" s="15" t="n">
        <v>46258</v>
      </c>
      <c r="G777" s="1" t="s">
        <v>192</v>
      </c>
      <c r="H777" s="1" t="n">
        <v>1603982</v>
      </c>
      <c r="I777" s="1" t="n">
        <v>11</v>
      </c>
      <c r="J777" s="1" t="s">
        <v>1753</v>
      </c>
      <c r="K777" s="46" t="n">
        <v>2530.95</v>
      </c>
    </row>
    <row r="778" customFormat="false" ht="15" hidden="false" customHeight="true" outlineLevel="0" collapsed="false">
      <c r="A778" s="1" t="n">
        <v>2</v>
      </c>
      <c r="B778" s="1" t="n">
        <v>8744</v>
      </c>
      <c r="C778" s="1" t="s">
        <v>36</v>
      </c>
      <c r="D778" s="1" t="s">
        <v>1852</v>
      </c>
      <c r="E778" s="15" t="n">
        <v>46260</v>
      </c>
      <c r="F778" s="15" t="n">
        <v>46259</v>
      </c>
      <c r="G778" s="1" t="s">
        <v>343</v>
      </c>
      <c r="H778" s="1" t="n">
        <v>1604138</v>
      </c>
      <c r="I778" s="1" t="n">
        <v>11</v>
      </c>
      <c r="J778" s="1" t="s">
        <v>1753</v>
      </c>
      <c r="K778" s="46" t="n">
        <v>3492.3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1758</v>
      </c>
      <c r="D779" s="1" t="s">
        <v>1759</v>
      </c>
      <c r="E779" s="15" t="n">
        <v>46260</v>
      </c>
      <c r="F779" s="15" t="n">
        <v>46260</v>
      </c>
      <c r="G779" s="1" t="s">
        <v>416</v>
      </c>
      <c r="H779" s="1" t="n">
        <v>1605240</v>
      </c>
      <c r="I779" s="1" t="n">
        <v>11</v>
      </c>
      <c r="J779" s="1" t="s">
        <v>1753</v>
      </c>
      <c r="K779" s="46" t="n">
        <v>137</v>
      </c>
    </row>
    <row r="780" customFormat="false" ht="15" hidden="false" customHeight="true" outlineLevel="0" collapsed="false">
      <c r="A780" s="1" t="n">
        <v>2</v>
      </c>
      <c r="B780" s="1" t="n">
        <v>33028</v>
      </c>
      <c r="C780" s="1" t="s">
        <v>61</v>
      </c>
      <c r="D780" s="1" t="s">
        <v>1792</v>
      </c>
      <c r="E780" s="15" t="n">
        <v>46260</v>
      </c>
      <c r="F780" s="15" t="n">
        <v>46260</v>
      </c>
      <c r="G780" s="1" t="s">
        <v>274</v>
      </c>
      <c r="H780" s="1" t="n">
        <v>1605116</v>
      </c>
      <c r="I780" s="1" t="n">
        <v>11</v>
      </c>
      <c r="J780" s="1" t="s">
        <v>1753</v>
      </c>
      <c r="K780" s="46" t="n">
        <v>5504.3</v>
      </c>
    </row>
    <row r="781" customFormat="false" ht="15" hidden="false" customHeight="true" outlineLevel="0" collapsed="false">
      <c r="A781" s="1" t="n">
        <v>2</v>
      </c>
      <c r="B781" s="1" t="n">
        <v>319020</v>
      </c>
      <c r="C781" s="1" t="s">
        <v>36</v>
      </c>
      <c r="D781" s="1" t="s">
        <v>1778</v>
      </c>
      <c r="E781" s="15" t="n">
        <v>46260</v>
      </c>
      <c r="F781" s="15" t="n">
        <v>46259</v>
      </c>
      <c r="G781" s="1" t="s">
        <v>96</v>
      </c>
      <c r="H781" s="1" t="n">
        <v>1605209</v>
      </c>
      <c r="I781" s="1" t="n">
        <v>11</v>
      </c>
      <c r="J781" s="1" t="s">
        <v>1753</v>
      </c>
      <c r="K781" s="46" t="n">
        <v>2029.99</v>
      </c>
    </row>
    <row r="782" customFormat="false" ht="15" hidden="false" customHeight="true" outlineLevel="0" collapsed="false">
      <c r="A782" s="1" t="n">
        <v>2</v>
      </c>
      <c r="B782" s="1" t="n">
        <v>110228</v>
      </c>
      <c r="C782" s="1" t="s">
        <v>76</v>
      </c>
      <c r="D782" s="1" t="s">
        <v>1895</v>
      </c>
      <c r="E782" s="15" t="n">
        <v>46260</v>
      </c>
      <c r="F782" s="15" t="n">
        <v>46260</v>
      </c>
      <c r="G782" s="1" t="s">
        <v>1593</v>
      </c>
      <c r="H782" s="1" t="n">
        <v>1605254</v>
      </c>
      <c r="I782" s="1" t="n">
        <v>39</v>
      </c>
      <c r="J782" s="1" t="s">
        <v>1753</v>
      </c>
      <c r="K782" s="46" t="n">
        <v>353.63</v>
      </c>
    </row>
    <row r="783" customFormat="false" ht="15" hidden="false" customHeight="true" outlineLevel="0" collapsed="false">
      <c r="A783" s="1" t="n">
        <v>2</v>
      </c>
      <c r="B783" s="1" t="n">
        <v>1430146</v>
      </c>
      <c r="C783" s="1" t="s">
        <v>36</v>
      </c>
      <c r="D783" s="1" t="s">
        <v>1795</v>
      </c>
      <c r="E783" s="15" t="n">
        <v>46260</v>
      </c>
      <c r="F783" s="15" t="n">
        <v>46254</v>
      </c>
      <c r="G783" s="1" t="s">
        <v>340</v>
      </c>
      <c r="H783" s="1" t="n">
        <v>1605098</v>
      </c>
      <c r="I783" s="1" t="n">
        <v>11</v>
      </c>
      <c r="J783" s="1" t="s">
        <v>1753</v>
      </c>
      <c r="K783" s="46" t="n">
        <v>1515.2</v>
      </c>
    </row>
    <row r="784" customFormat="false" ht="15" hidden="false" customHeight="true" outlineLevel="0" collapsed="false">
      <c r="A784" s="1" t="n">
        <v>2</v>
      </c>
      <c r="B784" s="1" t="n">
        <v>15150</v>
      </c>
      <c r="C784" s="1" t="s">
        <v>36</v>
      </c>
      <c r="D784" s="1" t="s">
        <v>1760</v>
      </c>
      <c r="E784" s="15" t="n">
        <v>46260</v>
      </c>
      <c r="F784" s="15" t="n">
        <v>46259</v>
      </c>
      <c r="G784" s="1" t="s">
        <v>272</v>
      </c>
      <c r="H784" s="1" t="n">
        <v>1604506</v>
      </c>
      <c r="I784" s="1" t="n">
        <v>11</v>
      </c>
      <c r="J784" s="1" t="s">
        <v>1753</v>
      </c>
      <c r="K784" s="46" t="n">
        <v>3363.75</v>
      </c>
    </row>
    <row r="785" customFormat="false" ht="15" hidden="false" customHeight="true" outlineLevel="0" collapsed="false">
      <c r="A785" s="1" t="n">
        <v>2</v>
      </c>
      <c r="B785" s="1" t="n">
        <v>2630</v>
      </c>
      <c r="C785" s="1" t="s">
        <v>36</v>
      </c>
      <c r="D785" s="1" t="s">
        <v>1771</v>
      </c>
      <c r="E785" s="15" t="n">
        <v>46260</v>
      </c>
      <c r="F785" s="15" t="n">
        <v>46260</v>
      </c>
      <c r="G785" s="1" t="s">
        <v>146</v>
      </c>
      <c r="H785" s="1" t="n">
        <v>1604345</v>
      </c>
      <c r="I785" s="1" t="n">
        <v>6</v>
      </c>
      <c r="J785" s="1" t="s">
        <v>1753</v>
      </c>
      <c r="K785" s="46" t="n">
        <v>225</v>
      </c>
    </row>
    <row r="786" customFormat="false" ht="15" hidden="false" customHeight="true" outlineLevel="0" collapsed="false">
      <c r="A786" s="1" t="n">
        <v>2</v>
      </c>
      <c r="B786" s="1" t="n">
        <v>447609</v>
      </c>
      <c r="C786" s="1" t="s">
        <v>76</v>
      </c>
      <c r="D786" s="1" t="s">
        <v>1836</v>
      </c>
      <c r="E786" s="15" t="n">
        <v>46260</v>
      </c>
      <c r="F786" s="15" t="n">
        <v>46259</v>
      </c>
      <c r="G786" s="1" t="s">
        <v>227</v>
      </c>
      <c r="H786" s="1" t="n">
        <v>1605152</v>
      </c>
      <c r="I786" s="1" t="n">
        <v>11</v>
      </c>
      <c r="J786" s="1" t="s">
        <v>1753</v>
      </c>
      <c r="K786" s="46" t="n">
        <v>4531.01</v>
      </c>
    </row>
    <row r="787" customFormat="false" ht="15" hidden="false" customHeight="true" outlineLevel="0" collapsed="false">
      <c r="A787" s="1" t="n">
        <v>2</v>
      </c>
      <c r="B787" s="1" t="n">
        <v>7287</v>
      </c>
      <c r="C787" s="1" t="s">
        <v>88</v>
      </c>
      <c r="D787" s="1" t="s">
        <v>1896</v>
      </c>
      <c r="E787" s="15" t="n">
        <v>46260</v>
      </c>
      <c r="F787" s="15" t="n">
        <v>46258</v>
      </c>
      <c r="G787" s="1" t="s">
        <v>1643</v>
      </c>
      <c r="H787" s="1" t="n">
        <v>1603777</v>
      </c>
      <c r="I787" s="1" t="n">
        <v>11</v>
      </c>
      <c r="J787" s="1" t="s">
        <v>1753</v>
      </c>
      <c r="K787" s="46" t="n">
        <v>348.18</v>
      </c>
    </row>
    <row r="788" customFormat="false" ht="15" hidden="false" customHeight="true" outlineLevel="0" collapsed="false">
      <c r="A788" s="1" t="n">
        <v>2</v>
      </c>
      <c r="B788" s="1" t="n">
        <v>374</v>
      </c>
      <c r="C788" s="1" t="s">
        <v>36</v>
      </c>
      <c r="D788" s="1" t="s">
        <v>1765</v>
      </c>
      <c r="E788" s="15" t="n">
        <v>46261</v>
      </c>
      <c r="F788" s="15" t="n">
        <v>46261</v>
      </c>
      <c r="G788" s="1" t="s">
        <v>243</v>
      </c>
      <c r="H788" s="1" t="n">
        <v>1610075</v>
      </c>
      <c r="I788" s="1" t="n">
        <v>11</v>
      </c>
      <c r="J788" s="1" t="s">
        <v>1753</v>
      </c>
      <c r="K788" s="46" t="n">
        <v>895</v>
      </c>
    </row>
    <row r="789" customFormat="false" ht="15" hidden="false" customHeight="true" outlineLevel="0" collapsed="false">
      <c r="A789" s="1" t="n">
        <v>2</v>
      </c>
      <c r="B789" s="1" t="n">
        <v>206697</v>
      </c>
      <c r="C789" s="1" t="s">
        <v>88</v>
      </c>
      <c r="D789" s="1" t="s">
        <v>1897</v>
      </c>
      <c r="E789" s="15" t="n">
        <v>46261</v>
      </c>
      <c r="F789" s="15" t="n">
        <v>46258</v>
      </c>
      <c r="G789" s="1" t="s">
        <v>1595</v>
      </c>
      <c r="H789" s="1" t="n">
        <v>1608544</v>
      </c>
      <c r="I789" s="1" t="n">
        <v>11</v>
      </c>
      <c r="J789" s="1" t="s">
        <v>1753</v>
      </c>
      <c r="K789" s="46" t="n">
        <v>2416.2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36</v>
      </c>
      <c r="D790" s="1" t="s">
        <v>1847</v>
      </c>
      <c r="E790" s="15" t="n">
        <v>46261</v>
      </c>
      <c r="F790" s="15" t="n">
        <v>46259</v>
      </c>
      <c r="G790" s="1" t="s">
        <v>870</v>
      </c>
      <c r="H790" s="1" t="n">
        <v>1608949</v>
      </c>
      <c r="I790" s="1" t="n">
        <v>11</v>
      </c>
      <c r="J790" s="1" t="s">
        <v>1753</v>
      </c>
      <c r="K790" s="46" t="n">
        <v>942.69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36</v>
      </c>
      <c r="D791" s="1" t="s">
        <v>1847</v>
      </c>
      <c r="E791" s="15" t="n">
        <v>46261</v>
      </c>
      <c r="F791" s="15" t="n">
        <v>46259</v>
      </c>
      <c r="G791" s="1" t="s">
        <v>870</v>
      </c>
      <c r="H791" s="1" t="n">
        <v>1608917</v>
      </c>
      <c r="I791" s="1" t="n">
        <v>11</v>
      </c>
      <c r="J791" s="1" t="s">
        <v>1753</v>
      </c>
      <c r="K791" s="46" t="n">
        <v>974.55</v>
      </c>
    </row>
    <row r="792" customFormat="false" ht="15" hidden="false" customHeight="true" outlineLevel="0" collapsed="false">
      <c r="A792" s="1" t="n">
        <v>2</v>
      </c>
      <c r="B792" s="1" t="n">
        <v>1719576</v>
      </c>
      <c r="C792" s="1" t="s">
        <v>36</v>
      </c>
      <c r="D792" s="1" t="s">
        <v>1769</v>
      </c>
      <c r="E792" s="15" t="n">
        <v>46261</v>
      </c>
      <c r="F792" s="15" t="n">
        <v>46260</v>
      </c>
      <c r="G792" s="1" t="s">
        <v>224</v>
      </c>
      <c r="H792" s="1" t="n">
        <v>1608374</v>
      </c>
      <c r="I792" s="1" t="n">
        <v>11</v>
      </c>
      <c r="J792" s="1" t="s">
        <v>1753</v>
      </c>
      <c r="K792" s="46" t="n">
        <v>774.74</v>
      </c>
    </row>
    <row r="793" customFormat="false" ht="15" hidden="false" customHeight="true" outlineLevel="0" collapsed="false">
      <c r="A793" s="1" t="n">
        <v>2</v>
      </c>
      <c r="B793" s="1" t="n">
        <v>3242273</v>
      </c>
      <c r="C793" s="1" t="s">
        <v>36</v>
      </c>
      <c r="D793" s="1" t="s">
        <v>1802</v>
      </c>
      <c r="E793" s="15" t="n">
        <v>46261</v>
      </c>
      <c r="F793" s="15" t="n">
        <v>46259</v>
      </c>
      <c r="G793" s="1" t="s">
        <v>98</v>
      </c>
      <c r="H793" s="1" t="n">
        <v>1609043</v>
      </c>
      <c r="I793" s="1" t="n">
        <v>11</v>
      </c>
      <c r="J793" s="1" t="s">
        <v>1753</v>
      </c>
      <c r="K793" s="46" t="n">
        <v>2195.6</v>
      </c>
    </row>
    <row r="794" customFormat="false" ht="15" hidden="false" customHeight="true" outlineLevel="0" collapsed="false">
      <c r="A794" s="1" t="n">
        <v>2</v>
      </c>
      <c r="B794" s="1" t="n">
        <v>213</v>
      </c>
      <c r="C794" s="1" t="s">
        <v>36</v>
      </c>
      <c r="D794" s="1" t="s">
        <v>1878</v>
      </c>
      <c r="E794" s="15" t="n">
        <v>46261</v>
      </c>
      <c r="F794" s="15" t="n">
        <v>46258</v>
      </c>
      <c r="G794" s="1" t="s">
        <v>624</v>
      </c>
      <c r="H794" s="1" t="n">
        <v>1613643</v>
      </c>
      <c r="I794" s="1" t="n">
        <v>11</v>
      </c>
      <c r="J794" s="1" t="s">
        <v>1753</v>
      </c>
      <c r="K794" s="46" t="n">
        <v>140</v>
      </c>
    </row>
    <row r="795" customFormat="false" ht="15" hidden="false" customHeight="true" outlineLevel="0" collapsed="false">
      <c r="A795" s="1" t="n">
        <v>2</v>
      </c>
      <c r="B795" s="1" t="n">
        <v>6042</v>
      </c>
      <c r="C795" s="1" t="s">
        <v>36</v>
      </c>
      <c r="D795" s="1" t="s">
        <v>1780</v>
      </c>
      <c r="E795" s="15" t="n">
        <v>46261</v>
      </c>
      <c r="F795" s="15" t="n">
        <v>46260</v>
      </c>
      <c r="G795" s="1" t="s">
        <v>103</v>
      </c>
      <c r="H795" s="1" t="n">
        <v>1609106</v>
      </c>
      <c r="I795" s="1" t="n">
        <v>11</v>
      </c>
      <c r="J795" s="1" t="s">
        <v>1753</v>
      </c>
      <c r="K795" s="46" t="n">
        <v>741.3</v>
      </c>
    </row>
    <row r="796" customFormat="false" ht="15" hidden="false" customHeight="true" outlineLevel="0" collapsed="false">
      <c r="A796" s="1" t="n">
        <v>2</v>
      </c>
      <c r="B796" s="1" t="n">
        <v>2859</v>
      </c>
      <c r="C796" s="1" t="s">
        <v>36</v>
      </c>
      <c r="D796" s="1" t="s">
        <v>1872</v>
      </c>
      <c r="E796" s="15" t="n">
        <v>46261</v>
      </c>
      <c r="F796" s="15" t="n">
        <v>46261</v>
      </c>
      <c r="G796" s="1" t="s">
        <v>925</v>
      </c>
      <c r="H796" s="1" t="n">
        <v>1609971</v>
      </c>
      <c r="I796" s="1" t="n">
        <v>11</v>
      </c>
      <c r="J796" s="1" t="s">
        <v>1753</v>
      </c>
      <c r="K796" s="46" t="n">
        <v>190</v>
      </c>
    </row>
    <row r="797" customFormat="false" ht="15" hidden="false" customHeight="true" outlineLevel="0" collapsed="false">
      <c r="A797" s="1" t="n">
        <v>2</v>
      </c>
      <c r="B797" s="1" t="n">
        <v>2635</v>
      </c>
      <c r="C797" s="1" t="s">
        <v>36</v>
      </c>
      <c r="D797" s="1" t="s">
        <v>1771</v>
      </c>
      <c r="E797" s="15" t="n">
        <v>46261</v>
      </c>
      <c r="F797" s="15" t="n">
        <v>46261</v>
      </c>
      <c r="G797" s="1" t="s">
        <v>146</v>
      </c>
      <c r="H797" s="1" t="n">
        <v>1609212</v>
      </c>
      <c r="I797" s="1" t="n">
        <v>6</v>
      </c>
      <c r="J797" s="1" t="s">
        <v>1753</v>
      </c>
      <c r="K797" s="46" t="n">
        <v>225</v>
      </c>
    </row>
    <row r="798" customFormat="false" ht="15" hidden="false" customHeight="true" outlineLevel="0" collapsed="false">
      <c r="A798" s="1" t="n">
        <v>2</v>
      </c>
      <c r="B798" s="1" t="n">
        <v>32719</v>
      </c>
      <c r="C798" s="1" t="s">
        <v>36</v>
      </c>
      <c r="D798" s="1" t="s">
        <v>1776</v>
      </c>
      <c r="E798" s="15" t="n">
        <v>46261</v>
      </c>
      <c r="F798" s="15" t="n">
        <v>46260</v>
      </c>
      <c r="G798" s="1" t="s">
        <v>142</v>
      </c>
      <c r="H798" s="1" t="n">
        <v>1608603</v>
      </c>
      <c r="I798" s="1" t="n">
        <v>11</v>
      </c>
      <c r="J798" s="1" t="s">
        <v>1753</v>
      </c>
      <c r="K798" s="46" t="n">
        <v>1069.2</v>
      </c>
    </row>
    <row r="799" customFormat="false" ht="15" hidden="false" customHeight="true" outlineLevel="0" collapsed="false">
      <c r="A799" s="1" t="n">
        <v>2</v>
      </c>
      <c r="B799" s="1" t="n">
        <v>10951</v>
      </c>
      <c r="C799" s="1" t="s">
        <v>36</v>
      </c>
      <c r="D799" s="1" t="s">
        <v>1851</v>
      </c>
      <c r="E799" s="15" t="n">
        <v>46261</v>
      </c>
      <c r="F799" s="15" t="n">
        <v>46261</v>
      </c>
      <c r="G799" s="1" t="s">
        <v>198</v>
      </c>
      <c r="H799" s="1" t="n">
        <v>1608886</v>
      </c>
      <c r="I799" s="1" t="n">
        <v>11</v>
      </c>
      <c r="J799" s="1" t="s">
        <v>1753</v>
      </c>
      <c r="K799" s="46" t="n">
        <v>228</v>
      </c>
    </row>
    <row r="800" customFormat="false" ht="15" hidden="false" customHeight="true" outlineLevel="0" collapsed="false">
      <c r="A800" s="1" t="n">
        <v>2</v>
      </c>
      <c r="B800" s="1" t="n">
        <v>588254</v>
      </c>
      <c r="C800" s="1" t="s">
        <v>36</v>
      </c>
      <c r="D800" s="1" t="s">
        <v>1863</v>
      </c>
      <c r="E800" s="15" t="n">
        <v>46261</v>
      </c>
      <c r="F800" s="15" t="n">
        <v>46258</v>
      </c>
      <c r="G800" s="1" t="s">
        <v>101</v>
      </c>
      <c r="H800" s="1" t="n">
        <v>1610044</v>
      </c>
      <c r="I800" s="1" t="n">
        <v>11</v>
      </c>
      <c r="J800" s="1" t="s">
        <v>1753</v>
      </c>
      <c r="K800" s="46" t="n">
        <v>271.46</v>
      </c>
    </row>
    <row r="801" customFormat="false" ht="15" hidden="false" customHeight="true" outlineLevel="0" collapsed="false">
      <c r="A801" s="1" t="n">
        <v>2</v>
      </c>
      <c r="B801" s="1" t="n">
        <v>20104</v>
      </c>
      <c r="C801" s="1" t="s">
        <v>85</v>
      </c>
      <c r="D801" s="1" t="s">
        <v>1800</v>
      </c>
      <c r="E801" s="15" t="n">
        <v>46262</v>
      </c>
      <c r="F801" s="15" t="n">
        <v>46261</v>
      </c>
      <c r="G801" s="1" t="s">
        <v>392</v>
      </c>
      <c r="H801" s="1" t="n">
        <v>1613781</v>
      </c>
      <c r="I801" s="1" t="n">
        <v>11</v>
      </c>
      <c r="J801" s="1" t="s">
        <v>1753</v>
      </c>
      <c r="K801" s="46" t="n">
        <v>3191.52</v>
      </c>
    </row>
    <row r="802" customFormat="false" ht="15" hidden="false" customHeight="true" outlineLevel="0" collapsed="false">
      <c r="A802" s="1" t="n">
        <v>2</v>
      </c>
      <c r="B802" s="1" t="n">
        <v>197945</v>
      </c>
      <c r="C802" s="1" t="s">
        <v>36</v>
      </c>
      <c r="D802" s="1" t="s">
        <v>1777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1753</v>
      </c>
      <c r="K802" s="46" t="n">
        <v>624.41</v>
      </c>
    </row>
    <row r="803" customFormat="false" ht="15" hidden="false" customHeight="true" outlineLevel="0" collapsed="false">
      <c r="A803" s="1" t="n">
        <v>2</v>
      </c>
      <c r="B803" s="1" t="n">
        <v>1671612</v>
      </c>
      <c r="C803" s="1" t="s">
        <v>1758</v>
      </c>
      <c r="D803" s="1" t="s">
        <v>1759</v>
      </c>
      <c r="E803" s="15" t="n">
        <v>46262</v>
      </c>
      <c r="F803" s="15" t="n">
        <v>46262</v>
      </c>
      <c r="G803" s="1" t="s">
        <v>416</v>
      </c>
      <c r="H803" s="1" t="n">
        <v>1614836</v>
      </c>
      <c r="I803" s="1" t="n">
        <v>11</v>
      </c>
      <c r="J803" s="1" t="s">
        <v>1753</v>
      </c>
      <c r="K803" s="46" t="n">
        <v>192</v>
      </c>
    </row>
    <row r="804" customFormat="false" ht="15" hidden="false" customHeight="true" outlineLevel="0" collapsed="false">
      <c r="A804" s="1" t="n">
        <v>2</v>
      </c>
      <c r="B804" s="1" t="n">
        <v>421</v>
      </c>
      <c r="C804" s="1" t="s">
        <v>36</v>
      </c>
      <c r="D804" s="1" t="s">
        <v>1788</v>
      </c>
      <c r="E804" s="15" t="n">
        <v>46262</v>
      </c>
      <c r="F804" s="15" t="n">
        <v>46262</v>
      </c>
      <c r="G804" s="1" t="s">
        <v>109</v>
      </c>
      <c r="H804" s="1" t="n">
        <v>1614658</v>
      </c>
      <c r="I804" s="1" t="n">
        <v>11</v>
      </c>
      <c r="J804" s="1" t="s">
        <v>1753</v>
      </c>
      <c r="K804" s="46" t="n">
        <v>214.5</v>
      </c>
    </row>
    <row r="805" customFormat="false" ht="15" hidden="false" customHeight="true" outlineLevel="0" collapsed="false">
      <c r="A805" s="1" t="n">
        <v>2</v>
      </c>
      <c r="B805" s="1" t="n">
        <v>532</v>
      </c>
      <c r="C805" s="1" t="s">
        <v>36</v>
      </c>
      <c r="D805" s="1" t="s">
        <v>1794</v>
      </c>
      <c r="E805" s="15" t="n">
        <v>46262</v>
      </c>
      <c r="F805" s="15" t="n">
        <v>46262</v>
      </c>
      <c r="G805" s="1" t="s">
        <v>356</v>
      </c>
      <c r="H805" s="1" t="n">
        <v>1614696</v>
      </c>
      <c r="I805" s="1" t="n">
        <v>11</v>
      </c>
      <c r="J805" s="1" t="s">
        <v>1753</v>
      </c>
      <c r="K805" s="46" t="n">
        <v>160.32</v>
      </c>
    </row>
    <row r="806" customFormat="false" ht="15" hidden="false" customHeight="true" outlineLevel="0" collapsed="false">
      <c r="A806" s="1" t="n">
        <v>2</v>
      </c>
      <c r="B806" s="1" t="n">
        <v>2636</v>
      </c>
      <c r="C806" s="1" t="s">
        <v>36</v>
      </c>
      <c r="D806" s="1" t="s">
        <v>1771</v>
      </c>
      <c r="E806" s="15" t="n">
        <v>46262</v>
      </c>
      <c r="F806" s="15" t="n">
        <v>46262</v>
      </c>
      <c r="G806" s="1" t="s">
        <v>146</v>
      </c>
      <c r="H806" s="1" t="n">
        <v>1614644</v>
      </c>
      <c r="I806" s="1" t="n">
        <v>6</v>
      </c>
      <c r="J806" s="1" t="s">
        <v>1753</v>
      </c>
      <c r="K806" s="46" t="n">
        <v>200</v>
      </c>
    </row>
    <row r="807" customFormat="false" ht="15" hidden="false" customHeight="true" outlineLevel="0" collapsed="false">
      <c r="A807" s="1" t="n">
        <v>2</v>
      </c>
      <c r="B807" s="1" t="n">
        <v>2637</v>
      </c>
      <c r="C807" s="1" t="s">
        <v>36</v>
      </c>
      <c r="D807" s="1" t="s">
        <v>1771</v>
      </c>
      <c r="E807" s="15" t="n">
        <v>46262</v>
      </c>
      <c r="F807" s="15" t="n">
        <v>46262</v>
      </c>
      <c r="G807" s="1" t="s">
        <v>146</v>
      </c>
      <c r="H807" s="1" t="n">
        <v>1614784</v>
      </c>
      <c r="I807" s="1" t="n">
        <v>6</v>
      </c>
      <c r="J807" s="1" t="s">
        <v>1753</v>
      </c>
      <c r="K807" s="46" t="n">
        <v>1457.5</v>
      </c>
    </row>
    <row r="808" customFormat="false" ht="15" hidden="false" customHeight="true" outlineLevel="0" collapsed="false">
      <c r="A808" s="1" t="n">
        <v>2</v>
      </c>
      <c r="B808" s="1" t="n">
        <v>13070</v>
      </c>
      <c r="C808" s="1" t="s">
        <v>76</v>
      </c>
      <c r="D808" s="1" t="s">
        <v>1890</v>
      </c>
      <c r="E808" s="15" t="n">
        <v>46262</v>
      </c>
      <c r="F808" s="15" t="n">
        <v>46261</v>
      </c>
      <c r="G808" s="1" t="s">
        <v>1423</v>
      </c>
      <c r="H808" s="1" t="n">
        <v>1614508</v>
      </c>
      <c r="I808" s="1" t="n">
        <v>11</v>
      </c>
      <c r="J808" s="1" t="s">
        <v>1753</v>
      </c>
      <c r="K808" s="46" t="n">
        <v>3641.86</v>
      </c>
    </row>
    <row r="809" customFormat="false" ht="15" hidden="false" customHeight="true" outlineLevel="0" collapsed="false">
      <c r="A809" s="1" t="n">
        <v>2</v>
      </c>
      <c r="B809" s="1" t="n">
        <v>627</v>
      </c>
      <c r="C809" s="1" t="s">
        <v>36</v>
      </c>
      <c r="D809" s="1" t="s">
        <v>1764</v>
      </c>
      <c r="E809" s="15" t="n">
        <v>46263</v>
      </c>
      <c r="F809" s="15" t="n">
        <v>46262</v>
      </c>
      <c r="G809" s="1" t="s">
        <v>144</v>
      </c>
      <c r="H809" s="1" t="n">
        <v>1618509</v>
      </c>
      <c r="I809" s="1" t="n">
        <v>11</v>
      </c>
      <c r="J809" s="1" t="s">
        <v>1753</v>
      </c>
      <c r="K809" s="46" t="n">
        <v>240</v>
      </c>
    </row>
    <row r="810" customFormat="false" ht="15" hidden="false" customHeight="true" outlineLevel="0" collapsed="false">
      <c r="A810" s="1" t="n">
        <v>2</v>
      </c>
      <c r="B810" s="1" t="n">
        <v>299</v>
      </c>
      <c r="C810" s="1" t="s">
        <v>36</v>
      </c>
      <c r="D810" s="1" t="s">
        <v>1866</v>
      </c>
      <c r="E810" s="15" t="n">
        <v>46263</v>
      </c>
      <c r="F810" s="15" t="n">
        <v>46262</v>
      </c>
      <c r="G810" s="1" t="s">
        <v>1539</v>
      </c>
      <c r="H810" s="1" t="n">
        <v>1618569</v>
      </c>
      <c r="I810" s="1" t="n">
        <v>11</v>
      </c>
      <c r="J810" s="1" t="s">
        <v>1753</v>
      </c>
      <c r="K810" s="46" t="n">
        <v>2024.87</v>
      </c>
    </row>
    <row r="811" customFormat="false" ht="15" hidden="false" customHeight="true" outlineLevel="0" collapsed="false">
      <c r="A811" s="1" t="n">
        <v>2</v>
      </c>
      <c r="B811" s="1" t="n">
        <v>218</v>
      </c>
      <c r="C811" s="1" t="s">
        <v>36</v>
      </c>
      <c r="D811" s="1" t="s">
        <v>1878</v>
      </c>
      <c r="E811" s="15" t="n">
        <v>46263</v>
      </c>
      <c r="F811" s="15" t="n">
        <v>46260</v>
      </c>
      <c r="G811" s="1" t="s">
        <v>624</v>
      </c>
      <c r="H811" s="1" t="n">
        <v>1628832</v>
      </c>
      <c r="I811" s="1" t="n">
        <v>11</v>
      </c>
      <c r="J811" s="1" t="s">
        <v>1753</v>
      </c>
      <c r="K811" s="46" t="n">
        <v>140</v>
      </c>
    </row>
    <row r="812" customFormat="false" ht="15" hidden="false" customHeight="true" outlineLevel="0" collapsed="false">
      <c r="A812" s="1" t="n">
        <v>2</v>
      </c>
      <c r="B812" s="1" t="n">
        <v>32154</v>
      </c>
      <c r="C812" s="1" t="s">
        <v>36</v>
      </c>
      <c r="D812" s="1" t="s">
        <v>1775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1753</v>
      </c>
      <c r="K812" s="46" t="n">
        <v>264</v>
      </c>
    </row>
    <row r="813" customFormat="false" ht="15" hidden="false" customHeight="true" outlineLevel="0" collapsed="false">
      <c r="A813" s="1" t="n">
        <v>2</v>
      </c>
      <c r="B813" s="1" t="n">
        <v>15192</v>
      </c>
      <c r="C813" s="1" t="s">
        <v>36</v>
      </c>
      <c r="D813" s="1" t="s">
        <v>1760</v>
      </c>
      <c r="E813" s="15" t="n">
        <v>46263</v>
      </c>
      <c r="F813" s="15" t="n">
        <v>46262</v>
      </c>
      <c r="G813" s="1" t="s">
        <v>272</v>
      </c>
      <c r="H813" s="1" t="n">
        <v>1618689</v>
      </c>
      <c r="I813" s="1" t="n">
        <v>11</v>
      </c>
      <c r="J813" s="1" t="s">
        <v>1753</v>
      </c>
      <c r="K813" s="46" t="n">
        <v>2771.2</v>
      </c>
    </row>
    <row r="814" customFormat="false" ht="15" hidden="false" customHeight="true" outlineLevel="0" collapsed="false">
      <c r="A814" s="1" t="n">
        <v>2</v>
      </c>
      <c r="B814" s="1" t="n">
        <v>2640</v>
      </c>
      <c r="C814" s="1" t="s">
        <v>36</v>
      </c>
      <c r="D814" s="1" t="s">
        <v>1771</v>
      </c>
      <c r="E814" s="15" t="n">
        <v>46263</v>
      </c>
      <c r="F814" s="15" t="n">
        <v>46263</v>
      </c>
      <c r="G814" s="1" t="s">
        <v>146</v>
      </c>
      <c r="H814" s="1" t="n">
        <v>1619409</v>
      </c>
      <c r="I814" s="1" t="n">
        <v>6</v>
      </c>
      <c r="J814" s="1" t="s">
        <v>1753</v>
      </c>
      <c r="K814" s="46" t="n">
        <v>300</v>
      </c>
    </row>
    <row r="815" customFormat="false" ht="15" hidden="false" customHeight="true" outlineLevel="0" collapsed="false">
      <c r="A815" s="1" t="n">
        <v>2</v>
      </c>
      <c r="B815" s="1" t="n">
        <v>1927745</v>
      </c>
      <c r="C815" s="1" t="s">
        <v>36</v>
      </c>
      <c r="D815" s="1" t="s">
        <v>1847</v>
      </c>
      <c r="E815" s="15" t="n">
        <v>46265</v>
      </c>
      <c r="F815" s="15" t="n">
        <v>46263</v>
      </c>
      <c r="G815" s="1" t="s">
        <v>870</v>
      </c>
      <c r="H815" s="1" t="n">
        <v>1629183</v>
      </c>
      <c r="I815" s="1" t="n">
        <v>11</v>
      </c>
      <c r="J815" s="1" t="s">
        <v>1753</v>
      </c>
      <c r="K815" s="46" t="n">
        <v>1348.29</v>
      </c>
    </row>
    <row r="816" customFormat="false" ht="15" hidden="false" customHeight="true" outlineLevel="0" collapsed="false">
      <c r="A816" s="1" t="n">
        <v>2</v>
      </c>
      <c r="B816" s="1" t="n">
        <v>4363</v>
      </c>
      <c r="C816" s="1" t="s">
        <v>76</v>
      </c>
      <c r="D816" s="1" t="s">
        <v>1773</v>
      </c>
      <c r="E816" s="15" t="n">
        <v>46265</v>
      </c>
      <c r="F816" s="15" t="n">
        <v>46260</v>
      </c>
      <c r="G816" s="1" t="s">
        <v>129</v>
      </c>
      <c r="H816" s="1" t="n">
        <v>1628847</v>
      </c>
      <c r="I816" s="1" t="n">
        <v>11</v>
      </c>
      <c r="J816" s="1" t="s">
        <v>1753</v>
      </c>
      <c r="K816" s="46" t="n">
        <v>938.06</v>
      </c>
    </row>
    <row r="817" customFormat="false" ht="15" hidden="false" customHeight="true" outlineLevel="0" collapsed="false">
      <c r="A817" s="1" t="n">
        <v>2</v>
      </c>
      <c r="B817" s="1" t="n">
        <v>1272321</v>
      </c>
      <c r="C817" s="1" t="s">
        <v>49</v>
      </c>
      <c r="D817" s="1" t="s">
        <v>1757</v>
      </c>
      <c r="E817" s="15" t="n">
        <v>46265</v>
      </c>
      <c r="F817" s="15" t="n">
        <v>46262</v>
      </c>
      <c r="G817" s="1" t="s">
        <v>131</v>
      </c>
      <c r="H817" s="1" t="n">
        <v>1630542</v>
      </c>
      <c r="I817" s="1" t="n">
        <v>11</v>
      </c>
      <c r="J817" s="1" t="s">
        <v>1753</v>
      </c>
      <c r="K817" s="46" t="n">
        <v>1134.85</v>
      </c>
    </row>
    <row r="818" customFormat="false" ht="15" hidden="false" customHeight="true" outlineLevel="0" collapsed="false">
      <c r="A818" s="1" t="n">
        <v>2</v>
      </c>
      <c r="B818" s="1" t="n">
        <v>982558</v>
      </c>
      <c r="C818" s="1" t="s">
        <v>1816</v>
      </c>
      <c r="D818" s="1" t="s">
        <v>1817</v>
      </c>
      <c r="E818" s="15" t="n">
        <v>46265</v>
      </c>
      <c r="F818" s="15" t="n">
        <v>46261</v>
      </c>
      <c r="G818" s="1" t="s">
        <v>235</v>
      </c>
      <c r="H818" s="1" t="n">
        <v>1630677</v>
      </c>
      <c r="I818" s="1" t="n">
        <v>11</v>
      </c>
      <c r="J818" s="1" t="s">
        <v>1753</v>
      </c>
      <c r="K818" s="46" t="n">
        <v>1823.82</v>
      </c>
    </row>
    <row r="819" customFormat="false" ht="15" hidden="false" customHeight="true" outlineLevel="0" collapsed="false">
      <c r="A819" s="1" t="n">
        <v>2</v>
      </c>
      <c r="B819" s="1" t="n">
        <v>656817</v>
      </c>
      <c r="C819" s="1" t="s">
        <v>36</v>
      </c>
      <c r="D819" s="1" t="s">
        <v>1808</v>
      </c>
      <c r="E819" s="15" t="n">
        <v>46265</v>
      </c>
      <c r="F819" s="15" t="n">
        <v>46262</v>
      </c>
      <c r="G819" s="1" t="s">
        <v>94</v>
      </c>
      <c r="H819" s="1" t="n">
        <v>1629497</v>
      </c>
      <c r="I819" s="1" t="n">
        <v>11</v>
      </c>
      <c r="J819" s="1" t="s">
        <v>1753</v>
      </c>
      <c r="K819" s="46" t="n">
        <v>1830.58</v>
      </c>
    </row>
    <row r="820" customFormat="false" ht="15" hidden="false" customHeight="true" outlineLevel="0" collapsed="false">
      <c r="A820" s="1" t="n">
        <v>2</v>
      </c>
      <c r="B820" s="1" t="n">
        <v>1672073</v>
      </c>
      <c r="C820" s="1" t="s">
        <v>1758</v>
      </c>
      <c r="D820" s="1" t="s">
        <v>1759</v>
      </c>
      <c r="E820" s="15" t="n">
        <v>46265</v>
      </c>
      <c r="F820" s="15" t="n">
        <v>46263</v>
      </c>
      <c r="G820" s="1" t="s">
        <v>416</v>
      </c>
      <c r="H820" s="1" t="n">
        <v>1628734</v>
      </c>
      <c r="I820" s="1" t="n">
        <v>11</v>
      </c>
      <c r="J820" s="1" t="s">
        <v>1753</v>
      </c>
      <c r="K820" s="46" t="n">
        <v>150</v>
      </c>
    </row>
    <row r="821" customFormat="false" ht="15" hidden="false" customHeight="true" outlineLevel="0" collapsed="false">
      <c r="A821" s="1" t="n">
        <v>2</v>
      </c>
      <c r="B821" s="1" t="n">
        <v>1672484</v>
      </c>
      <c r="C821" s="1" t="s">
        <v>1758</v>
      </c>
      <c r="D821" s="1" t="s">
        <v>1759</v>
      </c>
      <c r="E821" s="15" t="n">
        <v>46265</v>
      </c>
      <c r="F821" s="15" t="n">
        <v>46265</v>
      </c>
      <c r="G821" s="1" t="s">
        <v>416</v>
      </c>
      <c r="H821" s="1" t="n">
        <v>1630577</v>
      </c>
      <c r="I821" s="1" t="n">
        <v>11</v>
      </c>
      <c r="J821" s="1" t="s">
        <v>1753</v>
      </c>
      <c r="K821" s="46" t="n">
        <v>148.5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36</v>
      </c>
      <c r="D822" s="1" t="s">
        <v>1779</v>
      </c>
      <c r="E822" s="15" t="n">
        <v>46265</v>
      </c>
      <c r="F822" s="15" t="n">
        <v>46263</v>
      </c>
      <c r="G822" s="1" t="s">
        <v>187</v>
      </c>
      <c r="H822" s="1" t="n">
        <v>1628784</v>
      </c>
      <c r="I822" s="1" t="n">
        <v>11</v>
      </c>
      <c r="J822" s="1" t="s">
        <v>1753</v>
      </c>
      <c r="K822" s="46" t="n">
        <v>125</v>
      </c>
    </row>
    <row r="823" customFormat="false" ht="15" hidden="false" customHeight="true" outlineLevel="0" collapsed="false">
      <c r="A823" s="1" t="n">
        <v>2</v>
      </c>
      <c r="B823" s="1" t="n">
        <v>15213</v>
      </c>
      <c r="C823" s="1" t="s">
        <v>36</v>
      </c>
      <c r="D823" s="1" t="s">
        <v>1760</v>
      </c>
      <c r="E823" s="15" t="n">
        <v>46265</v>
      </c>
      <c r="F823" s="15" t="n">
        <v>46263</v>
      </c>
      <c r="G823" s="1" t="s">
        <v>272</v>
      </c>
      <c r="H823" s="1" t="n">
        <v>1629072</v>
      </c>
      <c r="I823" s="1" t="n">
        <v>11</v>
      </c>
      <c r="J823" s="1" t="s">
        <v>1753</v>
      </c>
      <c r="K823" s="46" t="n">
        <v>1557.6</v>
      </c>
    </row>
    <row r="824" customFormat="false" ht="15" hidden="false" customHeight="true" outlineLevel="0" collapsed="false">
      <c r="A824" s="1" t="n">
        <v>2</v>
      </c>
      <c r="B824" s="1" t="n">
        <v>2643</v>
      </c>
      <c r="C824" s="1" t="s">
        <v>36</v>
      </c>
      <c r="D824" s="1" t="s">
        <v>1771</v>
      </c>
      <c r="E824" s="15" t="n">
        <v>46265</v>
      </c>
      <c r="F824" s="15" t="n">
        <v>46265</v>
      </c>
      <c r="G824" s="1" t="s">
        <v>146</v>
      </c>
      <c r="H824" s="1" t="n">
        <v>1630071</v>
      </c>
      <c r="I824" s="1" t="n">
        <v>6</v>
      </c>
      <c r="J824" s="1" t="s">
        <v>1753</v>
      </c>
      <c r="K824" s="46" t="n">
        <v>300</v>
      </c>
    </row>
    <row r="825" customFormat="false" ht="15" hidden="false" customHeight="true" outlineLevel="0" collapsed="false">
      <c r="A825" s="1" t="n">
        <v>2</v>
      </c>
      <c r="B825" s="1" t="n">
        <v>4492</v>
      </c>
      <c r="C825" s="1" t="s">
        <v>36</v>
      </c>
      <c r="D825" s="1" t="s">
        <v>1772</v>
      </c>
      <c r="E825" s="15" t="n">
        <v>46265</v>
      </c>
      <c r="F825" s="15" t="n">
        <v>46262</v>
      </c>
      <c r="G825" s="1" t="s">
        <v>105</v>
      </c>
      <c r="H825" s="1" t="n">
        <v>1628793</v>
      </c>
      <c r="I825" s="1" t="n">
        <v>11</v>
      </c>
      <c r="J825" s="1" t="s">
        <v>1753</v>
      </c>
      <c r="K825" s="46" t="n">
        <v>300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88</v>
      </c>
      <c r="D826" s="1" t="s">
        <v>1761</v>
      </c>
      <c r="E826" s="15" t="n">
        <v>46265</v>
      </c>
      <c r="F826" s="15" t="n">
        <v>46263</v>
      </c>
      <c r="G826" s="1" t="s">
        <v>211</v>
      </c>
      <c r="H826" s="1" t="n">
        <v>1628810</v>
      </c>
      <c r="I826" s="1" t="n">
        <v>11</v>
      </c>
      <c r="J826" s="1" t="s">
        <v>1753</v>
      </c>
      <c r="K826" s="46" t="n">
        <v>180.22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88</v>
      </c>
      <c r="D827" s="1" t="s">
        <v>1761</v>
      </c>
      <c r="E827" s="15" t="n">
        <v>46265</v>
      </c>
      <c r="F827" s="15" t="n">
        <v>46265</v>
      </c>
      <c r="G827" s="1" t="s">
        <v>211</v>
      </c>
      <c r="H827" s="1" t="n">
        <v>1630506</v>
      </c>
      <c r="I827" s="1" t="n">
        <v>11</v>
      </c>
      <c r="J827" s="1" t="s">
        <v>1753</v>
      </c>
      <c r="K827" s="46" t="n">
        <v>90</v>
      </c>
    </row>
    <row r="828" customFormat="false" ht="15" hidden="false" customHeight="true" outlineLevel="0" collapsed="false">
      <c r="A828" s="1" t="n">
        <v>2</v>
      </c>
      <c r="B828" s="1" t="n">
        <v>13095</v>
      </c>
      <c r="C828" s="1" t="s">
        <v>76</v>
      </c>
      <c r="D828" s="1" t="s">
        <v>1890</v>
      </c>
      <c r="E828" s="15" t="n">
        <v>46265</v>
      </c>
      <c r="F828" s="15" t="n">
        <v>46262</v>
      </c>
      <c r="G828" s="1" t="s">
        <v>1423</v>
      </c>
      <c r="H828" s="1" t="n">
        <v>1629251</v>
      </c>
      <c r="I828" s="1" t="n">
        <v>11</v>
      </c>
      <c r="J828" s="1" t="s">
        <v>1753</v>
      </c>
      <c r="K828" s="46" t="n">
        <v>820</v>
      </c>
    </row>
    <row r="829" customFormat="false" ht="15" hidden="false" customHeight="true" outlineLevel="0" collapsed="false">
      <c r="A829" s="1" t="n">
        <v>2</v>
      </c>
      <c r="B829" s="1" t="n">
        <v>633</v>
      </c>
      <c r="C829" s="1" t="s">
        <v>36</v>
      </c>
      <c r="D829" s="1" t="s">
        <v>1764</v>
      </c>
      <c r="E829" s="15" t="n">
        <v>46266</v>
      </c>
      <c r="F829" s="15" t="n">
        <v>46265</v>
      </c>
      <c r="G829" s="1" t="s">
        <v>144</v>
      </c>
      <c r="H829" s="1" t="n">
        <v>1635004</v>
      </c>
      <c r="I829" s="1" t="n">
        <v>11</v>
      </c>
      <c r="J829" s="1" t="s">
        <v>1753</v>
      </c>
      <c r="K829" s="46" t="n">
        <v>180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36</v>
      </c>
      <c r="D830" s="1" t="s">
        <v>1784</v>
      </c>
      <c r="E830" s="15" t="n">
        <v>46266</v>
      </c>
      <c r="F830" s="15" t="n">
        <v>46265</v>
      </c>
      <c r="G830" s="1" t="s">
        <v>182</v>
      </c>
      <c r="H830" s="1" t="n">
        <v>1633942</v>
      </c>
      <c r="I830" s="1" t="n">
        <v>11</v>
      </c>
      <c r="J830" s="1" t="s">
        <v>1753</v>
      </c>
      <c r="K830" s="46" t="n">
        <v>540.99</v>
      </c>
    </row>
    <row r="831" customFormat="false" ht="15" hidden="false" customHeight="true" outlineLevel="0" collapsed="false">
      <c r="A831" s="1" t="n">
        <v>2</v>
      </c>
      <c r="B831" s="1" t="n">
        <v>1039683</v>
      </c>
      <c r="C831" s="1" t="s">
        <v>36</v>
      </c>
      <c r="D831" s="1" t="s">
        <v>1767</v>
      </c>
      <c r="E831" s="15" t="n">
        <v>46266</v>
      </c>
      <c r="F831" s="15" t="n">
        <v>46265</v>
      </c>
      <c r="G831" s="1" t="s">
        <v>233</v>
      </c>
      <c r="H831" s="1" t="n">
        <v>1633900</v>
      </c>
      <c r="I831" s="1" t="n">
        <v>11</v>
      </c>
      <c r="J831" s="1" t="s">
        <v>1753</v>
      </c>
      <c r="K831" s="46" t="n">
        <v>492.29</v>
      </c>
    </row>
    <row r="832" customFormat="false" ht="15" hidden="false" customHeight="true" outlineLevel="0" collapsed="false">
      <c r="A832" s="1" t="n">
        <v>2</v>
      </c>
      <c r="B832" s="1" t="n">
        <v>8802</v>
      </c>
      <c r="C832" s="1" t="s">
        <v>36</v>
      </c>
      <c r="D832" s="1" t="s">
        <v>1852</v>
      </c>
      <c r="E832" s="15" t="n">
        <v>46266</v>
      </c>
      <c r="F832" s="15" t="n">
        <v>46265</v>
      </c>
      <c r="G832" s="1" t="s">
        <v>343</v>
      </c>
      <c r="H832" s="1" t="n">
        <v>1633924</v>
      </c>
      <c r="I832" s="1" t="n">
        <v>39</v>
      </c>
      <c r="J832" s="1" t="s">
        <v>1753</v>
      </c>
      <c r="K832" s="46" t="n">
        <v>5330.2</v>
      </c>
    </row>
    <row r="833" customFormat="false" ht="15" hidden="false" customHeight="true" outlineLevel="0" collapsed="false">
      <c r="A833" s="1" t="n">
        <v>2</v>
      </c>
      <c r="B833" s="1" t="n">
        <v>2142</v>
      </c>
      <c r="C833" s="1" t="s">
        <v>36</v>
      </c>
      <c r="D833" s="1" t="s">
        <v>1793</v>
      </c>
      <c r="E833" s="15" t="n">
        <v>46266</v>
      </c>
      <c r="F833" s="15" t="n">
        <v>46266</v>
      </c>
      <c r="G833" s="1" t="s">
        <v>451</v>
      </c>
      <c r="H833" s="1" t="n">
        <v>1635021</v>
      </c>
      <c r="I833" s="1" t="n">
        <v>11</v>
      </c>
      <c r="J833" s="1" t="s">
        <v>1753</v>
      </c>
      <c r="K833" s="46" t="n">
        <v>250</v>
      </c>
    </row>
    <row r="834" customFormat="false" ht="15" hidden="false" customHeight="true" outlineLevel="0" collapsed="false">
      <c r="A834" s="1" t="n">
        <v>2</v>
      </c>
      <c r="B834" s="1" t="n">
        <v>2649</v>
      </c>
      <c r="C834" s="1" t="s">
        <v>36</v>
      </c>
      <c r="D834" s="1" t="s">
        <v>1771</v>
      </c>
      <c r="E834" s="15" t="n">
        <v>46266</v>
      </c>
      <c r="F834" s="15" t="n">
        <v>46266</v>
      </c>
      <c r="G834" s="1" t="s">
        <v>146</v>
      </c>
      <c r="H834" s="1" t="n">
        <v>1635063</v>
      </c>
      <c r="I834" s="1" t="n">
        <v>6</v>
      </c>
      <c r="J834" s="1" t="s">
        <v>1753</v>
      </c>
      <c r="K834" s="46" t="n">
        <v>315</v>
      </c>
    </row>
    <row r="835" customFormat="false" ht="15" hidden="false" customHeight="true" outlineLevel="0" collapsed="false">
      <c r="A835" s="1" t="n">
        <v>2</v>
      </c>
      <c r="B835" s="1" t="n">
        <v>2650</v>
      </c>
      <c r="C835" s="1" t="s">
        <v>36</v>
      </c>
      <c r="D835" s="1" t="s">
        <v>1771</v>
      </c>
      <c r="E835" s="15" t="n">
        <v>46266</v>
      </c>
      <c r="F835" s="15" t="n">
        <v>46266</v>
      </c>
      <c r="G835" s="1" t="s">
        <v>146</v>
      </c>
      <c r="H835" s="1" t="n">
        <v>1635174</v>
      </c>
      <c r="I835" s="1" t="n">
        <v>6</v>
      </c>
      <c r="J835" s="1" t="s">
        <v>1753</v>
      </c>
      <c r="K835" s="46" t="n">
        <v>1440</v>
      </c>
    </row>
    <row r="836" customFormat="false" ht="15" hidden="false" customHeight="true" outlineLevel="0" collapsed="false">
      <c r="A836" s="1" t="n">
        <v>2</v>
      </c>
      <c r="B836" s="1" t="n">
        <v>1674087</v>
      </c>
      <c r="C836" s="1" t="s">
        <v>1758</v>
      </c>
      <c r="D836" s="1" t="s">
        <v>1759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1753</v>
      </c>
      <c r="K836" s="46" t="n">
        <v>96</v>
      </c>
    </row>
    <row r="837" customFormat="false" ht="15" hidden="false" customHeight="true" outlineLevel="0" collapsed="false">
      <c r="A837" s="1" t="n">
        <v>2</v>
      </c>
      <c r="B837" s="1" t="n">
        <v>1796899</v>
      </c>
      <c r="C837" s="1" t="s">
        <v>1821</v>
      </c>
      <c r="D837" s="1" t="s">
        <v>1822</v>
      </c>
      <c r="E837" s="15" t="n">
        <v>46267</v>
      </c>
      <c r="F837" s="15" t="n">
        <v>46265</v>
      </c>
      <c r="G837" s="1" t="s">
        <v>172</v>
      </c>
      <c r="H837" s="1" t="n">
        <v>1643036</v>
      </c>
      <c r="I837" s="1" t="n">
        <v>11</v>
      </c>
      <c r="J837" s="1" t="s">
        <v>1753</v>
      </c>
      <c r="K837" s="46" t="n">
        <v>57.82</v>
      </c>
    </row>
    <row r="838" customFormat="false" ht="15" hidden="false" customHeight="true" outlineLevel="0" collapsed="false">
      <c r="A838" s="1" t="n">
        <v>2</v>
      </c>
      <c r="B838" s="1" t="n">
        <v>15237</v>
      </c>
      <c r="C838" s="1" t="s">
        <v>36</v>
      </c>
      <c r="D838" s="1" t="s">
        <v>1760</v>
      </c>
      <c r="E838" s="15" t="n">
        <v>46267</v>
      </c>
      <c r="F838" s="15" t="n">
        <v>46266</v>
      </c>
      <c r="G838" s="1" t="s">
        <v>272</v>
      </c>
      <c r="H838" s="1" t="n">
        <v>1638572</v>
      </c>
      <c r="I838" s="1" t="n">
        <v>11</v>
      </c>
      <c r="J838" s="1" t="s">
        <v>1753</v>
      </c>
      <c r="K838" s="46" t="n">
        <v>4886.4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36</v>
      </c>
      <c r="D839" s="1" t="s">
        <v>1771</v>
      </c>
      <c r="E839" s="15" t="n">
        <v>46267</v>
      </c>
      <c r="F839" s="15" t="n">
        <v>46267</v>
      </c>
      <c r="G839" s="1" t="s">
        <v>146</v>
      </c>
      <c r="H839" s="1" t="n">
        <v>1641414</v>
      </c>
      <c r="I839" s="1" t="n">
        <v>6</v>
      </c>
      <c r="J839" s="1" t="s">
        <v>1753</v>
      </c>
      <c r="K839" s="46" t="n">
        <v>300</v>
      </c>
    </row>
    <row r="840" customFormat="false" ht="15" hidden="false" customHeight="true" outlineLevel="0" collapsed="false">
      <c r="A840" s="1" t="n">
        <v>2</v>
      </c>
      <c r="B840" s="1" t="n">
        <v>491629</v>
      </c>
      <c r="C840" s="1" t="s">
        <v>36</v>
      </c>
      <c r="D840" s="1" t="s">
        <v>1790</v>
      </c>
      <c r="E840" s="15" t="n">
        <v>46268</v>
      </c>
      <c r="F840" s="15" t="n">
        <v>46263</v>
      </c>
      <c r="G840" s="1" t="s">
        <v>400</v>
      </c>
      <c r="H840" s="1" t="n">
        <v>1646714</v>
      </c>
      <c r="I840" s="1" t="n">
        <v>11</v>
      </c>
      <c r="J840" s="1" t="s">
        <v>1753</v>
      </c>
      <c r="K840" s="46" t="n">
        <v>229.85</v>
      </c>
    </row>
    <row r="841" customFormat="false" ht="15" hidden="false" customHeight="true" outlineLevel="0" collapsed="false">
      <c r="A841" s="1" t="n">
        <v>2</v>
      </c>
      <c r="B841" s="1" t="n">
        <v>4884</v>
      </c>
      <c r="C841" s="1" t="s">
        <v>76</v>
      </c>
      <c r="D841" s="1" t="s">
        <v>1773</v>
      </c>
      <c r="E841" s="15" t="n">
        <v>46268</v>
      </c>
      <c r="F841" s="15" t="n">
        <v>46267</v>
      </c>
      <c r="G841" s="1" t="s">
        <v>129</v>
      </c>
      <c r="H841" s="1" t="n">
        <v>1647278</v>
      </c>
      <c r="I841" s="1" t="n">
        <v>11</v>
      </c>
      <c r="J841" s="1" t="s">
        <v>1753</v>
      </c>
      <c r="K841" s="46" t="n">
        <v>278.1</v>
      </c>
    </row>
    <row r="842" customFormat="false" ht="15" hidden="false" customHeight="true" outlineLevel="0" collapsed="false">
      <c r="A842" s="1" t="n">
        <v>2</v>
      </c>
      <c r="B842" s="1" t="n">
        <v>993555</v>
      </c>
      <c r="C842" s="1" t="s">
        <v>1816</v>
      </c>
      <c r="D842" s="1" t="s">
        <v>1817</v>
      </c>
      <c r="E842" s="15" t="n">
        <v>46268</v>
      </c>
      <c r="F842" s="15" t="n">
        <v>46267</v>
      </c>
      <c r="G842" s="1" t="s">
        <v>235</v>
      </c>
      <c r="H842" s="1" t="n">
        <v>1646642</v>
      </c>
      <c r="I842" s="1" t="n">
        <v>11</v>
      </c>
      <c r="J842" s="1" t="s">
        <v>1753</v>
      </c>
      <c r="K842" s="46" t="n">
        <v>488.19</v>
      </c>
    </row>
    <row r="843" customFormat="false" ht="15" hidden="false" customHeight="true" outlineLevel="0" collapsed="false">
      <c r="A843" s="1" t="n">
        <v>2</v>
      </c>
      <c r="B843" s="1" t="n">
        <v>3867</v>
      </c>
      <c r="C843" s="1" t="s">
        <v>36</v>
      </c>
      <c r="D843" s="1" t="s">
        <v>1779</v>
      </c>
      <c r="E843" s="15" t="n">
        <v>46268</v>
      </c>
      <c r="F843" s="15" t="n">
        <v>46268</v>
      </c>
      <c r="G843" s="1" t="s">
        <v>187</v>
      </c>
      <c r="H843" s="1" t="n">
        <v>1647835</v>
      </c>
      <c r="I843" s="1" t="n">
        <v>11</v>
      </c>
      <c r="J843" s="1" t="s">
        <v>1753</v>
      </c>
      <c r="K843" s="46" t="n">
        <v>125</v>
      </c>
    </row>
    <row r="844" customFormat="false" ht="15" hidden="false" customHeight="true" outlineLevel="0" collapsed="false">
      <c r="A844" s="1" t="n">
        <v>2</v>
      </c>
      <c r="B844" s="1" t="n">
        <v>1796900</v>
      </c>
      <c r="C844" s="1" t="s">
        <v>1821</v>
      </c>
      <c r="D844" s="1" t="s">
        <v>1822</v>
      </c>
      <c r="E844" s="15" t="n">
        <v>46268</v>
      </c>
      <c r="F844" s="15" t="n">
        <v>46265</v>
      </c>
      <c r="G844" s="1" t="s">
        <v>172</v>
      </c>
      <c r="H844" s="1" t="n">
        <v>1646233</v>
      </c>
      <c r="I844" s="1" t="n">
        <v>11</v>
      </c>
      <c r="J844" s="1" t="s">
        <v>1753</v>
      </c>
      <c r="K844" s="46" t="n">
        <v>471.9</v>
      </c>
    </row>
    <row r="845" customFormat="false" ht="15" hidden="false" customHeight="true" outlineLevel="0" collapsed="false">
      <c r="A845" s="1" t="n">
        <v>2</v>
      </c>
      <c r="B845" s="1" t="n">
        <v>4523</v>
      </c>
      <c r="C845" s="1" t="s">
        <v>36</v>
      </c>
      <c r="D845" s="1" t="s">
        <v>1772</v>
      </c>
      <c r="E845" s="15" t="n">
        <v>46268</v>
      </c>
      <c r="F845" s="15" t="n">
        <v>46266</v>
      </c>
      <c r="G845" s="1" t="s">
        <v>105</v>
      </c>
      <c r="H845" s="1" t="n">
        <v>1646205</v>
      </c>
      <c r="I845" s="1" t="n">
        <v>11</v>
      </c>
      <c r="J845" s="1" t="s">
        <v>1753</v>
      </c>
      <c r="K845" s="46" t="n">
        <v>133.5</v>
      </c>
    </row>
    <row r="846" customFormat="false" ht="15" hidden="false" customHeight="true" outlineLevel="0" collapsed="false">
      <c r="A846" s="1" t="n">
        <v>2</v>
      </c>
      <c r="B846" s="1" t="n">
        <v>8180</v>
      </c>
      <c r="C846" s="1" t="s">
        <v>36</v>
      </c>
      <c r="D846" s="1" t="s">
        <v>1810</v>
      </c>
      <c r="E846" s="15" t="n">
        <v>46268</v>
      </c>
      <c r="F846" s="15" t="n">
        <v>46266</v>
      </c>
      <c r="G846" s="1" t="s">
        <v>428</v>
      </c>
      <c r="H846" s="1" t="n">
        <v>1646673</v>
      </c>
      <c r="I846" s="1" t="n">
        <v>11</v>
      </c>
      <c r="J846" s="1" t="s">
        <v>1753</v>
      </c>
      <c r="K846" s="46" t="n">
        <v>314</v>
      </c>
    </row>
    <row r="847" customFormat="false" ht="15" hidden="false" customHeight="true" outlineLevel="0" collapsed="false">
      <c r="A847" s="1" t="n">
        <v>2</v>
      </c>
      <c r="B847" s="1" t="n">
        <v>790</v>
      </c>
      <c r="C847" s="1" t="s">
        <v>88</v>
      </c>
      <c r="D847" s="1" t="s">
        <v>1761</v>
      </c>
      <c r="E847" s="15" t="n">
        <v>46268</v>
      </c>
      <c r="F847" s="15" t="n">
        <v>46268</v>
      </c>
      <c r="G847" s="1" t="s">
        <v>211</v>
      </c>
      <c r="H847" s="1" t="n">
        <v>1647875</v>
      </c>
      <c r="I847" s="1" t="n">
        <v>11</v>
      </c>
      <c r="J847" s="1" t="s">
        <v>1753</v>
      </c>
      <c r="K847" s="46" t="n">
        <v>204.77</v>
      </c>
    </row>
    <row r="848" customFormat="false" ht="15" hidden="false" customHeight="true" outlineLevel="0" collapsed="false">
      <c r="A848" s="1" t="n">
        <v>2</v>
      </c>
      <c r="B848" s="1" t="n">
        <v>572518</v>
      </c>
      <c r="C848" s="1" t="s">
        <v>1797</v>
      </c>
      <c r="D848" s="1" t="s">
        <v>1798</v>
      </c>
      <c r="E848" s="15" t="n">
        <v>46268</v>
      </c>
      <c r="F848" s="15" t="n">
        <v>46266</v>
      </c>
      <c r="G848" s="1" t="s">
        <v>229</v>
      </c>
      <c r="H848" s="1" t="n">
        <v>1647431</v>
      </c>
      <c r="I848" s="1" t="n">
        <v>11</v>
      </c>
      <c r="J848" s="1" t="s">
        <v>1753</v>
      </c>
      <c r="K848" s="46" t="n">
        <v>9523.55</v>
      </c>
    </row>
    <row r="849" customFormat="false" ht="15" hidden="false" customHeight="true" outlineLevel="0" collapsed="false">
      <c r="A849" s="1" t="n">
        <v>2</v>
      </c>
      <c r="B849" s="1" t="n">
        <v>894544</v>
      </c>
      <c r="C849" s="1" t="s">
        <v>36</v>
      </c>
      <c r="D849" s="1" t="s">
        <v>1815</v>
      </c>
      <c r="E849" s="15" t="n">
        <v>46269</v>
      </c>
      <c r="F849" s="15" t="n">
        <v>46268</v>
      </c>
      <c r="G849" s="1" t="s">
        <v>220</v>
      </c>
      <c r="H849" s="1" t="n">
        <v>1652069</v>
      </c>
      <c r="I849" s="1" t="n">
        <v>11</v>
      </c>
      <c r="J849" s="1" t="s">
        <v>1753</v>
      </c>
      <c r="K849" s="46" t="n">
        <v>365</v>
      </c>
    </row>
    <row r="850" customFormat="false" ht="15" hidden="false" customHeight="true" outlineLevel="0" collapsed="false">
      <c r="A850" s="1" t="n">
        <v>2</v>
      </c>
      <c r="B850" s="1" t="n">
        <v>378</v>
      </c>
      <c r="C850" s="1" t="s">
        <v>36</v>
      </c>
      <c r="D850" s="1" t="s">
        <v>1765</v>
      </c>
      <c r="E850" s="15" t="n">
        <v>46269</v>
      </c>
      <c r="F850" s="15" t="n">
        <v>46268</v>
      </c>
      <c r="G850" s="1" t="s">
        <v>243</v>
      </c>
      <c r="H850" s="1" t="n">
        <v>1653363</v>
      </c>
      <c r="I850" s="1" t="n">
        <v>11</v>
      </c>
      <c r="J850" s="1" t="s">
        <v>1753</v>
      </c>
      <c r="K850" s="46" t="n">
        <v>1045</v>
      </c>
    </row>
    <row r="851" customFormat="false" ht="15" hidden="false" customHeight="true" outlineLevel="0" collapsed="false">
      <c r="A851" s="1" t="n">
        <v>2</v>
      </c>
      <c r="B851" s="1" t="n">
        <v>1627324</v>
      </c>
      <c r="C851" s="1" t="s">
        <v>36</v>
      </c>
      <c r="D851" s="1" t="s">
        <v>1807</v>
      </c>
      <c r="E851" s="15" t="n">
        <v>46269</v>
      </c>
      <c r="F851" s="15" t="n">
        <v>46269</v>
      </c>
      <c r="G851" s="1" t="s">
        <v>107</v>
      </c>
      <c r="H851" s="1" t="n">
        <v>1653042</v>
      </c>
      <c r="I851" s="1" t="n">
        <v>11</v>
      </c>
      <c r="J851" s="1" t="s">
        <v>1753</v>
      </c>
      <c r="K851" s="46" t="n">
        <v>4591.99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36</v>
      </c>
      <c r="D852" s="1" t="s">
        <v>1769</v>
      </c>
      <c r="E852" s="15" t="n">
        <v>46269</v>
      </c>
      <c r="F852" s="15" t="n">
        <v>46268</v>
      </c>
      <c r="G852" s="1" t="s">
        <v>224</v>
      </c>
      <c r="H852" s="1" t="n">
        <v>1652919</v>
      </c>
      <c r="I852" s="1" t="n">
        <v>11</v>
      </c>
      <c r="J852" s="1" t="s">
        <v>1753</v>
      </c>
      <c r="K852" s="46" t="n">
        <v>3999.35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36</v>
      </c>
      <c r="D853" s="1" t="s">
        <v>1769</v>
      </c>
      <c r="E853" s="15" t="n">
        <v>46269</v>
      </c>
      <c r="F853" s="15" t="n">
        <v>46268</v>
      </c>
      <c r="G853" s="1" t="s">
        <v>224</v>
      </c>
      <c r="H853" s="1" t="n">
        <v>1652216</v>
      </c>
      <c r="I853" s="1" t="n">
        <v>11</v>
      </c>
      <c r="J853" s="1" t="s">
        <v>1753</v>
      </c>
      <c r="K853" s="46" t="n">
        <v>832.2</v>
      </c>
    </row>
    <row r="854" customFormat="false" ht="15" hidden="false" customHeight="true" outlineLevel="0" collapsed="false">
      <c r="A854" s="1" t="n">
        <v>2</v>
      </c>
      <c r="B854" s="1" t="n">
        <v>1675430</v>
      </c>
      <c r="C854" s="1" t="s">
        <v>1758</v>
      </c>
      <c r="D854" s="1" t="s">
        <v>1759</v>
      </c>
      <c r="E854" s="15" t="n">
        <v>46269</v>
      </c>
      <c r="F854" s="15" t="n">
        <v>46269</v>
      </c>
      <c r="G854" s="1" t="s">
        <v>416</v>
      </c>
      <c r="H854" s="1" t="n">
        <v>1652472</v>
      </c>
      <c r="I854" s="1" t="n">
        <v>11</v>
      </c>
      <c r="J854" s="1" t="s">
        <v>1753</v>
      </c>
      <c r="K854" s="46" t="n">
        <v>166.5</v>
      </c>
    </row>
    <row r="855" customFormat="false" ht="15" hidden="false" customHeight="true" outlineLevel="0" collapsed="false">
      <c r="A855" s="1" t="n">
        <v>2</v>
      </c>
      <c r="B855" s="1" t="n">
        <v>58376</v>
      </c>
      <c r="C855" s="1" t="s">
        <v>36</v>
      </c>
      <c r="D855" s="1" t="s">
        <v>1811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1753</v>
      </c>
      <c r="K855" s="46" t="n">
        <v>495.11</v>
      </c>
    </row>
    <row r="856" customFormat="false" ht="15" hidden="false" customHeight="true" outlineLevel="0" collapsed="false">
      <c r="A856" s="1" t="n">
        <v>2</v>
      </c>
      <c r="B856" s="1" t="n">
        <v>401423</v>
      </c>
      <c r="C856" s="1" t="s">
        <v>36</v>
      </c>
      <c r="D856" s="1" t="s">
        <v>1782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1753</v>
      </c>
      <c r="K856" s="46" t="n">
        <v>474.45</v>
      </c>
    </row>
    <row r="857" customFormat="false" ht="15" hidden="false" customHeight="true" outlineLevel="0" collapsed="false">
      <c r="A857" s="1" t="n">
        <v>2</v>
      </c>
      <c r="B857" s="1" t="n">
        <v>427</v>
      </c>
      <c r="C857" s="1" t="s">
        <v>36</v>
      </c>
      <c r="D857" s="1" t="s">
        <v>1788</v>
      </c>
      <c r="E857" s="15" t="n">
        <v>46269</v>
      </c>
      <c r="F857" s="15" t="n">
        <v>46269</v>
      </c>
      <c r="G857" s="1" t="s">
        <v>109</v>
      </c>
      <c r="H857" s="1" t="n">
        <v>1651831</v>
      </c>
      <c r="I857" s="1" t="n">
        <v>11</v>
      </c>
      <c r="J857" s="1" t="s">
        <v>1753</v>
      </c>
      <c r="K857" s="46" t="n">
        <v>177.5</v>
      </c>
    </row>
    <row r="858" customFormat="false" ht="15" hidden="false" customHeight="true" outlineLevel="0" collapsed="false">
      <c r="A858" s="1" t="n">
        <v>2</v>
      </c>
      <c r="B858" s="1" t="n">
        <v>1440541</v>
      </c>
      <c r="C858" s="1" t="s">
        <v>36</v>
      </c>
      <c r="D858" s="1" t="s">
        <v>1795</v>
      </c>
      <c r="E858" s="15" t="n">
        <v>46269</v>
      </c>
      <c r="F858" s="15" t="n">
        <v>46266</v>
      </c>
      <c r="G858" s="1" t="s">
        <v>340</v>
      </c>
      <c r="H858" s="1" t="n">
        <v>1651521</v>
      </c>
      <c r="I858" s="1" t="n">
        <v>11</v>
      </c>
      <c r="J858" s="1" t="s">
        <v>1753</v>
      </c>
      <c r="K858" s="46" t="n">
        <v>1917.5</v>
      </c>
    </row>
    <row r="859" customFormat="false" ht="15" hidden="false" customHeight="true" outlineLevel="0" collapsed="false">
      <c r="A859" s="1" t="n">
        <v>2</v>
      </c>
      <c r="B859" s="1" t="n">
        <v>2654</v>
      </c>
      <c r="C859" s="1" t="s">
        <v>36</v>
      </c>
      <c r="D859" s="1" t="s">
        <v>1771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1753</v>
      </c>
      <c r="K859" s="46" t="n">
        <v>300</v>
      </c>
    </row>
    <row r="860" customFormat="false" ht="15" hidden="false" customHeight="true" outlineLevel="0" collapsed="false">
      <c r="A860" s="1" t="n">
        <v>2</v>
      </c>
      <c r="B860" s="1" t="n">
        <v>2656</v>
      </c>
      <c r="C860" s="1" t="s">
        <v>36</v>
      </c>
      <c r="D860" s="1" t="s">
        <v>1771</v>
      </c>
      <c r="E860" s="15" t="n">
        <v>46269</v>
      </c>
      <c r="F860" s="15" t="n">
        <v>46269</v>
      </c>
      <c r="G860" s="1" t="s">
        <v>146</v>
      </c>
      <c r="H860" s="1" t="n">
        <v>1652758</v>
      </c>
      <c r="I860" s="1" t="n">
        <v>6</v>
      </c>
      <c r="J860" s="1" t="s">
        <v>1753</v>
      </c>
      <c r="K860" s="46" t="n">
        <v>340</v>
      </c>
    </row>
    <row r="861" customFormat="false" ht="15" hidden="false" customHeight="true" outlineLevel="0" collapsed="false">
      <c r="A861" s="1" t="n">
        <v>2</v>
      </c>
      <c r="B861" s="1" t="n">
        <v>2657</v>
      </c>
      <c r="C861" s="1" t="s">
        <v>36</v>
      </c>
      <c r="D861" s="1" t="s">
        <v>1771</v>
      </c>
      <c r="E861" s="15" t="n">
        <v>46269</v>
      </c>
      <c r="F861" s="15" t="n">
        <v>46269</v>
      </c>
      <c r="G861" s="1" t="s">
        <v>146</v>
      </c>
      <c r="H861" s="1" t="n">
        <v>1653148</v>
      </c>
      <c r="I861" s="1" t="n">
        <v>6</v>
      </c>
      <c r="J861" s="1" t="s">
        <v>1753</v>
      </c>
      <c r="K861" s="46" t="n">
        <v>1972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1714</v>
      </c>
      <c r="C1" s="1" t="s">
        <v>1898</v>
      </c>
      <c r="D1" s="1" t="s">
        <v>1899</v>
      </c>
      <c r="E1" s="1" t="s">
        <v>1900</v>
      </c>
      <c r="F1" s="1" t="s">
        <v>13</v>
      </c>
      <c r="I1" s="1" t="s">
        <v>1901</v>
      </c>
      <c r="J1" s="1" t="s">
        <v>1902</v>
      </c>
      <c r="K1" s="1" t="s">
        <v>1903</v>
      </c>
      <c r="L1" s="1" t="s">
        <v>1904</v>
      </c>
      <c r="N1" s="1" t="s">
        <v>1905</v>
      </c>
      <c r="O1" s="1" t="s">
        <v>1906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1907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1908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1907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1909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1907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1910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1907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1911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1907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1912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1907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1913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1907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1914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1907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1915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1907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1916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1907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1917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1907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1918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1907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1919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1907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1920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1907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1921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1907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1922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1907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1923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1907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1924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1907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1925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1907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1926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1907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1927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1907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1928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1907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1929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1907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1930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1907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1931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1907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1932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1907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1933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1907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1934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1935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1936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1935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1937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1935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1938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1935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1939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1935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1940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1935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1941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1935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1942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1943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1944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1943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1944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1943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1945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1943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1946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1943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1947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1943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1948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1943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1949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1943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1950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1943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1950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1943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1951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1943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1952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1943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1953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1943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1954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1943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1955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1943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1956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1943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1957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1943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1958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1943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1959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1943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1960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1943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1960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1943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1961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1943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1961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1943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1962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1943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1962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1963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1944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1963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1949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1963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1950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1963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1951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1963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1952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1963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1953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1963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1954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1963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1955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1963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1956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1963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1957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1963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1958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1963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1959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1963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1960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1963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1961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1963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1962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1963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1944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1963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1945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1963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1946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1963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1947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1963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1948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1963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1950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1963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1960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1963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1961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1963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1962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1907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1964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1907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1965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1907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1966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1907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1967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1907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1968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1907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1969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1907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1970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1907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1971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1907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1910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1907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1972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1907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1973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1907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1974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1907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1975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1907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1976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1907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1977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1907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1978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1907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1979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1907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1980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1907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1981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1907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1929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1907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1931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1907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1982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1907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1983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1907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1984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1907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1985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1907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1986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1907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1987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1907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1988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1907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1989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1907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1990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1907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1991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1907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1992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1907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1993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1907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1994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1907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1995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1907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1996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1997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1998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1997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1999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1997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2000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1997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2001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1997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2002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1997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2003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1997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2004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1997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2005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1997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2006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1997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2007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1997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2008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1997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2009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1997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2010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1997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2011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1997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2012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1997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2013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1997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2014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1997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2015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1997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2016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2017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1998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2017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1999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2017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2000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2017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2001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2017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2002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2017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2003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2017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2004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2017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2005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2017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2006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2017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2007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2017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2008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2017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2009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2017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2010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2017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2011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2017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2012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2017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2013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2017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2014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2017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2015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2017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2016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1907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1913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1907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2018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1907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2019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1907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2020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1907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2021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1907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2022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1907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2023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1907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2024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1907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2025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1907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1927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1907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2026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1907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2027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1907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2028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1907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2029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1907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2030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1907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2031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1907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2032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1907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2033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1907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2034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1907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2035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1907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2036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1907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2037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1907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1934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1907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2038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1907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2039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1907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2040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1907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2041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1907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2042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1935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2043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1935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2044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1935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2039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1943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1944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1943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1949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1943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1950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1943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1951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1943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1952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1943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1953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1943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1954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1943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1955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1943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1956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1943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1957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1943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1958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1943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1959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1943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1960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1943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1961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1943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1962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1963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1944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1963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1949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1963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1950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1963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1951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1963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1952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1963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1953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1963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1954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1963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1955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1963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1956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1963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1957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1963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1958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1963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1959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1963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1960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1963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1961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1963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1962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1935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1964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1935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1914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1943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1944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1943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1945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1943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1946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1943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1947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1943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1948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1943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2045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1943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1950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1943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2046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1943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1960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1943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1961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1943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1962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1963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1944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1963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1945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1963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1946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1963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1947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1963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1948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1963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2045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1963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1950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1963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2046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1963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1960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1963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1961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1963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1962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1907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1908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1907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1909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1907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2047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1907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1911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1907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2048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1907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2049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1907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2050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1907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2051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1907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2052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1907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1966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1907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1968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1907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1969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1907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2053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1907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1970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1907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1910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1907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1972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1907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1973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1907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1974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1907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2054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1907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2055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1907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2056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1907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2057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1907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2058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1907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2059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1907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1929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1907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1930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1907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1931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1907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1931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1907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1929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1907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1930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1907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1931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1997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2000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1997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2003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1997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2005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1997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2006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1997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2007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1997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2008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1997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2060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1997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2061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1997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2011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1997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2062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1997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2063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1997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2014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1997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1998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2017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2000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2017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2003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2017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2005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2017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2006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2017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2007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2017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2008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2017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2060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2017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2061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2017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2011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2017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2062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2017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2063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2017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2014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2017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1998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1935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2064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1935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2065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1935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2066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1935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2067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1935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2068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1935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2069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1907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1965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1907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1908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1907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1909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1907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1910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1907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2047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1907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1911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1907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2070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1907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1912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1907</v>
      </c>
      <c r="E314" s="1" t="n">
        <v>1609</v>
      </c>
      <c r="F314" s="1" t="s">
        <v>103</v>
      </c>
      <c r="I314" s="1" t="n">
        <v>5642</v>
      </c>
      <c r="J314" s="1" t="n">
        <v>17163</v>
      </c>
      <c r="K314" s="1" t="n">
        <v>7896981600567</v>
      </c>
      <c r="L314" s="1" t="s">
        <v>2071</v>
      </c>
      <c r="N314" s="1" t="n">
        <v>9</v>
      </c>
      <c r="O314" s="1" t="n">
        <v>80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1907</v>
      </c>
      <c r="E315" s="1" t="n">
        <v>1609</v>
      </c>
      <c r="F315" s="1" t="s">
        <v>103</v>
      </c>
      <c r="I315" s="1" t="n">
        <v>5642</v>
      </c>
      <c r="J315" s="1" t="n">
        <v>13720</v>
      </c>
      <c r="K315" s="1" t="n">
        <v>7896981600307</v>
      </c>
      <c r="L315" s="1" t="s">
        <v>2072</v>
      </c>
      <c r="N315" s="1" t="n">
        <v>9</v>
      </c>
      <c r="O315" s="1" t="n">
        <v>55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1907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2073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1907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2074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1907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2075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1907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2076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1907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2077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1907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2078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1907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2079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1907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2080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1907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2081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1907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2082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1907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2083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1907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2084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1907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2085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1907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2086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1907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1973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1907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1974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1907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1913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1907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1914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1907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2087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1907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2088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1907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2089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1907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2090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1907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2091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1907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2092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1907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2093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1907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2094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1907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2095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1907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2096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1907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2097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1907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2098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1907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2099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1907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2100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1907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2101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1907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1929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1907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1930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1907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1931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1907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1931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1907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2102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1907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2103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1907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2104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1907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2105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1907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2106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1907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2107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1907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2108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1907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2109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1907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2110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1907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2111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1907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2112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1907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2113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1907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2114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1907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2115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1907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2116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1907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2117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1907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2118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1907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2119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1907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2033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1907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2120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1907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2036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1907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1932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1907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2121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1907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1942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1997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2122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1997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1998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2017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2122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2017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1998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1935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1934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1935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2123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1935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2124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1943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1951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1943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1959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1943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1962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1943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1944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1943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1944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1943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1945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1943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1946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1943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1947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1943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1948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1943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1948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1943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2045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1943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1949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1943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1950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1943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1950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1943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1951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1943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1952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1943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1953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1943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1954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1943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1955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1943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1956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1943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1957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1943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1958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1943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2125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1943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2046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1943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1959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1943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1960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1943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1960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1943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1961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1943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1961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1943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1962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1943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1962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1943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2126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1963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1951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1963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1959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1963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1962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1963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1944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1963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1945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1963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1946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1963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1947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1963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1948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1963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2045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1963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1950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1963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2046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1963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1960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1963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1961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1963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1962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1963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1944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1963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1948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1963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1949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1963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1950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1963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1951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1963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1952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1963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1953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1963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1954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1963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1955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1963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1956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1963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1957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1963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1958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1963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2125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1963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1959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1963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1960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1963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1961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1963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1962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1963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2126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1907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1965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1907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1966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1907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1967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1907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1968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1907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1969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1907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2053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1907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1970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1907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1971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1907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1910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1907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2127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1907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2128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1907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2129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1907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2130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1907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2131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1907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2132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1907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2133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1907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2134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1907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2135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1907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2136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1907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2137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1907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2138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1907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2139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1907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2140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1907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2141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1907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2142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1907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2143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1907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2144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1907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2145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1907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2146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1907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2147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1907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2148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1907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2149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1907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2150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1907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2151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1907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2152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1907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2153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1907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2154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1907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2155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1997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1999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1997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2156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1997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2000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1997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2001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1997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2003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1997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2157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1997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2006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1997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2007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1997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2158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1997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2061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1997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2010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1997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2011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1997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2063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1997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2012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1997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2013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1997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2159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1997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2014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1997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2015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2017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1999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2017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2156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2017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2000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2017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2001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2017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2003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2017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2157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2017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2006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2017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2007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2017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2158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2017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2061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2017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2010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2017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2011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2017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2063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2017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2012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2017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2013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2017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2159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2017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2014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2017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2015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1935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2160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1935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2161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1935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2162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1935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2163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1935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2164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1935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2165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1935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2166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1935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2167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1935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2168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1935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2169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1935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2170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1935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2171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1935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2172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1935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2173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1907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2174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1907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2175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1907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2176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1907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2177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1907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1973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1907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1974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1907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1913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1907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1914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1907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2087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1907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2178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1907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1953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1907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1954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1907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2179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1907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2180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1907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2181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1907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2182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1907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2183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1907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2184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1907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2185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1907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2186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1907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2187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1907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2188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1907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2189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1907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2190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1907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2191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1907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2192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1907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2193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1907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2194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1907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2195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1907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2196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1907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2197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1907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1929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1907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1930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1907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1931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1997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2198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1997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2199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1997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2200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1997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1998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1997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2201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1997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2202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1997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2203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2017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2198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2017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2199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2017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2200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2017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2201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2017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2202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2017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2203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2017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1998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1935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2204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1935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2205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1935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2206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1935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2207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1935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2208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1935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2209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1935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2210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1935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2211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1935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2212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1935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2213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1935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2214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1935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2215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1935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2216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1935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2217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1935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2218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1935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2219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1935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2220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1935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2221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1935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2222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1935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2223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1935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2224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1935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2225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1935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2226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1943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1944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1943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1944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1943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1945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1943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1946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1943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1947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1943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1948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1943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2045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1943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1949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1943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1950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1943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1950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1943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1951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1943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1951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1943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1952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1943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1953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1943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1954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1943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1955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1943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1956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1943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1957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1943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1957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1943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1958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1943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1959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1943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1959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1943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1960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1943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1960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1943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1961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1943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1961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1943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1962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1943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1962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1943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1962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1963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1944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1963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1949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1963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1950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1963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1951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1963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1952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1963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1953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1963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1954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1963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1955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1963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1956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1963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1957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1963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1958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1963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1959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1963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1960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1963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1961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1963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1962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1963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1951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1963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1957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1963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1959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1963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1962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1963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1944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1963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1945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1963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1946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1963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1947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1963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1948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1963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2045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1963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1950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1963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1960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1963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1961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1963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1962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1907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2227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1907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2228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1907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2229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1907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2230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1907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2231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1907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2232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1907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2233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1907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2234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1907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2235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1907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2236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1907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2237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1907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2238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1907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2238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1907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2239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1907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2240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1907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2241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1907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2242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1907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2243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1907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2244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1907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2245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1907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2246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1907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2247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1907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2248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1907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2249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1907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2250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1907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2251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1907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2252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1907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2253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1907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2254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1907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2255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1907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2256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1907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2257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1907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2258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1907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2259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1907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2260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1907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2261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1907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2262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1907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2263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1907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2264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1907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2265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1907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2266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1907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2267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1907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2268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1907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2269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1907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2270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1907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2271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1907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2272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1907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2273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1907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2274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1907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2275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1907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2276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1907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2277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1907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2278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1907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2279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1907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2280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1907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2281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1907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2282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1907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2283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1907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2284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1907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2285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1907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2286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1907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2287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1907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2288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1907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2289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1907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2290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1907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2291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1907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2292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1907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2293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1907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2294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1907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2295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1907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2296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1907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2297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1907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2298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1935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2299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1935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2300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1935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2301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1935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2302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1935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2303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1935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2304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1935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2305</v>
      </c>
      <c r="N744" s="1" t="n">
        <v>2</v>
      </c>
      <c r="O744" s="1" t="n">
        <v>20.1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1935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2306</v>
      </c>
      <c r="N745" s="1" t="n">
        <v>2</v>
      </c>
      <c r="O745" s="1" t="n">
        <v>21.4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1935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2307</v>
      </c>
      <c r="N746" s="1" t="n">
        <v>2</v>
      </c>
      <c r="O746" s="1" t="n">
        <v>30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1935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2308</v>
      </c>
      <c r="N747" s="1" t="n">
        <v>12</v>
      </c>
      <c r="O747" s="1" t="n">
        <v>24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1935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2309</v>
      </c>
      <c r="N748" s="1" t="n">
        <v>9</v>
      </c>
      <c r="O748" s="1" t="n">
        <v>270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1935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2310</v>
      </c>
      <c r="N749" s="1" t="n">
        <v>12</v>
      </c>
      <c r="O749" s="1" t="n">
        <v>408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1935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2311</v>
      </c>
      <c r="N750" s="1" t="n">
        <v>1</v>
      </c>
      <c r="O750" s="1" t="n">
        <v>38.34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1935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2312</v>
      </c>
      <c r="N751" s="1" t="n">
        <v>40</v>
      </c>
      <c r="O751" s="1" t="n">
        <v>10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1935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2313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1935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2314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1935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2315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1935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2316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1935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2317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1935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2318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1935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2319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1935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2320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1935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2321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1935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2322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1935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2323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1935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2324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1935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2325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1935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2326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1935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2327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1935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2328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1935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2329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1935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2330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1935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2331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1935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2332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1935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2333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1935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2334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1935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2335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1935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2336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1935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2337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1935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2338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1935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2339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1935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2340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1935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2341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1935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2342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1935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2343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1935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2344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1935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2345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1935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2346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1935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2347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1935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2348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1935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2349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1935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2350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1935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2351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1935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2352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1935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2353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1935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2354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1935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2355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1935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2356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1935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2357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1935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2358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1935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2359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1935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2360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1935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2361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1935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2362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1935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2363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1935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2364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1935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2365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1935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2366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1935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2367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1935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2368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1935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2369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1935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2370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1935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2371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1935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2372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1935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2373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1935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2374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1935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2375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1935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2376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1935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2377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1935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2378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1935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2379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1935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2380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1935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2381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1935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2382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1935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2383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1935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2384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1935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2385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1935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2386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1935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2387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1935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2388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1935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2389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1935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2390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1935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2391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1935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2392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1935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2393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1935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2394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1935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2395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1935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2396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1935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2397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1935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2398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1935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2399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1935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2400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1935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2401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1935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2402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1935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2403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1935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2404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1935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2405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1935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2406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1935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2407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1907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1908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1907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1909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1907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1910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1907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2408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1907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2047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1907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1911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1907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1966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1907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1967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1907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1968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1907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1969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1907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2053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1907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1970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1907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1971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1907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1910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1907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1972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1907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2043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1907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2044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1907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2409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1907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2410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1907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2411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1907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2412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1907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2413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1907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2414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1907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2415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1907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2416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1907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2417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1907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2418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1907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2419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1907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2420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1907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2421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1907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2422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1907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2423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1907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2424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1907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2425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1907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1975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1907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1976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1907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1977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1907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1978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1907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1979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1907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1980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1907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2426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1907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2021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1907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2427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1907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2428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1907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2429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1907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2430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1907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2431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1907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2432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1907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2433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1907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2434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1907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2435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1907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2436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1907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2437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1907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2438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1907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2439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1907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2439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1907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2440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1907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2441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1907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2441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1907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2442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1907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2442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1907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2443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1907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2443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1907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2444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1907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2102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1907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2445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1907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2105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1907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2446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1907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2108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1907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2447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1907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2448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1907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1982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1907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1984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1907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2449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1907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2450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1907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2451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1907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1986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1907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1987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1907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2452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1907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1988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1907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2453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1907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2454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1907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1989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1907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2455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1907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2456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1907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2457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1907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2032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1907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2117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1907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2039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1907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2458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1907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2023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1907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2119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1907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2032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1907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2033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1907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2034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1907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2036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1907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2037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1907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1934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1907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2459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1907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2028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1907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2042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1997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1998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1997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2460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1997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2002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1997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2003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1997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2005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1997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2006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1997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2007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1997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2008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1997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2009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1997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2010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1997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2011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1997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2062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1997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2013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1997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2014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1997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2015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2017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1998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2017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2460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2017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2002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2017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2003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2017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2005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2017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2006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2017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2007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2017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2008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2017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2009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2017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2010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2017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2011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2017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2062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2017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2013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2017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2014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2017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2015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1935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2461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1935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2462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1935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2463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1935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2464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1935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2465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1935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2466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1935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2467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1935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2468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1935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2469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1935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2470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1935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2471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1935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2472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1935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2473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1935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2474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1935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2475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1935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2476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1935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2477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1935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2478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1935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2479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2480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2481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1907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1964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1907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1965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1907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2482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1907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2483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1907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2484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1907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2485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1907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2486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1907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2487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1907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2488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1907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2489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1907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2490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1907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2491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1907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2492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1907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2492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1907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2493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1907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2494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1907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2495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1907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2496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1907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2497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1907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2498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1907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2499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1907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2500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1907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2213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1907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2214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1907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2215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1907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2216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1907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2218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1907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2221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1907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2222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1907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2223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1907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2224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1907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2501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1907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2502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1907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2503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1907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2504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1907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2505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1907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2506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1907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2507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1907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2508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1907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2509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1907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2510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1907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2511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1907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2512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1907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2513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1907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2514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1907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2515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1907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2515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1907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2516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1907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2517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1907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1930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1907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1931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1907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2518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1907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2519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1907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2520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1907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2521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1907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2522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1907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2523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1907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2524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1907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2525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1907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1913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1907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1914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1907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2087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1907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2526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1907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2527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1907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2528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1907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2529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1907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2530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1907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2531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1907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2532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1907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2533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1907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2534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1907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2534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1907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2535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1907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2536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1907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2537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1907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2537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1907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2538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1907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2538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1907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2539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1907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2539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1907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2540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1907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2541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1907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2541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1907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2542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1907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2543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1907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2543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1907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2544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1907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2545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1907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2546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1907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2547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1907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2548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1907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2549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1907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2550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1907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2551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1907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2552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1907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2553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1907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2554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1907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2555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1907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2556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1907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2556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1907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2557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1907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2558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1907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2559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1907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2560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1907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2561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1907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2561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1907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2562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1907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2563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1907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2564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1907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2565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1907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2566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1907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2567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1907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2568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1907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2569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1907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2570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1907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2571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1907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2572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1907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2573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1907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2574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1907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2574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1907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2574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1907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2575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1907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2576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1907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2577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1907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2578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1907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2579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1907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2580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1907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2233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1907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2581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1907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2582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1907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2583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1907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2584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1907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2585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1907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2586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1907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2587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1907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2588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1907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2589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1907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2590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1907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2591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1907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2592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1907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2593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1907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2594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1907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2595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1907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2596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1907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2597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1907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2598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1907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2599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1907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2600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1907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2601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1907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2602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1907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2603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1907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2604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1907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2605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1907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2606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1907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2607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1907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2608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1907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2609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1907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2610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1907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2611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1907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2612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1907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2613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1907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2614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1907</v>
      </c>
      <c r="E1160" s="1" t="n">
        <v>10009</v>
      </c>
      <c r="F1160" s="1" t="s">
        <v>469</v>
      </c>
      <c r="I1160" s="1" t="n">
        <v>1415529</v>
      </c>
      <c r="J1160" s="1" t="n">
        <v>57201</v>
      </c>
      <c r="K1160" s="1" t="n">
        <v>7891000369203</v>
      </c>
      <c r="L1160" s="1" t="s">
        <v>2615</v>
      </c>
      <c r="N1160" s="1" t="n">
        <v>12</v>
      </c>
      <c r="O1160" s="1" t="n">
        <v>47.73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1907</v>
      </c>
      <c r="E1161" s="1" t="n">
        <v>10009</v>
      </c>
      <c r="F1161" s="1" t="s">
        <v>469</v>
      </c>
      <c r="I1161" s="1" t="n">
        <v>1415529</v>
      </c>
      <c r="J1161" s="1" t="n">
        <v>46617</v>
      </c>
      <c r="K1161" s="1" t="n">
        <v>7891000350119</v>
      </c>
      <c r="L1161" s="1" t="s">
        <v>2616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1907</v>
      </c>
      <c r="E1162" s="1" t="n">
        <v>10009</v>
      </c>
      <c r="F1162" s="1" t="s">
        <v>469</v>
      </c>
      <c r="I1162" s="1" t="n">
        <v>1415529</v>
      </c>
      <c r="J1162" s="1" t="n">
        <v>47582</v>
      </c>
      <c r="K1162" s="1" t="n">
        <v>7891000350072</v>
      </c>
      <c r="L1162" s="1" t="s">
        <v>2617</v>
      </c>
      <c r="N1162" s="1" t="n">
        <v>24</v>
      </c>
      <c r="O1162" s="1" t="n">
        <v>60.33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1907</v>
      </c>
      <c r="E1163" s="1" t="n">
        <v>10009</v>
      </c>
      <c r="F1163" s="1" t="s">
        <v>469</v>
      </c>
      <c r="I1163" s="1" t="n">
        <v>1415529</v>
      </c>
      <c r="J1163" s="1" t="n">
        <v>48382</v>
      </c>
      <c r="K1163" s="1" t="n">
        <v>7891000097694</v>
      </c>
      <c r="L1163" s="1" t="s">
        <v>2618</v>
      </c>
      <c r="N1163" s="1" t="n">
        <v>12</v>
      </c>
      <c r="O1163" s="1" t="n">
        <v>80.31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1907</v>
      </c>
      <c r="E1164" s="1" t="n">
        <v>10009</v>
      </c>
      <c r="F1164" s="1" t="s">
        <v>469</v>
      </c>
      <c r="I1164" s="1" t="n">
        <v>1415529</v>
      </c>
      <c r="J1164" s="1" t="n">
        <v>48754</v>
      </c>
      <c r="K1164" s="1" t="n">
        <v>7891000339558</v>
      </c>
      <c r="L1164" s="1" t="s">
        <v>2619</v>
      </c>
      <c r="N1164" s="1" t="n">
        <v>24</v>
      </c>
      <c r="O1164" s="1" t="n">
        <v>60.35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1907</v>
      </c>
      <c r="E1165" s="1" t="n">
        <v>10009</v>
      </c>
      <c r="F1165" s="1" t="s">
        <v>469</v>
      </c>
      <c r="I1165" s="1" t="n">
        <v>1415529</v>
      </c>
      <c r="J1165" s="1" t="n">
        <v>48868</v>
      </c>
      <c r="K1165" s="1" t="n">
        <v>7891000359822</v>
      </c>
      <c r="L1165" s="1" t="s">
        <v>2620</v>
      </c>
      <c r="N1165" s="1" t="n">
        <v>54</v>
      </c>
      <c r="O1165" s="1" t="n">
        <v>118.94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1907</v>
      </c>
      <c r="E1166" s="1" t="n">
        <v>10009</v>
      </c>
      <c r="F1166" s="1" t="s">
        <v>469</v>
      </c>
      <c r="I1166" s="1" t="n">
        <v>1415529</v>
      </c>
      <c r="J1166" s="1" t="n">
        <v>50552</v>
      </c>
      <c r="K1166" s="1" t="n">
        <v>7891000369340</v>
      </c>
      <c r="L1166" s="1" t="s">
        <v>2237</v>
      </c>
      <c r="N1166" s="1" t="n">
        <v>48</v>
      </c>
      <c r="O1166" s="1" t="n">
        <v>213.74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1907</v>
      </c>
      <c r="E1167" s="1" t="n">
        <v>10009</v>
      </c>
      <c r="F1167" s="1" t="s">
        <v>469</v>
      </c>
      <c r="I1167" s="1" t="n">
        <v>1415529</v>
      </c>
      <c r="J1167" s="1" t="n">
        <v>51852</v>
      </c>
      <c r="K1167" s="1" t="n">
        <v>7891000372586</v>
      </c>
      <c r="L1167" s="1" t="s">
        <v>2621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1907</v>
      </c>
      <c r="E1168" s="1" t="n">
        <v>10009</v>
      </c>
      <c r="F1168" s="1" t="s">
        <v>469</v>
      </c>
      <c r="I1168" s="1" t="n">
        <v>1415529</v>
      </c>
      <c r="J1168" s="1" t="n">
        <v>52108</v>
      </c>
      <c r="K1168" s="1" t="n">
        <v>7891000364253</v>
      </c>
      <c r="L1168" s="1" t="s">
        <v>2622</v>
      </c>
      <c r="N1168" s="1" t="n">
        <v>12</v>
      </c>
      <c r="O1168" s="1" t="n">
        <v>47.63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1907</v>
      </c>
      <c r="E1169" s="1" t="n">
        <v>10009</v>
      </c>
      <c r="F1169" s="1" t="s">
        <v>469</v>
      </c>
      <c r="I1169" s="1" t="n">
        <v>1415529</v>
      </c>
      <c r="J1169" s="1" t="n">
        <v>54900</v>
      </c>
      <c r="K1169" s="1" t="n">
        <v>7891000376805</v>
      </c>
      <c r="L1169" s="1" t="s">
        <v>2623</v>
      </c>
      <c r="N1169" s="1" t="n">
        <v>33</v>
      </c>
      <c r="O1169" s="1" t="n">
        <v>76.94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1907</v>
      </c>
      <c r="E1170" s="1" t="n">
        <v>10009</v>
      </c>
      <c r="F1170" s="1" t="s">
        <v>469</v>
      </c>
      <c r="I1170" s="1" t="n">
        <v>1415529</v>
      </c>
      <c r="J1170" s="1" t="n">
        <v>54906</v>
      </c>
      <c r="K1170" s="1" t="n">
        <v>7891000377130</v>
      </c>
      <c r="L1170" s="1" t="s">
        <v>2624</v>
      </c>
      <c r="N1170" s="1" t="n">
        <v>66</v>
      </c>
      <c r="O1170" s="1" t="n">
        <v>147.98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1907</v>
      </c>
      <c r="E1171" s="1" t="n">
        <v>10009</v>
      </c>
      <c r="F1171" s="1" t="s">
        <v>469</v>
      </c>
      <c r="I1171" s="1" t="n">
        <v>1415529</v>
      </c>
      <c r="J1171" s="1" t="n">
        <v>55164</v>
      </c>
      <c r="K1171" s="1" t="n">
        <v>7891000365335</v>
      </c>
      <c r="L1171" s="1" t="s">
        <v>2625</v>
      </c>
      <c r="N1171" s="1" t="n">
        <v>20</v>
      </c>
      <c r="O1171" s="1" t="n">
        <v>79.89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1907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2626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1907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2627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1907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2628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1907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2629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1907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2630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1907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2631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1907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2632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1907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2633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1907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2634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1907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2635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1907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2636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1907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2637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1907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2638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1907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2639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1907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2640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1907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2641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1907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2642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1907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2643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1907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1929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1907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1930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1907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1931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1907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1930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1907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1931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1907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2644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1997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1998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2017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1998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1935</v>
      </c>
      <c r="E1198" s="1" t="n">
        <v>10081</v>
      </c>
      <c r="F1198" s="1" t="s">
        <v>1819</v>
      </c>
      <c r="I1198" s="1" t="n">
        <v>10</v>
      </c>
      <c r="J1198" s="1" t="n">
        <v>10470</v>
      </c>
      <c r="K1198" s="1" t="n">
        <v>7898392930059</v>
      </c>
      <c r="L1198" s="1" t="s">
        <v>2645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1935</v>
      </c>
      <c r="E1199" s="1" t="n">
        <v>10081</v>
      </c>
      <c r="F1199" s="1" t="s">
        <v>1819</v>
      </c>
      <c r="I1199" s="1" t="n">
        <v>10</v>
      </c>
      <c r="J1199" s="1" t="n">
        <v>30511</v>
      </c>
      <c r="K1199" s="1" t="n">
        <v>7891751000042</v>
      </c>
      <c r="L1199" s="1" t="s">
        <v>2646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1935</v>
      </c>
      <c r="E1200" s="1" t="n">
        <v>10081</v>
      </c>
      <c r="F1200" s="1" t="s">
        <v>1819</v>
      </c>
      <c r="I1200" s="1" t="n">
        <v>10</v>
      </c>
      <c r="J1200" s="1" t="n">
        <v>30828</v>
      </c>
      <c r="K1200" s="1" t="n">
        <v>7896818211867</v>
      </c>
      <c r="L1200" s="1" t="s">
        <v>2647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1935</v>
      </c>
      <c r="E1201" s="1" t="n">
        <v>10081</v>
      </c>
      <c r="F1201" s="1" t="s">
        <v>1819</v>
      </c>
      <c r="I1201" s="1" t="n">
        <v>10</v>
      </c>
      <c r="J1201" s="1" t="n">
        <v>30829</v>
      </c>
      <c r="K1201" s="1" t="n">
        <v>7896818218873</v>
      </c>
      <c r="L1201" s="1" t="s">
        <v>2648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1935</v>
      </c>
      <c r="E1202" s="1" t="n">
        <v>10081</v>
      </c>
      <c r="F1202" s="1" t="s">
        <v>1819</v>
      </c>
      <c r="I1202" s="1" t="n">
        <v>10</v>
      </c>
      <c r="J1202" s="1" t="n">
        <v>61698</v>
      </c>
      <c r="K1202" s="1" t="n">
        <v>7890785492434</v>
      </c>
      <c r="L1202" s="1" t="s">
        <v>2649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1935</v>
      </c>
      <c r="E1203" s="1" t="n">
        <v>10081</v>
      </c>
      <c r="F1203" s="1" t="s">
        <v>1819</v>
      </c>
      <c r="I1203" s="1" t="n">
        <v>10</v>
      </c>
      <c r="J1203" s="1" t="n">
        <v>81141</v>
      </c>
      <c r="K1203" s="1" t="n">
        <v>7899958261846</v>
      </c>
      <c r="L1203" s="1" t="s">
        <v>2650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1935</v>
      </c>
      <c r="E1204" s="1" t="n">
        <v>10081</v>
      </c>
      <c r="F1204" s="1" t="s">
        <v>1819</v>
      </c>
      <c r="I1204" s="1" t="n">
        <v>10</v>
      </c>
      <c r="J1204" s="1" t="n">
        <v>81285</v>
      </c>
      <c r="K1204" s="1" t="n">
        <v>7898611091042</v>
      </c>
      <c r="L1204" s="1" t="s">
        <v>2651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1935</v>
      </c>
      <c r="E1205" s="1" t="n">
        <v>10081</v>
      </c>
      <c r="F1205" s="1" t="s">
        <v>1819</v>
      </c>
      <c r="I1205" s="1" t="n">
        <v>10</v>
      </c>
      <c r="J1205" s="1" t="n">
        <v>81286</v>
      </c>
      <c r="K1205" s="1" t="n">
        <v>812870</v>
      </c>
      <c r="L1205" s="1" t="s">
        <v>2652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1935</v>
      </c>
      <c r="E1206" s="1" t="n">
        <v>10081</v>
      </c>
      <c r="F1206" s="1" t="s">
        <v>1819</v>
      </c>
      <c r="I1206" s="1" t="n">
        <v>10</v>
      </c>
      <c r="J1206" s="1" t="n">
        <v>81288</v>
      </c>
      <c r="K1206" s="1" t="n">
        <v>7908629713741</v>
      </c>
      <c r="L1206" s="1" t="s">
        <v>2653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1935</v>
      </c>
      <c r="E1207" s="1" t="n">
        <v>10081</v>
      </c>
      <c r="F1207" s="1" t="s">
        <v>1819</v>
      </c>
      <c r="I1207" s="1" t="n">
        <v>10</v>
      </c>
      <c r="J1207" s="1" t="n">
        <v>81289</v>
      </c>
      <c r="K1207" s="1" t="n">
        <v>7899958261884</v>
      </c>
      <c r="L1207" s="1" t="s">
        <v>2654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1935</v>
      </c>
      <c r="E1208" s="1" t="n">
        <v>10081</v>
      </c>
      <c r="F1208" s="1" t="s">
        <v>1819</v>
      </c>
      <c r="I1208" s="1" t="n">
        <v>10</v>
      </c>
      <c r="J1208" s="1" t="n">
        <v>81290</v>
      </c>
      <c r="K1208" s="1" t="n">
        <v>7898505850137</v>
      </c>
      <c r="L1208" s="1" t="s">
        <v>2655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1935</v>
      </c>
      <c r="E1209" s="1" t="n">
        <v>10081</v>
      </c>
      <c r="F1209" s="1" t="s">
        <v>1819</v>
      </c>
      <c r="I1209" s="1" t="n">
        <v>10</v>
      </c>
      <c r="J1209" s="1" t="n">
        <v>81291</v>
      </c>
      <c r="K1209" s="1" t="n">
        <v>7899958255685</v>
      </c>
      <c r="L1209" s="1" t="s">
        <v>2656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1935</v>
      </c>
      <c r="E1210" s="1" t="n">
        <v>10081</v>
      </c>
      <c r="F1210" s="1" t="s">
        <v>1819</v>
      </c>
      <c r="I1210" s="1" t="n">
        <v>10</v>
      </c>
      <c r="J1210" s="1" t="n">
        <v>81292</v>
      </c>
      <c r="K1210" s="1" t="n">
        <v>7908629714236</v>
      </c>
      <c r="L1210" s="1" t="s">
        <v>2657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1935</v>
      </c>
      <c r="E1211" s="1" t="n">
        <v>10081</v>
      </c>
      <c r="F1211" s="1" t="s">
        <v>1819</v>
      </c>
      <c r="I1211" s="1" t="n">
        <v>10</v>
      </c>
      <c r="J1211" s="1" t="n">
        <v>81293</v>
      </c>
      <c r="K1211" s="1" t="n">
        <v>7899110643312</v>
      </c>
      <c r="L1211" s="1" t="s">
        <v>2658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1935</v>
      </c>
      <c r="E1212" s="1" t="n">
        <v>10081</v>
      </c>
      <c r="F1212" s="1" t="s">
        <v>1819</v>
      </c>
      <c r="I1212" s="1" t="n">
        <v>10</v>
      </c>
      <c r="J1212" s="1" t="n">
        <v>81294</v>
      </c>
      <c r="K1212" s="1" t="n">
        <v>7898505884392</v>
      </c>
      <c r="L1212" s="1" t="s">
        <v>2659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1935</v>
      </c>
      <c r="E1213" s="1" t="n">
        <v>10081</v>
      </c>
      <c r="F1213" s="1" t="s">
        <v>1819</v>
      </c>
      <c r="I1213" s="1" t="n">
        <v>10</v>
      </c>
      <c r="J1213" s="1" t="n">
        <v>81295</v>
      </c>
      <c r="K1213" s="1" t="n">
        <v>7908629710382</v>
      </c>
      <c r="L1213" s="1" t="s">
        <v>2660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1935</v>
      </c>
      <c r="E1214" s="1" t="n">
        <v>10081</v>
      </c>
      <c r="F1214" s="1" t="s">
        <v>1819</v>
      </c>
      <c r="I1214" s="1" t="n">
        <v>10</v>
      </c>
      <c r="J1214" s="1" t="n">
        <v>81296</v>
      </c>
      <c r="K1214" s="1" t="n">
        <v>7898740980651</v>
      </c>
      <c r="L1214" s="1" t="s">
        <v>2661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1935</v>
      </c>
      <c r="E1215" s="1" t="n">
        <v>937</v>
      </c>
      <c r="F1215" s="1" t="s">
        <v>700</v>
      </c>
      <c r="I1215" s="1" t="n">
        <v>2316</v>
      </c>
      <c r="J1215" s="1" t="n">
        <v>81172</v>
      </c>
      <c r="K1215" s="1" t="n">
        <v>811736</v>
      </c>
      <c r="L1215" s="1" t="s">
        <v>2662</v>
      </c>
      <c r="N1215" s="1" t="n">
        <v>12</v>
      </c>
      <c r="O1215" s="1" t="n">
        <v>15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1935</v>
      </c>
      <c r="E1216" s="1" t="n">
        <v>937</v>
      </c>
      <c r="F1216" s="1" t="s">
        <v>700</v>
      </c>
      <c r="I1216" s="1" t="n">
        <v>2316</v>
      </c>
      <c r="J1216" s="1" t="n">
        <v>81147</v>
      </c>
      <c r="K1216" s="1" t="n">
        <v>9786555165807</v>
      </c>
      <c r="L1216" s="1" t="s">
        <v>2663</v>
      </c>
      <c r="N1216" s="1" t="n">
        <v>20</v>
      </c>
      <c r="O1216" s="1" t="n">
        <v>500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1935</v>
      </c>
      <c r="E1217" s="1" t="n">
        <v>937</v>
      </c>
      <c r="F1217" s="1" t="s">
        <v>700</v>
      </c>
      <c r="I1217" s="1" t="n">
        <v>2316</v>
      </c>
      <c r="J1217" s="1" t="n">
        <v>81160</v>
      </c>
      <c r="K1217" s="1" t="n">
        <v>7899471685273</v>
      </c>
      <c r="L1217" s="1" t="s">
        <v>2664</v>
      </c>
      <c r="N1217" s="1" t="n">
        <v>3</v>
      </c>
      <c r="O1217" s="1" t="n">
        <v>30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1935</v>
      </c>
      <c r="E1218" s="1" t="n">
        <v>937</v>
      </c>
      <c r="F1218" s="1" t="s">
        <v>700</v>
      </c>
      <c r="I1218" s="1" t="n">
        <v>2316</v>
      </c>
      <c r="J1218" s="1" t="n">
        <v>81161</v>
      </c>
      <c r="K1218" s="1" t="n">
        <v>811620</v>
      </c>
      <c r="L1218" s="1" t="s">
        <v>2665</v>
      </c>
      <c r="N1218" s="1" t="n">
        <v>3</v>
      </c>
      <c r="O1218" s="1" t="n">
        <v>54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1935</v>
      </c>
      <c r="E1219" s="1" t="n">
        <v>937</v>
      </c>
      <c r="F1219" s="1" t="s">
        <v>700</v>
      </c>
      <c r="I1219" s="1" t="n">
        <v>2316</v>
      </c>
      <c r="J1219" s="1" t="n">
        <v>81163</v>
      </c>
      <c r="K1219" s="1" t="n">
        <v>6926720607661</v>
      </c>
      <c r="L1219" s="1" t="s">
        <v>2666</v>
      </c>
      <c r="N1219" s="1" t="n">
        <v>3</v>
      </c>
      <c r="O1219" s="1" t="n">
        <v>60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1935</v>
      </c>
      <c r="E1220" s="1" t="n">
        <v>937</v>
      </c>
      <c r="F1220" s="1" t="s">
        <v>700</v>
      </c>
      <c r="I1220" s="1" t="n">
        <v>2316</v>
      </c>
      <c r="J1220" s="1" t="n">
        <v>81164</v>
      </c>
      <c r="K1220" s="1" t="n">
        <v>811651</v>
      </c>
      <c r="L1220" s="1" t="s">
        <v>2667</v>
      </c>
      <c r="N1220" s="1" t="n">
        <v>1</v>
      </c>
      <c r="O1220" s="1" t="n">
        <v>56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1935</v>
      </c>
      <c r="E1221" s="1" t="n">
        <v>937</v>
      </c>
      <c r="F1221" s="1" t="s">
        <v>700</v>
      </c>
      <c r="I1221" s="1" t="n">
        <v>2316</v>
      </c>
      <c r="J1221" s="1" t="n">
        <v>81170</v>
      </c>
      <c r="K1221" s="1" t="n">
        <v>811712</v>
      </c>
      <c r="L1221" s="1" t="s">
        <v>2668</v>
      </c>
      <c r="N1221" s="1" t="n">
        <v>12</v>
      </c>
      <c r="O1221" s="1" t="n">
        <v>12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1935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2669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1935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2670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1935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2671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1935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2672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1935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2673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1935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2674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1935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2675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1935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2676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1935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2677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1935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2678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1935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2679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1935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2680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1935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2681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1935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2682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1935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2683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1935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2684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1935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2683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1943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1944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1943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1944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1943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1945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1943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1946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1943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1947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1943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1948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1943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2045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1943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1949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1943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1950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1943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1950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1943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1951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1943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1951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1943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1952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1943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1953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1943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1954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1943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1955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1943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1956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1943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1957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1943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1958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1943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1959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1943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1959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1943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1960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1943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1960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1943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1961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1943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1961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1943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1962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1943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1962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1963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1951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1963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1959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1963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1944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1963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1945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1963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1946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1963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1947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1963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1948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1963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2045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1963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1950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1963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1960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1963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1961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1963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1962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1963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1944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1963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1949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1963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1950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1963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1951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1963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1952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1963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1953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1963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1954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1963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1955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1963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1956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1963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1957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1963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1958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1963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1959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1963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1960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1963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1961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1963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1962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1907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1966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1907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1967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1907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1968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1907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1969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1907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2053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1907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1970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1907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1910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1907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1972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1907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2685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1907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2686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1907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2687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1907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2688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1907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2689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1907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2690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1907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2691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1907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2692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1907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2693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1907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2694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1907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2695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1907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2695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1907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2696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1907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2697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1907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2698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1907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2699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1907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2700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1907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2701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1907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2702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1907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2703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1907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2704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1907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2705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1907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2706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1907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2707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1907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2708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1907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2709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1907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2710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1907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2711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1907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2712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1907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2713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1907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2714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1907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2715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1907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2716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1907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1926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1907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2717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1907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2022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1907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2718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1907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2027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1907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2719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1907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2039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1907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2033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1907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2034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1907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2036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1907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2037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1907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1932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1907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1933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1907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1934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1907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2123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1907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2720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1907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2459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1907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2039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1907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2040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1997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1999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1997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2000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1997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2721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1997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2001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1997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2157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1997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2005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1997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2006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1997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2007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1997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2008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1997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2158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1997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2009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1997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2010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1997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2011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1997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2722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1997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2013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1997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2159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1997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2014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1997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2015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1997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2016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2017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1999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2017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2000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2017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2721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2017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2001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2017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2157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2017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2005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2017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2006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2017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2007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2017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2008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2017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2158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2017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2009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2017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2010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2017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2011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2017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2722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2017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2013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2017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2159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2017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2014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2017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2015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2017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2016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1935</v>
      </c>
      <c r="E1391" s="1" t="n">
        <v>1391</v>
      </c>
      <c r="F1391" s="1" t="s">
        <v>1824</v>
      </c>
      <c r="I1391" s="1" t="n">
        <v>394</v>
      </c>
      <c r="J1391" s="1" t="n">
        <v>25750</v>
      </c>
      <c r="K1391" s="1" t="n">
        <v>78937529</v>
      </c>
      <c r="L1391" s="1" t="s">
        <v>2723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1935</v>
      </c>
      <c r="E1392" s="1" t="n">
        <v>1391</v>
      </c>
      <c r="F1392" s="1" t="s">
        <v>1824</v>
      </c>
      <c r="I1392" s="1" t="n">
        <v>394</v>
      </c>
      <c r="J1392" s="1" t="n">
        <v>36733</v>
      </c>
      <c r="K1392" s="1" t="n">
        <v>78939035</v>
      </c>
      <c r="L1392" s="1" t="s">
        <v>2724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1935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2725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1935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2726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1935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2727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1935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2728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1935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2729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1935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2730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1935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2731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1935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2732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1935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2733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1935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2734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1935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2735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1935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2736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1935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2737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1935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2738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1935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2739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1935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2740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1935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2741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1935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2742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1935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2743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1935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2744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1935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2745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1935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2746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1935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2747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1935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2748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1935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2749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1935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2750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1935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2751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1935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2752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1935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2753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1935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2754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1935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2755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1935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2756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1935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2757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1935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2758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1935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2759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2760</v>
      </c>
      <c r="E1428" s="1" t="n">
        <v>1203</v>
      </c>
      <c r="F1428" s="1" t="s">
        <v>1828</v>
      </c>
      <c r="I1428" s="1" t="n">
        <v>18964</v>
      </c>
      <c r="J1428" s="1" t="n">
        <v>80007</v>
      </c>
      <c r="K1428" s="1" t="n">
        <v>800082</v>
      </c>
      <c r="L1428" s="1" t="s">
        <v>2761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2760</v>
      </c>
      <c r="E1429" s="1" t="n">
        <v>1203</v>
      </c>
      <c r="F1429" s="1" t="s">
        <v>1828</v>
      </c>
      <c r="I1429" s="1" t="n">
        <v>18964</v>
      </c>
      <c r="J1429" s="1" t="n">
        <v>80009</v>
      </c>
      <c r="K1429" s="1" t="n">
        <v>800105</v>
      </c>
      <c r="L1429" s="1" t="s">
        <v>2762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2760</v>
      </c>
      <c r="E1430" s="1" t="n">
        <v>1203</v>
      </c>
      <c r="F1430" s="1" t="s">
        <v>1828</v>
      </c>
      <c r="I1430" s="1" t="n">
        <v>18964</v>
      </c>
      <c r="J1430" s="1" t="n">
        <v>80011</v>
      </c>
      <c r="K1430" s="1" t="n">
        <v>800129</v>
      </c>
      <c r="L1430" s="1" t="s">
        <v>2763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2760</v>
      </c>
      <c r="E1431" s="1" t="n">
        <v>1203</v>
      </c>
      <c r="F1431" s="1" t="s">
        <v>1828</v>
      </c>
      <c r="I1431" s="1" t="n">
        <v>18964</v>
      </c>
      <c r="J1431" s="1" t="n">
        <v>81423</v>
      </c>
      <c r="K1431" s="1" t="n">
        <v>814249</v>
      </c>
      <c r="L1431" s="1" t="s">
        <v>2764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2760</v>
      </c>
      <c r="E1432" s="1" t="n">
        <v>1203</v>
      </c>
      <c r="F1432" s="1" t="s">
        <v>1828</v>
      </c>
      <c r="I1432" s="1" t="n">
        <v>18964</v>
      </c>
      <c r="J1432" s="1" t="n">
        <v>81425</v>
      </c>
      <c r="K1432" s="1" t="n">
        <v>814263</v>
      </c>
      <c r="L1432" s="1" t="s">
        <v>2765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2760</v>
      </c>
      <c r="E1433" s="1" t="n">
        <v>1203</v>
      </c>
      <c r="F1433" s="1" t="s">
        <v>1828</v>
      </c>
      <c r="I1433" s="1" t="n">
        <v>18964</v>
      </c>
      <c r="J1433" s="1" t="n">
        <v>81427</v>
      </c>
      <c r="K1433" s="1" t="n">
        <v>814287</v>
      </c>
      <c r="L1433" s="1" t="s">
        <v>2766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2760</v>
      </c>
      <c r="E1434" s="1" t="n">
        <v>645</v>
      </c>
      <c r="F1434" s="1" t="s">
        <v>1830</v>
      </c>
      <c r="I1434" s="1" t="n">
        <v>35695</v>
      </c>
      <c r="J1434" s="1" t="n">
        <v>81429</v>
      </c>
      <c r="K1434" s="1" t="n">
        <v>814300</v>
      </c>
      <c r="L1434" s="1" t="s">
        <v>2767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2480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2663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1907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1964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1907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1908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1907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1909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1907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2408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1907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2047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1907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1911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1907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2768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1907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2769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1907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2070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1907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1912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1907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2770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1907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2771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1907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2771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1907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2772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1907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2773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1907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2774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1907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2775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1907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2776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1907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2777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1907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2771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1907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2771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1907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2778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1907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2779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1907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2780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1907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2781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1907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2782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1907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2783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1907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2784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1907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2785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1907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2786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1907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2787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1907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2788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1907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2789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1907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2790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1907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2791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1907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2792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1907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2793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1907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2794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1907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2795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1907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2796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1907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2797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1907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2798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1907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2799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1907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2730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1907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2800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1907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2801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1907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2802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1907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2803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1907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2804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1907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2805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1907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2539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1907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2806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1907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1929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1907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1930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1907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1931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1997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1998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2017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1998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1935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2807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2480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2808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2480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2809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1907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2810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1907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2811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1907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2812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1907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2813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1907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2814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1907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2815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1907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2816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1907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2817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1907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2818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1907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2819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1907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2820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1907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2821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1907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2822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1907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2823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1907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2824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1907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2825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1907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2826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1907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2827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1907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2828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1907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2829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1907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2830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1907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2831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1907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2832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1907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2833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1907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2834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1907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2835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1907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2836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1907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2837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1907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2838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1907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2839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1907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2840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1907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1913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1907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1914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1907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2087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1907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2841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1907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2841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1907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2842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1907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2843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1907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2844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1907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2845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1907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2846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1907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2847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1907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2848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1907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2043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1907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2044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1907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2849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1907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2850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1907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2851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1907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2852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1907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2853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1907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2854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1907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2855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1907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2856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1907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1953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1907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1954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1907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1955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1907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2857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1907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2101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1907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2858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1907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2859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1907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2860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1907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2861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1907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2862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1907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2863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1907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2864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1907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2865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1907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2866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1907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2865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1907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2867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1907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2868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1907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2869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1907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2870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1907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2871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1907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2872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1907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2873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1907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2874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1907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2875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1907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2876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1907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2877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1907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2878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1907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2879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1907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2880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1907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2881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1907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2882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1907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2883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1907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2884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1907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2885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1907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2886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1907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2887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1907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2888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1907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2889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1907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2890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1907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2891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1907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2892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1907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2563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1907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2893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1907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2894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1907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2895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1907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2896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1907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2897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1907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2898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1907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2899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1907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2900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1907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2901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1907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2902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1907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2458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1907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2032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1907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2033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1907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2036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1907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2903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1907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2121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1907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1942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1935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2904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1943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1944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1943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1944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1943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1945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1943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1946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1943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1947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1943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1948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1943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2045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1943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1949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1943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1950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1943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1950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1943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1951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1943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1951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1943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1952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1943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1953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1943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1954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1943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1955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1943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1956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1943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1957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1943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1957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1943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1958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1943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1959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1943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1959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1943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1960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1943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1960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1943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1961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1943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1961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1943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1962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1943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1962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1943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1962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2760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2905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2760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2906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1963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1944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1963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1949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1963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1950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1963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1951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1963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1952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1963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1953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1963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1954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1963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1955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1963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1956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1963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1957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1963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1958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1963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1959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1963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1960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1963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1961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1963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1962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1963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1951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1963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1957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1963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1959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1963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1962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1963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1944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1963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1945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1963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1946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1963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1947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1963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1948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1963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2045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1963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1950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1963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1960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1963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1961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1963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1962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1907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2907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1907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2174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1907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2175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1907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1965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1907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2908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1907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2909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1907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2910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1907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2911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1907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2912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1907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2913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1907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2048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1907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2050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1907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2051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1907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2052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1907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2070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1907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1912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1907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2914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1907</v>
      </c>
      <c r="E1686" s="1" t="n">
        <v>1609</v>
      </c>
      <c r="F1686" s="1" t="s">
        <v>103</v>
      </c>
      <c r="I1686" s="1" t="n">
        <v>5679</v>
      </c>
      <c r="J1686" s="1" t="n">
        <v>17163</v>
      </c>
      <c r="K1686" s="1" t="n">
        <v>7896981600567</v>
      </c>
      <c r="L1686" s="1" t="s">
        <v>2071</v>
      </c>
      <c r="N1686" s="1" t="n">
        <v>9</v>
      </c>
      <c r="O1686" s="1" t="n">
        <v>80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1907</v>
      </c>
      <c r="E1687" s="1" t="n">
        <v>1609</v>
      </c>
      <c r="F1687" s="1" t="s">
        <v>103</v>
      </c>
      <c r="I1687" s="1" t="n">
        <v>5679</v>
      </c>
      <c r="J1687" s="1" t="n">
        <v>13225</v>
      </c>
      <c r="K1687" s="1" t="n">
        <v>7896981601151</v>
      </c>
      <c r="L1687" s="1" t="s">
        <v>2915</v>
      </c>
      <c r="N1687" s="1" t="n">
        <v>12</v>
      </c>
      <c r="O1687" s="1" t="n">
        <v>45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1907</v>
      </c>
      <c r="E1688" s="1" t="n">
        <v>1609</v>
      </c>
      <c r="F1688" s="1" t="s">
        <v>103</v>
      </c>
      <c r="I1688" s="1" t="n">
        <v>5679</v>
      </c>
      <c r="J1688" s="1" t="n">
        <v>13720</v>
      </c>
      <c r="K1688" s="1" t="n">
        <v>7896981600307</v>
      </c>
      <c r="L1688" s="1" t="s">
        <v>2072</v>
      </c>
      <c r="N1688" s="1" t="n">
        <v>9</v>
      </c>
      <c r="O1688" s="1" t="n">
        <v>55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1907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2077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1907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2916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1907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2917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1907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2917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1907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1915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1907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1916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1907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1917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1907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1918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1907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1919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1907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1920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1907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1922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1907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1924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1907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1925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1907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2918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1907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2919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1907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2232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1907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2920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1907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2921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1907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2922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1907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2235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1907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2923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1907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2924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1907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2925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1907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2926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1907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2927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1907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2928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1907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2929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1907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1914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1907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2930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1907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2931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1907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2932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1907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2933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1907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2934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1907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2935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1907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2936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1907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2937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1907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2938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1907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2939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1907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2940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1907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2941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1907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2942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1907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2943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1907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2944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1907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2945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1907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2922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1907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2946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1907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2947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1907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2948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1907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2949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1907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2950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1907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2951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1907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2952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1907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2953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1907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2954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1907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2955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1907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2954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1907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2956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1907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2957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1907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2958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1907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2959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1907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2960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1907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2961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1907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2962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1907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2963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1907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2964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1907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1975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1907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1976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1907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1977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1907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1978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1907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1980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1907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2426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1907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2026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1907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2965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1907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2025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1907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1926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1907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2966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1907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1927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1907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2427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1907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2967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1907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2432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1907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2437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1907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2968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1907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2969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1907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2970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1907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2442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1907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2971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1907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2972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1907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2444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1907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2973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1907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2974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1907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2975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1907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2976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1907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2977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1907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2978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1907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2979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1907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2980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1907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2981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1907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2982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1907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2983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1907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2984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1907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2985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1907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2986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1907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2987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1907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2988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1907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2989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1907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2990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1907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2991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1907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2992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1907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2993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1907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2994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1907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2995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1907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2996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1907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2997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1907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2998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1907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2999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1907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3000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1907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3001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1907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3002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1907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3003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1907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2987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1907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2298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1907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3004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1907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3005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1907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3006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1907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3007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1907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3008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1907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3009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1907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3010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1907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3011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1907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3012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1907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2105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1907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2446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1907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2108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1907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2109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1907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2110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1907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2113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1907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2114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1907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2451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1907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1987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1907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2115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1907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1989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1907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3013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1907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1992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1907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1996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1907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3008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1907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3014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1907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2119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1907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2120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1907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1932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1907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3015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1907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2039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1907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3016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1907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3017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1907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3018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1907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3019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1907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3020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1907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3021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1907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3022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1907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3023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1907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3024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1907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3025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1907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3026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1907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3027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1907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3028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1907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3029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1907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3030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1907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3031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1907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3032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1907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3033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1907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3034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1907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3035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1907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3036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1907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3037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1907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3037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1907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3038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1907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3039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1907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3040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1907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3041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1997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1998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1997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2001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1997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2004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1997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2006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1997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2007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1997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2158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1997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2060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1997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2010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1997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2011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1997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2012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1997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2013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1997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2014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1997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2201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1997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2015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2017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1998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2017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2001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2017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2004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2017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2006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2017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2007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2017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2158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2017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2060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2017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2010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2017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2011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2017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2012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2017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2013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2017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2014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2017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2201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2017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2015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1935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3042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1935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3043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1935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2064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1935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2066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1935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3044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1935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3045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1935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3046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1935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2067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1935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3047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1935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3048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1935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3049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1935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1933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1935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1934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1935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3050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1935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2031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1935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2023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1935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3051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1943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1944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1943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1945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1943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1946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1943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1947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1943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1948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1943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2045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1943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1950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1943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2046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1943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1960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1943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1961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1943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1962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1963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1944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1963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1945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1963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1946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1963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1947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1963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1948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1963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2045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1963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1950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1963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2046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1963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1960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1963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1961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1963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1962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1907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1965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1907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1966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1907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1967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1907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1968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1907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1969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1907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2053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1907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1970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1907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1971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1907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1910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1907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1972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1907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3052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1907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3053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1907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3054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1907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3055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1907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3056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1907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3057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1907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3058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1907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3059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1907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3060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1907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3060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1907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3061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1907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3061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1907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3062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1907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3062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1907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1929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1907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1930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1907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1931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1907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1929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1907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1931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1907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1929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1907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1930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1907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1931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1997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1999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1997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2000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1997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2001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1997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2460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1997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2003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1997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2004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1997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2005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1997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2006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1997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2007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1997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2008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1997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2060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1997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2009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1997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2010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1997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2011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1997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2062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1997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2063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1997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2013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1997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2014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1997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2015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2017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1999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2017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2000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2017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2001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2017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2460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2017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2003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2017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2004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2017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2005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2017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2006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2017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2007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2017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2008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2017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2060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2017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2009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2017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2010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2017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2011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2017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2062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2017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2063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2017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2013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2017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2014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2017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2015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3063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3064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2760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3065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2760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3066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2760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3067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2760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3068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2760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3069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2760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3070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1907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1973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1907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1974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1907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1973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1907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1974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1907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1973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1907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1974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1907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1973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1907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3071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1907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3072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1907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1908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1907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1909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1907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2408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1907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2047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1907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1911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1907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1908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1907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1909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1907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1910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1907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2408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1907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1911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1907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3073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1907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3074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1907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3075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1907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3076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1907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3077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1907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3078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1907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3079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1907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3080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1907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3081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1907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3082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1907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3083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1907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3084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1907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3085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1907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3086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1907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3087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1907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3088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1907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3089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1907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3090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1907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3091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1907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3092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1907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3093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1907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3094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1907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3095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1907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3096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1907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3097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1907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3098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1907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3099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1907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3100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1907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3101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1907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3102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1907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3103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1907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3104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1907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3105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1907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3106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1907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3107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1907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3108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1907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3109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1907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3110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1907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3111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1907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3112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1907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3113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1907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2858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1907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3114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1907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3115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1907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3116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1907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3117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1907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3118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1907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2183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1907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2184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1907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2185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1907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2187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1907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3119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1907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3120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1907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3121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1907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3122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1907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2190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1907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2191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1907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3123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1907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2192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1907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3124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1907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2194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1907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2196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1907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2197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1907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1973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1907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3125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1907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3126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1907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3127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1907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2094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1907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3128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1907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3129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1907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3130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1907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3131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1907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2582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1907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3132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1907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3133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1907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3134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1907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3135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1907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3136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1907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3137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1907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3138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1907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3139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1907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3140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1907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3141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1907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3142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1907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3143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1907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3144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1907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3145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1907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3146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1907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3147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1907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3148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1907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3149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1907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3150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1907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3151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1907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3152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1907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3153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1907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3154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1907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3155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1907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3156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1907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3157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1907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3158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1907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3159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1907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3160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1907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1913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1907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1914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1907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2087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1907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3161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1907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2253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1907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2254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1907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3162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1907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3163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1907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1929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1907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1931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1907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3164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1907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3165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1907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3166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1907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3167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1907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3168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1907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3169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1907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3170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1907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3171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1907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3172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1907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3173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1907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3174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1907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3175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1907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3176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1907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3177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1907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3178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1907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3179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1907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3180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1907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3181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1907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3182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1907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3183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1907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3184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1907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2118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1907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2039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1907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2031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1907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2034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1907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2037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1907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1934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1907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2459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1907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2039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1907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2040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1935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3185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1935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3186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1935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3187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1935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3188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1935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3189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1935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3190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1935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3191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1935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3192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1935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3193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1935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3194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1935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3195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1935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3196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1935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3197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1935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3198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1935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3199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1935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3200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1935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2021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1943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1944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1943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1944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1943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1945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1943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1946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1943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1947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1943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1948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1943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2045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1943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1949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1943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1950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1943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1950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1943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1951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1943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1951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1943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1952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1943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1953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1943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1954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1943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1955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1943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1956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1943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1957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1943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1958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1943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1959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1943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1959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1943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1960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1943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1960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1943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1961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1943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1961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1943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1962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1943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1962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1943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2126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1963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1951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1963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1959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1963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1944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1963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1945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1963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1946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1963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1947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1963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1948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1963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2045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1963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1950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1963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1960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1963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1961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1963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1962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1963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1944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1963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1949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1963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1950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1963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1951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1963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1952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1963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1953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1963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1954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1963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1955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1963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1956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1963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1957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1963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1958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1963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1959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1963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1960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1963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1961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1963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1962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1963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2126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1907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1908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1907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1909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1907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1910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1907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2408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1907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2047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1907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1911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1907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2043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1907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2044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1907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2089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1907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3201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1907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3202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1907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3203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1907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3204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1907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3205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1907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3206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1907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3207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1907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3208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1907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3209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1907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3210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1907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3211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1907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3212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1907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3213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1907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3214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1907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3215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1907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3216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1907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1975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1907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1976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1907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1977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1907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1979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1907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1980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1907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3217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1907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3218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1907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3219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1907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2088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1907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2089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1907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3220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1907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2435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1907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3221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1907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3222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1907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3223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1907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2441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1907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3224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1907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3225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1997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1998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1997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2156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1997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2721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1997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2003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1997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2157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1997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2005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1997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2006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1997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2007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1997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2061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1997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2009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1997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2010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1997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2011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1997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2063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1997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2012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1997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2013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1997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2014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1997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2015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2017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1998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2017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2156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2017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2721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2017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2003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2017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2157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2017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2005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2017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2006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2017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2007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2017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2061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2017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2009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2017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2010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2017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2011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2017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2063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2017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2012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2017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2013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2017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2014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2017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2015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1935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2683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1907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2174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1907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2175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1907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1964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1907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2174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1907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2175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1907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2071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1907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2075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1907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2076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1907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2079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1907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2085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1907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2087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1907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2087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1907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2087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1907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2234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1907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2923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1907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3226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1907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3227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1907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3228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1907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3229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1907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3230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1907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3231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1907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3232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1907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1931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1935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2209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1935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2213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1935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2214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1935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2215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1935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2216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1935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2218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1935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2219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1935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2220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1935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2221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1935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2222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1935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2223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1935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2224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1935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2226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1943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1951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1943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1957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1943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1959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1943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1962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1963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1951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1963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1957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1963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1959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1963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1962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1963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1951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1963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1957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1963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1959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1963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1962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1963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1951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1963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1957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1963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1959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1963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1962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1907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1965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1907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1913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1907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3233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1907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2527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1907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2528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1907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2530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1907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2531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1907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2532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1907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3061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1907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2535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1907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3234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1907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2543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1907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3235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1907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2544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1907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2545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1907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3236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1907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3236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1907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3237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1907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3238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1907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2554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1907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2561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1907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2562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1907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3239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1907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3240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1907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1929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1907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1931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1907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1932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1907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2121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1907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2039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1907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2040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1907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2117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1907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2118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1997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1998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2017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1998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1935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2430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1943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1944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1943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1949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1943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1950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1943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1951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1943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1952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1943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1953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1943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1954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1943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1955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1943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1956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1943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1957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1943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1958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1943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3241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1943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1959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1943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1960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1943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3242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1943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1962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1963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1944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1963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1949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1963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1950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1963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1951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1963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1952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1963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1953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1963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1954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1963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1955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1963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1956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1963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1957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1963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1958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1963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3241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1963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1959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1963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1960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1963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3242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1963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1962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1907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1965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1907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2048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1907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2050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1907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2051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1907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2052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1907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1929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1907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1930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1907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1931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1997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1999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1997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2000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1997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2001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1997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2005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1997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2006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1997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2007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1997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2008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1997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2158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1997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2060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1997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2009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1997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2010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1997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2011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1997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2122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1997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2159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1997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2014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1997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2015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2017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1999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2017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2000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2017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2001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2017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2005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2017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2006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2017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2007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2017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2008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2017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2158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2017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2060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2017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2009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2017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2010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2017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2011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2017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2122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2017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2159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2017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2014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2017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2015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1907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1909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1907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1910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1907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2408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1907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2047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1907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1911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1907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2070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1907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1912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1907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1966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1907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1967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1907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1968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1907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1969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1907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1971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1907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1910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1907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1972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1907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1913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1907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1914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1907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3243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1907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3244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1907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3245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1907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3246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1907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3247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1907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3248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1907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3249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1907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3250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1907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3251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1907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3252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1907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3253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1907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3254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1907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3255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1907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3256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1907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3257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1907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3258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1907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3259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1907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3260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1907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3261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1907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2644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1997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1998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2017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1998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1943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1944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1943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1944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1943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1945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1943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1946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1943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1947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1943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1948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1943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1948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1943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1949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1943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1950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1943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1950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1943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1951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1943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1952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1943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1953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1943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1954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1943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1955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1943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1957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1943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1958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1943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2125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1943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2046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1943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1959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1943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1960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1943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3242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1943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3242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1943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1962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1943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2126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1963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1944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1963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1945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1963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1946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1963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1947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1963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1948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1963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1950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1963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2046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1963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3242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1963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1944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1963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1948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1963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1949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1963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1950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1963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1951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1963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1952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1963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1953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1963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1954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1963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1955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1963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1957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1963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1958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1963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2125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1963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1959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1963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1960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1963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3242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1963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1962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1963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2126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2480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3262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1907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3263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1907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3264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1907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3265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1907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3266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1907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3267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1907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3268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1907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3269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1907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3270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1907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3271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1907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3272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1907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3273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1907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3274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1907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3275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1907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3276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1907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3277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1907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3278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1907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3279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1907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3280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1907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3281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1907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3282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1907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3283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1907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3283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1907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3284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1907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3285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1907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3286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1907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3287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1907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3288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1907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3289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1907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3289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1907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3290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1907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3291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1907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3292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1907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3293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1907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3294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1907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3295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1907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3296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1907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3297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1907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3298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1907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3299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1907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3300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1907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3301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1907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3302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1907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3303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1907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3304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1907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3305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1907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3306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1907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3307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1907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3308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1907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2054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1907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2055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1907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3309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1907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2056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1907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2058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1907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2055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1907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3310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1907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2238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1907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3311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1907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3312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1907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2238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1907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2239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1907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3313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1907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2240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1907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2238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1907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3314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1907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3315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1907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3316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1907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3317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1907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2244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1907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2245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1907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2249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1907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2250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1907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3318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1907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3319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1907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1952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1907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1953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1907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1954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1907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1955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1907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2807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1907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2179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1907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1929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1907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1931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1907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3320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1907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3321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1907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3322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1907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3323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1907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2097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1907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2237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1907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3324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1907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3325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1907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2174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1907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2175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1907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3326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1907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3327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1907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3328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1907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3329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1907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2074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1907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2075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1907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2076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1907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2077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1907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2078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1907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2080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1907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2081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1907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2082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1907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2083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1907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2084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1907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2085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1907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2086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1907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2231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1907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2431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1907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3330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1907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2096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1907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2147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1907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2148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1907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2149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1907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3331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1907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3332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1907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2154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1907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3333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1907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3233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1907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3334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1907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2529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1907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2532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1907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3061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1907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2533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1907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3335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1907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2534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1907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2536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1907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3336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1907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2538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1907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2540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1907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2542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1907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2545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1907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3236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1907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2806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1907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2548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1907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2554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1907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2558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1907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2559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1907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3337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1907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2561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1907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3062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1907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3239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1907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1975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1907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1976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1907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1977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1907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1978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1907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1979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1907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1980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1907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3338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1907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2182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1907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3118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1907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2184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1907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3339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1907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3340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1907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2189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1907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2190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1907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2191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1907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3341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1907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2193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1907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3124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1907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2194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1907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1930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1907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1931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1907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2102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1907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2445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1907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2105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1907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2106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1907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2108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1907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2109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1907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2110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1907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2448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1907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2111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1907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1982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1907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3342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1907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2113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1907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2114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1907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2451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1907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1986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1907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2115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1907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2452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1907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1988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1907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3343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1907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2454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1907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3344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1907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1989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1907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1990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1907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1991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1907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3013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1907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2455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1907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1996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1907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2457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1997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1998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1997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1999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1997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2001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1997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2003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1997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2157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1997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2004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1997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2005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1997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2006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1997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2007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1997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2009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1997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2011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1997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2063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1997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2013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1997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2014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1997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2015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2017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1998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2017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1999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2017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2001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2017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2003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2017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2157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2017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2004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2017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2005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2017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2006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2017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2007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2017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2009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2017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2011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2017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2063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2017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2013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2017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2014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2017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2015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1907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1965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1907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1908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1907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1909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1907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1910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1907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2408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1907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2047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1907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1911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1907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1913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1907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1914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1907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2087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1907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2087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1907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2087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1943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1944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1943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1944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1943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1945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1943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1946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1943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1947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1943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1948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1943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1949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1943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1950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1943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1950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1943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1950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1943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1951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1943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1951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1943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1952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1943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1953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1943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1954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1943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1955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1943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1956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1943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1957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1943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1957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1943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1958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1943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3345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1943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1959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1943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1959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1943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1960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1943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1960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1943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1960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1943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1961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1943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3242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1943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3242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1943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1962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1963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1944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1963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1949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1963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1950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1963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1951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1963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1952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1963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1953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1963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1954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1963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1955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1963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1956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1963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1957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1963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1958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1963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1959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1963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1960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1963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3242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1963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1962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1963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1944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1963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1945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1963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1946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1963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1947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1963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1948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1963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1950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1963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1960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1963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3242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1963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1950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1963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1951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1963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1957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1963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3345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1963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1959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1963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1960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1963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1961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1963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1950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1963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1951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1963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1957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1963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3345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1963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1959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1963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1960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1963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1961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1963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1950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1963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1951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1963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1957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1963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1959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1963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1960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1963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1961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1907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2176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1907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2049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1907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2050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1907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2051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1907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2052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1907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1913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1907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1926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1907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1928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1907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2904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1907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3346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1907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2428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1907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1929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1907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1930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1907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1931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1907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2037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1997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1998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2017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1998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1935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2118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1935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2039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1935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2458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1935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2031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1935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2120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1935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2034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1935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2037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1935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1932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1935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1933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1935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1934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1935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3347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1935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3348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1935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3349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1935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2121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1935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3051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1935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3050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1935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3350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1935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2459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1935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2039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1935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2040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1935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3351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1935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3351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1935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3351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1935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3352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1935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3016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1935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2041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1943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1944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1943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1949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1943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1950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1943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1951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1943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1952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1943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1953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1943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1954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1943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1955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1943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1956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1943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1957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1943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1958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1943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1959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1943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1960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1943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3242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1943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1962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1963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1944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1963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1949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1963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1950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1963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1951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1963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1952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1963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1953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1963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1954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1963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1955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1963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1956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1963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1957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1963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1958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1963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1959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1963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1960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1963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3242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1963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1962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1907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1966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1907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1967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1907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1968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1907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1969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1907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2053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1907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1970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1907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1910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1907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1972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1907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3353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1907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3354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1907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3355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1907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3356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1907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3357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1907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3358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1907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3357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1907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3359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1907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2425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1907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1975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1907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1976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1907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1977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1907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1978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1907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1980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1907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3360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1907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2430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1907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2432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1907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2434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1907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3361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1907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2442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1907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3362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1907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2444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1907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1929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1907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1930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1907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1931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1997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1999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1997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2000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1997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2721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1997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2001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1997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2460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1997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2003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1997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2157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1997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2004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1997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2005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1997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2006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1997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2007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1997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2008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1997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2158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1997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2060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1997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2061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1997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2009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1997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2010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1997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2011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1997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2062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1997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2013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1997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2159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1997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2014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1997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2016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2017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1999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2017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2000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2017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2721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2017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2001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2017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2460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2017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2003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2017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2157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2017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2004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2017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2005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2017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2006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2017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2007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2017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2008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2017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2158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2017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2060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2017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2061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2017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2009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2017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2010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2017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2011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2017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2062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2017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2013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2017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2159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2017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2014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2017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2016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1935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3363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1907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3364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1907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3365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1907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3366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1907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3367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1907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3368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1907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3369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1907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1965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1907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1909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1907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1910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1907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2408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1907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2047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1907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1911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1907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2070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1907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1912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1907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2127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1907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2128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1907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3370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1907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3371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1907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2129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1907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2130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1907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2132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1907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2137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1907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3372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1907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3373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1907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2138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1907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3374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1907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3375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1907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2141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1907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3376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1907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3377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1907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2143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1907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3378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1907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3379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1907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3380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1907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3381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1907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3382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1907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3383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1907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3384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1907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1914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1907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2021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1907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3385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1907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2717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1907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2022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1907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1926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1907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2119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1907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2032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1907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2719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1907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2965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1907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2021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1907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3385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1907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2717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1907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2022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1907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1926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1907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1929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1907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1930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1907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1931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1907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2035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1907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2035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1907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2033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2017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2198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2017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2199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2017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2200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2017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3386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1943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1944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1943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1945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1943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1946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1943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1947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1943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2045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1943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1950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1943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3241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1943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1960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1943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3242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1943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1962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1963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1944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1963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1945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1963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1946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1963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1947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1963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2045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1963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1950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1963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3241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1963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1960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1963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3242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1963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1962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1907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1964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1907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2043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1907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2044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1907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2409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1907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1913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1907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1914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1907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3387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1907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2492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1907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3388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1907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3389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1907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3390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1907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3391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1907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2870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1907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2879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1907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3392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1907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3393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1907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3394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1907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2232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1907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3395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1907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2718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1907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2283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1907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2284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1907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2287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1907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2288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1907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3396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1907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2290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1907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2291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1907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3397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1907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2292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1907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3398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1907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2294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1907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2295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1907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2297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1907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3399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1907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2109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1907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2112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1907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2114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1907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1986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1907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2115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1907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2452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1907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1990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1907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2455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1907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2033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1907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2918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1907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3400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1907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3401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1907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3402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1907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3403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1907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3404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1907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3405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1907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3406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1907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3407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1907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3408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1907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3409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1907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3410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1907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3411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1907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3412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1907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3413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1907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3414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1907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3415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1907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3416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1907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3417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1907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3418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1907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3419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1907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3420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1907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3421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1907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3422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1907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3423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2017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1950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2017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2807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2017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3424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2017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3425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2017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3426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2017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3427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2017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1960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2017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3428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2017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1998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1935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3429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1935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3430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1935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3431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1935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3431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1943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1944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1943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1944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1943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1945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1943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1946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1943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1947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1943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1948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1943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1948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1943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2045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1943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1949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1943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1950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1943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1950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1943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1951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1943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1952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1943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1953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1943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1954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1943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1955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1943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1956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1943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1957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1943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1958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1943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3241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1943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2125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1943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2046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1943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1959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1943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1960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1943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3242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1943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3242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1943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1962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1943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2126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1963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1944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1963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1945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1963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1946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1963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1947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1963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1948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1963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2045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1963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1950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1963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3241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1963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2046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1963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3242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1963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1962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1963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1944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1963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1948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1963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1949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1963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1950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1963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1951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1963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1952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1963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1953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1963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1954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1963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1955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1963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1956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1963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1957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1963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1958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1963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2125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1963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1959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1963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1960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1963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3242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1963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2126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2480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3432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2480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3417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2480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3419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1907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3433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1907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3434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1907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3435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1907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3436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1907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3437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1907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3438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1907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3439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1907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2920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1907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3440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1907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3441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1907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2921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1907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3442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1907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3443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1907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3444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1907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3445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1907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3446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1907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3445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1907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2174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1907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3447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1907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3448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1907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3449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1907</v>
      </c>
      <c r="E3274" s="1" t="n">
        <v>1609</v>
      </c>
      <c r="F3274" s="1" t="s">
        <v>103</v>
      </c>
      <c r="I3274" s="1" t="n">
        <v>5786</v>
      </c>
      <c r="J3274" s="1" t="n">
        <v>17163</v>
      </c>
      <c r="K3274" s="1" t="n">
        <v>7896981600567</v>
      </c>
      <c r="L3274" s="1" t="s">
        <v>2071</v>
      </c>
      <c r="N3274" s="1" t="n">
        <v>9</v>
      </c>
      <c r="O3274" s="1" t="n">
        <v>80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1907</v>
      </c>
      <c r="E3275" s="1" t="n">
        <v>1609</v>
      </c>
      <c r="F3275" s="1" t="s">
        <v>103</v>
      </c>
      <c r="I3275" s="1" t="n">
        <v>5786</v>
      </c>
      <c r="J3275" s="1" t="n">
        <v>13225</v>
      </c>
      <c r="K3275" s="1" t="n">
        <v>7896981601151</v>
      </c>
      <c r="L3275" s="1" t="s">
        <v>2915</v>
      </c>
      <c r="N3275" s="1" t="n">
        <v>12</v>
      </c>
      <c r="O3275" s="1" t="n">
        <v>45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1907</v>
      </c>
      <c r="E3276" s="1" t="n">
        <v>1609</v>
      </c>
      <c r="F3276" s="1" t="s">
        <v>103</v>
      </c>
      <c r="I3276" s="1" t="n">
        <v>5786</v>
      </c>
      <c r="J3276" s="1" t="n">
        <v>13720</v>
      </c>
      <c r="K3276" s="1" t="n">
        <v>7896981600307</v>
      </c>
      <c r="L3276" s="1" t="s">
        <v>2072</v>
      </c>
      <c r="N3276" s="1" t="n">
        <v>9</v>
      </c>
      <c r="O3276" s="1" t="n">
        <v>55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1907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2073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1907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2076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1907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2077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1907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2079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1907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3450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1907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3451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1907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3452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1907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3453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1907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3454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1907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3455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1907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2243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1907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3456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1907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3457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1907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3458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1907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3459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1907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3460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1907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3461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1907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2704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1907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2705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1907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3462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1907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3463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1907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3464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1907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3465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1907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3466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1907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3467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1907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3468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1907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3469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1907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3470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1907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3471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1907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3471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1907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3472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1907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3473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1907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3474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1907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3475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1907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3476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1907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2467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1907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3477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1907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3478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1907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3479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1907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3480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1907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3481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1907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3482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1907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3483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1907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3484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1907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3485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1907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3486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1907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3487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1907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3488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1907</v>
      </c>
      <c r="E3325" s="1" t="n">
        <v>1107</v>
      </c>
      <c r="F3325" s="1" t="s">
        <v>227</v>
      </c>
      <c r="I3325" s="1" t="n">
        <v>426652</v>
      </c>
      <c r="J3325" s="1" t="n">
        <v>27023</v>
      </c>
      <c r="K3325" s="1" t="n">
        <v>7891048050637</v>
      </c>
      <c r="L3325" s="1" t="s">
        <v>3489</v>
      </c>
      <c r="N3325" s="1" t="n">
        <v>15</v>
      </c>
      <c r="O3325" s="1" t="n">
        <v>22.44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1907</v>
      </c>
      <c r="E3326" s="1" t="n">
        <v>1107</v>
      </c>
      <c r="F3326" s="1" t="s">
        <v>227</v>
      </c>
      <c r="I3326" s="1" t="n">
        <v>426652</v>
      </c>
      <c r="J3326" s="1" t="n">
        <v>24270</v>
      </c>
      <c r="K3326" s="1" t="n">
        <v>7891962050089</v>
      </c>
      <c r="L3326" s="1" t="s">
        <v>2951</v>
      </c>
      <c r="N3326" s="1" t="n">
        <v>45</v>
      </c>
      <c r="O3326" s="1" t="n">
        <v>172.89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1907</v>
      </c>
      <c r="E3327" s="1" t="n">
        <v>1107</v>
      </c>
      <c r="F3327" s="1" t="s">
        <v>227</v>
      </c>
      <c r="I3327" s="1" t="n">
        <v>426652</v>
      </c>
      <c r="J3327" s="1" t="n">
        <v>24523</v>
      </c>
      <c r="K3327" s="1" t="n">
        <v>7891048038321</v>
      </c>
      <c r="L3327" s="1" t="s">
        <v>3490</v>
      </c>
      <c r="N3327" s="1" t="n">
        <v>12</v>
      </c>
      <c r="O3327" s="1" t="n">
        <v>40.64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1907</v>
      </c>
      <c r="E3328" s="1" t="n">
        <v>1107</v>
      </c>
      <c r="F3328" s="1" t="s">
        <v>227</v>
      </c>
      <c r="I3328" s="1" t="n">
        <v>426652</v>
      </c>
      <c r="J3328" s="1" t="n">
        <v>24548</v>
      </c>
      <c r="K3328" s="1" t="n">
        <v>7891962050072</v>
      </c>
      <c r="L3328" s="1" t="s">
        <v>2952</v>
      </c>
      <c r="N3328" s="1" t="n">
        <v>45</v>
      </c>
      <c r="O3328" s="1" t="n">
        <v>172.89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1907</v>
      </c>
      <c r="E3329" s="1" t="n">
        <v>1107</v>
      </c>
      <c r="F3329" s="1" t="s">
        <v>227</v>
      </c>
      <c r="I3329" s="1" t="n">
        <v>426652</v>
      </c>
      <c r="J3329" s="1" t="n">
        <v>26494</v>
      </c>
      <c r="K3329" s="1" t="n">
        <v>7891048050606</v>
      </c>
      <c r="L3329" s="1" t="s">
        <v>3491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1907</v>
      </c>
      <c r="E3330" s="1" t="n">
        <v>1107</v>
      </c>
      <c r="F3330" s="1" t="s">
        <v>227</v>
      </c>
      <c r="I3330" s="1" t="n">
        <v>426652</v>
      </c>
      <c r="J3330" s="1" t="n">
        <v>26496</v>
      </c>
      <c r="K3330" s="1" t="n">
        <v>7891048050668</v>
      </c>
      <c r="L3330" s="1" t="s">
        <v>3492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1907</v>
      </c>
      <c r="E3331" s="1" t="n">
        <v>1107</v>
      </c>
      <c r="F3331" s="1" t="s">
        <v>227</v>
      </c>
      <c r="I3331" s="1" t="n">
        <v>426652</v>
      </c>
      <c r="J3331" s="1" t="n">
        <v>27021</v>
      </c>
      <c r="K3331" s="1" t="n">
        <v>7891048050613</v>
      </c>
      <c r="L3331" s="1" t="s">
        <v>3493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1907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2953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1907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2954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1907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2955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1907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2954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1907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2956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1907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3494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1907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3495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1907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3496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1907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3497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1907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3498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1907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2958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1907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3499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1907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3500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1907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2962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1907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3501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1907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2963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1907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3502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1907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2251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1907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2252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1907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2254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1907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3503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1907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2255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1907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3504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1907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1976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1907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1977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1907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1978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1907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1979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1907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1980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1907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2100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1907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2088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1907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2435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1907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3221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1907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2436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1907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3505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1907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2441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1907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3506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2017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2000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2017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2001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2017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2003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2017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2157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2017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2004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2017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2006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2017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2007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2017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2008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2017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2158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2017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2009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2017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2010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2017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2011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2017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2012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2017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2013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2017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2014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2017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2015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2017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3507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1907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1965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1907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1908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1907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1909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1907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1910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1907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2047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1907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1911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1907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2461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1907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3508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1907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2463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1907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3509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1907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3510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1907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3511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1907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2209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1907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3512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1907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3513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1907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2212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1907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2213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1907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2214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1907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3514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1907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2215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1907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2216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1907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2218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1907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2220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1907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2221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1907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2222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1907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2224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1907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3515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1907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1929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1907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1931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2760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3516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2760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3517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1907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1909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1907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2177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1907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3518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1907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3519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1907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3520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1907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2067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1907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3047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1907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3521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1907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2068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1907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3522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1907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3523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1907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3524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1907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3525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1907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3526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1907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3527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1907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3528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1907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3529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1907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3530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1907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3531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1907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3532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1907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3533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1907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3534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1907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3535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1907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3536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1907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3537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1907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3538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1907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3539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1907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3540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1907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3541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1907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3542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1907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3543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1907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3544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1907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3545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1907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3546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1907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3547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1907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3548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1907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3549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1907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3550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1907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3551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1907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3552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1907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3553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1907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3554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1907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3555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1907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3556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1907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3557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1907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3558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1907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3559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1907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3560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1907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3561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1907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3562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1907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3563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1907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3564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1907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3565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1907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3566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1907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3567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1907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3567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1907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3567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1907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3567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1907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3568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1907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3569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1907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3570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1907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3571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1907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3571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1907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3572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1907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3573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1907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3574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1907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3575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1907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3576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1907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3577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1907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3578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1907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3579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1907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3580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1907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3581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1907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3582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1907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2026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1907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1927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1907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3583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1907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2027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1907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1929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1907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1930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1907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1931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1907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1933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1907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1934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1907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2121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1907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2720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1907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3584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1907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3585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1907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3586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1907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3587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1907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3588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1907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3589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1907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3590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1907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3020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1907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3591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1907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3592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1907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3593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1907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3594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1907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3595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1907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3596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1907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3597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1907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3598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1907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3599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1907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3600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1907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3601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1907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3602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1907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3603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1907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3604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1907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3605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1907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3606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1907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3607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1907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3608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1907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3609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1907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3610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1907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3611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1907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3612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1907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3613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1907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3614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1907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3615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1907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3616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1907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3617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1907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3618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1907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3619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1907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3620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1907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3621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1907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3622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1907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3623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1907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3624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1907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3625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1907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3626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1907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3627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1907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3628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1907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3629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1907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3630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1907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3631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1907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3631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1907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3632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1907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3633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1907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3634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1907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3635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1907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3636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1907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3637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1907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3638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1907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3639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1907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3640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1907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3641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1907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3642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1907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3643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1907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3644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1907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3645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1907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3646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1907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3647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1907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3648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1907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3649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1907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3650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1907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3651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1907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3652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1907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3653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1907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3654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1907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3655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1907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3656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1907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3657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1907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3658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1907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3659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1907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3659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1907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3660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1907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3660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1907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3661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1907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3662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1907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3659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1907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3663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1907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3664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1907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3665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1907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3666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1907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3667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1907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3668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1907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3669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1907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3670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1907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3671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2017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1998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2760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3672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2760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3673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2760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3674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1907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1913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1907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1914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1907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3675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1907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1975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1907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1976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1907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1980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1907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1931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2017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1999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2017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2156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2017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2000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2017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2721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2017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2001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2017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2003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2017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2157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2017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2004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2017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2005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2017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2006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2017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2007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2017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2008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2017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2060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2017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2061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2017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2009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2017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2010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2017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2011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2017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2722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2017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2063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2017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2013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2017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3676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2017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2159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2017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2014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2017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2015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2017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3677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2017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1998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1935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1966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1935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1967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1935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1968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1935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1969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1935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2053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1935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1970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1935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1971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1935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1910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1935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1972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1935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1915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1935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1916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1935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1917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1935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1918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1935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1919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1935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1920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1935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1921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1935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1922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1935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1923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1935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1924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1935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1925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1935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3532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1935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3678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1935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3679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1935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3680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1935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3681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1935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3682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1935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2205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1935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3683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1935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3684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1935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3685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1935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3686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1935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3687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1935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3688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1935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3689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1935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3690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1935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3691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1935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3692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1935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3693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1935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3694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1935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3695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1935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3696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1943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1944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1943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1944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1943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1945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1943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1946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1943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1947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1943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2045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1943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1949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1943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1950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1943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1950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1943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1951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1943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1952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1943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1953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1943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1954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1943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1955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1943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1956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1943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1957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1943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1958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1943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3241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1943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3241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1943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1959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1943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1960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1943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1960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1943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3242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1943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3242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1943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1962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1943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1962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1963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1944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1963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1949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1963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1950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1963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1951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1963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1952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1963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1953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1963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1954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1963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1955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1963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1956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1963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1957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1963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1958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1963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3241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1963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1959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1963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1960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1963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3242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1963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1962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1963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1944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1963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1945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1963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1946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1963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1947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1963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2045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1963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1950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1963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3241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1963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1960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1963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3242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1963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1962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1907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1929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1907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1931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1935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3697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1935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3698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1935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3699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1935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3700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1935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2771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1935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2772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1935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2775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1935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2776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1935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3701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1935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2771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1935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2771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1935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3702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1935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3703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1935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3704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1935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3705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1935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3706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1935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3707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1935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3708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1935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1952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1935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1953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1935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1954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1935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1955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1935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2807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1935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3709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1935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3710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1935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2976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1935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3711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1935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2977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1935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2978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1935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3712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1935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3713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1935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2980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1935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2982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1935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2983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1935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2984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1935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3714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1935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3715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1935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2985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1935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2986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1935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2987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1935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2988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1935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2989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1935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2990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1935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2991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1935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2992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1935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2993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1935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2994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1935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2995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1935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2996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1935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2997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1935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2999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1935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3000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1935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3001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1935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3002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1935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3716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1935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2987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1935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2298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1935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3004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1935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3005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1935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3006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1935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3717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1935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3009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1935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3010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1935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3011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1935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3718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1935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3719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1935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3719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1935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3719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1935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3720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1935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3721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1935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3722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1935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3723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1935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3724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1935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3725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1935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3726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1935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3727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1935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3728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1935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3729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1935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3730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1935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3731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1935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3732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1935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3733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1935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3734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1935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3735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1935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3736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1935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3737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1935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3738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1935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3739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1935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3740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1935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3741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1935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3228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1935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3742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1935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3743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1935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3229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1935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3230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1935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3744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1935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3744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1935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3230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1935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3745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1935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3746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1935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3747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1935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3748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1935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3749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1935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3750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1935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3751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1935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3752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1935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3753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1935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3754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1935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2734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1935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2735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1935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3755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1935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3756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1935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3757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1935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2210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1935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3758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1935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2211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1935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3759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1935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3760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1935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3761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1935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3760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1935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3760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1935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3762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1935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3762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1935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3762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1935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3763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1935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3762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1935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3764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1935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3765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1935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3766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1935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3767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1935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3768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1935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3769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1935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3770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1935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3771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1935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3772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1935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3773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1935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3774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1935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2482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1935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3129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1935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2486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1935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3775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1935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3776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1935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2489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1935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2070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1935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1912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1935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1913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1935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1914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1935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2090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1935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2091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1935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3777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1935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3778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1935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2095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1935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3779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1935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3780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1935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3781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1935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3782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1935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3783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1935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3784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1935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2586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1935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3785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1935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3786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1935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2577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1935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2476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1935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2412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1935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3787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1935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3788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1935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3789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1935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2414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1935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2415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1935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3790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1935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3791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1935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3792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1935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3793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1935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2416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1935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2417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1935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3794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1935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3795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1935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3796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1935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3797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1935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3798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1935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3799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1935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3800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1935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3801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1935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2725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1935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2727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1935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2728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1935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2729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1935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2860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1935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2862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1935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2871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1935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2872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1935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2874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1935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2876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1935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2878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1935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3802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1935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3803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1935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2881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1935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3804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1935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2731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1935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3805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1935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2732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1935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3806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1935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3807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1935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2118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1935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2718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1935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2025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1935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3808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1935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3809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1935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1926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1935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3810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1935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2027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1935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3811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1935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3812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1935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3812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1935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3813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1935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3814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1935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3815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1935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2504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1935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2631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1935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2632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1935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3816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1935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2595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1935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2598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1935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2603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1935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2605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1935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2607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1935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3817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1935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3818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1935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3819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1935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3217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1935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3218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1935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3219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1935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2620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1935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2635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1935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2638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1935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3820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1935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3821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1935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2627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1935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3822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1935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2642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1935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2117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1935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2039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1935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2031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1935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2033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1935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2037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1935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1932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1935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3823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1935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1934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1935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3347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1935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2121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1935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2039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1935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3824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1935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3527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1935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3825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1935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3826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1935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3827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1935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3828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1935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3829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1935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3830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1935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3831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1935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3832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1935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3833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1935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3834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1935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2378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1935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3209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1935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3210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1935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3211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1935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3835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1935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3836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1935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3837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1935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3838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1935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2380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1935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2381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1935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2382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1935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3839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1935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2385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1935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2387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1935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2388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1935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2389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1935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3840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1935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3841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1935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2390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1935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3842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1935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3843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1935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2391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1935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2392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1935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2393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1935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2394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1935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2395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1935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2397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1935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2399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1935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3844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1935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2400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1935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2401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1935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3845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1935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3846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1935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3847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1935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3848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1943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1944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1943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1944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1943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1945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1943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1946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1943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1947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1943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1948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1943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2045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1943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1949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1943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1950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1943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1950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1943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1951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1943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1952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1943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1953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1943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1954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1943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1955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1943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1956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1943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1957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1943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1958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1943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3241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1943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3241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1943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1959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1943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1960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1943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1960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1943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3242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1943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3242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1943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1962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1943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1962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1963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1944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1963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1949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1963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1950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1963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1951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1963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1952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1963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1953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1963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1954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1963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1955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1963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1956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1963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1958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1963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3241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1963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1959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1963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1960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1963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3242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1963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1962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1963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1944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1963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1945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1963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1946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1963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1947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1963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1948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1963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2045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1963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1950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1963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1957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1963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3241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1963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1960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1963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3242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1963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1962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2017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1998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2017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1999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2017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2000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2017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2001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2017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2002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2017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2003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2017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2004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2017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2007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2017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2158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2017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2061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2017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2010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2017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2011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2017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2062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2017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2013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2017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2014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2017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2015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1935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1973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1935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1973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1935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1974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1935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1973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1935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1973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1935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1973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1935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1973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1935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1974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1935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1973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1935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1974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1935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1973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1935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1974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1935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1964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1935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2174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1935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2175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1935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1908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1935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1909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1935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2049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1935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2050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1935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2051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1935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2052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1935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2822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1935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3849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1935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3850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1935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2827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1935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3851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1935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3852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1935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3853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1935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3854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1935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2840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1935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3855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1935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3856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1935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3857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1935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3858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1935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3859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1935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2087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1935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2087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1935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3860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1935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3861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1935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3862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1935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3863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1935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3864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1935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3865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1935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3866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1935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3867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1935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3868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1935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3869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1935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3870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1935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3871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1935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3872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1935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3873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1935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3874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1935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3875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1935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3876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1935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3877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1935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3878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1935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3879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1935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3880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1935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3881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1935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3882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1935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3883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1935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3884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1935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3885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1935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3886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1935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3887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1935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3888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1935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3889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1935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3890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1935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3891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1935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3892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1935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3893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1935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3894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1935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3895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1935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3896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1935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3897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1935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3898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1935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3899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1935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3900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1935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3901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1935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3902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1935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3903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1935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3904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1935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3905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1935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3906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1935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3907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1935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3908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1935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3909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1935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3910</v>
      </c>
      <c r="N4181" s="1" t="n">
        <v>12</v>
      </c>
      <c r="O4181" s="1" t="n">
        <v>155.64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1935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3911</v>
      </c>
      <c r="N4182" s="1" t="n">
        <v>24</v>
      </c>
      <c r="O4182" s="1" t="n">
        <v>73.68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1935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3912</v>
      </c>
      <c r="N4183" s="1" t="n">
        <v>24</v>
      </c>
      <c r="O4183" s="1" t="n">
        <v>52.08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1935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3913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1935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3914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1935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3915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1935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3916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1935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3917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1935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3918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1935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3919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1935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3920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1935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3921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1935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3922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1935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3923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1935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3924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1935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3925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1935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3926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1935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3927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1935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3928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1935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3929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1935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3925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1935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3930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1935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3931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1935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3932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1935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3933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1935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3934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1935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2256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1935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1975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1935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1976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1935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1977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1935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1979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1935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1980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1935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2426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1935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2435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1935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3221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1935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3221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1935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2968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1935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3935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1935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2971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1935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2444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1935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2974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1935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2102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1935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2445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1935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2104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1935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2105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1935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2107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1935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2110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1935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1984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1935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2114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1935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2450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1935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2451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1935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1987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1935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2115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1935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2452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1935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2453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1935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1996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1943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1950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1943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1951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1943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1957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1943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3241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1943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1959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1943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1960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1943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1961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1943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1962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1963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1950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1963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1951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1963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1957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1963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3241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1963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1959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1963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1960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1963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1961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1963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1962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1963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1950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1963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1951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1963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1957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1963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3241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1963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1959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1963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1960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1963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1961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1963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1962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1935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1973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1935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1965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1935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3936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1935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3243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1935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3937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1935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3244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1935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3245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1935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3938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1935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3939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1935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3940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1935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3246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1935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3941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1935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3247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1935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3942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1935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3943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1935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3944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1935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3248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1935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3945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1935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3249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1935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3946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1935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3947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1935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3948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1935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3949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1935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3950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1935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3250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1935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3951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1935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3952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1935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3953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1935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3954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1935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3955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1935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3252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1935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3956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1935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3253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1935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3957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1935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3958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1935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3959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1935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3960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1935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3254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1935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3255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1935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3256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1935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3961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1935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3962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1935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3963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1935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3964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1935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3965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1935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3966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1935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3967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1935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3258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1935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3968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1935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3969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1935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3970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1935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3971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1935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3972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1935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3260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1935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3973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1935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3974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1935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3975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1935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3976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1935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1929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1935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1931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1935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3977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1935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3978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1935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3979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1935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3980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2760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3981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2760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3982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2480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3983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2017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2198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2017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2199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2017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1998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1935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1973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1935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1974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1935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1973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1935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1974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1935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3073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1935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3984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1935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3985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1935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3985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1935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3986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1935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3987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1935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3988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1935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1913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1935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1914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1935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2043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1935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2044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1935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3989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1935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3990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1935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3991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1935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2262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1935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3992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1935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3993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1935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3994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1935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3995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1935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3996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1935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2263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1935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3997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1935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2266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1935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2267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1935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3998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1935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2269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1935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2270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1935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3999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1935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4000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1935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4001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1935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4002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1935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4003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1935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4004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1935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2276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1935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2277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1935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2279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1935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2281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1935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4005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1935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2119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1935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2719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1935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4006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1935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1929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1935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1930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1935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1931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1935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2033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1935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2035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1935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2036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1935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2720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1935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4007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1935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4008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1935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4009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1935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4010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1935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4011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1935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4012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1935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4013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1935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4014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1943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1944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1943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1944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1943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1945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1943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1946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1943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1947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1943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1948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1943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1949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1943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1950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1943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1950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1943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1951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1943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1952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1943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1953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1943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1954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1943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1955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1943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1956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1943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1957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1943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1958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1943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3241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1943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3241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1943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1959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1943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1960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1943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1960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1943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1961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1943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1961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1943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1962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1943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1962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1963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1944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1963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1949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1963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1950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1963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1951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1963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1952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1963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1953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1963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1954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1963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1955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1963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1956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1963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1957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1963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1958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1963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3241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1963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1959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1963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1960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1963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1961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1963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1962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1963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1944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1963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1945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1963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1946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1963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1947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1963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1948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1963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1950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1963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3241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1963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1960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1963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1961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1963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1962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2017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2000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2017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2001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2017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2460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2017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2002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2017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2157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2017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2004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2017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2005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2017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2007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2017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2158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2017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2060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2017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2010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2017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2011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2017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2013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2017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2159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2017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2014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2017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2015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2017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2003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2017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1998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1935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1908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1935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1909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1935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2047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1935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1911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1935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2048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1935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2049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1935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2050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1935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2051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1935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2052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1935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1966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1935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1967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1935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1968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1935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1969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1935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2053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1935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1970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1935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1971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1935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1910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1935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1972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1935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1929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1935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1930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1935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1931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2760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4015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2017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1998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1935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1973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1935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3072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1935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4016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1935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4017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1935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4018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1935</v>
      </c>
      <c r="E4489" s="1" t="n">
        <v>1609</v>
      </c>
      <c r="F4489" s="1" t="s">
        <v>103</v>
      </c>
      <c r="I4489" s="1" t="n">
        <v>5844</v>
      </c>
      <c r="J4489" s="1" t="n">
        <v>17163</v>
      </c>
      <c r="K4489" s="1" t="n">
        <v>7896981600567</v>
      </c>
      <c r="L4489" s="1" t="s">
        <v>2071</v>
      </c>
      <c r="N4489" s="1" t="n">
        <v>9</v>
      </c>
      <c r="O4489" s="1" t="n">
        <v>80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1935</v>
      </c>
      <c r="E4490" s="1" t="n">
        <v>1609</v>
      </c>
      <c r="F4490" s="1" t="s">
        <v>103</v>
      </c>
      <c r="I4490" s="1" t="n">
        <v>5844</v>
      </c>
      <c r="J4490" s="1" t="n">
        <v>13720</v>
      </c>
      <c r="K4490" s="1" t="n">
        <v>7896981600307</v>
      </c>
      <c r="L4490" s="1" t="s">
        <v>2072</v>
      </c>
      <c r="N4490" s="1" t="n">
        <v>9</v>
      </c>
      <c r="O4490" s="1" t="n">
        <v>55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1935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2073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1935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2076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1935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2077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1935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2085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1935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2179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1935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2857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1935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2101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1935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2858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1935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2117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1935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2118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1935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2903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1935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3116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1935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3338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1935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2182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1935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3118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1935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2183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1935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4019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1935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2185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1935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4020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1935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2187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1935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4021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1935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3120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1935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3122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1935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4022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1935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2190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1935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2191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1935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3341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1935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2192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1935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2193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1935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2194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1935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4023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1935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4024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1935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2195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1935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2197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1935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4025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1935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4026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1935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3008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1935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2039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1935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2031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1935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2034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1935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2121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1935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2720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1935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2459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1935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2039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1935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2040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2760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4027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2760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4028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1935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1909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1935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1910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1935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2408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1935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2047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1935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1911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1935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4029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1935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4030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1935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4031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1935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4032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1935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4033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1935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4034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1935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4035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1935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4036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1935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4037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1935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4038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1935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4039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1935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4040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1935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4041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1935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4042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1935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4043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1935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4044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1935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4045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1935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4046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1935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4047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1935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4048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1935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4049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1935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4050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1935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1913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1935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1914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1935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3161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1935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4051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1935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4052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1935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4053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1935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3162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1935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4054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1935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4054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1935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4055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1935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4056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1935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4057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1935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4058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1935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4059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1935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4060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1935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4061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1935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4062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1935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4063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1935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4064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1935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2580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1935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2233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1935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4065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1935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2569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1935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2567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1935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4066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1935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2581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1935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1929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1935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1931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1935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3001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1943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1944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1943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1944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1943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1945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1943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1946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1943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1947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1943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1948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1943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2045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1943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1949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1943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1950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1943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1950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1943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1951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1943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1952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1943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1953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1943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1954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1943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1955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1943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1956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1943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1957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1943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1958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1943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3241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1943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1959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1943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1960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1943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1960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1943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3242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1943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3242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1943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1962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1943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1962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1963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1944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1963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1945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1963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1946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1963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1947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1963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1948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1963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2045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1963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1950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1963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3241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1963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1960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1963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3242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1963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1962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1963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1944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1963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1949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1963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1950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1963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1951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1963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1952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1963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1953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1963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1954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1963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1955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1963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1956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1963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1957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1963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1958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1963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1959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1963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1960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1963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3242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1963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1962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2017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1999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2017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2000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2017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2001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2017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2460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2017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2003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2017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2157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2017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2004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2017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2006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2017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2007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2017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2008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2017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2158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2017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2060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2017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2009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2017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2010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2017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2011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2017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2013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2017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2014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2017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2015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2017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3507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2017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4067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2017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1998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1935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2174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1935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2128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1935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2130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1935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2131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1935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2134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1935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2140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1935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2142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1935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2143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1935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4068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1935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4069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1935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4070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1935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4071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1935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4072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1935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4073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1935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4074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1935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2768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1935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3511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1935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2209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1935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2213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1935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2214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1935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2215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1935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2216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1935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2217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1935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2218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1935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2220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1935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2221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1935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2222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1935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2223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1935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2224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1935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2225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1935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2226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1935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3515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1935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1975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1935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1976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1935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1977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1935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1980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1935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3222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1935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2439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1935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4075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1935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3505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1935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2441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1935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2441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1935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2442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1935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2444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1935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1930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1935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1931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1935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4076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1935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3165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1935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3166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1935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3167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1935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3168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1935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4077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1935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3169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1935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3171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1935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3172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1935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3173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1935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3174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1935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3180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1935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3181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1935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4078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1935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4079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1935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4080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1935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4081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1935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2102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1935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2445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1935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2106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1935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2107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1935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2109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1935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4082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1935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1983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1935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1984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1935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1985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1935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2113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1935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2114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1935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2450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1935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2452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1935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2453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1935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1989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1935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1990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1935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1991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1935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1992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1935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2455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1935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1996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2760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4083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2760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4084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2017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2122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1935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1965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1935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1908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1935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1909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1935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1910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1935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2180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1935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2916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1935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2917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1935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2917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2017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1998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1935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1973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1935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1974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1935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1964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1935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4085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1935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4086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1935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4087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1935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4088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1935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2048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1935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2049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1935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2050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1935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2051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1935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2052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1935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1913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1935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1914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1935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2087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1935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2087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1935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1915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1935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1917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1935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1918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1935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1919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1935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1920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1935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1921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1935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1923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1935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1925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1935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2929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1935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2527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1935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2528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1935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2531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1935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4089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1935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2545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1935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4090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1935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3237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1935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2023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1935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4091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1935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1926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1935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3810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1935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2123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1935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3583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1935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2026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1935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2028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1935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2124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1935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1928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1935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1929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1935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1930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1935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1931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1935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1941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1935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2032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1935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2033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1935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2036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1935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1933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1935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1934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1935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2903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1935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2720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1935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3051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1935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3050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1935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2720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1943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1944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1943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1944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1943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1945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1943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1946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1943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1947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1943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1948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1943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2045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1943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2045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1943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1949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1943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1950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1943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1950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1943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1951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1943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1951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1943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1952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1943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1953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1943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1954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1943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1955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1943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1956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1943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1957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1943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1957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1943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1958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1943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2046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1943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1959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1943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1959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1943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1960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1943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1960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1943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1961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1943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1961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1943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1962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1943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1962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1963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1944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1963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2045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1963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1949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1963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1950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1963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1951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1963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1952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1963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1953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1963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1954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1963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1955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1963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1956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1963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1957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1963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1958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1963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1959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1963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1960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1963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1961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1963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1962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1963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1944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1963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1945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1963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1946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1963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1947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1963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1948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1963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2045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1963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1950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1963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2046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1963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1960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1963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1961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1963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1962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1963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1951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1963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1957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1963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1959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1963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1951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1963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1957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1963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1959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2017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1999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2017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2000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2017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2001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2017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2002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2017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2157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2017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2005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2017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2006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2017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2007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2017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2061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2017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2010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2017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2011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2017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2062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2017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2063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2017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2159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2017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2014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2017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2015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2017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2016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1935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2070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1935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1912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1935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1967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1935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1968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1935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1969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1935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2053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1935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1970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1935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1971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1935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1910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1935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1972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1935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1914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1935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1975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1935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1976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1935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1977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1935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1978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1935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1979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1935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1980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1935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1931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1943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1944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1943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1945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1943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1946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1943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1947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1943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1948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1943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2045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1943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1950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1943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1960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1943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1961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1943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1962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1963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1944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1963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1945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1963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1946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1963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1947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1963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1948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1963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2045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1963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1950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1963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1960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1963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1961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1963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1962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1935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4092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1935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2807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1935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4093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1935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4094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1935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4095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1935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1929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1935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1930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1935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1931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2017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1998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2017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1998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1935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2482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1935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3320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1935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3321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1935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2431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1935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4096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1935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2176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1935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1965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1935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1908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1935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1909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1935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1910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1935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2408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1935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2047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1935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1911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1935</v>
      </c>
      <c r="E4959" s="1" t="n">
        <v>1609</v>
      </c>
      <c r="F4959" s="1" t="s">
        <v>103</v>
      </c>
      <c r="I4959" s="1" t="n">
        <v>5889</v>
      </c>
      <c r="J4959" s="1" t="n">
        <v>17163</v>
      </c>
      <c r="K4959" s="1" t="n">
        <v>7896981600567</v>
      </c>
      <c r="L4959" s="1" t="s">
        <v>2071</v>
      </c>
      <c r="N4959" s="1" t="n">
        <v>9</v>
      </c>
      <c r="O4959" s="1" t="n">
        <v>80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1935</v>
      </c>
      <c r="E4960" s="1" t="n">
        <v>1609</v>
      </c>
      <c r="F4960" s="1" t="s">
        <v>103</v>
      </c>
      <c r="I4960" s="1" t="n">
        <v>5889</v>
      </c>
      <c r="J4960" s="1" t="n">
        <v>13225</v>
      </c>
      <c r="K4960" s="1" t="n">
        <v>7896981601151</v>
      </c>
      <c r="L4960" s="1" t="s">
        <v>2915</v>
      </c>
      <c r="N4960" s="1" t="n">
        <v>12</v>
      </c>
      <c r="O4960" s="1" t="n">
        <v>45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1935</v>
      </c>
      <c r="E4961" s="1" t="n">
        <v>1609</v>
      </c>
      <c r="F4961" s="1" t="s">
        <v>103</v>
      </c>
      <c r="I4961" s="1" t="n">
        <v>5889</v>
      </c>
      <c r="J4961" s="1" t="n">
        <v>13720</v>
      </c>
      <c r="K4961" s="1" t="n">
        <v>7896981600307</v>
      </c>
      <c r="L4961" s="1" t="s">
        <v>2072</v>
      </c>
      <c r="N4961" s="1" t="n">
        <v>9</v>
      </c>
      <c r="O4961" s="1" t="n">
        <v>55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1935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2074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1935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2075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1935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2077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1935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2078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1935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2079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1935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2080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1935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2081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1935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2082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1935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2083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1935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2084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1935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2086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1935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1913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1935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2087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1935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2087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1935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2054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1935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2055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1935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4097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1935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2057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1935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2058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1935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2059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1935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2055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1935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2238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1935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3311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1935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4098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1935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3312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1935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2238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1935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2239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1935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3313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1935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3314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1935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2241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1935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3315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1935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2243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1935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3317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1935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4099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1935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4100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1935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2245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1935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4101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1935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2247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1935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2250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1935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2282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1935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2283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1935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4102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1935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2284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1935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4103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1935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3396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1935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2291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1935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2292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1935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2294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1935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2295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1935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4104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1935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4105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1935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4106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1935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4107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1935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2285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1935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3399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1935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4108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1943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1944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1943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1949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1943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1950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1943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1951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1943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1951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1943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1952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1943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1953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1943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1954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1943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1955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1943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1956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1943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1957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1943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1957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1943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1958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1943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1959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1943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1959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1943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1960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1943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1961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1943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1962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1963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1944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1963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1949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1963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1950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1963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1951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1963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1952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1963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1953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1963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1954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1963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1955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1963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1956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1963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1957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1963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1958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1963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1959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1963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1960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1963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1961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1963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1962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1963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1951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1963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1957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1963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1959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1963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1951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1963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1957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1963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1959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2480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2288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2480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4109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2480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4106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2480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2297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2480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3399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2017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2721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2017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2001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2017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2003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2017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2004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2017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2005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2017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2006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2017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2007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2017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2008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2017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2009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2017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2010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2017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2011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2017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2722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2017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2063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2017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2012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2017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2013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2017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2014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1935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1973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1935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1974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1935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2174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1935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2175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1935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2043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1935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2044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1935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3233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1935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4110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1935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2547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1935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4111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1935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4112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1935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4113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1935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1975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1935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1976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1935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1978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1935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1979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1935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1980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1935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2426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1935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2117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1935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2118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1935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3808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1935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4114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1935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3810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1935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2123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1935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2719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1935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4115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1935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4116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1935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3346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1935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2100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1935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2088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1935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2432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1935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2433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1935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2434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1935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2435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1935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3221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1935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2969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1935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4117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1935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2971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1935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2444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1935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4118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1935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1930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1935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1931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1935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2103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1935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4119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1935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2108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1935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2109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1935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2110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1935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2449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1935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2113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1935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2451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1935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1986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1935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2115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1935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2452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1935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1990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1935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2037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1935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2039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1935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2039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1935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2031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1935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2032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1935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4120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1935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2120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1935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2034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1935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2037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1935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3823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1935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1933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1935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1934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1935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3347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1935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2903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1935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2121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1935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3015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1935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2459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1935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1942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1935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2039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1935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2040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1935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2720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1935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1965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1935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1908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1935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1909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1935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1910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1935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2047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1935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1911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1935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2094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1935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2483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1935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2484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1935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4121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1935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2485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1935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2769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1935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1914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1943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1944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1943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1945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1943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1946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1943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1947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1943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1948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1943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2045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1943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1950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1943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3241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1943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1960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1943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3242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1943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1962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1963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1944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1963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1945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1963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1946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1963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1947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1963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1948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1963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2045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1963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1950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1963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3241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1963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1960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1963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3242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1963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1962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2017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1998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2017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1998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1935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2088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1935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4122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1935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2231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1935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2231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1935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2782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1935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4123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1935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4124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1935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2741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1935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2925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1935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2926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1935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2097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1935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2236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1935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4125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1935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1913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1935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1914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1935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2064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1935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2065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1935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3044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1935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2067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1935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3047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1935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3048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1935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2101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1935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2858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1935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1929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1935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1931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1943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1944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1943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1944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1943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1945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1943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1946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1943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1947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1943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1948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1943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1948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1943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2045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1943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1949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1943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1950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1943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1950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1943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1951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1943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1952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1943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1953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1943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1954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1943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1955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1943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1956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1943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1958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1943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2125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1943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2046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1943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1959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1943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1960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1943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3242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1943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3242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1943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1962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1943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2126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1963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1944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1963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1945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1963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1946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1963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1947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1963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1948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1963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2045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1963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1950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1963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2046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1963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3242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1963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1944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1963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1948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1963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1949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1963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1950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1963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1951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1963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1952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1963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1953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1963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1954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1963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1955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1963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1956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1963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1958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1963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2125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1963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1959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1963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1960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1963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3242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1963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1962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1963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2126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2017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2000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2017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2001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2017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2003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2017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2157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2017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2004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2017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2006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2017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2007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2017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2158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2017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2060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2017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2061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2017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2009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2017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2010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2017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2011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2017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2013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2017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2014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2017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2015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2017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2016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1935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1965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1935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1966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1935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1967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1935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1968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1935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1969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1935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2053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1935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1970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1935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1971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1935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1910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1935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1972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1935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1929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1935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1930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1935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1931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2480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3537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2480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3538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2480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3539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2480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4126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2480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3544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2480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4127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2480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4128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2480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3569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2480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3570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2480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4129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2480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4130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2480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4131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2480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4132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2480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4133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2480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3574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2480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4134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2480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4135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2017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1998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1935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1973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1935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1974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1935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4136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1935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4137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1935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1908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1935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1909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1935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1910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1935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2408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1935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1911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1935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2048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1935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2050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1935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2051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1935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2052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1935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4138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1935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1913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1935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2148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1935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2149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1935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2150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1935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3331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1935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2153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1935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2154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1935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4139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1935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2530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1935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2531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1935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2532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1935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2533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1935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2806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1935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3237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1935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2554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1935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3239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1935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2235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1935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2235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1935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2235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1943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1944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1943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1949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1943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1950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1943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1951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1943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1952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1943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1953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1943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1954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1943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1955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1943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1956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1943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1957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1943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1958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1943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1959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1943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1960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1943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1961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1943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1962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1963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1944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1963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1949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1963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1950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1963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1951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1963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1952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1963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1953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1963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1954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1963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1955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1963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1956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1963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1957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1963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1958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1963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1959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1963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1960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1963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1961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1963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1962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2017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1998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1935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3364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1935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3365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1935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3366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1935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3367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1935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3368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1935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3369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1935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2019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1935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2444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1935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1912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1935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4140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1935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2147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1935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1952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1935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1955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1935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3161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1935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2256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1935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1929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1935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1930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1935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1931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2017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2201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2017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2202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2017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2203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2017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2003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2017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2013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2017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1999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2017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2000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2017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2001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2017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2004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2017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2005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2017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2007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2017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2008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2017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2061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2017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2009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2017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2010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2017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2011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2017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2062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2017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4141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2017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2159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2017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2014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2017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2015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2017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2016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2017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4142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1935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1964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1935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2174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1935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2175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1935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1908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1935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1909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1935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1910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1935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2408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1935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2047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1935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1911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1935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2177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1935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4143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1935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4144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1935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4145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1935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4146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1935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3068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1935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3069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1935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4147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1935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1913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1935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1914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1935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1954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1935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2425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1935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1975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1935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1976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1935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4148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1935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1977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1935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1978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1935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1979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1935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1980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1935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2118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1935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2024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1935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4091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1935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2719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1935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4149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1935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3429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1935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3430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1935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4115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1935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2719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1935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4150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1935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4151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1935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2021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1935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3429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1935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3430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1935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3431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1935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3431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1935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2100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1935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2088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1935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2089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1935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2435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1935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3221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1935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2439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1935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2970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1935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2443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1935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4152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1935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1942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1935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1941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1935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2039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1935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2458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1935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2031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1935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2119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1935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2033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1935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2034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1935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2035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1935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4153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1935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2036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1935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3823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1935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1933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1935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1934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1935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3347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1935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3810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1935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2121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1935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2720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1935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2038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1935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3051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1935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3050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1935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2720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1935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3350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1935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2459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1935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1942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1935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2028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1935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2040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1935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3016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1935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2124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1935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2041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1943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1944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1943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1944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1943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1945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1943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1946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1943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1947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1943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1948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1943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2045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1943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1949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1943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1950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1943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1950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1943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1951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1943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1952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1943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1953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1943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1954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1943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1955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1943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1956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1943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1957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1943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1958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1943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1959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1943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1960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1943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1960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1943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1961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1943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1961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1943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1962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1943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1962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4154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3067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4154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3069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4154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4155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4154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4156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1963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1944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1963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1949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1963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1950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1963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1951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1963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1952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1963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1953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1963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1954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1963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1955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1963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1956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1963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1957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1963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1958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1963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1959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1963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1960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1963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1961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1963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1962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1963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1944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1963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1945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1963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1946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1963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1947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1963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1948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1963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2045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1963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1950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1963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1960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1963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1961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1963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1962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1935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1973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1935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1974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2017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1998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1935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1965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1935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1913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1935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1914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1935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2087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1935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2087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1935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1915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1935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1917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1935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1919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1935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1920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1935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1922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1935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1923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1935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1924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1935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2044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1935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1953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1935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2929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1935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2209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1935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2211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1935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2212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1935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2213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1935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2214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1935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2216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1935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2218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1935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2220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1935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2221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1935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4157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1935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2222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1935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2223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1935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2224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1935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4158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1935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2542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1935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3504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1935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4159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1935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4160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1935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4161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1935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4162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1935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1929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1935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1930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1935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1931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1935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1930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1935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1931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1943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1944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1943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1944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1943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1945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1943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1946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1943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1947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1943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1948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1943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2045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1943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2045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1943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1949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1943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1950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1943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1950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1943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1950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1943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1951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1943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1951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1943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4163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1943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1952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1943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1953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1943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1954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1943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1955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1943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1956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1943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1957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1943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1957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1943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3345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1943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3241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1943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1959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1943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1959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1943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1960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1943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1960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1943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1960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1943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1961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1943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3242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1943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3242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1943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1962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1963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1944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1963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1949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1963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1950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1963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1951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1963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1952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1963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1953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1963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1954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1963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1955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1963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1956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1963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1957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1963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3241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1963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1959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1963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1960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1963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3242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1963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1962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1963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1944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1963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1945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1963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1946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1963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1947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1963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1948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1963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2045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1963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1950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1963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4163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1963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1960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1963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3242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1963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2045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1963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1950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1963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1951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1963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1957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1963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3345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1963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1959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1963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1960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1963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1961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1963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1950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1963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1951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1963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1957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1963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3345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1963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1959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1963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1961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2017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2003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2017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2013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2017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2156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2017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2721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2017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2001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2017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2460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2017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2157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2017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2006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2017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2007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2017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2158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2017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2060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2017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2009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2017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2010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2017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2011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2017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2063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2017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2014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2017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2015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2017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4142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2017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3507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1935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2740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1935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2096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1935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4164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1935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2328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1935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2329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1935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4165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1935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4166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1935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2337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1935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4167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1935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4168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1935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4169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1935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4170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1935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4171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1935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4172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1935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4173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1935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1966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1935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1967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1935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1968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1935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1969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1935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2053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1935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1970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1935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1971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1935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1910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1935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1972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1935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3387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1935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2490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1935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2491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1935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2492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1935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2492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1935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3388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1935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2493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1935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4174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1935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3116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1935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3338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1935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2182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1935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3117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1935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3118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1935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2186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1935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2187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1935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3119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1935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4021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1935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3340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1935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2188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1935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3122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1935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2189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1935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2190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1935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2191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1935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4175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1935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3341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1935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3123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1935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2192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1935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4176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1935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3124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1935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2194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1935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4023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1935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2195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1935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2196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1935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2197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1935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4025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1935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4026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1935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1973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1935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1974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1935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2234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1935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3363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1935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1965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1935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2771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1935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2775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1935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2777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1935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2771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1935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4177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1935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4178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1935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4179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1935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4180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1935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4181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1935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4182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1935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4183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1935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4184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1935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4185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1935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3330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1935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4186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1935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4187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1935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4188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1935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4189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1935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2902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1935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2975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1935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3710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1935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2976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1935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2977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1935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2978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1935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3712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1935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3713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1935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2982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1935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2983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1935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3714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1935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3715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1935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2985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1935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2986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1935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2987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1935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2988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1935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2989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1935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2990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1935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2991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1935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2992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1935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2993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1935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2994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1935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2995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1935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2996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1935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2997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1935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2999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1935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3000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1935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3002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1935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3716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1935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2987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1935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3004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1935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3005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1935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3717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1935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3009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1935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3010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1935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3011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1935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3718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1935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1973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1935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1908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1935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1909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1935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1910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1935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2408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1935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2047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1935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1911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1935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2807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1935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3702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1935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3703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1935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4190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1935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3705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1935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4191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1935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4192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1935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3706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1935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4193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1935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4194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1935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3707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1935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3708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1935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1913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1935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1914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1935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3451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1935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4195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1935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3453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1935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3454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1935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3455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1935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2243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1935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4196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1935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3456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1935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2246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1935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2247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1935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2465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1935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2466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1935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2467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1935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2469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1935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2470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1935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4197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1935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4198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1935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3479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1935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4199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1935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2473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1935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2475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1935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3481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1935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3482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1935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3483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1935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3017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1935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3881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1935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3883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1935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4200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1935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3162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1935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4201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1935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4202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1935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4203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1935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2715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1935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3990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1935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3991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1935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2716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1935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2919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1935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3395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1935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4204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1935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2282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1935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2283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1935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2284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1935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4103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1935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2286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1935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2287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1935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4205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1935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3396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1935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2291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1935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2294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1935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2295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1935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4107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1935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3399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1935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4206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1935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4108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1935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4207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1935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4208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1935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4209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1935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4210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1935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4211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1935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4212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1935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4213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1935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4214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1935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4215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1935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4216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1935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4217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1935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4218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1935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4219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1935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4220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1935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4221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1935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4222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1935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4223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1935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4224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1935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4225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1935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4226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1935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4227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1935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4228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1935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4229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1935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4230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1935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4231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1935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4232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1935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4233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1935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4234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1935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4235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1935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4236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1935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4237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1935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4238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1935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4239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1935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4240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1935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4241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1943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1944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1943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1944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1943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1945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1943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1946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1943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1947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1943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1948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1943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2045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1943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1949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1943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1950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1943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1950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1943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1951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1943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1952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1943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1953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1943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1954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1943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1955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1943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1956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1943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1957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1943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1958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1943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1959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1943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1960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1943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1960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1943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1961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1943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1961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1943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1962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1943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1962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1963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1944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1963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1945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1963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1946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1963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1947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1963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1948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1963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2045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1963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1950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1963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1960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1963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1961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1963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1962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1963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1944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1963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1949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1963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1950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1963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1951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1963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1952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1963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1953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1963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1954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1963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1955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1963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1956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1963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1957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1963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1958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1963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1959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1963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1960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1963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1961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1963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1962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2480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2288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2480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2290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2017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1998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2017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2013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2017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2000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2017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2002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2017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2003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2017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2157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2017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2004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2017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2060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2017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2061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2017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2009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2017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2010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2017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2011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2017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2062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2017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4141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2017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2159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2017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2014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2017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2015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2017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3677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2017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2016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2017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4142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1935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3071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1935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3072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1935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2174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1935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2175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1935</v>
      </c>
      <c r="E5997" s="1" t="n">
        <v>1609</v>
      </c>
      <c r="F5997" s="1" t="s">
        <v>103</v>
      </c>
      <c r="I5997" s="1" t="n">
        <v>5971</v>
      </c>
      <c r="J5997" s="1" t="n">
        <v>17163</v>
      </c>
      <c r="K5997" s="1" t="n">
        <v>7896981600567</v>
      </c>
      <c r="L5997" s="1" t="s">
        <v>2071</v>
      </c>
      <c r="N5997" s="1" t="n">
        <v>9</v>
      </c>
      <c r="O5997" s="1" t="n">
        <v>80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1935</v>
      </c>
      <c r="E5998" s="1" t="n">
        <v>1609</v>
      </c>
      <c r="F5998" s="1" t="s">
        <v>103</v>
      </c>
      <c r="I5998" s="1" t="n">
        <v>5971</v>
      </c>
      <c r="J5998" s="1" t="n">
        <v>13720</v>
      </c>
      <c r="K5998" s="1" t="n">
        <v>7896981600307</v>
      </c>
      <c r="L5998" s="1" t="s">
        <v>2072</v>
      </c>
      <c r="N5998" s="1" t="n">
        <v>9</v>
      </c>
      <c r="O5998" s="1" t="n">
        <v>55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1935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2073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1935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2075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1935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2076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1935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2077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1935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2078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1935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2079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1935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2080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1935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2085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1935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2086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1935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2043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1935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2409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1935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4242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1935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2147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1935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2930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1935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4243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1935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4244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1935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4245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1935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2932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1935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2933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1935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4246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1935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4247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1935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4248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1935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4249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1935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2936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1935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2937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1935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4250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1935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4251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1935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2938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1935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2939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1935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4252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1935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4253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1935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4254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1935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2941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1935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2942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1935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4255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1935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4256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1935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4257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1935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4258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1935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4259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1935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4260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1935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4261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1935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4262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1935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2944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1935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4263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1935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2152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1935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3333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1935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2155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1935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4264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1935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3509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1935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2207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1935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2889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1935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4265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1935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4266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1935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4267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1935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3233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1935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3060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1935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2527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1935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2528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1935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4268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1935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2529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1935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4269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1935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3061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1935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2534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1935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2536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1935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3234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1935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3336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1935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2537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1935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4110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1935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2538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1935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2539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1935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2541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1935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3235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1935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2544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1935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2544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1935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3236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1935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4270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1935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2806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1935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4111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1935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2550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1935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2558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1935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2561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1935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2562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1935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3062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1935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4271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1935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2025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1935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1926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1935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1927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1935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3583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1935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2027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1935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2904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1935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3346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1935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2179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1935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2089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1935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3220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1935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2434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1935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4272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1935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3221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1935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2436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1935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3222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1935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3935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1935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4273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1935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2441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1935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2442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1935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1929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1935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1931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1935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1929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1935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1930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1935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1931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1935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2102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1935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2103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1935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2445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1935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2104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1935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2105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1935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2446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1935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2106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1935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2107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1935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2108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1935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2109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1935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2448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1935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2111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1935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4082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1935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3342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1935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1983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1935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1984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1935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1985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1935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2449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1935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2114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1935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2450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1935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2451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1935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1986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1935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1987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1935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4274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1935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2115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1935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2452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1935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3343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1935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2453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1935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1989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1935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1991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1935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2455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1935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1995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1935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1996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1935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2457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1935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4275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1935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2458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1935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2031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1935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2119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1935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2032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1935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2120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1935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2034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1935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2035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1935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4091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1935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1934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1935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2123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1935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2121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1935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2720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1935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4276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1935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3051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1935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3350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1935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2459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1935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2039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1935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2040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1935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3352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2017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1998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1935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1973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1935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1974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1935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1964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1935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3360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1935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2101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1935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4277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1935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2726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1935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2729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1935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2861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1935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2862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1935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2863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1935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4278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1935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2864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1935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2865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1935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2866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1935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2867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1935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2868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1935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4279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1935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2869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1935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2871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1935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2873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1935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2874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1935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2875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1935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2878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1935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4280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1935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2880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1935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3802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1935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2881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1935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4281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1935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4282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1935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4283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1935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3805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1935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2882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1935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2883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1935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2884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1935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2885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1935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2886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1935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2887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1935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3392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1935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3393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1935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4284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1935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4285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1935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4286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1935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2888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1935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4287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1935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3807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1935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2740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1935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2741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1935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2743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1935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2744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1935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4288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1935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4289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1935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4290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1935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2753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1935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4291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2017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1998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1935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1973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1935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1974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1935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2048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1935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2049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1935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2050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1935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2051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1935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2052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1935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1913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1935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1914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1935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3371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1935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2129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1935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2130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1935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2133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1935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3372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1935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4292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1935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3374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1935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3375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1935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2140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1935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3376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1935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2143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1935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2144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1935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3378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1935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3379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1935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3380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1935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4293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1935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4294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1935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4295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1935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4296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1935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4297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1935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4298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1935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2496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1935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4299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1935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2498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1935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2499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1935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2500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1935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4300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1935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4301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1935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4302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1935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4303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1935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4304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1935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4305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1935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4306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1935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4307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1935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4308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1935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4309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1935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4310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1935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4311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1935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4312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1935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4313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1935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4314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1935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4315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1935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4316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1935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2090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1935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2091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1935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3778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1935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2095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1935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4317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1935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4318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1935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3779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1935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4319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1935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1929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1935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1931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1935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4318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1935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4320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1935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4321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1935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4322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1935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4323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1935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4324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1935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2519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1935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4325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1935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4326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1935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4327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1935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4328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1935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4329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1935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2521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1935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4330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1935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4330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1935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4331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1935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2524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1935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4332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1935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4333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1935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4334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1935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4335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1935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4336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1943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1944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1943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1944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1943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1945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1943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1946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1943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1947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1943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1948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1943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2045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1943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1949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1943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1950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1943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1950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1943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1951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1943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1952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1943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1953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1943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1954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1943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1955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1943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1956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1943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1957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1943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1958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1943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4337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1943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1959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1943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1960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1943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1960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1943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1961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1943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1961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1943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1962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1943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1962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1963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1944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1963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1949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1963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1950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1963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1951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1963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1952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1963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1953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1963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1954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1963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1955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1963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1956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1963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1957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1963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1958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1963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4337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1963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1959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1963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1960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1963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1961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1963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1962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1963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1944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1963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1945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1963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1946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1963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1947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1963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1948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1963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2045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1963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1950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1963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1960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1963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1961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1963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1962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2017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2003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2017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2013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2017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1999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2017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2000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2017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2001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2017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2004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2017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2006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2017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2007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2017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2158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2017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2061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2017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2009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2017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2010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2017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2011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2017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2122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2017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2014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2017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2015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2017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2016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2017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4142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1935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1965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1935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1908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1935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1909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1935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1910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1935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2047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1935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1911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1935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1966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1935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1967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1935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1968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1935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1969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1935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2053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1935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1970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1935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1971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1935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1910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1935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1972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1935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4338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1935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4339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1935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4340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1935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4341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1935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4342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1935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4343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1935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4344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1935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4345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1935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4346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1935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4347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1935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4348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1935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4349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1935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4350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1935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4351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1935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4352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1935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4353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1935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4354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1935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4355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1935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4356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1935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4357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1935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4358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1935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4359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1935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4360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1935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4361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1935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4362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1935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4363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1935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4364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1935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4365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1935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4366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1935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4367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1935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4368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1935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4369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1935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4370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1935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4371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1935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4372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1935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4373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1935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4374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1935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4375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1935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4376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1935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4377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1935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4378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1935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4379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1935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4380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1935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4381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1935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4382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1935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4383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1935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4384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1935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4385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1935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4386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1935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4387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1935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4388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1935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2945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1935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2922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1935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2089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1935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4389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1935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2563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1935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2566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1935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2208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1935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4390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1935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4391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1935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3936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1935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3243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1935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3937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1935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4392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1935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3939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1935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3940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1935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3246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1935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3941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1935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3247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1935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4393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1935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4394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1935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4395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1935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3248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1935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3249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1935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3947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1935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3250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1935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4396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1935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3955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1935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4397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1935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3252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1935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3253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1935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4398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1935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4399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1935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3861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1935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3862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1935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3863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1935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3864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1935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4400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1935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4401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1935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4402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1935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3869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1935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3870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1935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3871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1935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3872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1935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4403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1935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3254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1935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3255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1935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4404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1935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3256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1935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4405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1935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3967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1935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3258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1935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4406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1935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4407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1935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3969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1935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3259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1935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3972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1935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3260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1935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4408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1935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3675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1935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1975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1935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1976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1935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1977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1935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1978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1935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1979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1935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1980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1935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1929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1935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1930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1935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1931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1935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1941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1935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2117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1935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2118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1935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2039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1935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2458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1935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2031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1935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2119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1935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2033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1935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2120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1935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2036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1935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1934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1935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3810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1935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2720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1935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2028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1935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2039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1935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2124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1935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2918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1935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4409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1935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4410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1935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4411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1935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4412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1935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3694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1935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3416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1935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4413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1935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3418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1935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4414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1935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4415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1935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4416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1935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3411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1935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4417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1935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4418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1935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4419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1935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4420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1935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4421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1935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4422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1935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4423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1935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4424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1935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4425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1935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4426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1935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4427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1935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4428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1935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4429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1935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3413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1935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4430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1935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3421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1935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4431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2480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4432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2017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1998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1935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2180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1935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1913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1935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4433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1935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3460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1935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2704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1935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4434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1935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2708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1935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4435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1935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2709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1935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4436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1935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4437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1935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4438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1935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3469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1935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4439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1935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4440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1935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4441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1935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3472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1935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4442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1935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4443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1935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4444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1935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4445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1935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4446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1935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4447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1935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4448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1935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4449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1935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4450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1935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4451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1935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4452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1935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4453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1935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4454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1935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4455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1935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4456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1935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4457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1935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3097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1935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4458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1935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4459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1935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4460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1935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4461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1935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4462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1935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4463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1935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4464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1935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4465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1935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4465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1935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4466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1935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4467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1935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4468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1935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4469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1935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4470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1935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4471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1935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4472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1935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3083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1935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4473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1935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4474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1935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4346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1935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4475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1935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4476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1935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4477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1935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3083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1935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4478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1935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3084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1935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4479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1935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4480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1935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3087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1935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4481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1935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3088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1935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4482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1935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4483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1935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4484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1935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4485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1935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4486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1935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4487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1935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3090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1935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3091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1935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3092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1935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4488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1935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3099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1935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3100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1935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4489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1935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4490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1935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4491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1935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4492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1935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4493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1935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4494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1935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4495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1935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2227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1935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2228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1935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2229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1935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4496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1935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2230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1935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3052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1935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3053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1935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3054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1935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4497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1935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4061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1935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3058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1935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4498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1935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4499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1935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4500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1943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1944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1943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1949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1943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1950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1943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1951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1943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1952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1943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1953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1943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1954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1943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1955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1943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1956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1943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1957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1943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1958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1943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1959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1943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1960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1943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1961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1943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1962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1963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1944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1963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1949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1963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1950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1963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1951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1963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1952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1963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1953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1963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1954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1963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1955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1963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1956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1963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1957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1963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1958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1963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1959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1963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1960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1963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1961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1963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1962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2017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2807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2017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3424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2017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3425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2017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3426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2017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3427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2017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4501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2017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3428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1935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1964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1935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2201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1935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4096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1935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1914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1935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4502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1935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4503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1935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4504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1935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4505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1935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4506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1935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4507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1935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1930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1935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1931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1935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4508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1935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3585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1935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4509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1935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3021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1935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3022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1935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4510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1935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4511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1935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4512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1935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4513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1935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4514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1935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4515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1935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4516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1935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3622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1935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4517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1935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3624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1935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4518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1935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4519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1935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4520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1935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4521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1935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3035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1935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4522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1935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4523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1935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4524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1943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1944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1943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1945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1943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1946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1943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1947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1943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1948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1943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1950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1943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2046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1943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1960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1943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3242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1963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1944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1963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1945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1963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1946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1963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1947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1963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1948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1963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1950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1963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2046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1963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1960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1963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3242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2017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1998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2017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2003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2017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2013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2017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2000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2017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2001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2017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2460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2017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2004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2017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2005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2017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2008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2017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2060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2017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2009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2017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2010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2017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2011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2017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2063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2017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2014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2017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2015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2017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2016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2017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2198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2017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2199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2017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2200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1935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1973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1935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1974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1935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2174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1935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2175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1935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2174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1935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2175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1935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1912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1935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4140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1935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4525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1935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2929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1935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4526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1935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2427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1935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2928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1935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3324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1935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1913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1935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2087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1935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1929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1935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1930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1935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1931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1943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1944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1943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1949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1943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1950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1943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1951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1943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1951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1943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1952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1943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1953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1943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1954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1943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1955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1943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1956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1943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1957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1943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1958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1943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1959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1943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1959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1943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1960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1943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1960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1943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1961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1943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1962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4527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1954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4527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3241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4527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2857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4527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4528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4527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2000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4527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2001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4527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2010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4527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2182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4527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2251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4527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2768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4527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2148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4527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4121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4527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2200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4527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2211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4527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2700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1963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1951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1963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1959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1963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1960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1963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1944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1963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1949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1963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1950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1963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1951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1963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1952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1963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1953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1963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1954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1963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1955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1963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1956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1963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1957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1963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1958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1963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1959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1963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1960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1963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1961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1963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1962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1935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1965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1935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4529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1935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4530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1935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4531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1935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4532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1935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4533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1935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4534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1935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2792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1935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2795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1935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2799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1935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2209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1935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2212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1935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2213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1935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2214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1935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2216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1935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2218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1935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2220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1935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4157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1935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2222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1935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2223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1935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2224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1935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2226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1935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3515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2760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4535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2760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4536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2760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4537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2017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1998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1935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1973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1935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1974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1935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1908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1935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1909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1935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1910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1935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2408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1935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2047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1935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1913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1935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1914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1935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2147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1935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1936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1935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1937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1935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1940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1935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4538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1935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1929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1935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1930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1935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1931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1943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1944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1943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1944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1943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1945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1943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1946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1943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1947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1943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1948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1943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2045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1943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1949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1943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1950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1943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1950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1943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1951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1943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1952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1943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1953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1943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1954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1943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1955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1943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1956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1943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1957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1943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1958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1943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3241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1943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1959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1943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1960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1943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1960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1943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1961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1943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1961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1943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1962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1943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1962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1963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1944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1963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1949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1963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1950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1963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1951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1963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1952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1963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1953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1963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1954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1963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1955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1963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1956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1963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1957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1963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1958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1963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1959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1963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1960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1963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1961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1963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1962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1963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1944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1963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1945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1963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1946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1963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1947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1963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1948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1963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2045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1963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1950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1963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3241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1963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1960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1963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1961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1963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1962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2480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2234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2480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2795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2017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2003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2017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2013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2017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1999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2017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2000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2017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2721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2017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2001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2017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2006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2017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2007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2017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2158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2017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2061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2017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2010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2017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2011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2017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2063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2017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2014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2017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2015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2017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3507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1935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1965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1935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1967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1935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1968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1935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1969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1935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1970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1935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1971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1935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1910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1935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1972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1935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2148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1935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2149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1935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2150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1935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2151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1935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2154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1935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4539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1935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3675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1935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1975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1935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1976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1935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4148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1935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1977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1935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1978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1935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1979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1935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1980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1935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2718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1935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3808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1935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4114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1935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4540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1935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1926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1935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1927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1935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2026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1935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2428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1935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2719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1935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4149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1935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2857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1935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2501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1935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2502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1935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4541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1935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2504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1935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2505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1935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2506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1935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2507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1935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2508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1935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2511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1935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4542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1935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2512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1935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2513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1935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4543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1935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2514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1935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2515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1935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2684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1935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4544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1935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4545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1935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4546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1935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2610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1935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4547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1935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2599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1935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2600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1935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2601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1935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2604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1935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2605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1935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4548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1935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2608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1935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2614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1935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4549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1935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3819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1935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3217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1935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3218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1935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3219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1935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2237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1935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2625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1935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2631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1935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2632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1935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4550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1935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4551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1935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4552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1935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2634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1935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2635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1935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2636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1935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2637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1935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2638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1935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2639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1935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3821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1935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4553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1935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4554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1935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2642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1935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4555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1935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4556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1935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2587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1935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3816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1935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4557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1935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4558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1935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2594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1935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2595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1935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4559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1935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4560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1935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2598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1935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2603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1935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2606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1935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2607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1935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3817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1935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4561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1935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4562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1935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4563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1935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4564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1935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2620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1935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2623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1935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2624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1935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4565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1935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4566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1935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4567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1935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4568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1935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4569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1935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2626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1935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2627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1935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2927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1935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4570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1935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4571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1935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2629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1935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4572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1935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1931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1935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2117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1935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2118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1935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2039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1935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2031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1935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2119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1935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2032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1935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2033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1935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4120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1935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2034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1935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2035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1935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2037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1935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1932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1935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4091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1935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3823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1935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1933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1935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1934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1935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2123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1935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2121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1935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2038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1935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3051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1935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2720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1935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2459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1935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1942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1935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2039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1935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2040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1935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2041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2017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1998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1935</v>
      </c>
      <c r="E7092" s="1" t="n">
        <v>1390</v>
      </c>
      <c r="F7092" s="1" t="s">
        <v>1643</v>
      </c>
      <c r="I7092" s="1" t="n">
        <v>7287</v>
      </c>
      <c r="J7092" s="1" t="n">
        <v>74806</v>
      </c>
      <c r="K7092" s="1" t="n">
        <v>7898967923899</v>
      </c>
      <c r="L7092" s="1" t="s">
        <v>4573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1935</v>
      </c>
      <c r="E7093" s="1" t="n">
        <v>1390</v>
      </c>
      <c r="F7093" s="1" t="s">
        <v>1643</v>
      </c>
      <c r="I7093" s="1" t="n">
        <v>7287</v>
      </c>
      <c r="J7093" s="1" t="n">
        <v>74808</v>
      </c>
      <c r="K7093" s="1" t="n">
        <v>7898967923912</v>
      </c>
      <c r="L7093" s="1" t="s">
        <v>4574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1935</v>
      </c>
      <c r="E7094" s="1" t="n">
        <v>1390</v>
      </c>
      <c r="F7094" s="1" t="s">
        <v>1643</v>
      </c>
      <c r="I7094" s="1" t="n">
        <v>7287</v>
      </c>
      <c r="J7094" s="1" t="n">
        <v>75038</v>
      </c>
      <c r="K7094" s="1" t="n">
        <v>7898754690492</v>
      </c>
      <c r="L7094" s="1" t="s">
        <v>4575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1935</v>
      </c>
      <c r="E7095" s="1" t="n">
        <v>794</v>
      </c>
      <c r="F7095" s="1" t="s">
        <v>343</v>
      </c>
      <c r="I7095" s="1" t="n">
        <v>8744</v>
      </c>
      <c r="J7095" s="1" t="n">
        <v>104079</v>
      </c>
      <c r="K7095" s="1" t="n">
        <v>7891055020081</v>
      </c>
      <c r="L7095" s="1" t="s">
        <v>4576</v>
      </c>
      <c r="N7095" s="1" t="n">
        <v>14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1935</v>
      </c>
      <c r="E7096" s="1" t="n">
        <v>794</v>
      </c>
      <c r="F7096" s="1" t="s">
        <v>343</v>
      </c>
      <c r="I7096" s="1" t="n">
        <v>8744</v>
      </c>
      <c r="J7096" s="1" t="n">
        <v>104074</v>
      </c>
      <c r="K7096" s="1" t="n">
        <v>7891055112403</v>
      </c>
      <c r="L7096" s="1" t="s">
        <v>4577</v>
      </c>
      <c r="N7096" s="1" t="n">
        <v>12</v>
      </c>
      <c r="O7096" s="1" t="n">
        <v>116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1935</v>
      </c>
      <c r="E7097" s="1" t="n">
        <v>794</v>
      </c>
      <c r="F7097" s="1" t="s">
        <v>343</v>
      </c>
      <c r="I7097" s="1" t="n">
        <v>8744</v>
      </c>
      <c r="J7097" s="1" t="n">
        <v>104075</v>
      </c>
      <c r="K7097" s="1" t="n">
        <v>7891055112502</v>
      </c>
      <c r="L7097" s="1" t="s">
        <v>4578</v>
      </c>
      <c r="N7097" s="1" t="n">
        <v>12</v>
      </c>
      <c r="O7097" s="1" t="n">
        <v>136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1935</v>
      </c>
      <c r="E7098" s="1" t="n">
        <v>794</v>
      </c>
      <c r="F7098" s="1" t="s">
        <v>343</v>
      </c>
      <c r="I7098" s="1" t="n">
        <v>8744</v>
      </c>
      <c r="J7098" s="1" t="n">
        <v>104078</v>
      </c>
      <c r="K7098" s="1" t="n">
        <v>7891055003589</v>
      </c>
      <c r="L7098" s="1" t="s">
        <v>4579</v>
      </c>
      <c r="N7098" s="1" t="n">
        <v>15</v>
      </c>
      <c r="O7098" s="1" t="n">
        <v>185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1935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4580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1935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4581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1935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4582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1935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4583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1935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4584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1935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4585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1935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4586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1935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4587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1935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4588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1935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4589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1935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4590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1935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4591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1935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4592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1935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4593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1935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4594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1935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4595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1935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4596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1935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4597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1935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4598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1935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4599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1935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4600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1935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4601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1935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4602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1935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4603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1935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4604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1935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1913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1935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2087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1935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1953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1935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1954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1935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1955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1935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3042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1935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3518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1935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3519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1935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2065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1935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3044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1935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3045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1935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2067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1935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3047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1935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3049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1935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3521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1935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2946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1935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2947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1935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4605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1935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4606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1935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2948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1935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2949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1935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2950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1935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4607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1935</v>
      </c>
      <c r="E7147" s="1" t="n">
        <v>1107</v>
      </c>
      <c r="F7147" s="1" t="s">
        <v>227</v>
      </c>
      <c r="I7147" s="1" t="n">
        <v>447609</v>
      </c>
      <c r="J7147" s="1" t="n">
        <v>27023</v>
      </c>
      <c r="K7147" s="1" t="n">
        <v>7891048050637</v>
      </c>
      <c r="L7147" s="1" t="s">
        <v>3489</v>
      </c>
      <c r="N7147" s="1" t="n">
        <v>12</v>
      </c>
      <c r="O7147" s="1" t="n">
        <v>17.82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1935</v>
      </c>
      <c r="E7148" s="1" t="n">
        <v>1107</v>
      </c>
      <c r="F7148" s="1" t="s">
        <v>227</v>
      </c>
      <c r="I7148" s="1" t="n">
        <v>447609</v>
      </c>
      <c r="J7148" s="1" t="n">
        <v>17325</v>
      </c>
      <c r="K7148" s="1" t="n">
        <v>7895144603063</v>
      </c>
      <c r="L7148" s="1" t="s">
        <v>2800</v>
      </c>
      <c r="N7148" s="1" t="n">
        <v>16</v>
      </c>
      <c r="O7148" s="1" t="n">
        <v>32.43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1935</v>
      </c>
      <c r="E7149" s="1" t="n">
        <v>1107</v>
      </c>
      <c r="F7149" s="1" t="s">
        <v>227</v>
      </c>
      <c r="I7149" s="1" t="n">
        <v>447609</v>
      </c>
      <c r="J7149" s="1" t="n">
        <v>20684</v>
      </c>
      <c r="K7149" s="1" t="n">
        <v>7891962045160</v>
      </c>
      <c r="L7149" s="1" t="s">
        <v>4608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1935</v>
      </c>
      <c r="E7150" s="1" t="n">
        <v>1107</v>
      </c>
      <c r="F7150" s="1" t="s">
        <v>227</v>
      </c>
      <c r="I7150" s="1" t="n">
        <v>447609</v>
      </c>
      <c r="J7150" s="1" t="n">
        <v>22780</v>
      </c>
      <c r="K7150" s="1" t="n">
        <v>7891962047560</v>
      </c>
      <c r="L7150" s="1" t="s">
        <v>4609</v>
      </c>
      <c r="N7150" s="1" t="n">
        <v>25</v>
      </c>
      <c r="O7150" s="1" t="n">
        <v>89.81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1935</v>
      </c>
      <c r="E7151" s="1" t="n">
        <v>1107</v>
      </c>
      <c r="F7151" s="1" t="s">
        <v>227</v>
      </c>
      <c r="I7151" s="1" t="n">
        <v>447609</v>
      </c>
      <c r="J7151" s="1" t="n">
        <v>24270</v>
      </c>
      <c r="K7151" s="1" t="n">
        <v>7891962050089</v>
      </c>
      <c r="L7151" s="1" t="s">
        <v>2951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1935</v>
      </c>
      <c r="E7152" s="1" t="n">
        <v>1107</v>
      </c>
      <c r="F7152" s="1" t="s">
        <v>227</v>
      </c>
      <c r="I7152" s="1" t="n">
        <v>447609</v>
      </c>
      <c r="J7152" s="1" t="n">
        <v>24548</v>
      </c>
      <c r="K7152" s="1" t="n">
        <v>7891962050072</v>
      </c>
      <c r="L7152" s="1" t="s">
        <v>2952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1935</v>
      </c>
      <c r="E7153" s="1" t="n">
        <v>1107</v>
      </c>
      <c r="F7153" s="1" t="s">
        <v>227</v>
      </c>
      <c r="I7153" s="1" t="n">
        <v>447609</v>
      </c>
      <c r="J7153" s="1" t="n">
        <v>24780</v>
      </c>
      <c r="K7153" s="1" t="n">
        <v>7891962050065</v>
      </c>
      <c r="L7153" s="1" t="s">
        <v>4610</v>
      </c>
      <c r="N7153" s="1" t="n">
        <v>45</v>
      </c>
      <c r="O7153" s="1" t="n">
        <v>171.59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1935</v>
      </c>
      <c r="E7154" s="1" t="n">
        <v>1107</v>
      </c>
      <c r="F7154" s="1" t="s">
        <v>227</v>
      </c>
      <c r="I7154" s="1" t="n">
        <v>447609</v>
      </c>
      <c r="J7154" s="1" t="n">
        <v>25766</v>
      </c>
      <c r="K7154" s="1" t="n">
        <v>7891962051079</v>
      </c>
      <c r="L7154" s="1" t="s">
        <v>4611</v>
      </c>
      <c r="N7154" s="1" t="n">
        <v>25</v>
      </c>
      <c r="O7154" s="1" t="n">
        <v>89.81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1935</v>
      </c>
      <c r="E7155" s="1" t="n">
        <v>1107</v>
      </c>
      <c r="F7155" s="1" t="s">
        <v>227</v>
      </c>
      <c r="I7155" s="1" t="n">
        <v>447609</v>
      </c>
      <c r="J7155" s="1" t="n">
        <v>27022</v>
      </c>
      <c r="K7155" s="1" t="n">
        <v>7891048050682</v>
      </c>
      <c r="L7155" s="1" t="s">
        <v>4612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1935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2955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1935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2954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1935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2956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1935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3497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1935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2801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1935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4613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1935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3498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1935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4614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1935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4615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1935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4616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1935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2957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1935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2958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1935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2802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1935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3499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1935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2803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1935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4617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1935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4618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1935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2959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1935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2960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1935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2961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1935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3500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1935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2962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1935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3501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1935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2963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1935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2964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1935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4619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1935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4620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1935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4621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1935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4622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1935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4623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1935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2261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1935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2262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1935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4624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1935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4625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1935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4626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1935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2263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1935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4627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1935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2264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1935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2266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1935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4628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1935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4629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1935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2267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1935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2268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1935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4630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1935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4631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1935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2269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1935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2270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1935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4632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1935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4633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1935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4634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1935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2273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1935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2274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1935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2275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1935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4004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1935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2276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1935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2277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1935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2277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1935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2279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1935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4635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1935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4636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1935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2281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1935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4005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1935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2023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1935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2025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1935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2428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1935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2182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1935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3117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1935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3118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1935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2183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1935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4637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1935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2185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1935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4638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1935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4639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1935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2187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1935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4022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1935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2189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1935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3124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1935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3124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1935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2196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1935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2197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1935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1929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1935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1930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1935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1931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1935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4275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1935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2039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1935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2458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1935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2031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1935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2119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1935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2032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1935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2033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1935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2120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1935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2034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1935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4153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1935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2036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1935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1932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1935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1934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1935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3810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1935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2123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1935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2121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1935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2720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1935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4276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1935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3051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1935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4640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1935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2459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1935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2028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1935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2039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1935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2040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1935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2124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1943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1944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1943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2045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1943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1949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1943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1950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1943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1951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1943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1951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1943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1952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1943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1953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1943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1954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1943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1955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1943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1956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1943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1957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1943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1957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1943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1958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1943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4337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1943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1959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1943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1959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1943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1960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1943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1961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1943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1962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1943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1962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2760</v>
      </c>
      <c r="E7285" s="1" t="n">
        <v>1835</v>
      </c>
      <c r="F7285" s="1" t="s">
        <v>1593</v>
      </c>
      <c r="I7285" s="1" t="n">
        <v>110228</v>
      </c>
      <c r="J7285" s="1" t="n">
        <v>82218</v>
      </c>
      <c r="K7285" s="1" t="n">
        <v>7898708505735</v>
      </c>
      <c r="L7285" s="1" t="s">
        <v>4641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2760</v>
      </c>
      <c r="E7286" s="1" t="n">
        <v>1835</v>
      </c>
      <c r="F7286" s="1" t="s">
        <v>1593</v>
      </c>
      <c r="I7286" s="1" t="n">
        <v>110228</v>
      </c>
      <c r="J7286" s="1" t="n">
        <v>82219</v>
      </c>
      <c r="K7286" s="1" t="n">
        <v>7898708505520</v>
      </c>
      <c r="L7286" s="1" t="s">
        <v>4642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1963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1944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1963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2045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1963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1949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1963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1950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1963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1951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1963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1952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1963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1953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1963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1954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1963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1955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1963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1956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1963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1957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1963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1958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1963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4337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1963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1959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1963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1960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1963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1961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1963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1962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1963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1951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1963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1957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1963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1959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1963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1962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2017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1998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1935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1973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1935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1974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1935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1964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1935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4643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1935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4644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1935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2914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1935</v>
      </c>
      <c r="E7315" s="1" t="n">
        <v>1609</v>
      </c>
      <c r="F7315" s="1" t="s">
        <v>103</v>
      </c>
      <c r="I7315" s="1" t="n">
        <v>6042</v>
      </c>
      <c r="J7315" s="1" t="n">
        <v>17163</v>
      </c>
      <c r="K7315" s="1" t="n">
        <v>7896981600567</v>
      </c>
      <c r="L7315" s="1" t="s">
        <v>2071</v>
      </c>
      <c r="N7315" s="1" t="n">
        <v>9</v>
      </c>
      <c r="O7315" s="1" t="n">
        <v>80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1935</v>
      </c>
      <c r="E7316" s="1" t="n">
        <v>1609</v>
      </c>
      <c r="F7316" s="1" t="s">
        <v>103</v>
      </c>
      <c r="I7316" s="1" t="n">
        <v>6042</v>
      </c>
      <c r="J7316" s="1" t="n">
        <v>13225</v>
      </c>
      <c r="K7316" s="1" t="n">
        <v>7896981601151</v>
      </c>
      <c r="L7316" s="1" t="s">
        <v>2915</v>
      </c>
      <c r="N7316" s="1" t="n">
        <v>12</v>
      </c>
      <c r="O7316" s="1" t="n">
        <v>45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1935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2073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1935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2075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1935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2076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1935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2077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1935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2079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1935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3450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1935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2081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1935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2082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1935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2083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1935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2084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1935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2085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1935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2916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1935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2917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1935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2917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1935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1914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1935</v>
      </c>
      <c r="E7332" s="1" t="n">
        <v>1706</v>
      </c>
      <c r="F7332" s="1" t="s">
        <v>1595</v>
      </c>
      <c r="I7332" s="1" t="n">
        <v>206697</v>
      </c>
      <c r="J7332" s="1" t="n">
        <v>57639</v>
      </c>
      <c r="K7332" s="1" t="n">
        <v>7896004006277</v>
      </c>
      <c r="L7332" s="1" t="s">
        <v>4526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1935</v>
      </c>
      <c r="E7333" s="1" t="n">
        <v>1706</v>
      </c>
      <c r="F7333" s="1" t="s">
        <v>1595</v>
      </c>
      <c r="I7333" s="1" t="n">
        <v>206697</v>
      </c>
      <c r="J7333" s="1" t="n">
        <v>57878</v>
      </c>
      <c r="K7333" s="1" t="n">
        <v>7896004006239</v>
      </c>
      <c r="L7333" s="1" t="s">
        <v>4645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1935</v>
      </c>
      <c r="E7334" s="1" t="n">
        <v>1706</v>
      </c>
      <c r="F7334" s="1" t="s">
        <v>1595</v>
      </c>
      <c r="I7334" s="1" t="n">
        <v>206697</v>
      </c>
      <c r="J7334" s="1" t="n">
        <v>61667</v>
      </c>
      <c r="K7334" s="1" t="n">
        <v>7896004006284</v>
      </c>
      <c r="L7334" s="1" t="s">
        <v>4646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1935</v>
      </c>
      <c r="E7335" s="1" t="n">
        <v>1706</v>
      </c>
      <c r="F7335" s="1" t="s">
        <v>1595</v>
      </c>
      <c r="I7335" s="1" t="n">
        <v>206697</v>
      </c>
      <c r="J7335" s="1" t="n">
        <v>63233</v>
      </c>
      <c r="K7335" s="1" t="n">
        <v>7896004006406</v>
      </c>
      <c r="L7335" s="1" t="s">
        <v>4647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1935</v>
      </c>
      <c r="E7336" s="1" t="n">
        <v>1706</v>
      </c>
      <c r="F7336" s="1" t="s">
        <v>1595</v>
      </c>
      <c r="I7336" s="1" t="n">
        <v>206697</v>
      </c>
      <c r="J7336" s="1" t="n">
        <v>63943</v>
      </c>
      <c r="K7336" s="1" t="n">
        <v>7896004008998</v>
      </c>
      <c r="L7336" s="1" t="s">
        <v>4648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1935</v>
      </c>
      <c r="E7337" s="1" t="n">
        <v>1706</v>
      </c>
      <c r="F7337" s="1" t="s">
        <v>1595</v>
      </c>
      <c r="I7337" s="1" t="n">
        <v>206697</v>
      </c>
      <c r="J7337" s="1" t="n">
        <v>66069</v>
      </c>
      <c r="K7337" s="1" t="n">
        <v>7896004010076</v>
      </c>
      <c r="L7337" s="1" t="s">
        <v>2753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1935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3901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1935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3905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1935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3906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1935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3907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1935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3908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1935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3909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1935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3914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1935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3915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1935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3918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1935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4649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1935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3922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1935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2102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1935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2103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1935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2445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1935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2108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1935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2109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1935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2447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1935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2110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1935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2448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1935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1982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1935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4082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1935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2112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1935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1985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1935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2449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1935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2113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1935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2114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1935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2450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1935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2451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1935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1986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1935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1987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1935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2115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1935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2452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1935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1988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1935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2453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1935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4650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1935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1991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1935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1995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1935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1996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1935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4651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1935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2626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1935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4652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1935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3831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1935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2378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1935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2381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1935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2383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1935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2384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1935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2386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1935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2387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1935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2388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1935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2389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1935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2392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1935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2393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1935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2394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1935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2395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1935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2396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1935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2397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1935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2399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1935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2400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1935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2401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1935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2406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1935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2407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1943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1944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1943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1945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1943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1946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1943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1947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1943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1948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1943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1950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1943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2046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1943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1960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1943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1961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1943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1962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1963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1944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1963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1945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1963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1946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1963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1947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1963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1948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1963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1950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1963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2046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1963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1960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1963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1961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1963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1962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2017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2003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2017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2013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2017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1999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2017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2156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2017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2001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2017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2157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2017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2004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2017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2006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2017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2007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2017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2008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2017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2060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2017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2009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2017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2010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2017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2011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2017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4141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2017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2159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2017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2014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2017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2015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2017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2016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2017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3507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1935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2174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1935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2175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1935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2176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1935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4653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1935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4340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1935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4654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1935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4655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1935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4341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1935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4342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1935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4656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1935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4657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1935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4122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1935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2231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1935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2231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1935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2782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1935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4200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1935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4658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1935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2096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1935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4659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1935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2236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1935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2927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1935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2054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1935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2055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1935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3309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1935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2056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1935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2058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1935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2055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1935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2057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1935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1929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1935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1930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1935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1931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2017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1998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1935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1973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1935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1974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1935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4122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1935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3777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1935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2920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1935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4658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1935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4658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1935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2925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1935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2926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1935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3445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1935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2096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1935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4660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1935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1965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1935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1913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1935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2043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1935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2044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1935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2409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1943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1944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1943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1949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1943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1950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1943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1951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1943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1952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1943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1953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1943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1954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1943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1955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1943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1956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1943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1957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1943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1958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1943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4337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1943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1959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1943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1960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1943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1961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1943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1962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1963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1944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1963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1949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1963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1950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1963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1951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1963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1952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1963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1953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1963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1954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1963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1955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1963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1956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1963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1957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1963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1958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1963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4337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1963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1959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1963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1960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1963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1961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1963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1962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2017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1998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1935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1908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1935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1910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1935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2408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1935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2047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1935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1911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1935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1909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1935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2048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1935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2049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1935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2050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1935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2051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1935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2052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1935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2807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1935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1966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1935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1968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1935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1969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1935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1970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1935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1971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1935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1910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1935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1972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1935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4661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1935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1914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1935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2410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1935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4662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1935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4663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1935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2411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1935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4664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1935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4665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1935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4666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1935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4667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1935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4668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1935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4669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1935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4670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1935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3060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1935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2532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1935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3061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1935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2534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1935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2537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1935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2537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1935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2542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1935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2544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1935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3236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1935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4671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1935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4111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1935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2550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1935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4672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1935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3237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1935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3238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1935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2556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1935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4673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1935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2561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1935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4674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1935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4675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1935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1926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1935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1927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1935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2030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1935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2427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1935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2904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1935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3346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1935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1929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1935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1930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1935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1931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1935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1929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1935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1930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1935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1931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1935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4651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1935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2626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1943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1944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1943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1945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1943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1946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1943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1947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1943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1948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1943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2045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1943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1950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1943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1960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1943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1962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1963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1944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1963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1945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1963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1946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1963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1947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1963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1948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1963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2045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1963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1950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1963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1960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1963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1962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2480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4676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2480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4677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2017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2003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2017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2013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2017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1999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2017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2000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2017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2721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2017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2001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2017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2002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2017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2004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2017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2006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2017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2007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2017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2158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2017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2010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2017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2722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2017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2063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2017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2014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2017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2015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2017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4142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2017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3507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1935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1965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1935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2177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1935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4678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1935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2127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1935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2128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1935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3370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1935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2131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1935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2132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1935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2135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1935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2136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1935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2137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1935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3373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1935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4643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1935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1975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1935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1976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1935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1977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1935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1978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1935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1979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1935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1980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2760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3067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2760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3068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2760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3069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2760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3070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2017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1998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1935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1913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1935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1914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1935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1929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1935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1930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1935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1931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1935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3685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1943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1944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1943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1944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1943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1945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1943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1946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1943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1947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1943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1948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1943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2045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1943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2045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1943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1949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1943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1950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1943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1950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1943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1951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1943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1952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1943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1953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1943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1954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1943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1955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1943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1956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1943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1957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1943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1958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1943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4337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1943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1959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1943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1960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1943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1960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1943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1961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1943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1961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1943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1962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1943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1962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1963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1944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1963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2045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1963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1949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1963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1950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1963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1951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1963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1952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1963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1953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1963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1954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1963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1955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1963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1956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1963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1957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1963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1958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1963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4337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1963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1959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1963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1960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1963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1961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1963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1962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1963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1944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1963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1945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1963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1946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1963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1947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1963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1948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1963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2045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1963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1950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1963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1960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1963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1961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1963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1962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1935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1908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1935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1909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1935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1910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1935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2408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1935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2047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1935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1911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1935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2049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1935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2050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1935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2051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1935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2052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1935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1966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1935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1967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1935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1969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1935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2053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1935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1970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1935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3115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1935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4679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1935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2462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1935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3682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1935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4680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1935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3509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1935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2209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1935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2213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1935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2214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1935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3514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1935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2216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1935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2218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1935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2220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1935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4157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1935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2222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1935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2223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1935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2224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1935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4681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1935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4682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1935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2530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1935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2532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1935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3244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1935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4392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1935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3245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1935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3938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1935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3246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1935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3941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1935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4395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1935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3693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1935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3967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1935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3974</v>
      </c>
      <c r="N7754" s="1" t="n">
        <v>3</v>
      </c>
      <c r="O7754" s="1" t="n">
        <v>22.64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2017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1998</v>
      </c>
      <c r="N7755" s="1" t="n">
        <v>20</v>
      </c>
      <c r="O7755" s="1" t="n">
        <v>300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2017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2003</v>
      </c>
      <c r="N7756" s="1" t="n">
        <v>20</v>
      </c>
      <c r="O7756" s="1" t="n">
        <v>100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2017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2013</v>
      </c>
      <c r="N7757" s="1" t="n">
        <v>40</v>
      </c>
      <c r="O7757" s="1" t="n">
        <v>240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2017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1999</v>
      </c>
      <c r="N7758" s="1" t="n">
        <v>18</v>
      </c>
      <c r="O7758" s="1" t="n">
        <v>130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2017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2000</v>
      </c>
      <c r="N7759" s="1" t="n">
        <v>24</v>
      </c>
      <c r="O7759" s="1" t="n">
        <v>120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2017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2001</v>
      </c>
      <c r="N7760" s="1" t="n">
        <v>20</v>
      </c>
      <c r="O7760" s="1" t="n">
        <v>120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2017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2460</v>
      </c>
      <c r="N7761" s="1" t="n">
        <v>15</v>
      </c>
      <c r="O7761" s="1" t="n">
        <v>120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2017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2157</v>
      </c>
      <c r="N7762" s="1" t="n">
        <v>15</v>
      </c>
      <c r="O7762" s="1" t="n">
        <v>160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2017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2004</v>
      </c>
      <c r="N7763" s="1" t="n">
        <v>2</v>
      </c>
      <c r="O7763" s="1" t="n">
        <v>30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2017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2005</v>
      </c>
      <c r="N7764" s="1" t="n">
        <v>5</v>
      </c>
      <c r="O7764" s="1" t="n">
        <v>40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2017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2007</v>
      </c>
      <c r="N7765" s="1" t="n">
        <v>3</v>
      </c>
      <c r="O7765" s="1" t="n">
        <v>39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2017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2060</v>
      </c>
      <c r="N7766" s="1" t="n">
        <v>20</v>
      </c>
      <c r="O7766" s="1" t="n">
        <v>160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2017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2061</v>
      </c>
      <c r="N7767" s="1" t="n">
        <v>13</v>
      </c>
      <c r="O7767" s="1" t="n">
        <v>80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2017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2009</v>
      </c>
      <c r="N7768" s="1" t="n">
        <v>20</v>
      </c>
      <c r="O7768" s="1" t="n">
        <v>160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2017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2010</v>
      </c>
      <c r="N7769" s="1" t="n">
        <v>61.32</v>
      </c>
      <c r="O7769" s="1" t="n">
        <v>190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2017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2011</v>
      </c>
      <c r="N7770" s="1" t="n">
        <v>20</v>
      </c>
      <c r="O7770" s="1" t="n">
        <v>100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2017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4141</v>
      </c>
      <c r="N7771" s="1" t="n">
        <v>10</v>
      </c>
      <c r="O7771" s="1" t="n">
        <v>75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2017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3676</v>
      </c>
      <c r="N7772" s="1" t="n">
        <v>10</v>
      </c>
      <c r="O7772" s="1" t="n">
        <v>33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2017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2159</v>
      </c>
      <c r="N7773" s="1" t="n">
        <v>5</v>
      </c>
      <c r="O7773" s="1" t="n">
        <v>40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2017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2014</v>
      </c>
      <c r="N7774" s="1" t="n">
        <v>40</v>
      </c>
      <c r="O7774" s="1" t="n">
        <v>260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2017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2015</v>
      </c>
      <c r="N7775" s="1" t="n">
        <v>5</v>
      </c>
      <c r="O7775" s="1" t="n">
        <v>15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2017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2016</v>
      </c>
      <c r="N7776" s="1" t="n">
        <v>25</v>
      </c>
      <c r="O7776" s="1" t="n">
        <v>100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1935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2232</v>
      </c>
      <c r="N7777" s="1" t="n">
        <v>30</v>
      </c>
      <c r="O7777" s="1" t="n">
        <v>125.7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1935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2233</v>
      </c>
      <c r="N7778" s="1" t="n">
        <v>135</v>
      </c>
      <c r="O7778" s="1" t="n">
        <v>374.5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1935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2741</v>
      </c>
      <c r="N7779" s="1" t="n">
        <v>24</v>
      </c>
      <c r="O7779" s="1" t="n">
        <v>110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1935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4660</v>
      </c>
      <c r="N7780" s="1" t="n">
        <v>50</v>
      </c>
      <c r="O7780" s="1" t="n">
        <v>175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1935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4096</v>
      </c>
      <c r="N7781" s="1" t="n">
        <v>20</v>
      </c>
      <c r="O7781" s="1" t="n">
        <v>259.8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1935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2174</v>
      </c>
      <c r="N7782" s="1" t="n">
        <v>15</v>
      </c>
      <c r="O7782" s="1" t="n">
        <v>142.5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1935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2175</v>
      </c>
      <c r="N7783" s="1" t="n">
        <v>10</v>
      </c>
      <c r="O7783" s="1" t="n">
        <v>35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1935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4683</v>
      </c>
      <c r="N7784" s="1" t="n">
        <v>24</v>
      </c>
      <c r="O7784" s="1" t="n">
        <v>42.21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1935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3387</v>
      </c>
      <c r="N7785" s="1" t="n">
        <v>12</v>
      </c>
      <c r="O7785" s="1" t="n">
        <v>90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1935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2490</v>
      </c>
      <c r="N7786" s="1" t="n">
        <v>12</v>
      </c>
      <c r="O7786" s="1" t="n">
        <v>47.88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1935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2491</v>
      </c>
      <c r="N7787" s="1" t="n">
        <v>12</v>
      </c>
      <c r="O7787" s="1" t="n">
        <v>30.6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1935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4684</v>
      </c>
      <c r="N7788" s="1" t="n">
        <v>60</v>
      </c>
      <c r="O7788" s="1" t="n">
        <v>73.82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1935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2492</v>
      </c>
      <c r="N7789" s="1" t="n">
        <v>24</v>
      </c>
      <c r="O7789" s="1" t="n">
        <v>104.4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1935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2492</v>
      </c>
      <c r="N7790" s="1" t="n">
        <v>24</v>
      </c>
      <c r="O7790" s="1" t="n">
        <v>75.6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1935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3389</v>
      </c>
      <c r="N7791" s="1" t="n">
        <v>12</v>
      </c>
      <c r="O7791" s="1" t="n">
        <v>30.6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1935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4685</v>
      </c>
      <c r="N7792" s="1" t="n">
        <v>15</v>
      </c>
      <c r="O7792" s="1" t="n">
        <v>194.85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1935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2101</v>
      </c>
      <c r="N7793" s="1" t="n">
        <v>40</v>
      </c>
      <c r="O7793" s="1" t="n">
        <v>279.6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1935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2580</v>
      </c>
      <c r="N7794" s="1" t="n">
        <v>270</v>
      </c>
      <c r="O7794" s="1" t="n">
        <v>365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1935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3116</v>
      </c>
      <c r="N7795" s="1" t="n">
        <v>45</v>
      </c>
      <c r="O7795" s="1" t="n">
        <v>184.5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1935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3338</v>
      </c>
      <c r="N7796" s="1" t="n">
        <v>90</v>
      </c>
      <c r="O7796" s="1" t="n">
        <v>225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1935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2185</v>
      </c>
      <c r="N7797" s="1" t="n">
        <v>18</v>
      </c>
      <c r="O7797" s="1" t="n">
        <v>54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1935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2186</v>
      </c>
      <c r="N7798" s="1" t="n">
        <v>45</v>
      </c>
      <c r="O7798" s="1" t="n">
        <v>135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1935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4021</v>
      </c>
      <c r="N7799" s="1" t="n">
        <v>60</v>
      </c>
      <c r="O7799" s="1" t="n">
        <v>66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1935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3120</v>
      </c>
      <c r="N7800" s="1" t="n">
        <v>18</v>
      </c>
      <c r="O7800" s="1" t="n">
        <v>43.2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1935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3340</v>
      </c>
      <c r="N7801" s="1" t="n">
        <v>18</v>
      </c>
      <c r="O7801" s="1" t="n">
        <v>86.4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1935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3122</v>
      </c>
      <c r="N7802" s="1" t="n">
        <v>45</v>
      </c>
      <c r="O7802" s="1" t="n">
        <v>202.5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1935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2190</v>
      </c>
      <c r="N7803" s="1" t="n">
        <v>63</v>
      </c>
      <c r="O7803" s="1" t="n">
        <v>189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1935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2191</v>
      </c>
      <c r="N7804" s="1" t="n">
        <v>63</v>
      </c>
      <c r="O7804" s="1" t="n">
        <v>258.3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1935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4686</v>
      </c>
      <c r="N7805" s="1" t="n">
        <v>60</v>
      </c>
      <c r="O7805" s="1" t="n">
        <v>66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1935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2194</v>
      </c>
      <c r="N7806" s="1" t="n">
        <v>10</v>
      </c>
      <c r="O7806" s="1" t="n">
        <v>80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1935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4023</v>
      </c>
      <c r="N7807" s="1" t="n">
        <v>24</v>
      </c>
      <c r="O7807" s="1" t="n">
        <v>26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1935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2196</v>
      </c>
      <c r="N7808" s="1" t="n">
        <v>36</v>
      </c>
      <c r="O7808" s="1" t="n">
        <v>93.6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1935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2197</v>
      </c>
      <c r="N7809" s="1" t="n">
        <v>60</v>
      </c>
      <c r="O7809" s="1" t="n">
        <v>156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1935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4025</v>
      </c>
      <c r="N7810" s="1" t="n">
        <v>24</v>
      </c>
      <c r="O7810" s="1" t="n">
        <v>26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1935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4026</v>
      </c>
      <c r="N7811" s="1" t="n">
        <v>24</v>
      </c>
      <c r="O7811" s="1" t="n">
        <v>26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1935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3360</v>
      </c>
      <c r="N7812" s="1" t="n">
        <v>13</v>
      </c>
      <c r="O7812" s="1" t="n">
        <v>274.16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1935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2100</v>
      </c>
      <c r="N7813" s="1" t="n">
        <v>60</v>
      </c>
      <c r="O7813" s="1" t="n">
        <v>789.89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1935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2088</v>
      </c>
      <c r="N7814" s="1" t="n">
        <v>60</v>
      </c>
      <c r="O7814" s="1" t="n">
        <v>695.4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1935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2432</v>
      </c>
      <c r="N7815" s="1" t="n">
        <v>8</v>
      </c>
      <c r="O7815" s="1" t="n">
        <v>98.16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1935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2434</v>
      </c>
      <c r="N7816" s="1" t="n">
        <v>12</v>
      </c>
      <c r="O7816" s="1" t="n">
        <v>150.96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1935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2435</v>
      </c>
      <c r="N7817" s="1" t="n">
        <v>8</v>
      </c>
      <c r="O7817" s="1" t="n">
        <v>101.27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1935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3221</v>
      </c>
      <c r="N7818" s="1" t="n">
        <v>12</v>
      </c>
      <c r="O7818" s="1" t="n">
        <v>217.08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1935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2436</v>
      </c>
      <c r="N7819" s="1" t="n">
        <v>12</v>
      </c>
      <c r="O7819" s="1" t="n">
        <v>198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1935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3222</v>
      </c>
      <c r="N7820" s="1" t="n">
        <v>24</v>
      </c>
      <c r="O7820" s="1" t="n">
        <v>150.8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1935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2437</v>
      </c>
      <c r="N7821" s="1" t="n">
        <v>15</v>
      </c>
      <c r="O7821" s="1" t="n">
        <v>228.9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1935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2439</v>
      </c>
      <c r="N7822" s="1" t="n">
        <v>36</v>
      </c>
      <c r="O7822" s="1" t="n">
        <v>37.99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1935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2439</v>
      </c>
      <c r="N7823" s="1" t="n">
        <v>36</v>
      </c>
      <c r="O7823" s="1" t="n">
        <v>40.41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1935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2968</v>
      </c>
      <c r="N7824" s="1" t="n">
        <v>24</v>
      </c>
      <c r="O7824" s="1" t="n">
        <v>69.78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1935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2969</v>
      </c>
      <c r="N7825" s="1" t="n">
        <v>12</v>
      </c>
      <c r="O7825" s="1" t="n">
        <v>66.24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1935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4687</v>
      </c>
      <c r="N7826" s="1" t="n">
        <v>15</v>
      </c>
      <c r="O7826" s="1" t="n">
        <v>56.34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1935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2441</v>
      </c>
      <c r="N7827" s="1" t="n">
        <v>90</v>
      </c>
      <c r="O7827" s="1" t="n">
        <v>147.38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1935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2441</v>
      </c>
      <c r="N7828" s="1" t="n">
        <v>45</v>
      </c>
      <c r="O7828" s="1" t="n">
        <v>77.82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1935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2442</v>
      </c>
      <c r="N7829" s="1" t="n">
        <v>90</v>
      </c>
      <c r="O7829" s="1" t="n">
        <v>147.38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1935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2442</v>
      </c>
      <c r="N7830" s="1" t="n">
        <v>45</v>
      </c>
      <c r="O7830" s="1" t="n">
        <v>77.82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1935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4688</v>
      </c>
      <c r="N7831" s="1" t="n">
        <v>12</v>
      </c>
      <c r="O7831" s="1" t="n">
        <v>153.68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1935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2972</v>
      </c>
      <c r="N7832" s="1" t="n">
        <v>30</v>
      </c>
      <c r="O7832" s="1" t="n">
        <v>112.17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1935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2443</v>
      </c>
      <c r="N7833" s="1" t="n">
        <v>36</v>
      </c>
      <c r="O7833" s="1" t="n">
        <v>34.2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1935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2443</v>
      </c>
      <c r="N7834" s="1" t="n">
        <v>36</v>
      </c>
      <c r="O7834" s="1" t="n">
        <v>36.38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1935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4689</v>
      </c>
      <c r="N7835" s="1" t="n">
        <v>20</v>
      </c>
      <c r="O7835" s="1" t="n">
        <v>168.76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1935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3812</v>
      </c>
      <c r="N7836" s="1" t="n">
        <v>16</v>
      </c>
      <c r="O7836" s="1" t="n">
        <v>136.72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1935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4690</v>
      </c>
      <c r="N7837" s="1" t="n">
        <v>15</v>
      </c>
      <c r="O7837" s="1" t="n">
        <v>324.3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1935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1929</v>
      </c>
      <c r="N7838" s="1" t="n">
        <v>12</v>
      </c>
      <c r="O7838" s="1" t="n">
        <v>18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1935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1930</v>
      </c>
      <c r="N7839" s="1" t="n">
        <v>5</v>
      </c>
      <c r="O7839" s="1" t="n">
        <v>22.5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1935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1931</v>
      </c>
      <c r="N7840" s="1" t="n">
        <v>70</v>
      </c>
      <c r="O7840" s="1" t="n">
        <v>126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1935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3709</v>
      </c>
      <c r="N7841" s="1" t="n">
        <v>24</v>
      </c>
      <c r="O7841" s="1" t="n">
        <v>144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1935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3710</v>
      </c>
      <c r="N7842" s="1" t="n">
        <v>25</v>
      </c>
      <c r="O7842" s="1" t="n">
        <v>55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1935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2976</v>
      </c>
      <c r="N7843" s="1" t="n">
        <v>12</v>
      </c>
      <c r="O7843" s="1" t="n">
        <v>64.08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1935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2978</v>
      </c>
      <c r="N7844" s="1" t="n">
        <v>5</v>
      </c>
      <c r="O7844" s="1" t="n">
        <v>58.7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1935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2982</v>
      </c>
      <c r="N7845" s="1" t="n">
        <v>60</v>
      </c>
      <c r="O7845" s="1" t="n">
        <v>132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1935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2983</v>
      </c>
      <c r="N7846" s="1" t="n">
        <v>5</v>
      </c>
      <c r="O7846" s="1" t="n">
        <v>58.7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1935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2984</v>
      </c>
      <c r="N7847" s="1" t="n">
        <v>5</v>
      </c>
      <c r="O7847" s="1" t="n">
        <v>58.7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1935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3714</v>
      </c>
      <c r="N7848" s="1" t="n">
        <v>16</v>
      </c>
      <c r="O7848" s="1" t="n">
        <v>96.16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1935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2986</v>
      </c>
      <c r="N7849" s="1" t="n">
        <v>56</v>
      </c>
      <c r="O7849" s="1" t="n">
        <v>168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1935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2987</v>
      </c>
      <c r="N7850" s="1" t="n">
        <v>6</v>
      </c>
      <c r="O7850" s="1" t="n">
        <v>80.04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1935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2988</v>
      </c>
      <c r="N7851" s="1" t="n">
        <v>32</v>
      </c>
      <c r="O7851" s="1" t="n">
        <v>84.8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1935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2989</v>
      </c>
      <c r="N7852" s="1" t="n">
        <v>6</v>
      </c>
      <c r="O7852" s="1" t="n">
        <v>80.46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1935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2990</v>
      </c>
      <c r="N7853" s="1" t="n">
        <v>56</v>
      </c>
      <c r="O7853" s="1" t="n">
        <v>186.48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1935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4691</v>
      </c>
      <c r="N7854" s="1" t="n">
        <v>6</v>
      </c>
      <c r="O7854" s="1" t="n">
        <v>72.12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1935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2991</v>
      </c>
      <c r="N7855" s="1" t="n">
        <v>6</v>
      </c>
      <c r="O7855" s="1" t="n">
        <v>75.42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1935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2992</v>
      </c>
      <c r="N7856" s="1" t="n">
        <v>15</v>
      </c>
      <c r="O7856" s="1" t="n">
        <v>117.6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1935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4692</v>
      </c>
      <c r="N7857" s="1" t="n">
        <v>32</v>
      </c>
      <c r="O7857" s="1" t="n">
        <v>84.8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1935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2993</v>
      </c>
      <c r="N7858" s="1" t="n">
        <v>15</v>
      </c>
      <c r="O7858" s="1" t="n">
        <v>96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1935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2994</v>
      </c>
      <c r="N7859" s="1" t="n">
        <v>25</v>
      </c>
      <c r="O7859" s="1" t="n">
        <v>160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1935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2995</v>
      </c>
      <c r="N7860" s="1" t="n">
        <v>58</v>
      </c>
      <c r="O7860" s="1" t="n">
        <v>196.62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1935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2996</v>
      </c>
      <c r="N7861" s="1" t="n">
        <v>12</v>
      </c>
      <c r="O7861" s="1" t="n">
        <v>21.6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1935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2997</v>
      </c>
      <c r="N7862" s="1" t="n">
        <v>12</v>
      </c>
      <c r="O7862" s="1" t="n">
        <v>21.6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1935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2998</v>
      </c>
      <c r="N7863" s="1" t="n">
        <v>16</v>
      </c>
      <c r="O7863" s="1" t="n">
        <v>28.8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1935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2999</v>
      </c>
      <c r="N7864" s="1" t="n">
        <v>26</v>
      </c>
      <c r="O7864" s="1" t="n">
        <v>46.8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1935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3001</v>
      </c>
      <c r="N7865" s="1" t="n">
        <v>6</v>
      </c>
      <c r="O7865" s="1" t="n">
        <v>79.14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1935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3002</v>
      </c>
      <c r="N7866" s="1" t="n">
        <v>32</v>
      </c>
      <c r="O7866" s="1" t="n">
        <v>109.44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1935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3716</v>
      </c>
      <c r="N7867" s="1" t="n">
        <v>36</v>
      </c>
      <c r="O7867" s="1" t="n">
        <v>146.16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1935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3003</v>
      </c>
      <c r="N7868" s="1" t="n">
        <v>12</v>
      </c>
      <c r="O7868" s="1" t="n">
        <v>21.6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1935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2987</v>
      </c>
      <c r="N7869" s="1" t="n">
        <v>15</v>
      </c>
      <c r="O7869" s="1" t="n">
        <v>129.6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1935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3004</v>
      </c>
      <c r="N7870" s="1" t="n">
        <v>26</v>
      </c>
      <c r="O7870" s="1" t="n">
        <v>46.8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1935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3005</v>
      </c>
      <c r="N7871" s="1" t="n">
        <v>25</v>
      </c>
      <c r="O7871" s="1" t="n">
        <v>160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1935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3717</v>
      </c>
      <c r="N7872" s="1" t="n">
        <v>12</v>
      </c>
      <c r="O7872" s="1" t="n">
        <v>54.96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1935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3008</v>
      </c>
      <c r="N7873" s="1" t="n">
        <v>56</v>
      </c>
      <c r="O7873" s="1" t="n">
        <v>186.48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1935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3009</v>
      </c>
      <c r="N7874" s="1" t="n">
        <v>50</v>
      </c>
      <c r="O7874" s="1" t="n">
        <v>166.5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1935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3010</v>
      </c>
      <c r="N7875" s="1" t="n">
        <v>50</v>
      </c>
      <c r="O7875" s="1" t="n">
        <v>166.5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1935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3011</v>
      </c>
      <c r="N7876" s="1" t="n">
        <v>50</v>
      </c>
      <c r="O7876" s="1" t="n">
        <v>150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1935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4693</v>
      </c>
      <c r="N7877" s="1" t="n">
        <v>12</v>
      </c>
      <c r="O7877" s="1" t="n">
        <v>54.96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1935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3012</v>
      </c>
      <c r="N7878" s="1" t="n">
        <v>13</v>
      </c>
      <c r="O7878" s="1" t="n">
        <v>121.29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1935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3014</v>
      </c>
      <c r="N7879" s="1" t="n">
        <v>48</v>
      </c>
      <c r="O7879" s="1" t="n">
        <v>183.84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1935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4694</v>
      </c>
      <c r="N7880" s="1" t="n">
        <v>12</v>
      </c>
      <c r="O7880" s="1" t="n">
        <v>33.6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1935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2102</v>
      </c>
      <c r="N7881" s="1" t="n">
        <v>6</v>
      </c>
      <c r="O7881" s="1" t="n">
        <v>15.78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1935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2445</v>
      </c>
      <c r="N7882" s="1" t="n">
        <v>12</v>
      </c>
      <c r="O7882" s="1" t="n">
        <v>125.76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1935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2104</v>
      </c>
      <c r="N7883" s="1" t="n">
        <v>4</v>
      </c>
      <c r="O7883" s="1" t="n">
        <v>13.24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1935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2105</v>
      </c>
      <c r="N7884" s="1" t="n">
        <v>4</v>
      </c>
      <c r="O7884" s="1" t="n">
        <v>11.4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1935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4119</v>
      </c>
      <c r="N7885" s="1" t="n">
        <v>1</v>
      </c>
      <c r="O7885" s="1" t="n">
        <v>12.83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1935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2106</v>
      </c>
      <c r="N7886" s="1" t="n">
        <v>4</v>
      </c>
      <c r="O7886" s="1" t="n">
        <v>13.44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1935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2107</v>
      </c>
      <c r="N7887" s="1" t="n">
        <v>4</v>
      </c>
      <c r="O7887" s="1" t="n">
        <v>13.44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1935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2108</v>
      </c>
      <c r="N7888" s="1" t="n">
        <v>3</v>
      </c>
      <c r="O7888" s="1" t="n">
        <v>26.4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1935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2109</v>
      </c>
      <c r="N7889" s="1" t="n">
        <v>6</v>
      </c>
      <c r="O7889" s="1" t="n">
        <v>52.8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1935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2110</v>
      </c>
      <c r="N7890" s="1" t="n">
        <v>3</v>
      </c>
      <c r="O7890" s="1" t="n">
        <v>17.79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1935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2448</v>
      </c>
      <c r="N7891" s="1" t="n">
        <v>4</v>
      </c>
      <c r="O7891" s="1" t="n">
        <v>30.04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1935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4695</v>
      </c>
      <c r="N7892" s="1" t="n">
        <v>4</v>
      </c>
      <c r="O7892" s="1" t="n">
        <v>25.28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1935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1982</v>
      </c>
      <c r="N7893" s="1" t="n">
        <v>6</v>
      </c>
      <c r="O7893" s="1" t="n">
        <v>37.92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1935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3342</v>
      </c>
      <c r="N7894" s="1" t="n">
        <v>1</v>
      </c>
      <c r="O7894" s="1" t="n">
        <v>8.88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1935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1984</v>
      </c>
      <c r="N7895" s="1" t="n">
        <v>2</v>
      </c>
      <c r="O7895" s="1" t="n">
        <v>10.92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1935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2113</v>
      </c>
      <c r="N7896" s="1" t="n">
        <v>6</v>
      </c>
      <c r="O7896" s="1" t="n">
        <v>18.84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1935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2114</v>
      </c>
      <c r="N7897" s="1" t="n">
        <v>4</v>
      </c>
      <c r="O7897" s="1" t="n">
        <v>51.24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1935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2450</v>
      </c>
      <c r="N7898" s="1" t="n">
        <v>2</v>
      </c>
      <c r="O7898" s="1" t="n">
        <v>25.62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1935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1986</v>
      </c>
      <c r="N7899" s="1" t="n">
        <v>6</v>
      </c>
      <c r="O7899" s="1" t="n">
        <v>22.8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1935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2115</v>
      </c>
      <c r="N7900" s="1" t="n">
        <v>6</v>
      </c>
      <c r="O7900" s="1" t="n">
        <v>19.86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1935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2452</v>
      </c>
      <c r="N7901" s="1" t="n">
        <v>4</v>
      </c>
      <c r="O7901" s="1" t="n">
        <v>29.44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1935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1988</v>
      </c>
      <c r="N7902" s="1" t="n">
        <v>6</v>
      </c>
      <c r="O7902" s="1" t="n">
        <v>37.92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1935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3343</v>
      </c>
      <c r="N7903" s="1" t="n">
        <v>6</v>
      </c>
      <c r="O7903" s="1" t="n">
        <v>15.78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1935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2454</v>
      </c>
      <c r="N7904" s="1" t="n">
        <v>2</v>
      </c>
      <c r="O7904" s="1" t="n">
        <v>28.38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1935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4696</v>
      </c>
      <c r="N7905" s="1" t="n">
        <v>4</v>
      </c>
      <c r="O7905" s="1" t="n">
        <v>26.44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1935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4697</v>
      </c>
      <c r="N7906" s="1" t="n">
        <v>4</v>
      </c>
      <c r="O7906" s="1" t="n">
        <v>26.44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1935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3344</v>
      </c>
      <c r="N7907" s="1" t="n">
        <v>4</v>
      </c>
      <c r="O7907" s="1" t="n">
        <v>25.28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1935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1989</v>
      </c>
      <c r="N7908" s="1" t="n">
        <v>2</v>
      </c>
      <c r="O7908" s="1" t="n">
        <v>25.32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1935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1990</v>
      </c>
      <c r="N7909" s="1" t="n">
        <v>1</v>
      </c>
      <c r="O7909" s="1" t="n">
        <v>12.66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1935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2455</v>
      </c>
      <c r="N7910" s="1" t="n">
        <v>2</v>
      </c>
      <c r="O7910" s="1" t="n">
        <v>31.74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1935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1996</v>
      </c>
      <c r="N7911" s="1" t="n">
        <v>2</v>
      </c>
      <c r="O7911" s="1" t="n">
        <v>5.68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1935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4698</v>
      </c>
      <c r="N7912" s="1" t="n">
        <v>3</v>
      </c>
      <c r="O7912" s="1" t="n">
        <v>12.84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4527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4528</v>
      </c>
      <c r="N7913" s="1" t="n">
        <v>0.045</v>
      </c>
      <c r="O7913" s="1" t="n">
        <v>1.8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4527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4699</v>
      </c>
      <c r="N7914" s="1" t="n">
        <v>1</v>
      </c>
      <c r="O7914" s="1" t="n">
        <v>3.5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4527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1934</v>
      </c>
      <c r="N7915" s="1" t="n">
        <v>1</v>
      </c>
      <c r="O7915" s="1" t="n">
        <v>7.99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4527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4700</v>
      </c>
      <c r="N7916" s="1" t="n">
        <v>1</v>
      </c>
      <c r="O7916" s="1" t="n">
        <v>2.99</v>
      </c>
    </row>
    <row r="7917" customFormat="false" ht="15" hidden="false" customHeight="true" outlineLevel="0" collapsed="false">
      <c r="A7917" s="1"/>
      <c r="B7917" s="17"/>
      <c r="C7917" s="1"/>
      <c r="D7917" s="1"/>
      <c r="E7917" s="1"/>
      <c r="F7917" s="1"/>
      <c r="I7917" s="1"/>
      <c r="J7917" s="1"/>
      <c r="K7917" s="1"/>
      <c r="L7917" s="1"/>
      <c r="N7917" s="1"/>
      <c r="O7917" s="1" t="s">
        <v>1668</v>
      </c>
    </row>
    <row r="7918" customFormat="false" ht="15" hidden="false" customHeight="true" outlineLevel="0" collapsed="false">
      <c r="A7918" s="1"/>
      <c r="B7918" s="17"/>
      <c r="C7918" s="1"/>
      <c r="D7918" s="1"/>
      <c r="E7918" s="1"/>
      <c r="F7918" s="1"/>
      <c r="I7918" s="1"/>
      <c r="J7918" s="1"/>
      <c r="K7918" s="1"/>
      <c r="L7918" s="1"/>
      <c r="N7918" s="1"/>
      <c r="O7918" s="1" t="n">
        <v>1219830.610723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2026-09-08T20:22:32Z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